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comments/comment28.xml" ContentType="application/vnd.openxmlformats-officedocument.spreadsheetml.comments+xml"/>
  <Override PartName="/xl/worksheets/sheet30.xml" ContentType="application/vnd.openxmlformats-officedocument.spreadsheetml.worksheet+xml"/>
  <Override PartName="/xl/comments/comment29.xml" ContentType="application/vnd.openxmlformats-officedocument.spreadsheetml.comments+xml"/>
  <Override PartName="/xl/worksheets/sheet31.xml" ContentType="application/vnd.openxmlformats-officedocument.spreadsheetml.worksheet+xml"/>
  <Override PartName="/xl/comments/comment30.xml" ContentType="application/vnd.openxmlformats-officedocument.spreadsheetml.comments+xml"/>
  <Override PartName="/xl/worksheets/sheet32.xml" ContentType="application/vnd.openxmlformats-officedocument.spreadsheetml.worksheet+xml"/>
  <Override PartName="/xl/comments/comment31.xml" ContentType="application/vnd.openxmlformats-officedocument.spreadsheetml.comments+xml"/>
  <Override PartName="/xl/worksheets/sheet33.xml" ContentType="application/vnd.openxmlformats-officedocument.spreadsheetml.worksheet+xml"/>
  <Override PartName="/xl/comments/comment3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Table of Contents" sheetId="1" state="visible" r:id="rId1"/>
    <sheet xmlns:r="http://schemas.openxmlformats.org/officeDocument/2006/relationships" name="Executive Briefing" sheetId="2" state="visible" r:id="rId2"/>
    <sheet xmlns:r="http://schemas.openxmlformats.org/officeDocument/2006/relationships" name="Summary" sheetId="3" state="visible" r:id="rId3"/>
    <sheet xmlns:r="http://schemas.openxmlformats.org/officeDocument/2006/relationships" name="Priority URLs" sheetId="4" state="visible" r:id="rId4"/>
    <sheet xmlns:r="http://schemas.openxmlformats.org/officeDocument/2006/relationships" name="FixPlan" sheetId="5" state="visible" r:id="rId5"/>
    <sheet xmlns:r="http://schemas.openxmlformats.org/officeDocument/2006/relationships" name="Quick Wins" sheetId="6" state="visible" r:id="rId6"/>
    <sheet xmlns:r="http://schemas.openxmlformats.org/officeDocument/2006/relationships" name="Content Optimisation Hub" sheetId="7" state="visible" r:id="rId7"/>
    <sheet xmlns:r="http://schemas.openxmlformats.org/officeDocument/2006/relationships" name="Content Planner" sheetId="8" state="visible" r:id="rId8"/>
    <sheet xmlns:r="http://schemas.openxmlformats.org/officeDocument/2006/relationships" name="Content Hub Metrics" sheetId="9" state="visible" r:id="rId9"/>
    <sheet xmlns:r="http://schemas.openxmlformats.org/officeDocument/2006/relationships" name="Main" sheetId="10" state="visible" r:id="rId10"/>
    <sheet xmlns:r="http://schemas.openxmlformats.org/officeDocument/2006/relationships" name="AIOSEO Recommendations" sheetId="11" state="visible" r:id="rId11"/>
    <sheet xmlns:r="http://schemas.openxmlformats.org/officeDocument/2006/relationships" name="Link Inventory" sheetId="12" state="visible" r:id="rId12"/>
    <sheet xmlns:r="http://schemas.openxmlformats.org/officeDocument/2006/relationships" name="Broken Link Impact" sheetId="13" state="visible" r:id="rId13"/>
    <sheet xmlns:r="http://schemas.openxmlformats.org/officeDocument/2006/relationships" name="SitemapQA" sheetId="14" state="visible" r:id="rId14"/>
    <sheet xmlns:r="http://schemas.openxmlformats.org/officeDocument/2006/relationships" name="Template &amp; Duplication Risks" sheetId="15" state="visible" r:id="rId15"/>
    <sheet xmlns:r="http://schemas.openxmlformats.org/officeDocument/2006/relationships" name="Playbook" sheetId="16" state="visible" r:id="rId16"/>
    <sheet xmlns:r="http://schemas.openxmlformats.org/officeDocument/2006/relationships" name="Issue Register" sheetId="17" state="hidden" r:id="rId17"/>
    <sheet xmlns:r="http://schemas.openxmlformats.org/officeDocument/2006/relationships" name="Technical Diagnostics" sheetId="18" state="hidden" r:id="rId18"/>
    <sheet xmlns:r="http://schemas.openxmlformats.org/officeDocument/2006/relationships" name="Content &amp; AI Readiness" sheetId="19" state="hidden" r:id="rId19"/>
    <sheet xmlns:r="http://schemas.openxmlformats.org/officeDocument/2006/relationships" name="Link Intelligence" sheetId="20" state="hidden" r:id="rId20"/>
    <sheet xmlns:r="http://schemas.openxmlformats.org/officeDocument/2006/relationships" name="CMS Action URLs" sheetId="21" state="hidden" r:id="rId21"/>
    <sheet xmlns:r="http://schemas.openxmlformats.org/officeDocument/2006/relationships" name="Redirects" sheetId="22" state="hidden" r:id="rId22"/>
    <sheet xmlns:r="http://schemas.openxmlformats.org/officeDocument/2006/relationships" name="Redirect Map" sheetId="23" state="hidden" r:id="rId23"/>
    <sheet xmlns:r="http://schemas.openxmlformats.org/officeDocument/2006/relationships" name="Robots.txt Analysis" sheetId="24" state="hidden" r:id="rId24"/>
    <sheet xmlns:r="http://schemas.openxmlformats.org/officeDocument/2006/relationships" name="Crawl Log" sheetId="25" state="hidden" r:id="rId25"/>
    <sheet xmlns:r="http://schemas.openxmlformats.org/officeDocument/2006/relationships" name="Link Equity Map" sheetId="26" state="hidden" r:id="rId26"/>
    <sheet xmlns:r="http://schemas.openxmlformats.org/officeDocument/2006/relationships" name="Anchor Text Audit" sheetId="27" state="hidden" r:id="rId27"/>
    <sheet xmlns:r="http://schemas.openxmlformats.org/officeDocument/2006/relationships" name="Snippet Opportunities" sheetId="28" state="hidden" r:id="rId28"/>
    <sheet xmlns:r="http://schemas.openxmlformats.org/officeDocument/2006/relationships" name="Script Inventory" sheetId="29" state="hidden" r:id="rId29"/>
    <sheet xmlns:r="http://schemas.openxmlformats.org/officeDocument/2006/relationships" name="Image Inventory" sheetId="30" state="hidden" r:id="rId30"/>
    <sheet xmlns:r="http://schemas.openxmlformats.org/officeDocument/2006/relationships" name="ResolvedIssues" sheetId="31" state="hidden" r:id="rId31"/>
    <sheet xmlns:r="http://schemas.openxmlformats.org/officeDocument/2006/relationships" name="DeltaFromPreviousRun" sheetId="32" state="hidden" r:id="rId32"/>
    <sheet xmlns:r="http://schemas.openxmlformats.org/officeDocument/2006/relationships" name="Audit Run Details" sheetId="33" state="hidden" r:id="rId33"/>
  </sheets>
  <definedNames>
    <definedName name="_xlnm.Print_Area" localSheetId="1">'Executive Briefing'!$A$1:$N$173</definedName>
    <definedName name="_xlnm._FilterDatabase" localSheetId="2" hidden="1">'Summary'!$A$2:$F$140</definedName>
    <definedName name="_xlnm.Print_Area" localSheetId="2">'Summary'!$A$1:$F$140</definedName>
    <definedName name="_xlnm._FilterDatabase" localSheetId="3" hidden="1">'Priority URLs'!$A$2:$U$85</definedName>
    <definedName name="_xlnm.Print_Area" localSheetId="3">'Priority URLs'!$A$1:$U$85</definedName>
    <definedName name="_xlnm._FilterDatabase" localSheetId="4" hidden="1">'FixPlan'!$A$2:$Z$19</definedName>
    <definedName name="_xlnm.Print_Area" localSheetId="4">'FixPlan'!$A$1:$Z$19</definedName>
    <definedName name="_xlnm._FilterDatabase" localSheetId="5" hidden="1">'Quick Wins'!$A$2:$M$4</definedName>
    <definedName name="_xlnm.Print_Area" localSheetId="5">'Quick Wins'!$A$1:$M$4</definedName>
    <definedName name="_xlnm._FilterDatabase" localSheetId="6" hidden="1">'Content Optimisation Hub'!$A$2:$AK$35</definedName>
    <definedName name="_xlnm.Print_Area" localSheetId="6">'Content Optimisation Hub'!$A$1:$AK$35</definedName>
    <definedName name="_xlnm._FilterDatabase" localSheetId="7" hidden="1">'Content Planner'!$A$1:$S$85</definedName>
    <definedName name="_xlnm.Print_Area" localSheetId="7">'Content Planner'!$A$1:$S$85</definedName>
    <definedName name="_xlnm._FilterDatabase" localSheetId="8" hidden="1">'Content Hub Metrics'!$A$2:$L$35</definedName>
    <definedName name="_xlnm.Print_Area" localSheetId="8">'Content Hub Metrics'!$A$1:$L$35</definedName>
    <definedName name="_xlnm._FilterDatabase" localSheetId="9" hidden="1">'Main'!$A$2:$HI$85</definedName>
    <definedName name="_xlnm.Print_Area" localSheetId="9">'Main'!$A$1:$HI$85</definedName>
    <definedName name="_xlnm._FilterDatabase" localSheetId="10" hidden="1">'AIOSEO Recommendations'!$A$2:$T$389</definedName>
    <definedName name="_xlnm.Print_Area" localSheetId="10">'AIOSEO Recommendations'!$A$1:$T$389</definedName>
    <definedName name="_xlnm._FilterDatabase" localSheetId="11" hidden="1">'Link Inventory'!$A$2:$G$85</definedName>
    <definedName name="_xlnm.Print_Area" localSheetId="11">'Link Inventory'!$A$1:$G$85</definedName>
    <definedName name="_xlnm._FilterDatabase" localSheetId="12" hidden="1">'Broken Link Impact'!$A$2:$H$2</definedName>
    <definedName name="_xlnm.Print_Area" localSheetId="12">'Broken Link Impact'!$A$1:$H$2</definedName>
    <definedName name="_xlnm._FilterDatabase" localSheetId="13" hidden="1">'SitemapQA'!$A$2:$X$86</definedName>
    <definedName name="_xlnm.Print_Area" localSheetId="13">'SitemapQA'!$A$1:$X$86</definedName>
    <definedName name="_xlnm._FilterDatabase" localSheetId="14" hidden="1">'Template &amp; Duplication Risks'!$A$2:$K$76</definedName>
    <definedName name="_xlnm.Print_Area" localSheetId="14">'Template &amp; Duplication Risks'!$A$1:$K$76</definedName>
    <definedName name="_xlnm.Print_Area" localSheetId="15">'Playbook'!$A$1:$D$137</definedName>
    <definedName name="_xlnm._FilterDatabase" localSheetId="16" hidden="1">'Issue Register'!$A$2:$S$449</definedName>
    <definedName name="_xlnm.Print_Area" localSheetId="16">'Issue Register'!$A$1:$S$449</definedName>
    <definedName name="_xlnm._FilterDatabase" localSheetId="17" hidden="1">'Technical Diagnostics'!$A$2:$BH$85</definedName>
    <definedName name="_xlnm.Print_Area" localSheetId="17">'Technical Diagnostics'!$A$1:$BH$85</definedName>
    <definedName name="_xlnm._FilterDatabase" localSheetId="18" hidden="1">'Content &amp; AI Readiness'!$A$2:$Y$85</definedName>
    <definedName name="_xlnm.Print_Area" localSheetId="18">'Content &amp; AI Readiness'!$A$1:$Y$85</definedName>
    <definedName name="_xlnm._FilterDatabase" localSheetId="19" hidden="1">'Link Intelligence'!$A$2:$V$168</definedName>
    <definedName name="_xlnm.Print_Area" localSheetId="19">'Link Intelligence'!$A$1:$V$168</definedName>
    <definedName name="_xlnm.Print_Area" localSheetId="20">'CMS Action URLs'!$A$1:$E$2</definedName>
    <definedName name="_xlnm._FilterDatabase" localSheetId="21" hidden="1">'Redirects'!$A$2:$N$85</definedName>
    <definedName name="_xlnm.Print_Area" localSheetId="21">'Redirects'!$A$1:$N$85</definedName>
    <definedName name="_xlnm.Print_Area" localSheetId="22">'Redirect Map'!$A$1:$L$9</definedName>
    <definedName name="_xlnm.Print_Area" localSheetId="23">'Robots.txt Analysis'!$A$1:$F$3</definedName>
    <definedName name="_xlnm.Print_Area" localSheetId="24">'Crawl Log'!$A$1:$G$3</definedName>
    <definedName name="_xlnm._FilterDatabase" localSheetId="25" hidden="1">'Link Equity Map'!$A$2:$J$85</definedName>
    <definedName name="_xlnm.Print_Area" localSheetId="25">'Link Equity Map'!$A$1:$J$85</definedName>
    <definedName name="_xlnm.Print_Area" localSheetId="26">'Anchor Text Audit'!$A$1:$G$2</definedName>
    <definedName name="_xlnm.Print_Area" localSheetId="27">'Snippet Opportunities'!$A$1:$I$3</definedName>
    <definedName name="_xlnm.Print_Area" localSheetId="28">'Script Inventory'!$A$1:$G$2</definedName>
    <definedName name="_xlnm.Print_Area" localSheetId="29">'Image Inventory'!$A$1:$M$2</definedName>
    <definedName name="_xlnm.Print_Area" localSheetId="30">'ResolvedIssues'!$A$1:$G$3</definedName>
    <definedName name="_xlnm._FilterDatabase" localSheetId="31" hidden="1">'DeltaFromPreviousRun'!$A$2:$P$89</definedName>
    <definedName name="_xlnm.Print_Area" localSheetId="31">'DeltaFromPreviousRun'!$A$1:$P$89</definedName>
    <definedName name="_xlnm.Print_Area" localSheetId="32">'Audit Run Details'!$A$1:$B$25</definedName>
  </definedNames>
  <calcPr calcId="124519" calcMode="auto" fullCalcOnLoad="1"/>
</workbook>
</file>

<file path=xl/styles.xml><?xml version="1.0" encoding="utf-8"?>
<styleSheet xmlns="http://schemas.openxmlformats.org/spreadsheetml/2006/main">
  <numFmts count="3">
    <numFmt numFmtId="164" formatCode="[$-en-ZA]0.00%"/>
    <numFmt numFmtId="165" formatCode="[$-en-ZA]#,##0"/>
    <numFmt numFmtId="166" formatCode="[$-en-ZA]#,##0.00"/>
  </numFmts>
  <fonts count="21">
    <font>
      <name val="Calibri"/>
      <family val="2"/>
      <color theme="1"/>
      <sz val="11"/>
      <scheme val="minor"/>
    </font>
    <font>
      <b val="1"/>
      <color rgb="00666666"/>
      <sz val="9"/>
    </font>
    <font>
      <b val="1"/>
      <color rgb="00222A35"/>
      <sz val="18"/>
    </font>
    <font>
      <color rgb="00374151"/>
      <sz val="13"/>
    </font>
    <font>
      <b val="1"/>
      <color rgb="00000000"/>
      <sz val="11"/>
    </font>
    <font>
      <b val="1"/>
      <color rgb="00222A35"/>
      <sz val="10"/>
    </font>
    <font>
      <b val="1"/>
      <color rgb="00222A35"/>
      <sz val="12"/>
    </font>
    <font>
      <b val="1"/>
      <sz val="18"/>
    </font>
    <font>
      <color rgb="001F2937"/>
      <sz val="9"/>
    </font>
    <font>
      <b val="1"/>
      <color rgb="00222A35"/>
      <sz val="11"/>
    </font>
    <font>
      <b val="1"/>
      <color rgb="00000000"/>
      <sz val="12"/>
    </font>
    <font>
      <b val="1"/>
      <color rgb="002F6FA3"/>
      <u val="single"/>
    </font>
    <font>
      <b val="1"/>
      <color rgb="00222A35"/>
    </font>
    <font>
      <i val="1"/>
      <color rgb="00666666"/>
      <sz val="9"/>
    </font>
    <font>
      <b val="1"/>
      <color rgb="00222A35"/>
      <sz val="14"/>
    </font>
    <font>
      <b val="1"/>
      <color rgb="00FFFFFF"/>
    </font>
    <font>
      <name val="Calibri"/>
      <family val="2"/>
      <color theme="10"/>
      <sz val="12"/>
      <scheme val="minor"/>
    </font>
    <font>
      <i val="1"/>
      <color rgb="002F6FA3"/>
      <u val="single"/>
    </font>
    <font>
      <b val="1"/>
      <color rgb="008F6B00"/>
    </font>
    <font>
      <color rgb="002F6FA3"/>
      <u val="single"/>
    </font>
    <font>
      <b val="1"/>
      <color rgb="001A237E"/>
    </font>
  </fonts>
  <fills count="23">
    <fill>
      <patternFill/>
    </fill>
    <fill>
      <patternFill patternType="gray125"/>
    </fill>
    <fill>
      <patternFill patternType="solid">
        <fgColor rgb="00F3F4F6"/>
      </patternFill>
    </fill>
    <fill>
      <patternFill patternType="solid">
        <fgColor rgb="00E5E7EB"/>
      </patternFill>
    </fill>
    <fill>
      <patternFill patternType="solid">
        <fgColor rgb="00F5F7FA"/>
      </patternFill>
    </fill>
    <fill>
      <patternFill patternType="solid">
        <fgColor rgb="00DCE3EA"/>
      </patternFill>
    </fill>
    <fill>
      <patternFill patternType="solid">
        <fgColor rgb="00ADD8E6"/>
      </patternFill>
    </fill>
    <fill>
      <patternFill patternType="solid">
        <fgColor rgb="00222A35"/>
      </patternFill>
    </fill>
    <fill>
      <patternFill patternType="solid">
        <fgColor rgb="00FFFAED"/>
        <bgColor rgb="00FFFAED"/>
      </patternFill>
    </fill>
    <fill>
      <patternFill patternType="solid">
        <fgColor rgb="00D9D9D9"/>
        <bgColor rgb="00D9D9D9"/>
      </patternFill>
    </fill>
    <fill>
      <patternFill patternType="solid">
        <fgColor rgb="00E6F4EA"/>
        <bgColor rgb="00E6F4EA"/>
      </patternFill>
    </fill>
    <fill>
      <patternFill patternType="solid">
        <fgColor rgb="00FCE8E6"/>
        <bgColor rgb="00FCE8E6"/>
      </patternFill>
    </fill>
    <fill>
      <patternFill patternType="solid">
        <fgColor rgb="00222A35"/>
        <bgColor rgb="00222A35"/>
      </patternFill>
    </fill>
    <fill>
      <patternFill patternType="solid">
        <fgColor rgb="00F7F7F7"/>
        <bgColor rgb="00F7F7F7"/>
      </patternFill>
    </fill>
    <fill>
      <patternFill patternType="solid">
        <fgColor rgb="00F8F9FA"/>
        <bgColor rgb="00F8F9FA"/>
      </patternFill>
    </fill>
    <fill>
      <patternFill patternType="solid">
        <fgColor rgb="00FEF3D6"/>
        <bgColor rgb="00FEF3D6"/>
      </patternFill>
    </fill>
    <fill>
      <patternFill patternType="solid">
        <fgColor rgb="00BFE9E4"/>
        <bgColor rgb="00BFE9E4"/>
      </patternFill>
    </fill>
    <fill>
      <patternFill patternType="solid">
        <fgColor rgb="00E8EAF6"/>
        <bgColor rgb="00E8EAF6"/>
      </patternFill>
    </fill>
    <fill>
      <patternFill patternType="solid">
        <fgColor rgb="00EAF2FB"/>
        <bgColor rgb="00EAF2FB"/>
      </patternFill>
    </fill>
    <fill>
      <patternFill patternType="solid">
        <fgColor rgb="00EAF7EF"/>
        <bgColor rgb="00EAF7EF"/>
      </patternFill>
    </fill>
    <fill>
      <patternFill patternType="solid">
        <fgColor rgb="00FDF3E4"/>
        <bgColor rgb="00FDF3E4"/>
      </patternFill>
    </fill>
    <fill>
      <patternFill patternType="solid">
        <fgColor rgb="00F3EAFB"/>
        <bgColor rgb="00F3EAFB"/>
      </patternFill>
    </fill>
    <fill>
      <patternFill patternType="solid">
        <fgColor rgb="00F0F0F0"/>
        <bgColor rgb="00F0F0F0"/>
      </patternFill>
    </fill>
  </fills>
  <borders count="1">
    <border>
      <left/>
      <right/>
      <top/>
      <bottom/>
      <diagonal/>
    </border>
  </borders>
  <cellStyleXfs count="2">
    <xf numFmtId="0" fontId="0" fillId="0" borderId="0"/>
    <xf numFmtId="0" fontId="16" fillId="0" borderId="0"/>
  </cellStyleXfs>
  <cellXfs count="81">
    <xf numFmtId="0" fontId="0" fillId="0" borderId="0" pivotButton="0" quotePrefix="0" xfId="0"/>
    <xf numFmtId="0" fontId="14" fillId="0" borderId="0" pivotButton="0" quotePrefix="0" xfId="0"/>
    <xf numFmtId="0" fontId="15" fillId="7" borderId="0" pivotButton="0" quotePrefix="0" xfId="0"/>
    <xf numFmtId="0" fontId="12" fillId="0" borderId="0" pivotButton="0" quotePrefix="0" xfId="0"/>
    <xf numFmtId="0" fontId="11" fillId="0" borderId="0" pivotButton="0" quotePrefix="0" xfId="0"/>
    <xf numFmtId="0" fontId="2" fillId="0" borderId="0" applyAlignment="1" pivotButton="0" quotePrefix="0" xfId="0">
      <alignment horizontal="left" vertical="center"/>
    </xf>
    <xf numFmtId="0" fontId="3" fillId="0" borderId="0" applyAlignment="1" pivotButton="0" quotePrefix="0" xfId="0">
      <alignment vertical="top" wrapText="1"/>
    </xf>
    <xf numFmtId="0" fontId="5" fillId="0" borderId="0" applyAlignment="1" pivotButton="0" quotePrefix="0" xfId="0">
      <alignment horizontal="left" vertical="center"/>
    </xf>
    <xf numFmtId="0" fontId="4" fillId="3" borderId="0" applyAlignment="1" pivotButton="0" quotePrefix="0" xfId="0">
      <alignment horizontal="center" vertical="center"/>
    </xf>
    <xf numFmtId="0" fontId="0" fillId="4" borderId="0" applyAlignment="1" pivotButton="0" quotePrefix="0" xfId="0">
      <alignment horizontal="center" vertical="center"/>
    </xf>
    <xf numFmtId="0" fontId="6" fillId="5" borderId="0" applyAlignment="1" pivotButton="0" quotePrefix="0" xfId="0">
      <alignment horizontal="center"/>
    </xf>
    <xf numFmtId="0" fontId="7" fillId="5" borderId="0" applyAlignment="1" pivotButton="0" quotePrefix="0" xfId="0">
      <alignment horizontal="center"/>
    </xf>
    <xf numFmtId="0" fontId="8" fillId="4" borderId="0" applyAlignment="1" pivotButton="0" quotePrefix="0" xfId="0">
      <alignment horizontal="left" vertical="center" wrapText="1"/>
    </xf>
    <xf numFmtId="0" fontId="9" fillId="3" borderId="0" applyAlignment="1" pivotButton="0" quotePrefix="0" xfId="0">
      <alignment horizontal="left" vertical="center"/>
    </xf>
    <xf numFmtId="0" fontId="10" fillId="3" borderId="0" applyAlignment="1" pivotButton="0" quotePrefix="0" xfId="0">
      <alignment horizontal="center" vertical="center" wrapText="1"/>
    </xf>
    <xf numFmtId="0" fontId="4" fillId="7" borderId="0" applyAlignment="1" pivotButton="0" quotePrefix="0" xfId="0">
      <alignment horizontal="center" vertical="center"/>
    </xf>
    <xf numFmtId="0" fontId="4" fillId="6" borderId="0" applyAlignment="1" pivotButton="0" quotePrefix="0" xfId="0">
      <alignment horizontal="center" vertical="center" wrapText="1"/>
    </xf>
    <xf numFmtId="0" fontId="0" fillId="4" borderId="0" applyAlignment="1" pivotButton="0" quotePrefix="0" xfId="0">
      <alignment horizontal="left" vertical="center" wrapText="1"/>
    </xf>
    <xf numFmtId="0" fontId="11" fillId="4" borderId="0" pivotButton="0" quotePrefix="0" xfId="0"/>
    <xf numFmtId="0" fontId="11" fillId="4" borderId="0" applyAlignment="1" pivotButton="0" quotePrefix="0" xfId="0">
      <alignment horizontal="center" vertical="center"/>
    </xf>
    <xf numFmtId="0" fontId="0" fillId="0" borderId="0" applyAlignment="1" pivotButton="0" quotePrefix="0" xfId="0">
      <alignment vertical="top" wrapText="1"/>
    </xf>
    <xf numFmtId="0" fontId="0" fillId="4" borderId="0" applyAlignment="1" pivotButton="0" quotePrefix="0" xfId="0">
      <alignment horizontal="left" vertical="center"/>
    </xf>
    <xf numFmtId="0" fontId="13" fillId="2" borderId="0" applyAlignment="1" pivotButton="0" quotePrefix="0" xfId="0">
      <alignment horizontal="center" vertical="center"/>
    </xf>
    <xf numFmtId="0" fontId="1" fillId="2" borderId="0" pivotButton="0" quotePrefix="0" xfId="0"/>
    <xf numFmtId="0" fontId="17" fillId="0" borderId="0" applyAlignment="1" pivotButton="0" quotePrefix="0" xfId="0">
      <alignment horizontal="left" vertical="center"/>
    </xf>
    <xf numFmtId="0" fontId="13" fillId="0" borderId="0" applyAlignment="1" pivotButton="0" quotePrefix="0" xfId="0">
      <alignment horizontal="right" vertical="center"/>
    </xf>
    <xf numFmtId="0" fontId="15" fillId="12" borderId="0" applyAlignment="1" pivotButton="0" quotePrefix="0" xfId="0">
      <alignment horizontal="left" vertical="center" wrapText="1"/>
    </xf>
    <xf numFmtId="0" fontId="15" fillId="12" borderId="0" applyAlignment="1" pivotButton="0" quotePrefix="0" xfId="0">
      <alignment horizontal="right" vertical="center" wrapText="1"/>
    </xf>
    <xf numFmtId="0" fontId="0" fillId="0" borderId="0" applyAlignment="1" pivotButton="0" quotePrefix="0" xfId="0">
      <alignment vertical="top"/>
    </xf>
    <xf numFmtId="0" fontId="0" fillId="8" borderId="0" applyAlignment="1" pivotButton="0" quotePrefix="0" xfId="0">
      <alignment vertical="top"/>
    </xf>
    <xf numFmtId="0" fontId="0" fillId="13" borderId="0" applyAlignment="1" pivotButton="0" quotePrefix="0" xfId="0">
      <alignment vertical="top"/>
    </xf>
    <xf numFmtId="0" fontId="0" fillId="13" borderId="0" applyAlignment="1" pivotButton="0" quotePrefix="0" xfId="0">
      <alignment vertical="top" wrapText="1"/>
    </xf>
    <xf numFmtId="0" fontId="0" fillId="10" borderId="0" applyAlignment="1" pivotButton="0" quotePrefix="0" xfId="0">
      <alignment vertical="top"/>
    </xf>
    <xf numFmtId="0" fontId="0" fillId="9" borderId="0" applyAlignment="1" pivotButton="0" quotePrefix="0" xfId="0">
      <alignment vertical="top"/>
    </xf>
    <xf numFmtId="0" fontId="0" fillId="11" borderId="0" applyAlignment="1" pivotButton="0" quotePrefix="0" xfId="0">
      <alignment vertical="top"/>
    </xf>
    <xf numFmtId="0" fontId="16" fillId="0" borderId="0" applyAlignment="1" pivotButton="0" quotePrefix="0" xfId="1">
      <alignment vertical="center"/>
    </xf>
    <xf numFmtId="0" fontId="0" fillId="14" borderId="0" applyAlignment="1" pivotButton="0" quotePrefix="0" xfId="0">
      <alignment vertical="top"/>
    </xf>
    <xf numFmtId="0" fontId="16" fillId="13" borderId="0" applyAlignment="1" pivotButton="0" quotePrefix="0" xfId="1">
      <alignment vertical="center"/>
    </xf>
    <xf numFmtId="0" fontId="0" fillId="13" borderId="0" pivotButton="0" quotePrefix="0" xfId="0"/>
    <xf numFmtId="0" fontId="16" fillId="0" borderId="0" applyAlignment="1" pivotButton="0" quotePrefix="0" xfId="1">
      <alignment vertical="top"/>
    </xf>
    <xf numFmtId="0" fontId="0" fillId="15" borderId="0" applyAlignment="1" pivotButton="0" quotePrefix="0" xfId="0">
      <alignment vertical="top"/>
    </xf>
    <xf numFmtId="0" fontId="16" fillId="13" borderId="0" applyAlignment="1" pivotButton="0" quotePrefix="0" xfId="1">
      <alignment vertical="top"/>
    </xf>
    <xf numFmtId="0" fontId="17" fillId="16" borderId="0" applyAlignment="1" pivotButton="0" quotePrefix="0" xfId="0">
      <alignment horizontal="left" vertical="center"/>
    </xf>
    <xf numFmtId="0" fontId="0" fillId="16" borderId="0" pivotButton="0" quotePrefix="0" xfId="0"/>
    <xf numFmtId="0" fontId="12" fillId="16" borderId="0" applyAlignment="1" pivotButton="0" quotePrefix="0" xfId="0">
      <alignment horizontal="left" vertical="center"/>
    </xf>
    <xf numFmtId="0" fontId="18" fillId="15" borderId="0" applyAlignment="1" pivotButton="0" quotePrefix="0" xfId="0">
      <alignment horizontal="left" vertical="center" wrapText="1"/>
    </xf>
    <xf numFmtId="0" fontId="0" fillId="0" borderId="0" applyAlignment="1" pivotButton="0" quotePrefix="0" xfId="0">
      <alignment vertical="top"/>
    </xf>
    <xf numFmtId="0" fontId="19" fillId="0" borderId="0" applyAlignment="1" pivotButton="0" quotePrefix="0" xfId="0">
      <alignment vertical="top"/>
    </xf>
    <xf numFmtId="164" fontId="0" fillId="0" borderId="0" applyAlignment="1" pivotButton="0" quotePrefix="0" xfId="0">
      <alignment vertical="top"/>
    </xf>
    <xf numFmtId="165" fontId="0" fillId="0" borderId="0" applyAlignment="1" pivotButton="0" quotePrefix="0" xfId="0">
      <alignment vertical="top"/>
    </xf>
    <xf numFmtId="166" fontId="0" fillId="0" borderId="0" applyAlignment="1" pivotButton="0" quotePrefix="0" xfId="0">
      <alignment vertical="top"/>
    </xf>
    <xf numFmtId="0" fontId="0" fillId="10" borderId="0" applyAlignment="1" pivotButton="0" quotePrefix="0" xfId="0">
      <alignment vertical="top"/>
    </xf>
    <xf numFmtId="0" fontId="0" fillId="13" borderId="0" applyAlignment="1" pivotButton="0" quotePrefix="0" xfId="0">
      <alignment vertical="top"/>
    </xf>
    <xf numFmtId="0" fontId="19" fillId="13" borderId="0" applyAlignment="1" pivotButton="0" quotePrefix="0" xfId="0">
      <alignment vertical="top"/>
    </xf>
    <xf numFmtId="164" fontId="0" fillId="13" borderId="0" applyAlignment="1" pivotButton="0" quotePrefix="0" xfId="0">
      <alignment vertical="top"/>
    </xf>
    <xf numFmtId="165" fontId="0" fillId="13" borderId="0" applyAlignment="1" pivotButton="0" quotePrefix="0" xfId="0">
      <alignment vertical="top"/>
    </xf>
    <xf numFmtId="166" fontId="0" fillId="13" borderId="0" applyAlignment="1" pivotButton="0" quotePrefix="0" xfId="0">
      <alignment vertical="top"/>
    </xf>
    <xf numFmtId="0" fontId="17"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20" fillId="17" borderId="0" applyAlignment="1" pivotButton="0" quotePrefix="0" xfId="0">
      <alignment horizontal="center" vertical="center" wrapText="1"/>
    </xf>
    <xf numFmtId="0" fontId="15" fillId="12" borderId="0" applyAlignment="1" pivotButton="0" quotePrefix="0" xfId="0">
      <alignment horizontal="center" vertical="center"/>
    </xf>
    <xf numFmtId="0" fontId="0" fillId="0" borderId="0" applyAlignment="1" pivotButton="0" quotePrefix="0" xfId="0">
      <alignment horizontal="center" vertical="center"/>
    </xf>
    <xf numFmtId="0" fontId="0" fillId="13" borderId="0" applyAlignment="1" pivotButton="0" quotePrefix="0" xfId="0">
      <alignment horizontal="center" vertical="center"/>
    </xf>
    <xf numFmtId="0" fontId="12" fillId="18" borderId="0" applyAlignment="1" pivotButton="0" quotePrefix="0" xfId="0">
      <alignment horizontal="left" vertical="center" wrapText="1"/>
    </xf>
    <xf numFmtId="0" fontId="12" fillId="20" borderId="0" applyAlignment="1" pivotButton="0" quotePrefix="0" xfId="0">
      <alignment horizontal="right" vertical="center" wrapText="1"/>
    </xf>
    <xf numFmtId="0" fontId="12" fillId="20" borderId="0" applyAlignment="1" pivotButton="0" quotePrefix="0" xfId="0">
      <alignment horizontal="left" vertical="center" wrapText="1"/>
    </xf>
    <xf numFmtId="0" fontId="12" fillId="18" borderId="0" applyAlignment="1" pivotButton="0" quotePrefix="0" xfId="0">
      <alignment horizontal="right" vertical="center" wrapText="1"/>
    </xf>
    <xf numFmtId="0" fontId="12" fillId="22" borderId="0" applyAlignment="1" pivotButton="0" quotePrefix="0" xfId="0">
      <alignment horizontal="left" vertical="center" wrapText="1"/>
    </xf>
    <xf numFmtId="0" fontId="12" fillId="19" borderId="0" applyAlignment="1" pivotButton="0" quotePrefix="0" xfId="0">
      <alignment horizontal="left" vertical="center" wrapText="1"/>
    </xf>
    <xf numFmtId="0" fontId="12" fillId="19" borderId="0" applyAlignment="1" pivotButton="0" quotePrefix="0" xfId="0">
      <alignment horizontal="right" vertical="center" wrapText="1"/>
    </xf>
    <xf numFmtId="0" fontId="12" fillId="21" borderId="0" applyAlignment="1" pivotButton="0" quotePrefix="0" xfId="0">
      <alignment horizontal="right" vertical="center" wrapText="1"/>
    </xf>
    <xf numFmtId="0" fontId="12" fillId="21" borderId="0" applyAlignment="1" pivotButton="0" quotePrefix="0" xfId="0">
      <alignment horizontal="left" vertical="center" wrapText="1"/>
    </xf>
    <xf numFmtId="0" fontId="12" fillId="22" borderId="0" applyAlignment="1" pivotButton="0" quotePrefix="0" xfId="0">
      <alignment horizontal="right" vertical="center" wrapText="1"/>
    </xf>
    <xf numFmtId="0" fontId="0" fillId="0" borderId="0" applyAlignment="1" pivotButton="0" quotePrefix="0" xfId="0">
      <alignment vertical="top" shrinkToFit="1"/>
    </xf>
    <xf numFmtId="0" fontId="0" fillId="15" borderId="0" applyAlignment="1" pivotButton="0" quotePrefix="0" xfId="0">
      <alignment vertical="top" shrinkToFit="1"/>
    </xf>
    <xf numFmtId="0" fontId="0" fillId="13" borderId="0" applyAlignment="1" pivotButton="0" quotePrefix="0" xfId="0">
      <alignment vertical="top" shrinkToFit="1"/>
    </xf>
    <xf numFmtId="0" fontId="15" fillId="12" borderId="0" applyAlignment="1" pivotButton="0" quotePrefix="0" xfId="0">
      <alignment horizontal="center" vertical="center" wrapText="1"/>
    </xf>
    <xf numFmtId="0" fontId="0" fillId="10" borderId="0" applyAlignment="1" pivotButton="0" quotePrefix="0" xfId="0">
      <alignment vertical="top" wrapText="1"/>
    </xf>
    <xf numFmtId="0" fontId="16" fillId="0" borderId="0" pivotButton="0" quotePrefix="0" xfId="1"/>
    <xf numFmtId="0" fontId="16" fillId="13" borderId="0" pivotButton="0" quotePrefix="0" xfId="1"/>
  </cellXfs>
  <cellStyles count="2">
    <cellStyle name="Normal" xfId="0" builtinId="0" hidden="0"/>
    <cellStyle name="Hyperlink" xfId="1" builtinId="8" hidden="0"/>
  </cellStyles>
  <dxfs count="30">
    <dxf>
      <fill>
        <patternFill patternType="solid">
          <fgColor rgb="00FCE8E6"/>
        </patternFill>
      </fill>
    </dxf>
    <dxf>
      <fill>
        <patternFill patternType="solid">
          <fgColor rgb="00FFFAED"/>
        </patternFill>
      </fill>
    </dxf>
    <dxf>
      <fill>
        <patternFill patternType="solid">
          <fgColor rgb="00E6F4EA"/>
        </patternFill>
      </fill>
    </dxf>
    <dxf>
      <fill>
        <patternFill patternType="solid">
          <fgColor rgb="00F7F7F7"/>
        </patternFill>
      </fill>
    </dxf>
    <dxf>
      <font>
        <color rgb="00137333"/>
      </font>
      <fill>
        <patternFill patternType="solid">
          <fgColor rgb="00E6F4EA"/>
        </patternFill>
      </fill>
    </dxf>
    <dxf>
      <font>
        <color rgb="008F6B00"/>
      </font>
      <fill>
        <patternFill patternType="solid">
          <fgColor rgb="00FEF3D6"/>
        </patternFill>
      </fill>
    </dxf>
    <dxf>
      <font>
        <color rgb="00222A35"/>
      </font>
      <fill>
        <patternFill patternType="solid">
          <fgColor rgb="00F8F9FA"/>
        </patternFill>
      </fill>
    </dxf>
    <dxf>
      <font>
        <b val="1"/>
        <color rgb="00A51D24"/>
      </font>
      <fill>
        <patternFill patternType="solid">
          <fgColor rgb="00FCE8E6"/>
        </patternFill>
      </fill>
    </dxf>
    <dxf>
      <font>
        <b val="1"/>
        <color rgb="008F6B00"/>
      </font>
      <fill>
        <patternFill patternType="solid">
          <fgColor rgb="00FEF3D6"/>
        </patternFill>
      </fill>
    </dxf>
    <dxf>
      <fill>
        <patternFill patternType="solid">
          <fgColor rgb="00FCE8E6"/>
          <bgColor rgb="00FCE8E6"/>
        </patternFill>
      </fill>
    </dxf>
    <dxf>
      <fill>
        <patternFill patternType="solid">
          <fgColor rgb="00FEF3D6"/>
          <bgColor rgb="00FEF3D6"/>
        </patternFill>
      </fill>
    </dxf>
    <dxf>
      <fill>
        <patternFill patternType="solid">
          <fgColor rgb="00E6F4EA"/>
          <bgColor rgb="00E6F4EA"/>
        </patternFill>
      </fill>
    </dxf>
    <dxf>
      <font>
        <b val="1"/>
        <color rgb="00FFFFFF"/>
      </font>
      <fill>
        <patternFill patternType="solid">
          <fgColor rgb="0092D050"/>
          <bgColor rgb="0092D050"/>
        </patternFill>
      </fill>
    </dxf>
    <dxf>
      <font>
        <b val="1"/>
        <color rgb="00FFFFFF"/>
      </font>
      <fill>
        <patternFill patternType="solid">
          <fgColor rgb="005B9BD5"/>
          <bgColor rgb="005B9BD5"/>
        </patternFill>
      </fill>
    </dxf>
    <dxf>
      <font>
        <b val="1"/>
        <color rgb="00FFFFFF"/>
      </font>
      <fill>
        <patternFill patternType="solid">
          <fgColor rgb="00ED7D31"/>
          <bgColor rgb="00ED7D31"/>
        </patternFill>
      </fill>
    </dxf>
    <dxf>
      <font>
        <b val="1"/>
        <color rgb="00A51D24"/>
      </font>
      <fill>
        <patternFill patternType="solid">
          <fgColor rgb="00FCE8E6"/>
          <bgColor rgb="00FCE8E6"/>
        </patternFill>
      </fill>
    </dxf>
    <dxf>
      <font>
        <b val="1"/>
        <color rgb="008F6B00"/>
      </font>
      <fill>
        <patternFill patternType="solid">
          <fgColor rgb="00FEF3D6"/>
          <bgColor rgb="00FEF3D6"/>
        </patternFill>
      </fill>
    </dxf>
    <dxf>
      <font>
        <b val="1"/>
        <color rgb="00137333"/>
      </font>
      <fill>
        <patternFill patternType="solid">
          <fgColor rgb="00E6F4EA"/>
          <bgColor rgb="00E6F4EA"/>
        </patternFill>
      </fill>
    </dxf>
    <dxf>
      <font>
        <color rgb="00137333"/>
      </font>
      <fill>
        <patternFill patternType="solid">
          <fgColor rgb="00E6F4EA"/>
          <bgColor rgb="00E6F4EA"/>
        </patternFill>
      </fill>
    </dxf>
    <dxf>
      <font>
        <color rgb="008F6B00"/>
      </font>
      <fill>
        <patternFill patternType="solid">
          <fgColor rgb="00FEF3D6"/>
          <bgColor rgb="00FEF3D6"/>
        </patternFill>
      </fill>
    </dxf>
    <dxf>
      <font>
        <color rgb="00A51D24"/>
      </font>
      <fill>
        <patternFill patternType="solid">
          <fgColor rgb="00FCE8E6"/>
          <bgColor rgb="00FCE8E6"/>
        </patternFill>
      </fill>
    </dxf>
    <dxf>
      <font>
        <b val="1"/>
        <color rgb="00FFFFFF"/>
      </font>
      <fill>
        <patternFill patternType="solid">
          <fgColor rgb="00C00000"/>
          <bgColor rgb="00C00000"/>
        </patternFill>
      </fill>
    </dxf>
    <dxf>
      <font>
        <b val="1"/>
        <color rgb="00991B1B"/>
      </font>
      <fill>
        <patternFill patternType="solid">
          <fgColor rgb="00FFF0F0"/>
          <bgColor rgb="00FFF0F0"/>
        </patternFill>
      </fill>
    </dxf>
    <dxf>
      <font>
        <b val="1"/>
        <color rgb="00924012"/>
      </font>
      <fill>
        <patternFill patternType="solid">
          <fgColor rgb="00FFFAED"/>
          <bgColor rgb="00FFFAED"/>
        </patternFill>
      </fill>
    </dxf>
    <dxf>
      <font>
        <i val="1"/>
      </font>
      <fill>
        <patternFill patternType="solid">
          <fgColor rgb="00FFFAED"/>
          <bgColor rgb="00FFFAED"/>
        </patternFill>
      </fill>
    </dxf>
    <dxf>
      <fill>
        <patternFill patternType="solid">
          <fgColor rgb="00FFF0F0"/>
          <bgColor rgb="00FFF0F0"/>
        </patternFill>
      </fill>
    </dxf>
    <dxf>
      <fill>
        <patternFill patternType="solid">
          <fgColor rgb="00FFFAED"/>
          <bgColor rgb="00FFFAED"/>
        </patternFill>
      </fill>
    </dxf>
    <dxf>
      <fill>
        <patternFill patternType="solid">
          <fgColor rgb="00DBEAFE"/>
          <bgColor rgb="00DBEAFE"/>
        </patternFill>
      </fill>
    </dxf>
    <dxf>
      <fill>
        <patternFill patternType="solid">
          <fgColor rgb="00E5E7EB"/>
          <bgColor rgb="00E5E7EB"/>
        </patternFill>
      </fill>
    </dxf>
    <dxf>
      <fill>
        <patternFill patternType="solid">
          <fgColor rgb="00FEF3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charts/chart1.xml><?xml version="1.0" encoding="utf-8"?>
<chartSpace xmlns="http://schemas.openxmlformats.org/drawingml/2006/chart">
  <roundedCorners val="0"/>
  <style val="2"/>
  <chart>
    <title>
      <tx>
        <rich>
          <a:bodyPr xmlns:a="http://schemas.openxmlformats.org/drawingml/2006/main"/>
          <a:p xmlns:a="http://schemas.openxmlformats.org/drawingml/2006/main">
            <a:pPr>
              <a:defRPr/>
            </a:pPr>
            <a:r>
              <a:t>Health components — current vs illustrative projected</a:t>
            </a:r>
          </a:p>
        </rich>
      </tx>
      <overlay val="0"/>
    </title>
    <plotArea>
      <barChart>
        <barDir val="col"/>
        <grouping val="clustered"/>
        <ser>
          <idx val="0"/>
          <order val="0"/>
          <tx>
            <strRef>
              <f>'Executive Briefing'!B116</f>
            </strRef>
          </tx>
          <spPr>
            <a:ln xmlns:a="http://schemas.openxmlformats.org/drawingml/2006/main">
              <a:prstDash val="solid"/>
            </a:ln>
          </spPr>
          <cat>
            <numRef>
              <f>'Executive Briefing'!$A$117:$A$122</f>
            </numRef>
          </cat>
          <val>
            <numRef>
              <f>'Executive Briefing'!$B$117:$B$122</f>
            </numRef>
          </val>
        </ser>
        <ser>
          <idx val="1"/>
          <order val="1"/>
          <tx>
            <strRef>
              <f>'Executive Briefing'!C116</f>
            </strRef>
          </tx>
          <spPr>
            <a:ln xmlns:a="http://schemas.openxmlformats.org/drawingml/2006/main">
              <a:prstDash val="solid"/>
            </a:ln>
          </spPr>
          <cat>
            <numRef>
              <f>'Executive Briefing'!$A$117:$A$122</f>
            </numRef>
          </cat>
          <val>
            <numRef>
              <f>'Executive Briefing'!$C$117:$C$122</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b"/>
      <overlay val="0"/>
    </legend>
    <plotVisOnly val="0"/>
    <dispBlanksAs val="gap"/>
  </chart>
</chartSpace>
</file>

<file path=xl/charts/chart2.xml><?xml version="1.0" encoding="utf-8"?>
<chartSpace xmlns="http://schemas.openxmlformats.org/drawingml/2006/chart">
  <roundedCorners val="0"/>
  <style val="2"/>
  <chart>
    <title>
      <tx>
        <rich>
          <a:bodyPr xmlns:a="http://schemas.openxmlformats.org/drawingml/2006/main"/>
          <a:p xmlns:a="http://schemas.openxmlformats.org/drawingml/2006/main">
            <a:pPr>
              <a:defRPr/>
            </a:pPr>
            <a:r>
              <a:t>Issue severity — unique URLs vs instances</a:t>
            </a:r>
          </a:p>
        </rich>
      </tx>
      <overlay val="0"/>
    </title>
    <plotArea>
      <barChart>
        <barDir val="col"/>
        <grouping val="clustered"/>
        <ser>
          <idx val="0"/>
          <order val="0"/>
          <tx>
            <strRef>
              <f>'Executive Briefing'!B124</f>
            </strRef>
          </tx>
          <spPr>
            <a:ln xmlns:a="http://schemas.openxmlformats.org/drawingml/2006/main">
              <a:prstDash val="solid"/>
            </a:ln>
          </spPr>
          <cat>
            <numRef>
              <f>'Executive Briefing'!$A$125:$A$127</f>
            </numRef>
          </cat>
          <val>
            <numRef>
              <f>'Executive Briefing'!$B$125:$B$127</f>
            </numRef>
          </val>
        </ser>
        <ser>
          <idx val="1"/>
          <order val="1"/>
          <tx>
            <strRef>
              <f>'Executive Briefing'!C124</f>
            </strRef>
          </tx>
          <spPr>
            <a:ln xmlns:a="http://schemas.openxmlformats.org/drawingml/2006/main">
              <a:prstDash val="solid"/>
            </a:ln>
          </spPr>
          <cat>
            <numRef>
              <f>'Executive Briefing'!$A$125:$A$127</f>
            </numRef>
          </cat>
          <val>
            <numRef>
              <f>'Executive Briefing'!$C$125:$C$127</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Severity</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overlay val="0"/>
    </legend>
    <plotVisOnly val="0"/>
    <dispBlanksAs val="gap"/>
  </chart>
</chartSpace>
</file>

<file path=xl/charts/chart3.xml><?xml version="1.0" encoding="utf-8"?>
<chartSpace xmlns="http://schemas.openxmlformats.org/drawingml/2006/chart">
  <roundedCorners val="0"/>
  <style val="2"/>
  <chart>
    <title>
      <tx>
        <rich>
          <a:bodyPr xmlns:a="http://schemas.openxmlformats.org/drawingml/2006/main"/>
          <a:p xmlns:a="http://schemas.openxmlformats.org/drawingml/2006/main">
            <a:pPr>
              <a:defRPr/>
            </a:pPr>
            <a:r>
              <a:t>Owner workload — unique URLs</a:t>
            </a:r>
          </a:p>
        </rich>
      </tx>
      <overlay val="0"/>
    </title>
    <plotArea>
      <doughnutChart>
        <varyColors val="1"/>
        <ser>
          <idx val="0"/>
          <order val="0"/>
          <tx>
            <strRef>
              <f>'Executive Briefing'!B131</f>
            </strRef>
          </tx>
          <spPr>
            <a:ln xmlns:a="http://schemas.openxmlformats.org/drawingml/2006/main">
              <a:prstDash val="solid"/>
            </a:ln>
          </spPr>
          <dPt>
            <idx val="0"/>
            <spPr>
              <a:solidFill xmlns:a="http://schemas.openxmlformats.org/drawingml/2006/main">
                <a:srgbClr val="4472C4"/>
              </a:solidFill>
              <a:ln xmlns:a="http://schemas.openxmlformats.org/drawingml/2006/main">
                <a:prstDash val="solid"/>
              </a:ln>
            </spPr>
          </dPt>
          <dPt>
            <idx val="1"/>
            <spPr>
              <a:solidFill xmlns:a="http://schemas.openxmlformats.org/drawingml/2006/main">
                <a:srgbClr val="70AD47"/>
              </a:solidFill>
              <a:ln xmlns:a="http://schemas.openxmlformats.org/drawingml/2006/main">
                <a:prstDash val="solid"/>
              </a:ln>
            </spPr>
          </dPt>
          <dPt>
            <idx val="2"/>
            <spPr>
              <a:solidFill xmlns:a="http://schemas.openxmlformats.org/drawingml/2006/main">
                <a:srgbClr val="7030A0"/>
              </a:solidFill>
              <a:ln xmlns:a="http://schemas.openxmlformats.org/drawingml/2006/main">
                <a:prstDash val="solid"/>
              </a:ln>
            </spPr>
          </dPt>
          <cat>
            <numRef>
              <f>'Executive Briefing'!$A$132:$A$134</f>
            </numRef>
          </cat>
          <val>
            <numRef>
              <f>'Executive Briefing'!$B$132:$B$134</f>
            </numRef>
          </val>
        </ser>
        <dLbls>
          <showCatName val="1"/>
          <showPercent val="1"/>
        </dLbls>
        <firstSliceAng val="0"/>
        <holeSize val="10"/>
      </doughnutChart>
    </plotArea>
    <legend>
      <legendPos val="r"/>
      <overlay val="0"/>
    </legend>
    <plotVisOnly val="0"/>
    <dispBlanksAs val="gap"/>
  </chart>
</chartSpace>
</file>

<file path=xl/charts/chart4.xml><?xml version="1.0" encoding="utf-8"?>
<chartSpace xmlns="http://schemas.openxmlformats.org/drawingml/2006/chart">
  <roundedCorners val="0"/>
  <style val="2"/>
  <chart>
    <title>
      <tx>
        <rich>
          <a:bodyPr xmlns:a="http://schemas.openxmlformats.org/drawingml/2006/main"/>
          <a:p xmlns:a="http://schemas.openxmlformats.org/drawingml/2006/main">
            <a:pPr>
              <a:defRPr/>
            </a:pPr>
            <a:r>
              <a:t>High-intent pages by business risk</a:t>
            </a:r>
          </a:p>
        </rich>
      </tx>
      <overlay val="0"/>
    </title>
    <plotArea>
      <barChart>
        <barDir val="bar"/>
        <grouping val="clustered"/>
        <ser>
          <idx val="0"/>
          <order val="0"/>
          <tx>
            <strRef>
              <f>'Executive Briefing'!B140</f>
            </strRef>
          </tx>
          <spPr>
            <a:ln xmlns:a="http://schemas.openxmlformats.org/drawingml/2006/main">
              <a:prstDash val="solid"/>
            </a:ln>
          </spPr>
          <cat>
            <numRef>
              <f>'Executive Briefing'!$A$141:$A$148</f>
            </numRef>
          </cat>
          <val>
            <numRef>
              <f>'Executive Briefing'!$B$141:$B$148</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Business risk score</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Page</a:t>
                </a:r>
              </a:p>
            </rich>
          </tx>
        </title>
        <majorTickMark val="none"/>
        <minorTickMark val="none"/>
        <crossAx val="10"/>
      </valAx>
    </plotArea>
    <plotVisOnly val="0"/>
    <dispBlanksAs val="gap"/>
  </chart>
</chartSpace>
</file>

<file path=xl/charts/chart5.xml><?xml version="1.0" encoding="utf-8"?>
<chartSpace xmlns="http://schemas.openxmlformats.org/drawingml/2006/chart">
  <roundedCorners val="0"/>
  <style val="2"/>
  <chart>
    <title>
      <tx>
        <rich>
          <a:bodyPr xmlns:a="http://schemas.openxmlformats.org/drawingml/2006/main"/>
          <a:p xmlns:a="http://schemas.openxmlformats.org/drawingml/2006/main">
            <a:pPr>
              <a:defRPr/>
            </a:pPr>
            <a:r>
              <a:t>Content &amp; AEO readiness (% URLs)</a:t>
            </a:r>
          </a:p>
        </rich>
      </tx>
      <overlay val="0"/>
    </title>
    <plotArea>
      <barChart>
        <barDir val="bar"/>
        <grouping val="clustered"/>
        <ser>
          <idx val="0"/>
          <order val="0"/>
          <tx>
            <strRef>
              <f>'Executive Briefing'!B152</f>
            </strRef>
          </tx>
          <spPr>
            <a:ln xmlns:a="http://schemas.openxmlformats.org/drawingml/2006/main">
              <a:prstDash val="solid"/>
            </a:ln>
          </spPr>
          <cat>
            <numRef>
              <f>'Executive Briefing'!$A$153:$A$158</f>
            </numRef>
          </cat>
          <val>
            <numRef>
              <f>'Executive Briefing'!$B$153:$B$158</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Percent of URLs</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Signal</a:t>
                </a:r>
              </a:p>
            </rich>
          </tx>
        </title>
        <majorTickMark val="none"/>
        <minorTickMark val="none"/>
        <crossAx val="10"/>
      </valAx>
    </plotArea>
    <plotVisOnly val="0"/>
    <dispBlanksAs val="gap"/>
  </chart>
</chartSpace>
</file>

<file path=xl/charts/chart6.xml><?xml version="1.0" encoding="utf-8"?>
<chartSpace xmlns="http://schemas.openxmlformats.org/drawingml/2006/chart">
  <roundedCorners val="0"/>
  <style val="2"/>
  <chart>
    <title>
      <tx>
        <rich>
          <a:bodyPr xmlns:a="http://schemas.openxmlformats.org/drawingml/2006/main"/>
          <a:p xmlns:a="http://schemas.openxmlformats.org/drawingml/2006/main">
            <a:pPr>
              <a:defRPr/>
            </a:pPr>
            <a:r>
              <a:t>Top issues by URL impact (Fix Plan)</a:t>
            </a:r>
          </a:p>
        </rich>
      </tx>
      <overlay val="0"/>
    </title>
    <plotArea>
      <barChart>
        <barDir val="bar"/>
        <grouping val="clustered"/>
        <ser>
          <idx val="0"/>
          <order val="0"/>
          <tx>
            <strRef>
              <f>'Executive Briefing'!B165</f>
            </strRef>
          </tx>
          <spPr>
            <a:ln xmlns:a="http://schemas.openxmlformats.org/drawingml/2006/main">
              <a:prstDash val="solid"/>
            </a:ln>
          </spPr>
          <cat>
            <numRef>
              <f>'Executive Briefing'!$A$166:$A$173</f>
            </numRef>
          </cat>
          <val>
            <numRef>
              <f>'Executive Briefing'!$B$166:$B$173</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Affected URLs</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Issue</a:t>
                </a:r>
              </a:p>
            </rich>
          </tx>
        </title>
        <majorTickMark val="none"/>
        <minorTickMark val="none"/>
        <crossAx val="10"/>
      </valAx>
    </plotArea>
    <plotVisOnly val="0"/>
    <dispBlanksAs val="gap"/>
  </chart>
</chartSpace>
</file>

<file path=xl/comments/comment1.xml><?xml version="1.0" encoding="utf-8"?>
<comments xmlns="http://schemas.openxmlformats.org/spreadsheetml/2006/main">
  <authors>
    <author>hype-frog</author>
  </authors>
  <commentList>
    <comment ref="A7" authorId="0" shapeId="0">
      <text>
        <t>Average SEO health across all crawled URLs (0–100).</t>
      </text>
    </comment>
    <comment ref="C7" authorId="0" shapeId="0">
      <text>
        <t>Illustrative SEO health if the prioritised fixes are completed. A planning estimate, not a guarantee.</t>
      </text>
    </comment>
    <comment ref="E7" authorId="0" shapeId="0">
      <text>
        <t>Share of answer-engine readiness signals present across URLs.</t>
      </text>
    </comment>
    <comment ref="I7" authorId="0" shapeId="0">
      <text>
        <t>Rough estimated monthly organic visit uplift from remediating priority pages.</t>
      </text>
    </comment>
    <comment ref="K7" authorId="0" shapeId="0">
      <text>
        <t>Average mobile PageSpeed Insights performance score (0–100).</t>
      </text>
    </comment>
  </commentList>
</comments>
</file>

<file path=xl/comments/comment2.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3.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4.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5.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6.xml><?xml version="1.0" encoding="utf-8"?>
<comments xmlns="http://schemas.openxmlformats.org/spreadsheetml/2006/main">
  <authors>
    <author>hype-frog</author>
  </authors>
  <commentList>
    <comment ref="A2" authorId="0" shapeId="0">
      <text>
        <t>Formula-driven: shows Complete when On-Page Optimization Score reaches 85+.</t>
      </text>
    </comment>
    <comment ref="B2" authorId="0" shapeId="0">
      <text>
        <t>Live calculation (0-100) of on-page health. Factors: Title/Meta length and H-tag hierarchy. Aim for 90+.</t>
      </text>
    </comment>
    <comment ref="C2" authorId="0" shapeId="0">
      <text>
        <t>SEO Score (0–100) is the blended on-page and technical-quality signal from the crawl. It summarises how well this URL satisfied the audit model at export time: headings, metadata coverage, thin-content risk, and issue severity baked into the pipeline score. Use it as a triage anchor, not a live CMS measurement. When you rewrite titles or body copy here, watch Title Health and On-Page Optimization Score for live feedback; expect SEO Score to stay flat until you re-crawl. Interpret bands roughly as: 80+ strong baseline, 60–79 tune content and internal links, below 60 treat as a rewrite or template-level fix candidate.</t>
      </text>
    </comment>
    <comment ref="D2" authorId="0" shapeId="0">
      <text>
        <t>Technical Health (0–100) isolates crawl and response hygiene: status class, indexability, redirect behaviour, canonical consistency, and similar hard signals. High values mean fewer blocking technical defects; low values mean the page may be losing equity to errors, chains, or conflicting directives even when copy looks fine. Pair this column with Technical Diagnostics for evidence. It is intentionally decoupled from editorial drafts in this hub so copywriters can see whether engineering work is still a gate before declaring a page production-ready.</t>
      </text>
    </comment>
    <comment ref="E2" authorId="0" shapeId="0">
      <text>
        <t>Live copy readiness from proposed title and meta description length checks.</t>
      </text>
    </comment>
    <comment ref="F2" authorId="0" shapeId="0">
      <text>
        <t>Workflow state for this URL row. Use the list to move through To Do, In Progress, In Review, and Done.</t>
      </text>
    </comment>
    <comment ref="G2" authorId="0" shapeId="0">
      <text>
        <t>Select from dropdown: Copy Writer (Content), Developer (Technical), or Server/Host (Infrastructure).</t>
      </text>
    </comment>
    <comment ref="H2" authorId="0" shapeId="0">
      <text>
        <t>Editorial slug guidance field. Capture normalized slug wording you want reflected in URL, title, and heading language before publishing.</t>
      </text>
    </comment>
    <comment ref="I2" authorId="0" shapeId="0">
      <text>
        <t>Canonical audited URL. Use links to open the live page or related tabs.</t>
      </text>
    </comment>
    <comment ref="K2" authorId="0" shapeId="0">
      <text>
        <t>Title captured during the crawl. Compare with your proposed title.</t>
      </text>
    </comment>
    <comment ref="L2" authorId="0" shapeId="0">
      <text>
        <t>Live formula: length vs 50–60 character target. Green when OK band; red when missing; orange for short/long.</t>
      </text>
    </comment>
    <comment ref="M2" authorId="0" shapeId="0">
      <text>
        <t>Meta description from the crawl. Compare with your proposed description.</t>
      </text>
    </comment>
    <comment ref="N2" authorId="0" shapeId="0">
      <text>
        <t>Live formula for meta length vs target band (same semantics as Title Health).</t>
      </text>
    </comment>
    <comment ref="O2" authorId="0" shapeId="0">
      <text>
        <t>Primary heading text from crawl (H1 line in Current H-Tag Structure when main H1 is absent).</t>
      </text>
    </comment>
    <comment ref="P2" authorId="0" shapeId="0">
      <text>
        <t>Live formula: missing H1, long block warning, or OK when present.</t>
      </text>
    </comment>
    <comment ref="Q2" authorId="0" shapeId="0">
      <text>
        <t>First H2 text from heading outline when not present on Main row.</t>
      </text>
    </comment>
    <comment ref="R2" authorId="0" shapeId="0">
      <text>
        <t>Live formula: optional/tip/present states for section headings.</t>
      </text>
    </comment>
    <comment ref="S2" authorId="0" shapeId="0">
      <text>
        <t>First H3 from heading outline.</t>
      </text>
    </comment>
    <comment ref="T2" authorId="0" shapeId="0">
      <text>
        <t>Optional heading guidance; Present when text exists.</t>
      </text>
    </comment>
    <comment ref="U2" authorId="0" shapeId="0">
      <text>
        <t>Parsed when present in heading outline.</t>
      </text>
    </comment>
    <comment ref="V2" authorId="0" shapeId="0">
      <text>
        <t>Optional H4 guidance.</t>
      </text>
    </comment>
    <comment ref="W2" authorId="0" shapeId="0">
      <text>
        <t>Parsed when present in heading outline.</t>
      </text>
    </comment>
    <comment ref="X2" authorId="0" shapeId="0">
      <text>
        <t>Optional H5 guidance.</t>
      </text>
    </comment>
    <comment ref="Y2" authorId="0" shapeId="0">
      <text>
        <t>Parsed when present in heading outline.</t>
      </text>
    </comment>
    <comment ref="Z2" authorId="0" shapeId="0">
      <text>
        <t>Optional H6 guidance.</t>
      </text>
    </comment>
    <comment ref="AA2" authorId="0" shapeId="0">
      <text>
        <t>One-click access to the page editor. Requires active WP login.</t>
      </text>
    </comment>
    <comment ref="AB2" authorId="0" shapeId="0">
      <text>
        <t>Open Graph image URL detected on the page. Used for preview and sharing QA.</t>
      </text>
    </comment>
    <comment ref="AC2" authorId="0" shapeId="0">
      <text>
        <t>Flags OG images that differ from the site-wide default or look like legacy social assets.</t>
      </text>
    </comment>
    <comment ref="AD2" authorId="0" shapeId="0">
      <text>
        <t>Specs: 1200x630px, &lt;300KB. Content: Use a high-contrast brand image with a centered focal point. Avoid placing text near the edges as it will be cropped on mobile social feeds.</t>
      </text>
    </comment>
    <comment ref="AE2" authorId="0" shapeId="0">
      <text>
        <t>Jumps to the full diagnostic record for this URL on the Main tab.</t>
      </text>
    </comment>
    <comment ref="AH2" authorId="0" shapeId="0">
      <text>
        <t>Entity Density (%)
Description: The percentage of page content identified as named entities (people, orgs, places).
Calculation: (Named entities / total words) × 100 from semantic extraction.</t>
      </text>
    </comment>
    <comment ref="AI2" authorId="0" shapeId="0">
      <text>
        <t>Top Entities
Description: The most frequent named entities on the page (semantic relevance signal).
Calculation: Ranked entity list from the semantic analyser for this URL.</t>
      </text>
    </comment>
    <comment ref="AJ2" authorId="0" shapeId="0">
      <text>
        <t>Citation Candidate Count
Description: Count of 40–60 word snippets suitable for answer-engine citation.
Calculation: Snippets starting with answer triggers (e.g. 'is', 'means') from semantic pass.</t>
      </text>
    </comment>
    <comment ref="AK2" authorId="0" shapeId="0">
      <text>
        <t>Semantic AEO Score
Description: Weighted 0–100 score from entity density and citation readiness.
Calculation: Composite semantic/AEO score from the crawl enrichment pass.</t>
      </text>
    </comment>
  </commentList>
</comments>
</file>

<file path=xl/comments/comment7.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8.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9.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0.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1.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2.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3.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4.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5.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6.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7.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 ref="AZ2" authorId="0" shapeId="0">
      <text>
        <t>Description: BFS hop distance from the seed URL during this audit (0 = seed). Higher values indicate pages buried deeper in the site structure, which can hurt discoverability and crawl budget.</t>
      </text>
    </comment>
    <comment ref="BA2" authorId="0" shapeId="0">
      <text>
        <t>Description: TRUE when a non-empty Strict-Transport-Security response header was returned, signalling enforced HTTPS to browsers (HSTS).</t>
      </text>
    </comment>
    <comment ref="BB2" authorId="0" shapeId="0">
      <text>
        <t>Description: TRUE when a non-empty Content-Security-Policy response header was returned, signalling browser-side defence against XSS / script-injection.</t>
      </text>
    </comment>
    <comment ref="BC2" authorId="0" shapeId="0">
      <text>
        <t>Description: On-page hreflang cluster joined as 'lang: url; lang: url'. Extraction is HTML-only — no extra network requests are issued for cluster validation.</t>
      </text>
    </comment>
  </commentList>
</comments>
</file>

<file path=xl/comments/comment18.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19.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0.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1.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2.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3.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4.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5.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6.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7.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8.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29.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30.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31.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comments/comment32.xml><?xml version="1.0" encoding="utf-8"?>
<comments xmlns="http://schemas.openxmlformats.org/spreadsheetml/2006/main">
  <authors>
    <author>hype-frog</author>
  </authors>
  <commentList>
    <comment ref="A1" authorId="0" shapeId="0">
      <text>
        <t>← Return to Executive Briefing
Description: ← Return to Executive Briefing: auxiliary diagnostic field for this worksheet.
Calculation: See Glossary &amp; Legend and the crawl export schema for the precise field definition.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10</row>
      <rowOff>0</rowOff>
    </from>
    <ext cx="6480000" cy="302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29</row>
      <rowOff>0</rowOff>
    </from>
    <ext cx="3311999" cy="302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29</row>
      <rowOff>0</rowOff>
    </from>
    <ext cx="3240000" cy="302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48</row>
      <rowOff>0</rowOff>
    </from>
    <ext cx="3311999" cy="302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6</col>
      <colOff>0</colOff>
      <row>48</row>
      <rowOff>0</rowOff>
    </from>
    <ext cx="3311999" cy="302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67</row>
      <rowOff>0</rowOff>
    </from>
    <ext cx="6480000" cy="302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smoke-archive/page-13" TargetMode="External" Id="rId3"/><Relationship Type="http://schemas.openxmlformats.org/officeDocument/2006/relationships/hyperlink" Target="https://africanmarketingconfederation.org/smoke-archive/page-17" TargetMode="External" Id="rId4"/><Relationship Type="http://schemas.openxmlformats.org/officeDocument/2006/relationships/hyperlink" Target="https://africanmarketingconfederation.org/smoke-archive/page-26" TargetMode="External" Id="rId5"/><Relationship Type="http://schemas.openxmlformats.org/officeDocument/2006/relationships/hyperlink" Target="https://africanmarketingconfederation.org/smoke-archive/page-34" TargetMode="External" Id="rId6"/><Relationship Type="http://schemas.openxmlformats.org/officeDocument/2006/relationships/hyperlink" Target="https://africanmarketingconfederation.org/smoke-archive/page-39" TargetMode="External" Id="rId7"/><Relationship Type="http://schemas.openxmlformats.org/officeDocument/2006/relationships/hyperlink" Target="https://africanmarketingconfederation.org/smoke-archive/page-51" TargetMode="External" Id="rId8"/><Relationship Type="http://schemas.openxmlformats.org/officeDocument/2006/relationships/hyperlink" Target="https://africanmarketingconfederation.org/smoke-archive/page-52" TargetMode="External" Id="rId9"/><Relationship Type="http://schemas.openxmlformats.org/officeDocument/2006/relationships/hyperlink" Target="https://africanmarketingconfederation.org/smoke-archive/page-65" TargetMode="External" Id="rId10"/><Relationship Type="http://schemas.openxmlformats.org/officeDocument/2006/relationships/hyperlink" Target="https://africanmarketingconfederation.org/smoke-archive/page-68" TargetMode="External" Id="rId11"/><Relationship Type="http://schemas.openxmlformats.org/officeDocument/2006/relationships/hyperlink" Target="https://africanmarketingconfederation.org/smoke-archive/page-78" TargetMode="External" Id="rId12"/><Relationship Type="http://schemas.openxmlformats.org/officeDocument/2006/relationships/hyperlink" Target="https://africanmarketingconfederation.org/smoke-archive/page-60" TargetMode="External" Id="rId13"/><Relationship Type="http://schemas.openxmlformats.org/officeDocument/2006/relationships/hyperlink" Target="https://africanmarketingconfederation.org/smoke-archive/page-72" TargetMode="External" Id="rId14"/><Relationship Type="http://schemas.openxmlformats.org/officeDocument/2006/relationships/hyperlink" Target="https://africanmarketingconfederation.org/smoke-archive/page-24" TargetMode="External" Id="rId15"/><Relationship Type="http://schemas.openxmlformats.org/officeDocument/2006/relationships/hyperlink" Target="https://africanmarketingconfederation.org/smoke-archive/page-36" TargetMode="External" Id="rId16"/><Relationship Type="http://schemas.openxmlformats.org/officeDocument/2006/relationships/hyperlink" Target="https://africanmarketingconfederation.org/smoke-archive/page-48" TargetMode="External" Id="rId17"/><Relationship Type="http://schemas.openxmlformats.org/officeDocument/2006/relationships/hyperlink" Target="https://africanmarketingconfederation.org/smoke-archive/page-30" TargetMode="External" Id="rId18"/><Relationship Type="http://schemas.openxmlformats.org/officeDocument/2006/relationships/hyperlink" Target="https://africanmarketingconfederation.org/smoke-archive/page-35" TargetMode="External" Id="rId19"/><Relationship Type="http://schemas.openxmlformats.org/officeDocument/2006/relationships/hyperlink" Target="https://africanmarketingconfederation.org/smoke-archive/page-45" TargetMode="External" Id="rId20"/><Relationship Type="http://schemas.openxmlformats.org/officeDocument/2006/relationships/hyperlink" Target="https://africanmarketingconfederation.org/smoke-archive/page-70" TargetMode="External" Id="rId21"/><Relationship Type="http://schemas.openxmlformats.org/officeDocument/2006/relationships/hyperlink" Target="https://africanmarketingconfederation.org/smoke-archive/page-12" TargetMode="External" Id="rId22"/><Relationship Type="http://schemas.openxmlformats.org/officeDocument/2006/relationships/hyperlink" Target="https://africanmarketingconfederation.org/smoke-archive/page-5" TargetMode="External" Id="rId23"/><Relationship Type="http://schemas.openxmlformats.org/officeDocument/2006/relationships/hyperlink" Target="https://africanmarketingconfederation.org/smoke-archive/page-10" TargetMode="External" Id="rId24"/><Relationship Type="http://schemas.openxmlformats.org/officeDocument/2006/relationships/hyperlink" Target="https://africanmarketingconfederation.org/smoke-archive/page-15" TargetMode="External" Id="rId25"/><Relationship Type="http://schemas.openxmlformats.org/officeDocument/2006/relationships/hyperlink" Target="https://africanmarketingconfederation.org/smoke-archive/page-18" TargetMode="External" Id="rId26"/><Relationship Type="http://schemas.openxmlformats.org/officeDocument/2006/relationships/hyperlink" Target="https://africanmarketingconfederation.org/smoke-archive/page-25" TargetMode="External" Id="rId27"/><Relationship Type="http://schemas.openxmlformats.org/officeDocument/2006/relationships/hyperlink" Target="https://africanmarketingconfederation.org/smoke-archive/page-40" TargetMode="External" Id="rId28"/><Relationship Type="http://schemas.openxmlformats.org/officeDocument/2006/relationships/hyperlink" Target="https://africanmarketingconfederation.org/smoke-archive/page-42" TargetMode="External" Id="rId29"/><Relationship Type="http://schemas.openxmlformats.org/officeDocument/2006/relationships/hyperlink" Target="https://africanmarketingconfederation.org/smoke-archive/page-50" TargetMode="External" Id="rId30"/><Relationship Type="http://schemas.openxmlformats.org/officeDocument/2006/relationships/hyperlink" Target="https://africanmarketingconfederation.org/smoke-archive/page-54" TargetMode="External" Id="rId31"/><Relationship Type="http://schemas.openxmlformats.org/officeDocument/2006/relationships/hyperlink" Target="https://africanmarketingconfederation.org/smoke-archive/page-55" TargetMode="External" Id="rId32"/><Relationship Type="http://schemas.openxmlformats.org/officeDocument/2006/relationships/hyperlink" Target="https://africanmarketingconfederation.org/smoke-archive/page-63" TargetMode="External" Id="rId33"/><Relationship Type="http://schemas.openxmlformats.org/officeDocument/2006/relationships/hyperlink" Target="https://africanmarketingconfederation.org/smoke-archive/page-75" TargetMode="External" Id="rId34"/><Relationship Type="http://schemas.openxmlformats.org/officeDocument/2006/relationships/hyperlink" Target="https://africanmarketingconfederation.org/smoke-archive/page-6" TargetMode="External" Id="rId35"/><Relationship Type="http://schemas.openxmlformats.org/officeDocument/2006/relationships/hyperlink" Target="https://africanmarketingconfederation.org/smoke-archive/page-7" TargetMode="External" Id="rId36"/><Relationship Type="http://schemas.openxmlformats.org/officeDocument/2006/relationships/hyperlink" Target="https://africanmarketingconfederation.org/smoke-archive/page-9" TargetMode="External" Id="rId37"/><Relationship Type="http://schemas.openxmlformats.org/officeDocument/2006/relationships/hyperlink" Target="https://africanmarketingconfederation.org/smoke-archive/page-14" TargetMode="External" Id="rId38"/><Relationship Type="http://schemas.openxmlformats.org/officeDocument/2006/relationships/hyperlink" Target="https://africanmarketingconfederation.org/smoke-archive/page-20" TargetMode="External" Id="rId39"/><Relationship Type="http://schemas.openxmlformats.org/officeDocument/2006/relationships/hyperlink" Target="https://africanmarketingconfederation.org/smoke-archive/page-21" TargetMode="External" Id="rId40"/><Relationship Type="http://schemas.openxmlformats.org/officeDocument/2006/relationships/hyperlink" Target="https://africanmarketingconfederation.org/smoke-archive/page-27" TargetMode="External" Id="rId41"/><Relationship Type="http://schemas.openxmlformats.org/officeDocument/2006/relationships/hyperlink" Target="https://africanmarketingconfederation.org/smoke-archive/page-49" TargetMode="External" Id="rId42"/><Relationship Type="http://schemas.openxmlformats.org/officeDocument/2006/relationships/hyperlink" Target="https://africanmarketingconfederation.org/smoke-archive/page-56" TargetMode="External" Id="rId43"/><Relationship Type="http://schemas.openxmlformats.org/officeDocument/2006/relationships/hyperlink" Target="https://africanmarketingconfederation.org/smoke-archive/page-66" TargetMode="External" Id="rId44"/><Relationship Type="http://schemas.openxmlformats.org/officeDocument/2006/relationships/hyperlink" Target="https://africanmarketingconfederation.org/smoke-archive/page-77" TargetMode="External" Id="rId45"/><Relationship Type="http://schemas.openxmlformats.org/officeDocument/2006/relationships/hyperlink" Target="https://africanmarketingconfederation.org/discovered-via-bfs-1" TargetMode="External" Id="rId46"/><Relationship Type="http://schemas.openxmlformats.org/officeDocument/2006/relationships/hyperlink" Target="https://africanmarketingconfederation.org/smoke-archive/page-1" TargetMode="External" Id="rId47"/><Relationship Type="http://schemas.openxmlformats.org/officeDocument/2006/relationships/hyperlink" Target="https://africanmarketingconfederation.org/smoke-archive/page-2" TargetMode="External" Id="rId48"/><Relationship Type="http://schemas.openxmlformats.org/officeDocument/2006/relationships/hyperlink" Target="https://africanmarketingconfederation.org/smoke-archive/page-3" TargetMode="External" Id="rId49"/><Relationship Type="http://schemas.openxmlformats.org/officeDocument/2006/relationships/hyperlink" Target="https://africanmarketingconfederation.org/smoke-archive/page-8" TargetMode="External" Id="rId50"/><Relationship Type="http://schemas.openxmlformats.org/officeDocument/2006/relationships/hyperlink" Target="https://africanmarketingconfederation.org/smoke-archive/page-11" TargetMode="External" Id="rId51"/><Relationship Type="http://schemas.openxmlformats.org/officeDocument/2006/relationships/hyperlink" Target="https://africanmarketingconfederation.org/smoke-archive/page-16" TargetMode="External" Id="rId52"/><Relationship Type="http://schemas.openxmlformats.org/officeDocument/2006/relationships/hyperlink" Target="https://africanmarketingconfederation.org/smoke-archive/page-19" TargetMode="External" Id="rId53"/><Relationship Type="http://schemas.openxmlformats.org/officeDocument/2006/relationships/hyperlink" Target="https://africanmarketingconfederation.org/smoke-archive/page-22" TargetMode="External" Id="rId54"/><Relationship Type="http://schemas.openxmlformats.org/officeDocument/2006/relationships/hyperlink" Target="https://africanmarketingconfederation.org/smoke-archive/page-23" TargetMode="External" Id="rId55"/><Relationship Type="http://schemas.openxmlformats.org/officeDocument/2006/relationships/hyperlink" Target="https://africanmarketingconfederation.org/smoke-archive/page-28" TargetMode="External" Id="rId56"/><Relationship Type="http://schemas.openxmlformats.org/officeDocument/2006/relationships/hyperlink" Target="https://africanmarketingconfederation.org/smoke-archive/page-29" TargetMode="External" Id="rId57"/><Relationship Type="http://schemas.openxmlformats.org/officeDocument/2006/relationships/hyperlink" Target="https://africanmarketingconfederation.org/smoke-archive/page-31" TargetMode="External" Id="rId58"/><Relationship Type="http://schemas.openxmlformats.org/officeDocument/2006/relationships/hyperlink" Target="https://africanmarketingconfederation.org/smoke-archive/page-32" TargetMode="External" Id="rId59"/><Relationship Type="http://schemas.openxmlformats.org/officeDocument/2006/relationships/hyperlink" Target="https://africanmarketingconfederation.org/smoke-archive/page-33" TargetMode="External" Id="rId60"/><Relationship Type="http://schemas.openxmlformats.org/officeDocument/2006/relationships/hyperlink" Target="https://africanmarketingconfederation.org/smoke-archive/page-37" TargetMode="External" Id="rId61"/><Relationship Type="http://schemas.openxmlformats.org/officeDocument/2006/relationships/hyperlink" Target="https://africanmarketingconfederation.org/smoke-archive/page-38" TargetMode="External" Id="rId62"/><Relationship Type="http://schemas.openxmlformats.org/officeDocument/2006/relationships/hyperlink" Target="https://africanmarketingconfederation.org/smoke-archive/page-41" TargetMode="External" Id="rId63"/><Relationship Type="http://schemas.openxmlformats.org/officeDocument/2006/relationships/hyperlink" Target="https://africanmarketingconfederation.org/smoke-archive/page-43" TargetMode="External" Id="rId64"/><Relationship Type="http://schemas.openxmlformats.org/officeDocument/2006/relationships/hyperlink" Target="https://africanmarketingconfederation.org/smoke-archive/page-46" TargetMode="External" Id="rId65"/><Relationship Type="http://schemas.openxmlformats.org/officeDocument/2006/relationships/hyperlink" Target="https://africanmarketingconfederation.org/smoke-archive/page-47" TargetMode="External" Id="rId66"/><Relationship Type="http://schemas.openxmlformats.org/officeDocument/2006/relationships/hyperlink" Target="https://africanmarketingconfederation.org/smoke-archive/page-53" TargetMode="External" Id="rId67"/><Relationship Type="http://schemas.openxmlformats.org/officeDocument/2006/relationships/hyperlink" Target="https://africanmarketingconfederation.org/smoke-archive/page-57" TargetMode="External" Id="rId68"/><Relationship Type="http://schemas.openxmlformats.org/officeDocument/2006/relationships/hyperlink" Target="https://africanmarketingconfederation.org/smoke-archive/page-58" TargetMode="External" Id="rId69"/><Relationship Type="http://schemas.openxmlformats.org/officeDocument/2006/relationships/hyperlink" Target="https://africanmarketingconfederation.org/smoke-archive/page-59" TargetMode="External" Id="rId70"/><Relationship Type="http://schemas.openxmlformats.org/officeDocument/2006/relationships/hyperlink" Target="https://africanmarketingconfederation.org/smoke-archive/page-61" TargetMode="External" Id="rId71"/><Relationship Type="http://schemas.openxmlformats.org/officeDocument/2006/relationships/hyperlink" Target="https://africanmarketingconfederation.org/smoke-archive/page-62" TargetMode="External" Id="rId72"/><Relationship Type="http://schemas.openxmlformats.org/officeDocument/2006/relationships/hyperlink" Target="https://africanmarketingconfederation.org/smoke-archive/page-64" TargetMode="External" Id="rId73"/><Relationship Type="http://schemas.openxmlformats.org/officeDocument/2006/relationships/hyperlink" Target="https://africanmarketingconfederation.org/smoke-archive/page-67" TargetMode="External" Id="rId74"/><Relationship Type="http://schemas.openxmlformats.org/officeDocument/2006/relationships/hyperlink" Target="https://africanmarketingconfederation.org/smoke-archive/page-69" TargetMode="External" Id="rId75"/><Relationship Type="http://schemas.openxmlformats.org/officeDocument/2006/relationships/hyperlink" Target="https://africanmarketingconfederation.org/smoke-archive/page-71" TargetMode="External" Id="rId76"/><Relationship Type="http://schemas.openxmlformats.org/officeDocument/2006/relationships/hyperlink" Target="https://africanmarketingconfederation.org/smoke-archive/page-73" TargetMode="External" Id="rId77"/><Relationship Type="http://schemas.openxmlformats.org/officeDocument/2006/relationships/hyperlink" Target="https://africanmarketingconfederation.org/smoke-archive/page-74" TargetMode="External" Id="rId78"/><Relationship Type="http://schemas.openxmlformats.org/officeDocument/2006/relationships/hyperlink" Target="https://africanmarketingconfederation.org/smoke-archive/page-79" TargetMode="External" Id="rId79"/><Relationship Type="http://schemas.openxmlformats.org/officeDocument/2006/relationships/hyperlink" Target="https://africanmarketingconfederation.org/discovered-via-bfs-2" TargetMode="External" Id="rId80"/><Relationship Type="http://schemas.openxmlformats.org/officeDocument/2006/relationships/hyperlink" Target="https://africanmarketingconfederation.org/discovered-via-bfs-3" TargetMode="External" Id="rId81"/><Relationship Type="http://schemas.openxmlformats.org/officeDocument/2006/relationships/hyperlink" Target="https://africanmarketingconfederation.org/smoke-archive/page-4" TargetMode="External" Id="rId82"/><Relationship Type="http://schemas.openxmlformats.org/officeDocument/2006/relationships/hyperlink" Target="https://africanmarketingconfederation.org/smoke-archive/page-44" TargetMode="External" Id="rId83"/><Relationship Type="http://schemas.openxmlformats.org/officeDocument/2006/relationships/hyperlink" Target="https://africanmarketingconfederation.org/smoke-archive/page-76" TargetMode="External" Id="rId84"/><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Technical Diagnostics'!A1" TargetMode="External" Id="rId3"/><Relationship Type="http://schemas.openxmlformats.org/officeDocument/2006/relationships/hyperlink" Target="https://africanmarketingconfederation.org/" TargetMode="External" Id="rId4"/><Relationship Type="http://schemas.openxmlformats.org/officeDocument/2006/relationships/hyperlink" Target="#'Technical Diagnostics'!A1" TargetMode="External" Id="rId5"/><Relationship Type="http://schemas.openxmlformats.org/officeDocument/2006/relationships/hyperlink" Target="https://africanmarketingconfederation.org/" TargetMode="External" Id="rId6"/><Relationship Type="http://schemas.openxmlformats.org/officeDocument/2006/relationships/hyperlink" Target="#'Technical Diagnostics'!A1" TargetMode="External" Id="rId7"/><Relationship Type="http://schemas.openxmlformats.org/officeDocument/2006/relationships/hyperlink" Target="https://africanmarketingconfederation.org/" TargetMode="External" Id="rId8"/><Relationship Type="http://schemas.openxmlformats.org/officeDocument/2006/relationships/hyperlink" Target="#'Technical Diagnostics'!A1" TargetMode="External" Id="rId9"/><Relationship Type="http://schemas.openxmlformats.org/officeDocument/2006/relationships/hyperlink" Target="https://africanmarketingconfederation.org/smoke-archive/page-1" TargetMode="External" Id="rId10"/><Relationship Type="http://schemas.openxmlformats.org/officeDocument/2006/relationships/hyperlink" Target="#'Technical Diagnostics'!A1" TargetMode="External" Id="rId11"/><Relationship Type="http://schemas.openxmlformats.org/officeDocument/2006/relationships/hyperlink" Target="https://africanmarketingconfederation.org/smoke-archive/page-5" TargetMode="External" Id="rId12"/><Relationship Type="http://schemas.openxmlformats.org/officeDocument/2006/relationships/hyperlink" Target="#'Technical Diagnostics'!A1" TargetMode="External" Id="rId13"/><Relationship Type="http://schemas.openxmlformats.org/officeDocument/2006/relationships/hyperlink" Target="https://africanmarketingconfederation.org/smoke-archive/page-5" TargetMode="External" Id="rId14"/><Relationship Type="http://schemas.openxmlformats.org/officeDocument/2006/relationships/hyperlink" Target="#'Technical Diagnostics'!A1" TargetMode="External" Id="rId15"/><Relationship Type="http://schemas.openxmlformats.org/officeDocument/2006/relationships/hyperlink" Target="https://africanmarketingconfederation.org/smoke-archive/page-6" TargetMode="External" Id="rId16"/><Relationship Type="http://schemas.openxmlformats.org/officeDocument/2006/relationships/hyperlink" Target="#'Technical Diagnostics'!A1" TargetMode="External" Id="rId17"/><Relationship Type="http://schemas.openxmlformats.org/officeDocument/2006/relationships/hyperlink" Target="https://africanmarketingconfederation.org/" TargetMode="External" Id="rId18"/><Relationship Type="http://schemas.openxmlformats.org/officeDocument/2006/relationships/hyperlink" Target="#'Technical Diagnostics'!A1" TargetMode="External" Id="rId19"/><Relationship Type="http://schemas.openxmlformats.org/officeDocument/2006/relationships/hyperlink" Target="https://africanmarketingconfederation.org/smoke-archive/page-7" TargetMode="External" Id="rId20"/><Relationship Type="http://schemas.openxmlformats.org/officeDocument/2006/relationships/hyperlink" Target="#'Technical Diagnostics'!A1" TargetMode="External" Id="rId21"/><Relationship Type="http://schemas.openxmlformats.org/officeDocument/2006/relationships/hyperlink" Target="https://africanmarketingconfederation.org/smoke-archive/page-7" TargetMode="External" Id="rId22"/><Relationship Type="http://schemas.openxmlformats.org/officeDocument/2006/relationships/hyperlink" Target="#'Technical Diagnostics'!A1" TargetMode="External" Id="rId23"/><Relationship Type="http://schemas.openxmlformats.org/officeDocument/2006/relationships/hyperlink" Target="https://africanmarketingconfederation.org/smoke-archive/page-9" TargetMode="External" Id="rId24"/><Relationship Type="http://schemas.openxmlformats.org/officeDocument/2006/relationships/hyperlink" Target="#'Content &amp; AI Readiness'!A1" TargetMode="External" Id="rId25"/><Relationship Type="http://schemas.openxmlformats.org/officeDocument/2006/relationships/hyperlink" Target="https://africanmarketingconfederation.org/smoke-archive/page-9" TargetMode="External" Id="rId26"/><Relationship Type="http://schemas.openxmlformats.org/officeDocument/2006/relationships/hyperlink" Target="#'Content &amp; AI Readiness'!A1" TargetMode="External" Id="rId27"/><Relationship Type="http://schemas.openxmlformats.org/officeDocument/2006/relationships/hyperlink" Target="https://africanmarketingconfederation.org/smoke-archive/page-9" TargetMode="External" Id="rId28"/><Relationship Type="http://schemas.openxmlformats.org/officeDocument/2006/relationships/hyperlink" Target="#'Content &amp; AI Readiness'!A1" TargetMode="External" Id="rId29"/><Relationship Type="http://schemas.openxmlformats.org/officeDocument/2006/relationships/hyperlink" Target="https://africanmarketingconfederation.org/smoke-archive/page-8" TargetMode="External" Id="rId30"/><Relationship Type="http://schemas.openxmlformats.org/officeDocument/2006/relationships/hyperlink" Target="#'Technical Diagnostics'!A1" TargetMode="External" Id="rId31"/><Relationship Type="http://schemas.openxmlformats.org/officeDocument/2006/relationships/hyperlink" Target="https://africanmarketingconfederation.org/smoke-archive/page-9" TargetMode="External" Id="rId32"/><Relationship Type="http://schemas.openxmlformats.org/officeDocument/2006/relationships/hyperlink" Target="#'Content &amp; AI Readiness'!A1" TargetMode="External" Id="rId33"/><Relationship Type="http://schemas.openxmlformats.org/officeDocument/2006/relationships/hyperlink" Target="https://africanmarketingconfederation.org/smoke-archive/page-12" TargetMode="External" Id="rId34"/><Relationship Type="http://schemas.openxmlformats.org/officeDocument/2006/relationships/hyperlink" Target="#'Technical Diagnostics'!A1" TargetMode="External" Id="rId35"/><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 TargetMode="External" Id="rId3"/><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discovered-via-bfs-1" TargetMode="External" Id="rId2"/><Relationship Type="http://schemas.openxmlformats.org/officeDocument/2006/relationships/hyperlink" Target="https://africanmarketingconfederation.org/smoke-archive/page-10" TargetMode="External" Id="rId3"/><Relationship Type="http://schemas.openxmlformats.org/officeDocument/2006/relationships/hyperlink" Target="https://africanmarketingconfederation.org/smoke-archive/page-12" TargetMode="External" Id="rId4"/><Relationship Type="http://schemas.openxmlformats.org/officeDocument/2006/relationships/hyperlink" Target="https://africanmarketingconfederation.org/smoke-archive/page-15" TargetMode="External" Id="rId5"/><Relationship Type="http://schemas.openxmlformats.org/officeDocument/2006/relationships/hyperlink" Target="https://africanmarketingconfederation.org/smoke-archive/page-16" TargetMode="External" Id="rId6"/><Relationship Type="http://schemas.openxmlformats.org/officeDocument/2006/relationships/hyperlink" Target="https://africanmarketingconfederation.org/smoke-archive/page-18" TargetMode="External" Id="rId7"/><Relationship Type="http://schemas.openxmlformats.org/officeDocument/2006/relationships/hyperlink" Target="https://africanmarketingconfederation.org/smoke-archive/page-20" TargetMode="External" Id="rId8"/><Relationship Type="http://schemas.openxmlformats.org/officeDocument/2006/relationships/hyperlink" Target="https://africanmarketingconfederation.org/smoke-archive/page-24" TargetMode="External" Id="rId9"/><Relationship Type="http://schemas.openxmlformats.org/officeDocument/2006/relationships/hyperlink" Target="https://africanmarketingconfederation.org/smoke-archive/page-25" TargetMode="External" Id="rId10"/><Relationship Type="http://schemas.openxmlformats.org/officeDocument/2006/relationships/hyperlink" Target="https://africanmarketingconfederation.org/smoke-archive/page-27" TargetMode="External" Id="rId11"/><Relationship Type="http://schemas.openxmlformats.org/officeDocument/2006/relationships/hyperlink" Target="https://africanmarketingconfederation.org/smoke-archive/page-30" TargetMode="External" Id="rId12"/><Relationship Type="http://schemas.openxmlformats.org/officeDocument/2006/relationships/hyperlink" Target="https://africanmarketingconfederation.org/smoke-archive/page-32" TargetMode="External" Id="rId13"/><Relationship Type="http://schemas.openxmlformats.org/officeDocument/2006/relationships/hyperlink" Target="https://africanmarketingconfederation.org/smoke-archive/page-35" TargetMode="External" Id="rId14"/><Relationship Type="http://schemas.openxmlformats.org/officeDocument/2006/relationships/hyperlink" Target="https://africanmarketingconfederation.org/smoke-archive/page-36" TargetMode="External" Id="rId15"/><Relationship Type="http://schemas.openxmlformats.org/officeDocument/2006/relationships/hyperlink" Target="https://africanmarketingconfederation.org/smoke-archive/page-40" TargetMode="External" Id="rId16"/><Relationship Type="http://schemas.openxmlformats.org/officeDocument/2006/relationships/hyperlink" Target="https://africanmarketingconfederation.org/smoke-archive/page-42" TargetMode="External" Id="rId17"/><Relationship Type="http://schemas.openxmlformats.org/officeDocument/2006/relationships/hyperlink" Target="https://africanmarketingconfederation.org/smoke-archive/page-45" TargetMode="External" Id="rId18"/><Relationship Type="http://schemas.openxmlformats.org/officeDocument/2006/relationships/hyperlink" Target="https://africanmarketingconfederation.org/smoke-archive/page-48" TargetMode="External" Id="rId19"/><Relationship Type="http://schemas.openxmlformats.org/officeDocument/2006/relationships/hyperlink" Target="https://africanmarketingconfederation.org/smoke-archive/page-5" TargetMode="External" Id="rId20"/><Relationship Type="http://schemas.openxmlformats.org/officeDocument/2006/relationships/hyperlink" Target="https://africanmarketingconfederation.org/smoke-archive/page-50" TargetMode="External" Id="rId21"/><Relationship Type="http://schemas.openxmlformats.org/officeDocument/2006/relationships/hyperlink" Target="https://africanmarketingconfederation.org/smoke-archive/page-54" TargetMode="External" Id="rId22"/><Relationship Type="http://schemas.openxmlformats.org/officeDocument/2006/relationships/hyperlink" Target="https://africanmarketingconfederation.org/smoke-archive/page-55" TargetMode="External" Id="rId23"/><Relationship Type="http://schemas.openxmlformats.org/officeDocument/2006/relationships/hyperlink" Target="https://africanmarketingconfederation.org/smoke-archive/page-56" TargetMode="External" Id="rId24"/><Relationship Type="http://schemas.openxmlformats.org/officeDocument/2006/relationships/hyperlink" Target="https://africanmarketingconfederation.org/smoke-archive/page-6" TargetMode="External" Id="rId25"/><Relationship Type="http://schemas.openxmlformats.org/officeDocument/2006/relationships/hyperlink" Target="https://africanmarketingconfederation.org/smoke-archive/page-60" TargetMode="External" Id="rId26"/><Relationship Type="http://schemas.openxmlformats.org/officeDocument/2006/relationships/hyperlink" Target="https://africanmarketingconfederation.org/smoke-archive/page-63" TargetMode="External" Id="rId27"/><Relationship Type="http://schemas.openxmlformats.org/officeDocument/2006/relationships/hyperlink" Target="https://africanmarketingconfederation.org/smoke-archive/page-64" TargetMode="External" Id="rId28"/><Relationship Type="http://schemas.openxmlformats.org/officeDocument/2006/relationships/hyperlink" Target="https://africanmarketingconfederation.org/smoke-archive/page-66" TargetMode="External" Id="rId29"/><Relationship Type="http://schemas.openxmlformats.org/officeDocument/2006/relationships/hyperlink" Target="https://africanmarketingconfederation.org/smoke-archive/page-70" TargetMode="External" Id="rId30"/><Relationship Type="http://schemas.openxmlformats.org/officeDocument/2006/relationships/hyperlink" Target="https://africanmarketingconfederation.org/smoke-archive/page-72" TargetMode="External" Id="rId31"/><Relationship Type="http://schemas.openxmlformats.org/officeDocument/2006/relationships/hyperlink" Target="https://africanmarketingconfederation.org/smoke-archive/page-75" TargetMode="External" Id="rId32"/><Relationship Type="http://schemas.openxmlformats.org/officeDocument/2006/relationships/hyperlink" Target="https://africanmarketingconfederation.org/smoke-archive/page-8" TargetMode="External" Id="rId33"/><Relationship Type="http://schemas.openxmlformats.org/officeDocument/2006/relationships/hyperlink" Target="https://africanmarketingconfederation.org/smoke-archive/page-9" TargetMode="External" Id="rId34"/><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smoke-archive/page-1" TargetMode="External" Id="rId3"/><Relationship Type="http://schemas.openxmlformats.org/officeDocument/2006/relationships/hyperlink" Target="https://africanmarketingconfederation.org/smoke-archive/page-2" TargetMode="External" Id="rId4"/><Relationship Type="http://schemas.openxmlformats.org/officeDocument/2006/relationships/hyperlink" Target="https://africanmarketingconfederation.org/smoke-archive/page-3" TargetMode="External" Id="rId5"/><Relationship Type="http://schemas.openxmlformats.org/officeDocument/2006/relationships/hyperlink" Target="https://africanmarketingconfederation.org/smoke-archive/page-4" TargetMode="External" Id="rId6"/><Relationship Type="http://schemas.openxmlformats.org/officeDocument/2006/relationships/hyperlink" Target="https://africanmarketingconfederation.org/smoke-archive/page-5" TargetMode="External" Id="rId7"/><Relationship Type="http://schemas.openxmlformats.org/officeDocument/2006/relationships/hyperlink" Target="https://africanmarketingconfederation.org/smoke-archive/page-6" TargetMode="External" Id="rId8"/><Relationship Type="http://schemas.openxmlformats.org/officeDocument/2006/relationships/hyperlink" Target="https://africanmarketingconfederation.org/smoke-archive/page-7" TargetMode="External" Id="rId9"/><Relationship Type="http://schemas.openxmlformats.org/officeDocument/2006/relationships/hyperlink" Target="https://africanmarketingconfederation.org/smoke-archive/page-8" TargetMode="External" Id="rId10"/><Relationship Type="http://schemas.openxmlformats.org/officeDocument/2006/relationships/hyperlink" Target="https://africanmarketingconfederation.org/smoke-archive/page-9" TargetMode="External" Id="rId11"/><Relationship Type="http://schemas.openxmlformats.org/officeDocument/2006/relationships/hyperlink" Target="https://africanmarketingconfederation.org/smoke-archive/page-10" TargetMode="External" Id="rId12"/><Relationship Type="http://schemas.openxmlformats.org/officeDocument/2006/relationships/hyperlink" Target="https://africanmarketingconfederation.org/smoke-archive/page-11" TargetMode="External" Id="rId13"/><Relationship Type="http://schemas.openxmlformats.org/officeDocument/2006/relationships/hyperlink" Target="https://africanmarketingconfederation.org/smoke-archive/page-12" TargetMode="External" Id="rId14"/><Relationship Type="http://schemas.openxmlformats.org/officeDocument/2006/relationships/hyperlink" Target="https://africanmarketingconfederation.org/smoke-archive/page-13" TargetMode="External" Id="rId15"/><Relationship Type="http://schemas.openxmlformats.org/officeDocument/2006/relationships/hyperlink" Target="https://africanmarketingconfederation.org/smoke-archive/page-14" TargetMode="External" Id="rId16"/><Relationship Type="http://schemas.openxmlformats.org/officeDocument/2006/relationships/hyperlink" Target="https://africanmarketingconfederation.org/smoke-archive/page-15" TargetMode="External" Id="rId17"/><Relationship Type="http://schemas.openxmlformats.org/officeDocument/2006/relationships/hyperlink" Target="https://africanmarketingconfederation.org/smoke-archive/page-16" TargetMode="External" Id="rId18"/><Relationship Type="http://schemas.openxmlformats.org/officeDocument/2006/relationships/hyperlink" Target="https://africanmarketingconfederation.org/smoke-archive/page-17" TargetMode="External" Id="rId19"/><Relationship Type="http://schemas.openxmlformats.org/officeDocument/2006/relationships/hyperlink" Target="https://africanmarketingconfederation.org/smoke-archive/page-18" TargetMode="External" Id="rId20"/><Relationship Type="http://schemas.openxmlformats.org/officeDocument/2006/relationships/hyperlink" Target="https://africanmarketingconfederation.org/smoke-archive/page-19" TargetMode="External" Id="rId21"/><Relationship Type="http://schemas.openxmlformats.org/officeDocument/2006/relationships/hyperlink" Target="https://africanmarketingconfederation.org/smoke-archive/page-20" TargetMode="External" Id="rId22"/><Relationship Type="http://schemas.openxmlformats.org/officeDocument/2006/relationships/hyperlink" Target="https://africanmarketingconfederation.org/smoke-archive/page-21" TargetMode="External" Id="rId23"/><Relationship Type="http://schemas.openxmlformats.org/officeDocument/2006/relationships/hyperlink" Target="https://africanmarketingconfederation.org/smoke-archive/page-22" TargetMode="External" Id="rId24"/><Relationship Type="http://schemas.openxmlformats.org/officeDocument/2006/relationships/hyperlink" Target="https://africanmarketingconfederation.org/smoke-archive/page-23" TargetMode="External" Id="rId25"/><Relationship Type="http://schemas.openxmlformats.org/officeDocument/2006/relationships/hyperlink" Target="https://africanmarketingconfederation.org/smoke-archive/page-24" TargetMode="External" Id="rId26"/><Relationship Type="http://schemas.openxmlformats.org/officeDocument/2006/relationships/hyperlink" Target="https://africanmarketingconfederation.org/smoke-archive/page-25" TargetMode="External" Id="rId27"/><Relationship Type="http://schemas.openxmlformats.org/officeDocument/2006/relationships/hyperlink" Target="https://africanmarketingconfederation.org/smoke-archive/page-26" TargetMode="External" Id="rId28"/><Relationship Type="http://schemas.openxmlformats.org/officeDocument/2006/relationships/hyperlink" Target="https://africanmarketingconfederation.org/smoke-archive/page-27" TargetMode="External" Id="rId29"/><Relationship Type="http://schemas.openxmlformats.org/officeDocument/2006/relationships/hyperlink" Target="https://africanmarketingconfederation.org/smoke-archive/page-28" TargetMode="External" Id="rId30"/><Relationship Type="http://schemas.openxmlformats.org/officeDocument/2006/relationships/hyperlink" Target="https://africanmarketingconfederation.org/smoke-archive/page-29" TargetMode="External" Id="rId31"/><Relationship Type="http://schemas.openxmlformats.org/officeDocument/2006/relationships/hyperlink" Target="https://africanmarketingconfederation.org/smoke-archive/page-30" TargetMode="External" Id="rId32"/><Relationship Type="http://schemas.openxmlformats.org/officeDocument/2006/relationships/hyperlink" Target="https://africanmarketingconfederation.org/smoke-archive/page-31" TargetMode="External" Id="rId33"/><Relationship Type="http://schemas.openxmlformats.org/officeDocument/2006/relationships/hyperlink" Target="https://africanmarketingconfederation.org/smoke-archive/page-32" TargetMode="External" Id="rId34"/><Relationship Type="http://schemas.openxmlformats.org/officeDocument/2006/relationships/hyperlink" Target="https://africanmarketingconfederation.org/smoke-archive/page-33" TargetMode="External" Id="rId35"/><Relationship Type="http://schemas.openxmlformats.org/officeDocument/2006/relationships/hyperlink" Target="https://africanmarketingconfederation.org/smoke-archive/page-34" TargetMode="External" Id="rId36"/><Relationship Type="http://schemas.openxmlformats.org/officeDocument/2006/relationships/hyperlink" Target="https://africanmarketingconfederation.org/smoke-archive/page-35" TargetMode="External" Id="rId37"/><Relationship Type="http://schemas.openxmlformats.org/officeDocument/2006/relationships/hyperlink" Target="https://africanmarketingconfederation.org/smoke-archive/page-36" TargetMode="External" Id="rId38"/><Relationship Type="http://schemas.openxmlformats.org/officeDocument/2006/relationships/hyperlink" Target="https://africanmarketingconfederation.org/smoke-archive/page-37" TargetMode="External" Id="rId39"/><Relationship Type="http://schemas.openxmlformats.org/officeDocument/2006/relationships/hyperlink" Target="https://africanmarketingconfederation.org/smoke-archive/page-38" TargetMode="External" Id="rId40"/><Relationship Type="http://schemas.openxmlformats.org/officeDocument/2006/relationships/hyperlink" Target="https://africanmarketingconfederation.org/smoke-archive/page-39" TargetMode="External" Id="rId41"/><Relationship Type="http://schemas.openxmlformats.org/officeDocument/2006/relationships/hyperlink" Target="https://africanmarketingconfederation.org/smoke-archive/page-40" TargetMode="External" Id="rId42"/><Relationship Type="http://schemas.openxmlformats.org/officeDocument/2006/relationships/hyperlink" Target="https://africanmarketingconfederation.org/smoke-archive/page-41" TargetMode="External" Id="rId43"/><Relationship Type="http://schemas.openxmlformats.org/officeDocument/2006/relationships/hyperlink" Target="https://africanmarketingconfederation.org/smoke-archive/page-42" TargetMode="External" Id="rId44"/><Relationship Type="http://schemas.openxmlformats.org/officeDocument/2006/relationships/hyperlink" Target="https://africanmarketingconfederation.org/smoke-archive/page-43" TargetMode="External" Id="rId45"/><Relationship Type="http://schemas.openxmlformats.org/officeDocument/2006/relationships/hyperlink" Target="https://africanmarketingconfederation.org/smoke-archive/page-44" TargetMode="External" Id="rId46"/><Relationship Type="http://schemas.openxmlformats.org/officeDocument/2006/relationships/hyperlink" Target="https://africanmarketingconfederation.org/smoke-archive/page-45" TargetMode="External" Id="rId47"/><Relationship Type="http://schemas.openxmlformats.org/officeDocument/2006/relationships/hyperlink" Target="https://africanmarketingconfederation.org/smoke-archive/page-46" TargetMode="External" Id="rId48"/><Relationship Type="http://schemas.openxmlformats.org/officeDocument/2006/relationships/hyperlink" Target="https://africanmarketingconfederation.org/smoke-archive/page-47" TargetMode="External" Id="rId49"/><Relationship Type="http://schemas.openxmlformats.org/officeDocument/2006/relationships/hyperlink" Target="https://africanmarketingconfederation.org/smoke-archive/page-48" TargetMode="External" Id="rId50"/><Relationship Type="http://schemas.openxmlformats.org/officeDocument/2006/relationships/hyperlink" Target="https://africanmarketingconfederation.org/smoke-archive/page-49" TargetMode="External" Id="rId51"/><Relationship Type="http://schemas.openxmlformats.org/officeDocument/2006/relationships/hyperlink" Target="https://africanmarketingconfederation.org/smoke-archive/page-50" TargetMode="External" Id="rId52"/><Relationship Type="http://schemas.openxmlformats.org/officeDocument/2006/relationships/hyperlink" Target="https://africanmarketingconfederation.org/smoke-archive/page-51" TargetMode="External" Id="rId53"/><Relationship Type="http://schemas.openxmlformats.org/officeDocument/2006/relationships/hyperlink" Target="https://africanmarketingconfederation.org/smoke-archive/page-52" TargetMode="External" Id="rId54"/><Relationship Type="http://schemas.openxmlformats.org/officeDocument/2006/relationships/hyperlink" Target="https://africanmarketingconfederation.org/smoke-archive/page-53" TargetMode="External" Id="rId55"/><Relationship Type="http://schemas.openxmlformats.org/officeDocument/2006/relationships/hyperlink" Target="https://africanmarketingconfederation.org/smoke-archive/page-54" TargetMode="External" Id="rId56"/><Relationship Type="http://schemas.openxmlformats.org/officeDocument/2006/relationships/hyperlink" Target="https://africanmarketingconfederation.org/smoke-archive/page-55" TargetMode="External" Id="rId57"/><Relationship Type="http://schemas.openxmlformats.org/officeDocument/2006/relationships/hyperlink" Target="https://africanmarketingconfederation.org/smoke-archive/page-56" TargetMode="External" Id="rId58"/><Relationship Type="http://schemas.openxmlformats.org/officeDocument/2006/relationships/hyperlink" Target="https://africanmarketingconfederation.org/smoke-archive/page-57" TargetMode="External" Id="rId59"/><Relationship Type="http://schemas.openxmlformats.org/officeDocument/2006/relationships/hyperlink" Target="https://africanmarketingconfederation.org/smoke-archive/page-58" TargetMode="External" Id="rId60"/><Relationship Type="http://schemas.openxmlformats.org/officeDocument/2006/relationships/hyperlink" Target="https://africanmarketingconfederation.org/smoke-archive/page-59" TargetMode="External" Id="rId61"/><Relationship Type="http://schemas.openxmlformats.org/officeDocument/2006/relationships/hyperlink" Target="https://africanmarketingconfederation.org/smoke-archive/page-60" TargetMode="External" Id="rId62"/><Relationship Type="http://schemas.openxmlformats.org/officeDocument/2006/relationships/hyperlink" Target="https://africanmarketingconfederation.org/smoke-archive/page-61" TargetMode="External" Id="rId63"/><Relationship Type="http://schemas.openxmlformats.org/officeDocument/2006/relationships/hyperlink" Target="https://africanmarketingconfederation.org/smoke-archive/page-62" TargetMode="External" Id="rId64"/><Relationship Type="http://schemas.openxmlformats.org/officeDocument/2006/relationships/hyperlink" Target="https://africanmarketingconfederation.org/smoke-archive/page-63" TargetMode="External" Id="rId65"/><Relationship Type="http://schemas.openxmlformats.org/officeDocument/2006/relationships/hyperlink" Target="https://africanmarketingconfederation.org/smoke-archive/page-64" TargetMode="External" Id="rId66"/><Relationship Type="http://schemas.openxmlformats.org/officeDocument/2006/relationships/hyperlink" Target="https://africanmarketingconfederation.org/smoke-archive/page-65" TargetMode="External" Id="rId67"/><Relationship Type="http://schemas.openxmlformats.org/officeDocument/2006/relationships/hyperlink" Target="https://africanmarketingconfederation.org/smoke-archive/page-66" TargetMode="External" Id="rId68"/><Relationship Type="http://schemas.openxmlformats.org/officeDocument/2006/relationships/hyperlink" Target="https://africanmarketingconfederation.org/smoke-archive/page-67" TargetMode="External" Id="rId69"/><Relationship Type="http://schemas.openxmlformats.org/officeDocument/2006/relationships/hyperlink" Target="https://africanmarketingconfederation.org/smoke-archive/page-68" TargetMode="External" Id="rId70"/><Relationship Type="http://schemas.openxmlformats.org/officeDocument/2006/relationships/hyperlink" Target="https://africanmarketingconfederation.org/smoke-archive/page-69" TargetMode="External" Id="rId71"/><Relationship Type="http://schemas.openxmlformats.org/officeDocument/2006/relationships/hyperlink" Target="https://africanmarketingconfederation.org/smoke-archive/page-70" TargetMode="External" Id="rId72"/><Relationship Type="http://schemas.openxmlformats.org/officeDocument/2006/relationships/hyperlink" Target="https://africanmarketingconfederation.org/smoke-archive/page-71" TargetMode="External" Id="rId73"/><Relationship Type="http://schemas.openxmlformats.org/officeDocument/2006/relationships/hyperlink" Target="https://africanmarketingconfederation.org/smoke-archive/page-72" TargetMode="External" Id="rId74"/><Relationship Type="http://schemas.openxmlformats.org/officeDocument/2006/relationships/hyperlink" Target="https://africanmarketingconfederation.org/smoke-archive/page-73" TargetMode="External" Id="rId75"/><Relationship Type="http://schemas.openxmlformats.org/officeDocument/2006/relationships/hyperlink" Target="https://africanmarketingconfederation.org/smoke-archive/page-74" TargetMode="External" Id="rId76"/><Relationship Type="http://schemas.openxmlformats.org/officeDocument/2006/relationships/hyperlink" Target="https://africanmarketingconfederation.org/smoke-archive/page-75" TargetMode="External" Id="rId77"/><Relationship Type="http://schemas.openxmlformats.org/officeDocument/2006/relationships/hyperlink" Target="https://africanmarketingconfederation.org/smoke-archive/page-76" TargetMode="External" Id="rId78"/><Relationship Type="http://schemas.openxmlformats.org/officeDocument/2006/relationships/hyperlink" Target="https://africanmarketingconfederation.org/smoke-archive/page-77" TargetMode="External" Id="rId79"/><Relationship Type="http://schemas.openxmlformats.org/officeDocument/2006/relationships/hyperlink" Target="https://africanmarketingconfederation.org/smoke-archive/page-78" TargetMode="External" Id="rId80"/><Relationship Type="http://schemas.openxmlformats.org/officeDocument/2006/relationships/hyperlink" Target="https://africanmarketingconfederation.org/smoke-archive/page-79" TargetMode="External" Id="rId81"/><Relationship Type="http://schemas.openxmlformats.org/officeDocument/2006/relationships/hyperlink" Target="https://africanmarketingconfederation.org/discovered-via-bfs-1" TargetMode="External" Id="rId82"/><Relationship Type="http://schemas.openxmlformats.org/officeDocument/2006/relationships/hyperlink" Target="https://africanmarketingconfederation.org/discovered-via-bfs-2" TargetMode="External" Id="rId83"/><Relationship Type="http://schemas.openxmlformats.org/officeDocument/2006/relationships/hyperlink" Target="https://africanmarketingconfederation.org/discovered-via-bfs-3" TargetMode="External" Id="rId84"/><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smoke-archive/page-13" TargetMode="External" Id="rId2"/><Relationship Type="http://schemas.openxmlformats.org/officeDocument/2006/relationships/hyperlink" Target="https://africanmarketingconfederation.org/smoke-archive/page-26" TargetMode="External" Id="rId3"/><Relationship Type="http://schemas.openxmlformats.org/officeDocument/2006/relationships/hyperlink" Target="https://africanmarketingconfederation.org/smoke-archive/page-39" TargetMode="External" Id="rId4"/><Relationship Type="http://schemas.openxmlformats.org/officeDocument/2006/relationships/hyperlink" Target="https://africanmarketingconfederation.org/smoke-archive/page-52" TargetMode="External" Id="rId5"/><Relationship Type="http://schemas.openxmlformats.org/officeDocument/2006/relationships/hyperlink" Target="https://africanmarketingconfederation.org/smoke-archive/page-65" TargetMode="External" Id="rId6"/><Relationship Type="http://schemas.openxmlformats.org/officeDocument/2006/relationships/hyperlink" Target="https://africanmarketingconfederation.org/smoke-archive/page-78" TargetMode="External" Id="rId7"/><Relationship Type="http://schemas.openxmlformats.org/officeDocument/2006/relationships/hyperlink" Target="https://africanmarketingconfederation.org/smoke-archive/page-10" TargetMode="External" Id="rId8"/><Relationship Type="http://schemas.openxmlformats.org/officeDocument/2006/relationships/hyperlink" Target="#'Main'!A1" TargetMode="External" Id="rId9"/><Relationship Type="http://schemas.openxmlformats.org/officeDocument/2006/relationships/hyperlink" Target="https://africanmarketingconfederation.org/smoke-archive/page-15" TargetMode="External" Id="rId10"/><Relationship Type="http://schemas.openxmlformats.org/officeDocument/2006/relationships/hyperlink" Target="#'Main'!A1" TargetMode="External" Id="rId11"/><Relationship Type="http://schemas.openxmlformats.org/officeDocument/2006/relationships/hyperlink" Target="https://africanmarketingconfederation.org/smoke-archive/page-20" TargetMode="External" Id="rId12"/><Relationship Type="http://schemas.openxmlformats.org/officeDocument/2006/relationships/hyperlink" Target="#'Main'!A1" TargetMode="External" Id="rId13"/><Relationship Type="http://schemas.openxmlformats.org/officeDocument/2006/relationships/hyperlink" Target="https://africanmarketingconfederation.org/smoke-archive/page-25" TargetMode="External" Id="rId14"/><Relationship Type="http://schemas.openxmlformats.org/officeDocument/2006/relationships/hyperlink" Target="#'Main'!A1" TargetMode="External" Id="rId15"/><Relationship Type="http://schemas.openxmlformats.org/officeDocument/2006/relationships/hyperlink" Target="https://africanmarketingconfederation.org/smoke-archive/page-30" TargetMode="External" Id="rId16"/><Relationship Type="http://schemas.openxmlformats.org/officeDocument/2006/relationships/hyperlink" Target="#'Main'!A1" TargetMode="External" Id="rId17"/><Relationship Type="http://schemas.openxmlformats.org/officeDocument/2006/relationships/hyperlink" Target="https://africanmarketingconfederation.org/smoke-archive/page-35" TargetMode="External" Id="rId18"/><Relationship Type="http://schemas.openxmlformats.org/officeDocument/2006/relationships/hyperlink" Target="#'Main'!A1" TargetMode="External" Id="rId19"/><Relationship Type="http://schemas.openxmlformats.org/officeDocument/2006/relationships/hyperlink" Target="https://africanmarketingconfederation.org/smoke-archive/page-40" TargetMode="External" Id="rId20"/><Relationship Type="http://schemas.openxmlformats.org/officeDocument/2006/relationships/hyperlink" Target="#'Main'!A1" TargetMode="External" Id="rId21"/><Relationship Type="http://schemas.openxmlformats.org/officeDocument/2006/relationships/hyperlink" Target="https://africanmarketingconfederation.org/smoke-archive/page-45" TargetMode="External" Id="rId22"/><Relationship Type="http://schemas.openxmlformats.org/officeDocument/2006/relationships/hyperlink" Target="#'Main'!A1" TargetMode="External" Id="rId23"/><Relationship Type="http://schemas.openxmlformats.org/officeDocument/2006/relationships/hyperlink" Target="https://africanmarketingconfederation.org/smoke-archive/page-5" TargetMode="External" Id="rId24"/><Relationship Type="http://schemas.openxmlformats.org/officeDocument/2006/relationships/hyperlink" Target="#'Main'!A1" TargetMode="External" Id="rId25"/><Relationship Type="http://schemas.openxmlformats.org/officeDocument/2006/relationships/hyperlink" Target="https://africanmarketingconfederation.org/smoke-archive/page-50" TargetMode="External" Id="rId26"/><Relationship Type="http://schemas.openxmlformats.org/officeDocument/2006/relationships/hyperlink" Target="#'Main'!A1" TargetMode="External" Id="rId27"/><Relationship Type="http://schemas.openxmlformats.org/officeDocument/2006/relationships/hyperlink" Target="https://africanmarketingconfederation.org/smoke-archive/page-55" TargetMode="External" Id="rId28"/><Relationship Type="http://schemas.openxmlformats.org/officeDocument/2006/relationships/hyperlink" Target="#'Main'!A1" TargetMode="External" Id="rId29"/><Relationship Type="http://schemas.openxmlformats.org/officeDocument/2006/relationships/hyperlink" Target="https://africanmarketingconfederation.org/smoke-archive/page-60" TargetMode="External" Id="rId30"/><Relationship Type="http://schemas.openxmlformats.org/officeDocument/2006/relationships/hyperlink" Target="#'Main'!A1" TargetMode="External" Id="rId31"/><Relationship Type="http://schemas.openxmlformats.org/officeDocument/2006/relationships/hyperlink" Target="https://africanmarketingconfederation.org/smoke-archive/page-65" TargetMode="External" Id="rId32"/><Relationship Type="http://schemas.openxmlformats.org/officeDocument/2006/relationships/hyperlink" Target="#'Main'!A1" TargetMode="External" Id="rId33"/><Relationship Type="http://schemas.openxmlformats.org/officeDocument/2006/relationships/hyperlink" Target="https://africanmarketingconfederation.org/smoke-archive/page-70" TargetMode="External" Id="rId34"/><Relationship Type="http://schemas.openxmlformats.org/officeDocument/2006/relationships/hyperlink" Target="#'Main'!A1" TargetMode="External" Id="rId35"/><Relationship Type="http://schemas.openxmlformats.org/officeDocument/2006/relationships/hyperlink" Target="https://africanmarketingconfederation.org/smoke-archive/page-75" TargetMode="External" Id="rId36"/><Relationship Type="http://schemas.openxmlformats.org/officeDocument/2006/relationships/hyperlink" Target="#'Main'!A1" TargetMode="External" Id="rId37"/><Relationship Type="http://schemas.openxmlformats.org/officeDocument/2006/relationships/hyperlink" Target="https://africanmarketingconfederation.org/discovered-via-bfs-1" TargetMode="External" Id="rId38"/><Relationship Type="http://schemas.openxmlformats.org/officeDocument/2006/relationships/hyperlink" Target="https://africanmarketingconfederation.org/smoke-archive/page-18" TargetMode="External" Id="rId39"/><Relationship Type="http://schemas.openxmlformats.org/officeDocument/2006/relationships/hyperlink" Target="https://africanmarketingconfederation.org/smoke-archive/page-27" TargetMode="External" Id="rId40"/><Relationship Type="http://schemas.openxmlformats.org/officeDocument/2006/relationships/hyperlink" Target="https://africanmarketingconfederation.org/smoke-archive/page-36" TargetMode="External" Id="rId41"/><Relationship Type="http://schemas.openxmlformats.org/officeDocument/2006/relationships/hyperlink" Target="https://africanmarketingconfederation.org/smoke-archive/page-45" TargetMode="External" Id="rId42"/><Relationship Type="http://schemas.openxmlformats.org/officeDocument/2006/relationships/hyperlink" Target="https://africanmarketingconfederation.org/smoke-archive/page-54" TargetMode="External" Id="rId43"/><Relationship Type="http://schemas.openxmlformats.org/officeDocument/2006/relationships/hyperlink" Target="https://africanmarketingconfederation.org/smoke-archive/page-63" TargetMode="External" Id="rId44"/><Relationship Type="http://schemas.openxmlformats.org/officeDocument/2006/relationships/hyperlink" Target="https://africanmarketingconfederation.org/smoke-archive/page-72" TargetMode="External" Id="rId45"/><Relationship Type="http://schemas.openxmlformats.org/officeDocument/2006/relationships/hyperlink" Target="https://africanmarketingconfederation.org/smoke-archive/page-9" TargetMode="External" Id="rId46"/><Relationship Type="http://schemas.openxmlformats.org/officeDocument/2006/relationships/hyperlink" Target="https://africanmarketingconfederation.org/smoke-archive/page-12" TargetMode="External" Id="rId47"/><Relationship Type="http://schemas.openxmlformats.org/officeDocument/2006/relationships/hyperlink" Target="https://africanmarketingconfederation.org/smoke-archive/page-18" TargetMode="External" Id="rId48"/><Relationship Type="http://schemas.openxmlformats.org/officeDocument/2006/relationships/hyperlink" Target="https://africanmarketingconfederation.org/smoke-archive/page-24" TargetMode="External" Id="rId49"/><Relationship Type="http://schemas.openxmlformats.org/officeDocument/2006/relationships/hyperlink" Target="https://africanmarketingconfederation.org/smoke-archive/page-30" TargetMode="External" Id="rId50"/><Relationship Type="http://schemas.openxmlformats.org/officeDocument/2006/relationships/hyperlink" Target="https://africanmarketingconfederation.org/smoke-archive/page-36" TargetMode="External" Id="rId51"/><Relationship Type="http://schemas.openxmlformats.org/officeDocument/2006/relationships/hyperlink" Target="https://africanmarketingconfederation.org/smoke-archive/page-42" TargetMode="External" Id="rId52"/><Relationship Type="http://schemas.openxmlformats.org/officeDocument/2006/relationships/hyperlink" Target="https://africanmarketingconfederation.org/smoke-archive/page-48" TargetMode="External" Id="rId53"/><Relationship Type="http://schemas.openxmlformats.org/officeDocument/2006/relationships/hyperlink" Target="https://africanmarketingconfederation.org/smoke-archive/page-54" TargetMode="External" Id="rId54"/><Relationship Type="http://schemas.openxmlformats.org/officeDocument/2006/relationships/hyperlink" Target="https://africanmarketingconfederation.org/smoke-archive/page-6" TargetMode="External" Id="rId55"/><Relationship Type="http://schemas.openxmlformats.org/officeDocument/2006/relationships/hyperlink" Target="https://africanmarketingconfederation.org/smoke-archive/page-60" TargetMode="External" Id="rId56"/><Relationship Type="http://schemas.openxmlformats.org/officeDocument/2006/relationships/hyperlink" Target="https://africanmarketingconfederation.org/smoke-archive/page-66" TargetMode="External" Id="rId57"/><Relationship Type="http://schemas.openxmlformats.org/officeDocument/2006/relationships/hyperlink" Target="https://africanmarketingconfederation.org/smoke-archive/page-72" TargetMode="External" Id="rId58"/><Relationship Type="http://schemas.openxmlformats.org/officeDocument/2006/relationships/hyperlink" Target="https://africanmarketingconfederation.org/smoke-archive/page-78" TargetMode="External" Id="rId59"/><Relationship Type="http://schemas.openxmlformats.org/officeDocument/2006/relationships/hyperlink" Target="https://africanmarketingconfederation.org/" TargetMode="External" Id="rId60"/><Relationship Type="http://schemas.openxmlformats.org/officeDocument/2006/relationships/hyperlink" Target="https://africanmarketingconfederation.org/discovered-via-bfs-1" TargetMode="External" Id="rId61"/><Relationship Type="http://schemas.openxmlformats.org/officeDocument/2006/relationships/hyperlink" Target="https://africanmarketingconfederation.org/discovered-via-bfs-2" TargetMode="External" Id="rId62"/><Relationship Type="http://schemas.openxmlformats.org/officeDocument/2006/relationships/hyperlink" Target="https://africanmarketingconfederation.org/discovered-via-bfs-3" TargetMode="External" Id="rId63"/><Relationship Type="http://schemas.openxmlformats.org/officeDocument/2006/relationships/hyperlink" Target="https://africanmarketingconfederation.org/smoke-archive/page-1" TargetMode="External" Id="rId64"/><Relationship Type="http://schemas.openxmlformats.org/officeDocument/2006/relationships/hyperlink" Target="https://africanmarketingconfederation.org/smoke-archive/page-10" TargetMode="External" Id="rId65"/><Relationship Type="http://schemas.openxmlformats.org/officeDocument/2006/relationships/hyperlink" Target="https://africanmarketingconfederation.org/smoke-archive/page-11" TargetMode="External" Id="rId66"/><Relationship Type="http://schemas.openxmlformats.org/officeDocument/2006/relationships/hyperlink" Target="https://africanmarketingconfederation.org/smoke-archive/page-12" TargetMode="External" Id="rId67"/><Relationship Type="http://schemas.openxmlformats.org/officeDocument/2006/relationships/hyperlink" Target="https://africanmarketingconfederation.org/smoke-archive/page-13" TargetMode="External" Id="rId68"/><Relationship Type="http://schemas.openxmlformats.org/officeDocument/2006/relationships/hyperlink" Target="https://africanmarketingconfederation.org/smoke-archive/page-14" TargetMode="External" Id="rId69"/><Relationship Type="http://schemas.openxmlformats.org/officeDocument/2006/relationships/hyperlink" Target="https://africanmarketingconfederation.org/smoke-archive/page-15" TargetMode="External" Id="rId70"/><Relationship Type="http://schemas.openxmlformats.org/officeDocument/2006/relationships/hyperlink" Target="https://africanmarketingconfederation.org/smoke-archive/page-16" TargetMode="External" Id="rId71"/><Relationship Type="http://schemas.openxmlformats.org/officeDocument/2006/relationships/hyperlink" Target="https://africanmarketingconfederation.org/smoke-archive/page-17" TargetMode="External" Id="rId72"/><Relationship Type="http://schemas.openxmlformats.org/officeDocument/2006/relationships/hyperlink" Target="https://africanmarketingconfederation.org/smoke-archive/page-18" TargetMode="External" Id="rId73"/><Relationship Type="http://schemas.openxmlformats.org/officeDocument/2006/relationships/hyperlink" Target="https://africanmarketingconfederation.org/smoke-archive/page-19" TargetMode="External" Id="rId74"/><Relationship Type="http://schemas.openxmlformats.org/officeDocument/2006/relationships/hyperlink" Target="https://africanmarketingconfederation.org/smoke-archive/page-2" TargetMode="External" Id="rId75"/><Relationship Type="http://schemas.openxmlformats.org/officeDocument/2006/relationships/hyperlink" Target="https://africanmarketingconfederation.org/smoke-archive/page-20" TargetMode="External" Id="rId76"/><Relationship Type="http://schemas.openxmlformats.org/officeDocument/2006/relationships/hyperlink" Target="https://africanmarketingconfederation.org/smoke-archive/page-21" TargetMode="External" Id="rId77"/><Relationship Type="http://schemas.openxmlformats.org/officeDocument/2006/relationships/hyperlink" Target="https://africanmarketingconfederation.org/smoke-archive/page-22" TargetMode="External" Id="rId78"/><Relationship Type="http://schemas.openxmlformats.org/officeDocument/2006/relationships/hyperlink" Target="https://africanmarketingconfederation.org/smoke-archive/page-23" TargetMode="External" Id="rId79"/><Relationship Type="http://schemas.openxmlformats.org/officeDocument/2006/relationships/hyperlink" Target="https://africanmarketingconfederation.org/smoke-archive/page-24" TargetMode="External" Id="rId80"/><Relationship Type="http://schemas.openxmlformats.org/officeDocument/2006/relationships/hyperlink" Target="https://africanmarketingconfederation.org/smoke-archive/page-25" TargetMode="External" Id="rId81"/><Relationship Type="http://schemas.openxmlformats.org/officeDocument/2006/relationships/hyperlink" Target="https://africanmarketingconfederation.org/smoke-archive/page-26" TargetMode="External" Id="rId82"/><Relationship Type="http://schemas.openxmlformats.org/officeDocument/2006/relationships/hyperlink" Target="https://africanmarketingconfederation.org/smoke-archive/page-27" TargetMode="External" Id="rId83"/><Relationship Type="http://schemas.openxmlformats.org/officeDocument/2006/relationships/hyperlink" Target="https://africanmarketingconfederation.org/smoke-archive/page-28" TargetMode="External" Id="rId84"/><Relationship Type="http://schemas.openxmlformats.org/officeDocument/2006/relationships/hyperlink" Target="https://africanmarketingconfederation.org/smoke-archive/page-29" TargetMode="External" Id="rId85"/><Relationship Type="http://schemas.openxmlformats.org/officeDocument/2006/relationships/hyperlink" Target="https://africanmarketingconfederation.org/smoke-archive/page-3" TargetMode="External" Id="rId86"/><Relationship Type="http://schemas.openxmlformats.org/officeDocument/2006/relationships/hyperlink" Target="https://africanmarketingconfederation.org/smoke-archive/page-30" TargetMode="External" Id="rId87"/><Relationship Type="http://schemas.openxmlformats.org/officeDocument/2006/relationships/hyperlink" Target="https://africanmarketingconfederation.org/smoke-archive/page-31" TargetMode="External" Id="rId88"/><Relationship Type="http://schemas.openxmlformats.org/officeDocument/2006/relationships/hyperlink" Target="https://africanmarketingconfederation.org/smoke-archive/page-32" TargetMode="External" Id="rId89"/><Relationship Type="http://schemas.openxmlformats.org/officeDocument/2006/relationships/hyperlink" Target="https://africanmarketingconfederation.org/smoke-archive/page-33" TargetMode="External" Id="rId90"/><Relationship Type="http://schemas.openxmlformats.org/officeDocument/2006/relationships/hyperlink" Target="https://africanmarketingconfederation.org/smoke-archive/page-34" TargetMode="External" Id="rId91"/><Relationship Type="http://schemas.openxmlformats.org/officeDocument/2006/relationships/hyperlink" Target="https://africanmarketingconfederation.org/smoke-archive/page-35" TargetMode="External" Id="rId92"/><Relationship Type="http://schemas.openxmlformats.org/officeDocument/2006/relationships/hyperlink" Target="https://africanmarketingconfederation.org/smoke-archive/page-36" TargetMode="External" Id="rId93"/><Relationship Type="http://schemas.openxmlformats.org/officeDocument/2006/relationships/hyperlink" Target="https://africanmarketingconfederation.org/smoke-archive/page-37" TargetMode="External" Id="rId94"/><Relationship Type="http://schemas.openxmlformats.org/officeDocument/2006/relationships/hyperlink" Target="https://africanmarketingconfederation.org/smoke-archive/page-38" TargetMode="External" Id="rId95"/><Relationship Type="http://schemas.openxmlformats.org/officeDocument/2006/relationships/hyperlink" Target="https://africanmarketingconfederation.org/smoke-archive/page-39" TargetMode="External" Id="rId96"/><Relationship Type="http://schemas.openxmlformats.org/officeDocument/2006/relationships/hyperlink" Target="https://africanmarketingconfederation.org/smoke-archive/page-4" TargetMode="External" Id="rId97"/><Relationship Type="http://schemas.openxmlformats.org/officeDocument/2006/relationships/hyperlink" Target="https://africanmarketingconfederation.org/smoke-archive/page-40" TargetMode="External" Id="rId98"/><Relationship Type="http://schemas.openxmlformats.org/officeDocument/2006/relationships/hyperlink" Target="https://africanmarketingconfederation.org/smoke-archive/page-41" TargetMode="External" Id="rId99"/><Relationship Type="http://schemas.openxmlformats.org/officeDocument/2006/relationships/hyperlink" Target="https://africanmarketingconfederation.org/smoke-archive/page-42" TargetMode="External" Id="rId100"/><Relationship Type="http://schemas.openxmlformats.org/officeDocument/2006/relationships/hyperlink" Target="https://africanmarketingconfederation.org/smoke-archive/page-43" TargetMode="External" Id="rId101"/><Relationship Type="http://schemas.openxmlformats.org/officeDocument/2006/relationships/hyperlink" Target="https://africanmarketingconfederation.org/smoke-archive/page-44" TargetMode="External" Id="rId102"/><Relationship Type="http://schemas.openxmlformats.org/officeDocument/2006/relationships/hyperlink" Target="https://africanmarketingconfederation.org/smoke-archive/page-45" TargetMode="External" Id="rId103"/><Relationship Type="http://schemas.openxmlformats.org/officeDocument/2006/relationships/hyperlink" Target="https://africanmarketingconfederation.org/smoke-archive/page-46" TargetMode="External" Id="rId104"/><Relationship Type="http://schemas.openxmlformats.org/officeDocument/2006/relationships/hyperlink" Target="https://africanmarketingconfederation.org/smoke-archive/page-47" TargetMode="External" Id="rId105"/><Relationship Type="http://schemas.openxmlformats.org/officeDocument/2006/relationships/hyperlink" Target="https://africanmarketingconfederation.org/smoke-archive/page-48" TargetMode="External" Id="rId106"/><Relationship Type="http://schemas.openxmlformats.org/officeDocument/2006/relationships/hyperlink" Target="https://africanmarketingconfederation.org/smoke-archive/page-49" TargetMode="External" Id="rId107"/><Relationship Type="http://schemas.openxmlformats.org/officeDocument/2006/relationships/hyperlink" Target="https://africanmarketingconfederation.org/smoke-archive/page-5" TargetMode="External" Id="rId108"/><Relationship Type="http://schemas.openxmlformats.org/officeDocument/2006/relationships/hyperlink" Target="https://africanmarketingconfederation.org/smoke-archive/page-50" TargetMode="External" Id="rId109"/><Relationship Type="http://schemas.openxmlformats.org/officeDocument/2006/relationships/hyperlink" Target="https://africanmarketingconfederation.org/smoke-archive/page-51" TargetMode="External" Id="rId110"/><Relationship Type="http://schemas.openxmlformats.org/officeDocument/2006/relationships/hyperlink" Target="https://africanmarketingconfederation.org/smoke-archive/page-52" TargetMode="External" Id="rId111"/><Relationship Type="http://schemas.openxmlformats.org/officeDocument/2006/relationships/hyperlink" Target="https://africanmarketingconfederation.org/smoke-archive/page-53" TargetMode="External" Id="rId112"/><Relationship Type="http://schemas.openxmlformats.org/officeDocument/2006/relationships/hyperlink" Target="https://africanmarketingconfederation.org/smoke-archive/page-54" TargetMode="External" Id="rId113"/><Relationship Type="http://schemas.openxmlformats.org/officeDocument/2006/relationships/hyperlink" Target="https://africanmarketingconfederation.org/smoke-archive/page-55" TargetMode="External" Id="rId114"/><Relationship Type="http://schemas.openxmlformats.org/officeDocument/2006/relationships/hyperlink" Target="https://africanmarketingconfederation.org/smoke-archive/page-56" TargetMode="External" Id="rId115"/><Relationship Type="http://schemas.openxmlformats.org/officeDocument/2006/relationships/hyperlink" Target="https://africanmarketingconfederation.org/smoke-archive/page-57" TargetMode="External" Id="rId116"/><Relationship Type="http://schemas.openxmlformats.org/officeDocument/2006/relationships/hyperlink" Target="https://africanmarketingconfederation.org/smoke-archive/page-58" TargetMode="External" Id="rId117"/><Relationship Type="http://schemas.openxmlformats.org/officeDocument/2006/relationships/hyperlink" Target="https://africanmarketingconfederation.org/smoke-archive/page-59" TargetMode="External" Id="rId118"/><Relationship Type="http://schemas.openxmlformats.org/officeDocument/2006/relationships/hyperlink" Target="https://africanmarketingconfederation.org/smoke-archive/page-6" TargetMode="External" Id="rId119"/><Relationship Type="http://schemas.openxmlformats.org/officeDocument/2006/relationships/hyperlink" Target="https://africanmarketingconfederation.org/smoke-archive/page-60" TargetMode="External" Id="rId120"/><Relationship Type="http://schemas.openxmlformats.org/officeDocument/2006/relationships/hyperlink" Target="https://africanmarketingconfederation.org/smoke-archive/page-61" TargetMode="External" Id="rId121"/><Relationship Type="http://schemas.openxmlformats.org/officeDocument/2006/relationships/hyperlink" Target="https://africanmarketingconfederation.org/smoke-archive/page-62" TargetMode="External" Id="rId122"/><Relationship Type="http://schemas.openxmlformats.org/officeDocument/2006/relationships/hyperlink" Target="https://africanmarketingconfederation.org/smoke-archive/page-63" TargetMode="External" Id="rId123"/><Relationship Type="http://schemas.openxmlformats.org/officeDocument/2006/relationships/hyperlink" Target="https://africanmarketingconfederation.org/smoke-archive/page-64" TargetMode="External" Id="rId124"/><Relationship Type="http://schemas.openxmlformats.org/officeDocument/2006/relationships/hyperlink" Target="https://africanmarketingconfederation.org/smoke-archive/page-65" TargetMode="External" Id="rId125"/><Relationship Type="http://schemas.openxmlformats.org/officeDocument/2006/relationships/hyperlink" Target="https://africanmarketingconfederation.org/smoke-archive/page-66" TargetMode="External" Id="rId126"/><Relationship Type="http://schemas.openxmlformats.org/officeDocument/2006/relationships/hyperlink" Target="https://africanmarketingconfederation.org/smoke-archive/page-67" TargetMode="External" Id="rId127"/><Relationship Type="http://schemas.openxmlformats.org/officeDocument/2006/relationships/hyperlink" Target="https://africanmarketingconfederation.org/smoke-archive/page-68" TargetMode="External" Id="rId128"/><Relationship Type="http://schemas.openxmlformats.org/officeDocument/2006/relationships/hyperlink" Target="https://africanmarketingconfederation.org/smoke-archive/page-69" TargetMode="External" Id="rId129"/><Relationship Type="http://schemas.openxmlformats.org/officeDocument/2006/relationships/hyperlink" Target="https://africanmarketingconfederation.org/smoke-archive/page-7" TargetMode="External" Id="rId130"/><Relationship Type="http://schemas.openxmlformats.org/officeDocument/2006/relationships/hyperlink" Target="https://africanmarketingconfederation.org/smoke-archive/page-70" TargetMode="External" Id="rId131"/><Relationship Type="http://schemas.openxmlformats.org/officeDocument/2006/relationships/hyperlink" Target="https://africanmarketingconfederation.org/smoke-archive/page-71" TargetMode="External" Id="rId132"/><Relationship Type="http://schemas.openxmlformats.org/officeDocument/2006/relationships/hyperlink" Target="https://africanmarketingconfederation.org/smoke-archive/page-72" TargetMode="External" Id="rId133"/><Relationship Type="http://schemas.openxmlformats.org/officeDocument/2006/relationships/hyperlink" Target="https://africanmarketingconfederation.org/smoke-archive/page-73" TargetMode="External" Id="rId134"/><Relationship Type="http://schemas.openxmlformats.org/officeDocument/2006/relationships/hyperlink" Target="https://africanmarketingconfederation.org/smoke-archive/page-74" TargetMode="External" Id="rId135"/><Relationship Type="http://schemas.openxmlformats.org/officeDocument/2006/relationships/hyperlink" Target="https://africanmarketingconfederation.org/smoke-archive/page-75" TargetMode="External" Id="rId136"/><Relationship Type="http://schemas.openxmlformats.org/officeDocument/2006/relationships/hyperlink" Target="https://africanmarketingconfederation.org/smoke-archive/page-76" TargetMode="External" Id="rId137"/><Relationship Type="http://schemas.openxmlformats.org/officeDocument/2006/relationships/hyperlink" Target="https://africanmarketingconfederation.org/smoke-archive/page-77" TargetMode="External" Id="rId138"/><Relationship Type="http://schemas.openxmlformats.org/officeDocument/2006/relationships/hyperlink" Target="https://africanmarketingconfederation.org/smoke-archive/page-78" TargetMode="External" Id="rId139"/><Relationship Type="http://schemas.openxmlformats.org/officeDocument/2006/relationships/hyperlink" Target="https://africanmarketingconfederation.org/smoke-archive/page-79" TargetMode="External" Id="rId140"/><Relationship Type="http://schemas.openxmlformats.org/officeDocument/2006/relationships/hyperlink" Target="https://africanmarketingconfederation.org/smoke-archive/page-8" TargetMode="External" Id="rId141"/><Relationship Type="http://schemas.openxmlformats.org/officeDocument/2006/relationships/hyperlink" Target="https://africanmarketingconfederation.org/smoke-archive/page-9" TargetMode="External" Id="rId142"/><Relationship Type="http://schemas.openxmlformats.org/officeDocument/2006/relationships/hyperlink" Target="https://africanmarketingconfederation.org/" TargetMode="External" Id="rId143"/><Relationship Type="http://schemas.openxmlformats.org/officeDocument/2006/relationships/hyperlink" Target="#'Main'!A1" TargetMode="External" Id="rId144"/><Relationship Type="http://schemas.openxmlformats.org/officeDocument/2006/relationships/hyperlink" Target="https://africanmarketingconfederation.org/" TargetMode="External" Id="rId145"/><Relationship Type="http://schemas.openxmlformats.org/officeDocument/2006/relationships/hyperlink" Target="https://africanmarketingconfederation.org/discovered-via-bfs-1" TargetMode="External" Id="rId146"/><Relationship Type="http://schemas.openxmlformats.org/officeDocument/2006/relationships/hyperlink" Target="#'Main'!A1" TargetMode="External" Id="rId147"/><Relationship Type="http://schemas.openxmlformats.org/officeDocument/2006/relationships/hyperlink" Target="https://africanmarketingconfederation.org/discovered-via-bfs-1" TargetMode="External" Id="rId148"/><Relationship Type="http://schemas.openxmlformats.org/officeDocument/2006/relationships/hyperlink" Target="https://africanmarketingconfederation.org/discovered-via-bfs-2" TargetMode="External" Id="rId149"/><Relationship Type="http://schemas.openxmlformats.org/officeDocument/2006/relationships/hyperlink" Target="#'Main'!A1" TargetMode="External" Id="rId150"/><Relationship Type="http://schemas.openxmlformats.org/officeDocument/2006/relationships/hyperlink" Target="https://africanmarketingconfederation.org/discovered-via-bfs-2" TargetMode="External" Id="rId151"/><Relationship Type="http://schemas.openxmlformats.org/officeDocument/2006/relationships/hyperlink" Target="https://africanmarketingconfederation.org/discovered-via-bfs-3" TargetMode="External" Id="rId152"/><Relationship Type="http://schemas.openxmlformats.org/officeDocument/2006/relationships/hyperlink" Target="#'Main'!A1" TargetMode="External" Id="rId153"/><Relationship Type="http://schemas.openxmlformats.org/officeDocument/2006/relationships/hyperlink" Target="https://africanmarketingconfederation.org/discovered-via-bfs-3" TargetMode="External" Id="rId154"/><Relationship Type="http://schemas.openxmlformats.org/officeDocument/2006/relationships/hyperlink" Target="https://africanmarketingconfederation.org/smoke-archive/page-1" TargetMode="External" Id="rId155"/><Relationship Type="http://schemas.openxmlformats.org/officeDocument/2006/relationships/hyperlink" Target="#'Main'!A1" TargetMode="External" Id="rId156"/><Relationship Type="http://schemas.openxmlformats.org/officeDocument/2006/relationships/hyperlink" Target="https://africanmarketingconfederation.org/smoke-archive/page-1" TargetMode="External" Id="rId157"/><Relationship Type="http://schemas.openxmlformats.org/officeDocument/2006/relationships/hyperlink" Target="https://africanmarketingconfederation.org/smoke-archive/page-10" TargetMode="External" Id="rId158"/><Relationship Type="http://schemas.openxmlformats.org/officeDocument/2006/relationships/hyperlink" Target="https://africanmarketingconfederation.org/smoke-archive/page-11" TargetMode="External" Id="rId159"/><Relationship Type="http://schemas.openxmlformats.org/officeDocument/2006/relationships/hyperlink" Target="#'Main'!A1" TargetMode="External" Id="rId160"/><Relationship Type="http://schemas.openxmlformats.org/officeDocument/2006/relationships/hyperlink" Target="https://africanmarketingconfederation.org/smoke-archive/page-11" TargetMode="External" Id="rId161"/><Relationship Type="http://schemas.openxmlformats.org/officeDocument/2006/relationships/hyperlink" Target="https://africanmarketingconfederation.org/smoke-archive/page-12" TargetMode="External" Id="rId162"/><Relationship Type="http://schemas.openxmlformats.org/officeDocument/2006/relationships/hyperlink" Target="#'Main'!A1" TargetMode="External" Id="rId163"/><Relationship Type="http://schemas.openxmlformats.org/officeDocument/2006/relationships/hyperlink" Target="https://africanmarketingconfederation.org/smoke-archive/page-12" TargetMode="External" Id="rId164"/><Relationship Type="http://schemas.openxmlformats.org/officeDocument/2006/relationships/hyperlink" Target="https://africanmarketingconfederation.org/smoke-archive/page-13" TargetMode="External" Id="rId165"/><Relationship Type="http://schemas.openxmlformats.org/officeDocument/2006/relationships/hyperlink" Target="#'Main'!A1" TargetMode="External" Id="rId166"/><Relationship Type="http://schemas.openxmlformats.org/officeDocument/2006/relationships/hyperlink" Target="https://africanmarketingconfederation.org/smoke-archive/page-13" TargetMode="External" Id="rId167"/><Relationship Type="http://schemas.openxmlformats.org/officeDocument/2006/relationships/hyperlink" Target="https://africanmarketingconfederation.org/smoke-archive/page-14" TargetMode="External" Id="rId168"/><Relationship Type="http://schemas.openxmlformats.org/officeDocument/2006/relationships/hyperlink" Target="#'Main'!A1" TargetMode="External" Id="rId169"/><Relationship Type="http://schemas.openxmlformats.org/officeDocument/2006/relationships/hyperlink" Target="https://africanmarketingconfederation.org/smoke-archive/page-14" TargetMode="External" Id="rId170"/><Relationship Type="http://schemas.openxmlformats.org/officeDocument/2006/relationships/hyperlink" Target="https://africanmarketingconfederation.org/smoke-archive/page-15" TargetMode="External" Id="rId171"/><Relationship Type="http://schemas.openxmlformats.org/officeDocument/2006/relationships/hyperlink" Target="https://africanmarketingconfederation.org/smoke-archive/page-16" TargetMode="External" Id="rId172"/><Relationship Type="http://schemas.openxmlformats.org/officeDocument/2006/relationships/hyperlink" Target="#'Main'!A1" TargetMode="External" Id="rId173"/><Relationship Type="http://schemas.openxmlformats.org/officeDocument/2006/relationships/hyperlink" Target="https://africanmarketingconfederation.org/smoke-archive/page-16" TargetMode="External" Id="rId174"/><Relationship Type="http://schemas.openxmlformats.org/officeDocument/2006/relationships/hyperlink" Target="https://africanmarketingconfederation.org/smoke-archive/page-17" TargetMode="External" Id="rId175"/><Relationship Type="http://schemas.openxmlformats.org/officeDocument/2006/relationships/hyperlink" Target="#'Main'!A1" TargetMode="External" Id="rId176"/><Relationship Type="http://schemas.openxmlformats.org/officeDocument/2006/relationships/hyperlink" Target="https://africanmarketingconfederation.org/smoke-archive/page-17" TargetMode="External" Id="rId177"/><Relationship Type="http://schemas.openxmlformats.org/officeDocument/2006/relationships/hyperlink" Target="https://africanmarketingconfederation.org/smoke-archive/page-18" TargetMode="External" Id="rId178"/><Relationship Type="http://schemas.openxmlformats.org/officeDocument/2006/relationships/hyperlink" Target="#'Main'!A1" TargetMode="External" Id="rId179"/><Relationship Type="http://schemas.openxmlformats.org/officeDocument/2006/relationships/hyperlink" Target="https://africanmarketingconfederation.org/smoke-archive/page-18" TargetMode="External" Id="rId180"/><Relationship Type="http://schemas.openxmlformats.org/officeDocument/2006/relationships/hyperlink" Target="https://africanmarketingconfederation.org/smoke-archive/page-19" TargetMode="External" Id="rId181"/><Relationship Type="http://schemas.openxmlformats.org/officeDocument/2006/relationships/hyperlink" Target="#'Main'!A1" TargetMode="External" Id="rId182"/><Relationship Type="http://schemas.openxmlformats.org/officeDocument/2006/relationships/hyperlink" Target="https://africanmarketingconfederation.org/smoke-archive/page-19" TargetMode="External" Id="rId183"/><Relationship Type="http://schemas.openxmlformats.org/officeDocument/2006/relationships/hyperlink" Target="https://africanmarketingconfederation.org/smoke-archive/page-2" TargetMode="External" Id="rId184"/><Relationship Type="http://schemas.openxmlformats.org/officeDocument/2006/relationships/hyperlink" Target="#'Main'!A1" TargetMode="External" Id="rId185"/><Relationship Type="http://schemas.openxmlformats.org/officeDocument/2006/relationships/hyperlink" Target="https://africanmarketingconfederation.org/smoke-archive/page-2" TargetMode="External" Id="rId186"/><Relationship Type="http://schemas.openxmlformats.org/officeDocument/2006/relationships/hyperlink" Target="https://africanmarketingconfederation.org/smoke-archive/page-20" TargetMode="External" Id="rId187"/><Relationship Type="http://schemas.openxmlformats.org/officeDocument/2006/relationships/hyperlink" Target="https://africanmarketingconfederation.org/smoke-archive/page-21" TargetMode="External" Id="rId188"/><Relationship Type="http://schemas.openxmlformats.org/officeDocument/2006/relationships/hyperlink" Target="#'Main'!A1" TargetMode="External" Id="rId189"/><Relationship Type="http://schemas.openxmlformats.org/officeDocument/2006/relationships/hyperlink" Target="https://africanmarketingconfederation.org/smoke-archive/page-21" TargetMode="External" Id="rId190"/><Relationship Type="http://schemas.openxmlformats.org/officeDocument/2006/relationships/hyperlink" Target="https://africanmarketingconfederation.org/smoke-archive/page-22" TargetMode="External" Id="rId191"/><Relationship Type="http://schemas.openxmlformats.org/officeDocument/2006/relationships/hyperlink" Target="#'Main'!A1" TargetMode="External" Id="rId192"/><Relationship Type="http://schemas.openxmlformats.org/officeDocument/2006/relationships/hyperlink" Target="https://africanmarketingconfederation.org/smoke-archive/page-22" TargetMode="External" Id="rId193"/><Relationship Type="http://schemas.openxmlformats.org/officeDocument/2006/relationships/hyperlink" Target="https://africanmarketingconfederation.org/smoke-archive/page-23" TargetMode="External" Id="rId194"/><Relationship Type="http://schemas.openxmlformats.org/officeDocument/2006/relationships/hyperlink" Target="#'Main'!A1" TargetMode="External" Id="rId195"/><Relationship Type="http://schemas.openxmlformats.org/officeDocument/2006/relationships/hyperlink" Target="https://africanmarketingconfederation.org/smoke-archive/page-23" TargetMode="External" Id="rId196"/><Relationship Type="http://schemas.openxmlformats.org/officeDocument/2006/relationships/hyperlink" Target="https://africanmarketingconfederation.org/smoke-archive/page-24" TargetMode="External" Id="rId197"/><Relationship Type="http://schemas.openxmlformats.org/officeDocument/2006/relationships/hyperlink" Target="#'Main'!A1" TargetMode="External" Id="rId198"/><Relationship Type="http://schemas.openxmlformats.org/officeDocument/2006/relationships/hyperlink" Target="https://africanmarketingconfederation.org/smoke-archive/page-24" TargetMode="External" Id="rId199"/><Relationship Type="http://schemas.openxmlformats.org/officeDocument/2006/relationships/hyperlink" Target="https://africanmarketingconfederation.org/smoke-archive/page-25" TargetMode="External" Id="rId200"/><Relationship Type="http://schemas.openxmlformats.org/officeDocument/2006/relationships/hyperlink" Target="https://africanmarketingconfederation.org/smoke-archive/page-26" TargetMode="External" Id="rId201"/><Relationship Type="http://schemas.openxmlformats.org/officeDocument/2006/relationships/hyperlink" Target="#'Main'!A1" TargetMode="External" Id="rId202"/><Relationship Type="http://schemas.openxmlformats.org/officeDocument/2006/relationships/hyperlink" Target="https://africanmarketingconfederation.org/smoke-archive/page-26" TargetMode="External" Id="rId203"/><Relationship Type="http://schemas.openxmlformats.org/officeDocument/2006/relationships/hyperlink" Target="https://africanmarketingconfederation.org/smoke-archive/page-27" TargetMode="External" Id="rId204"/><Relationship Type="http://schemas.openxmlformats.org/officeDocument/2006/relationships/hyperlink" Target="#'Main'!A1" TargetMode="External" Id="rId205"/><Relationship Type="http://schemas.openxmlformats.org/officeDocument/2006/relationships/hyperlink" Target="https://africanmarketingconfederation.org/smoke-archive/page-27" TargetMode="External" Id="rId206"/><Relationship Type="http://schemas.openxmlformats.org/officeDocument/2006/relationships/hyperlink" Target="https://africanmarketingconfederation.org/smoke-archive/page-28" TargetMode="External" Id="rId207"/><Relationship Type="http://schemas.openxmlformats.org/officeDocument/2006/relationships/hyperlink" Target="#'Main'!A1" TargetMode="External" Id="rId208"/><Relationship Type="http://schemas.openxmlformats.org/officeDocument/2006/relationships/hyperlink" Target="https://africanmarketingconfederation.org/smoke-archive/page-28" TargetMode="External" Id="rId209"/><Relationship Type="http://schemas.openxmlformats.org/officeDocument/2006/relationships/hyperlink" Target="https://africanmarketingconfederation.org/smoke-archive/page-29" TargetMode="External" Id="rId210"/><Relationship Type="http://schemas.openxmlformats.org/officeDocument/2006/relationships/hyperlink" Target="#'Main'!A1" TargetMode="External" Id="rId211"/><Relationship Type="http://schemas.openxmlformats.org/officeDocument/2006/relationships/hyperlink" Target="https://africanmarketingconfederation.org/smoke-archive/page-29" TargetMode="External" Id="rId212"/><Relationship Type="http://schemas.openxmlformats.org/officeDocument/2006/relationships/hyperlink" Target="https://africanmarketingconfederation.org/smoke-archive/page-3" TargetMode="External" Id="rId213"/><Relationship Type="http://schemas.openxmlformats.org/officeDocument/2006/relationships/hyperlink" Target="#'Main'!A1" TargetMode="External" Id="rId214"/><Relationship Type="http://schemas.openxmlformats.org/officeDocument/2006/relationships/hyperlink" Target="https://africanmarketingconfederation.org/smoke-archive/page-3" TargetMode="External" Id="rId215"/><Relationship Type="http://schemas.openxmlformats.org/officeDocument/2006/relationships/hyperlink" Target="https://africanmarketingconfederation.org/smoke-archive/page-30" TargetMode="External" Id="rId216"/><Relationship Type="http://schemas.openxmlformats.org/officeDocument/2006/relationships/hyperlink" Target="https://africanmarketingconfederation.org/smoke-archive/page-31" TargetMode="External" Id="rId217"/><Relationship Type="http://schemas.openxmlformats.org/officeDocument/2006/relationships/hyperlink" Target="#'Main'!A1" TargetMode="External" Id="rId218"/><Relationship Type="http://schemas.openxmlformats.org/officeDocument/2006/relationships/hyperlink" Target="https://africanmarketingconfederation.org/smoke-archive/page-31" TargetMode="External" Id="rId219"/><Relationship Type="http://schemas.openxmlformats.org/officeDocument/2006/relationships/hyperlink" Target="https://africanmarketingconfederation.org/smoke-archive/page-32" TargetMode="External" Id="rId220"/><Relationship Type="http://schemas.openxmlformats.org/officeDocument/2006/relationships/hyperlink" Target="#'Main'!A1" TargetMode="External" Id="rId221"/><Relationship Type="http://schemas.openxmlformats.org/officeDocument/2006/relationships/hyperlink" Target="https://africanmarketingconfederation.org/smoke-archive/page-32" TargetMode="External" Id="rId222"/><Relationship Type="http://schemas.openxmlformats.org/officeDocument/2006/relationships/hyperlink" Target="https://africanmarketingconfederation.org/smoke-archive/page-33" TargetMode="External" Id="rId223"/><Relationship Type="http://schemas.openxmlformats.org/officeDocument/2006/relationships/hyperlink" Target="#'Main'!A1" TargetMode="External" Id="rId224"/><Relationship Type="http://schemas.openxmlformats.org/officeDocument/2006/relationships/hyperlink" Target="https://africanmarketingconfederation.org/smoke-archive/page-33" TargetMode="External" Id="rId225"/><Relationship Type="http://schemas.openxmlformats.org/officeDocument/2006/relationships/hyperlink" Target="https://africanmarketingconfederation.org/smoke-archive/page-34" TargetMode="External" Id="rId226"/><Relationship Type="http://schemas.openxmlformats.org/officeDocument/2006/relationships/hyperlink" Target="#'Main'!A1" TargetMode="External" Id="rId227"/><Relationship Type="http://schemas.openxmlformats.org/officeDocument/2006/relationships/hyperlink" Target="https://africanmarketingconfederation.org/smoke-archive/page-34" TargetMode="External" Id="rId228"/><Relationship Type="http://schemas.openxmlformats.org/officeDocument/2006/relationships/hyperlink" Target="https://africanmarketingconfederation.org/smoke-archive/page-35" TargetMode="External" Id="rId229"/><Relationship Type="http://schemas.openxmlformats.org/officeDocument/2006/relationships/hyperlink" Target="https://africanmarketingconfederation.org/smoke-archive/page-36" TargetMode="External" Id="rId230"/><Relationship Type="http://schemas.openxmlformats.org/officeDocument/2006/relationships/hyperlink" Target="#'Main'!A1" TargetMode="External" Id="rId231"/><Relationship Type="http://schemas.openxmlformats.org/officeDocument/2006/relationships/hyperlink" Target="https://africanmarketingconfederation.org/smoke-archive/page-36" TargetMode="External" Id="rId232"/><Relationship Type="http://schemas.openxmlformats.org/officeDocument/2006/relationships/hyperlink" Target="https://africanmarketingconfederation.org/smoke-archive/page-37" TargetMode="External" Id="rId233"/><Relationship Type="http://schemas.openxmlformats.org/officeDocument/2006/relationships/hyperlink" Target="#'Main'!A1" TargetMode="External" Id="rId234"/><Relationship Type="http://schemas.openxmlformats.org/officeDocument/2006/relationships/hyperlink" Target="https://africanmarketingconfederation.org/smoke-archive/page-37" TargetMode="External" Id="rId235"/><Relationship Type="http://schemas.openxmlformats.org/officeDocument/2006/relationships/hyperlink" Target="https://africanmarketingconfederation.org/smoke-archive/page-38" TargetMode="External" Id="rId236"/><Relationship Type="http://schemas.openxmlformats.org/officeDocument/2006/relationships/hyperlink" Target="#'Main'!A1" TargetMode="External" Id="rId237"/><Relationship Type="http://schemas.openxmlformats.org/officeDocument/2006/relationships/hyperlink" Target="https://africanmarketingconfederation.org/smoke-archive/page-38" TargetMode="External" Id="rId238"/><Relationship Type="http://schemas.openxmlformats.org/officeDocument/2006/relationships/hyperlink" Target="https://africanmarketingconfederation.org/smoke-archive/page-39" TargetMode="External" Id="rId239"/><Relationship Type="http://schemas.openxmlformats.org/officeDocument/2006/relationships/hyperlink" Target="#'Main'!A1" TargetMode="External" Id="rId240"/><Relationship Type="http://schemas.openxmlformats.org/officeDocument/2006/relationships/hyperlink" Target="https://africanmarketingconfederation.org/smoke-archive/page-39" TargetMode="External" Id="rId241"/><Relationship Type="http://schemas.openxmlformats.org/officeDocument/2006/relationships/hyperlink" Target="https://africanmarketingconfederation.org/smoke-archive/page-4" TargetMode="External" Id="rId242"/><Relationship Type="http://schemas.openxmlformats.org/officeDocument/2006/relationships/hyperlink" Target="#'Main'!A1" TargetMode="External" Id="rId243"/><Relationship Type="http://schemas.openxmlformats.org/officeDocument/2006/relationships/hyperlink" Target="https://africanmarketingconfederation.org/smoke-archive/page-4" TargetMode="External" Id="rId244"/><Relationship Type="http://schemas.openxmlformats.org/officeDocument/2006/relationships/hyperlink" Target="https://africanmarketingconfederation.org/smoke-archive/page-40" TargetMode="External" Id="rId245"/><Relationship Type="http://schemas.openxmlformats.org/officeDocument/2006/relationships/hyperlink" Target="https://africanmarketingconfederation.org/smoke-archive/page-41" TargetMode="External" Id="rId246"/><Relationship Type="http://schemas.openxmlformats.org/officeDocument/2006/relationships/hyperlink" Target="#'Main'!A1" TargetMode="External" Id="rId247"/><Relationship Type="http://schemas.openxmlformats.org/officeDocument/2006/relationships/hyperlink" Target="https://africanmarketingconfederation.org/smoke-archive/page-41" TargetMode="External" Id="rId248"/><Relationship Type="http://schemas.openxmlformats.org/officeDocument/2006/relationships/hyperlink" Target="https://africanmarketingconfederation.org/smoke-archive/page-42" TargetMode="External" Id="rId249"/><Relationship Type="http://schemas.openxmlformats.org/officeDocument/2006/relationships/hyperlink" Target="#'Main'!A1" TargetMode="External" Id="rId250"/><Relationship Type="http://schemas.openxmlformats.org/officeDocument/2006/relationships/hyperlink" Target="https://africanmarketingconfederation.org/smoke-archive/page-42" TargetMode="External" Id="rId251"/><Relationship Type="http://schemas.openxmlformats.org/officeDocument/2006/relationships/hyperlink" Target="https://africanmarketingconfederation.org/smoke-archive/page-43" TargetMode="External" Id="rId252"/><Relationship Type="http://schemas.openxmlformats.org/officeDocument/2006/relationships/hyperlink" Target="#'Main'!A1" TargetMode="External" Id="rId253"/><Relationship Type="http://schemas.openxmlformats.org/officeDocument/2006/relationships/hyperlink" Target="https://africanmarketingconfederation.org/smoke-archive/page-43" TargetMode="External" Id="rId254"/><Relationship Type="http://schemas.openxmlformats.org/officeDocument/2006/relationships/hyperlink" Target="https://africanmarketingconfederation.org/smoke-archive/page-44" TargetMode="External" Id="rId255"/><Relationship Type="http://schemas.openxmlformats.org/officeDocument/2006/relationships/hyperlink" Target="#'Main'!A1" TargetMode="External" Id="rId256"/><Relationship Type="http://schemas.openxmlformats.org/officeDocument/2006/relationships/hyperlink" Target="https://africanmarketingconfederation.org/smoke-archive/page-44" TargetMode="External" Id="rId257"/><Relationship Type="http://schemas.openxmlformats.org/officeDocument/2006/relationships/hyperlink" Target="https://africanmarketingconfederation.org/smoke-archive/page-45" TargetMode="External" Id="rId258"/><Relationship Type="http://schemas.openxmlformats.org/officeDocument/2006/relationships/hyperlink" Target="https://africanmarketingconfederation.org/smoke-archive/page-46" TargetMode="External" Id="rId259"/><Relationship Type="http://schemas.openxmlformats.org/officeDocument/2006/relationships/hyperlink" Target="#'Main'!A1" TargetMode="External" Id="rId260"/><Relationship Type="http://schemas.openxmlformats.org/officeDocument/2006/relationships/hyperlink" Target="https://africanmarketingconfederation.org/smoke-archive/page-46" TargetMode="External" Id="rId261"/><Relationship Type="http://schemas.openxmlformats.org/officeDocument/2006/relationships/hyperlink" Target="https://africanmarketingconfederation.org/smoke-archive/page-47" TargetMode="External" Id="rId262"/><Relationship Type="http://schemas.openxmlformats.org/officeDocument/2006/relationships/hyperlink" Target="#'Main'!A1" TargetMode="External" Id="rId263"/><Relationship Type="http://schemas.openxmlformats.org/officeDocument/2006/relationships/hyperlink" Target="https://africanmarketingconfederation.org/smoke-archive/page-47" TargetMode="External" Id="rId264"/><Relationship Type="http://schemas.openxmlformats.org/officeDocument/2006/relationships/hyperlink" Target="https://africanmarketingconfederation.org/smoke-archive/page-48" TargetMode="External" Id="rId265"/><Relationship Type="http://schemas.openxmlformats.org/officeDocument/2006/relationships/hyperlink" Target="#'Main'!A1" TargetMode="External" Id="rId266"/><Relationship Type="http://schemas.openxmlformats.org/officeDocument/2006/relationships/hyperlink" Target="https://africanmarketingconfederation.org/smoke-archive/page-48" TargetMode="External" Id="rId267"/><Relationship Type="http://schemas.openxmlformats.org/officeDocument/2006/relationships/hyperlink" Target="https://africanmarketingconfederation.org/smoke-archive/page-49" TargetMode="External" Id="rId268"/><Relationship Type="http://schemas.openxmlformats.org/officeDocument/2006/relationships/hyperlink" Target="#'Main'!A1" TargetMode="External" Id="rId269"/><Relationship Type="http://schemas.openxmlformats.org/officeDocument/2006/relationships/hyperlink" Target="https://africanmarketingconfederation.org/smoke-archive/page-49" TargetMode="External" Id="rId270"/><Relationship Type="http://schemas.openxmlformats.org/officeDocument/2006/relationships/hyperlink" Target="https://africanmarketingconfederation.org/smoke-archive/page-5" TargetMode="External" Id="rId271"/><Relationship Type="http://schemas.openxmlformats.org/officeDocument/2006/relationships/hyperlink" Target="https://africanmarketingconfederation.org/smoke-archive/page-50" TargetMode="External" Id="rId272"/><Relationship Type="http://schemas.openxmlformats.org/officeDocument/2006/relationships/hyperlink" Target="https://africanmarketingconfederation.org/smoke-archive/page-51" TargetMode="External" Id="rId273"/><Relationship Type="http://schemas.openxmlformats.org/officeDocument/2006/relationships/hyperlink" Target="#'Main'!A1" TargetMode="External" Id="rId274"/><Relationship Type="http://schemas.openxmlformats.org/officeDocument/2006/relationships/hyperlink" Target="https://africanmarketingconfederation.org/smoke-archive/page-51" TargetMode="External" Id="rId275"/><Relationship Type="http://schemas.openxmlformats.org/officeDocument/2006/relationships/hyperlink" Target="https://africanmarketingconfederation.org/smoke-archive/page-52" TargetMode="External" Id="rId276"/><Relationship Type="http://schemas.openxmlformats.org/officeDocument/2006/relationships/hyperlink" Target="#'Main'!A1" TargetMode="External" Id="rId277"/><Relationship Type="http://schemas.openxmlformats.org/officeDocument/2006/relationships/hyperlink" Target="https://africanmarketingconfederation.org/smoke-archive/page-52" TargetMode="External" Id="rId278"/><Relationship Type="http://schemas.openxmlformats.org/officeDocument/2006/relationships/hyperlink" Target="https://africanmarketingconfederation.org/smoke-archive/page-53" TargetMode="External" Id="rId279"/><Relationship Type="http://schemas.openxmlformats.org/officeDocument/2006/relationships/hyperlink" Target="#'Main'!A1" TargetMode="External" Id="rId280"/><Relationship Type="http://schemas.openxmlformats.org/officeDocument/2006/relationships/hyperlink" Target="https://africanmarketingconfederation.org/smoke-archive/page-53" TargetMode="External" Id="rId281"/><Relationship Type="http://schemas.openxmlformats.org/officeDocument/2006/relationships/hyperlink" Target="https://africanmarketingconfederation.org/smoke-archive/page-54" TargetMode="External" Id="rId282"/><Relationship Type="http://schemas.openxmlformats.org/officeDocument/2006/relationships/hyperlink" Target="#'Main'!A1" TargetMode="External" Id="rId283"/><Relationship Type="http://schemas.openxmlformats.org/officeDocument/2006/relationships/hyperlink" Target="https://africanmarketingconfederation.org/smoke-archive/page-54" TargetMode="External" Id="rId284"/><Relationship Type="http://schemas.openxmlformats.org/officeDocument/2006/relationships/hyperlink" Target="https://africanmarketingconfederation.org/smoke-archive/page-55" TargetMode="External" Id="rId285"/><Relationship Type="http://schemas.openxmlformats.org/officeDocument/2006/relationships/hyperlink" Target="https://africanmarketingconfederation.org/smoke-archive/page-56" TargetMode="External" Id="rId286"/><Relationship Type="http://schemas.openxmlformats.org/officeDocument/2006/relationships/hyperlink" Target="#'Main'!A1" TargetMode="External" Id="rId287"/><Relationship Type="http://schemas.openxmlformats.org/officeDocument/2006/relationships/hyperlink" Target="https://africanmarketingconfederation.org/smoke-archive/page-56" TargetMode="External" Id="rId288"/><Relationship Type="http://schemas.openxmlformats.org/officeDocument/2006/relationships/hyperlink" Target="https://africanmarketingconfederation.org/smoke-archive/page-57" TargetMode="External" Id="rId289"/><Relationship Type="http://schemas.openxmlformats.org/officeDocument/2006/relationships/hyperlink" Target="#'Main'!A1" TargetMode="External" Id="rId290"/><Relationship Type="http://schemas.openxmlformats.org/officeDocument/2006/relationships/hyperlink" Target="https://africanmarketingconfederation.org/smoke-archive/page-57" TargetMode="External" Id="rId291"/><Relationship Type="http://schemas.openxmlformats.org/officeDocument/2006/relationships/hyperlink" Target="https://africanmarketingconfederation.org/smoke-archive/page-58" TargetMode="External" Id="rId292"/><Relationship Type="http://schemas.openxmlformats.org/officeDocument/2006/relationships/hyperlink" Target="#'Main'!A1" TargetMode="External" Id="rId293"/><Relationship Type="http://schemas.openxmlformats.org/officeDocument/2006/relationships/hyperlink" Target="https://africanmarketingconfederation.org/smoke-archive/page-58" TargetMode="External" Id="rId294"/><Relationship Type="http://schemas.openxmlformats.org/officeDocument/2006/relationships/hyperlink" Target="https://africanmarketingconfederation.org/smoke-archive/page-59" TargetMode="External" Id="rId295"/><Relationship Type="http://schemas.openxmlformats.org/officeDocument/2006/relationships/hyperlink" Target="#'Main'!A1" TargetMode="External" Id="rId296"/><Relationship Type="http://schemas.openxmlformats.org/officeDocument/2006/relationships/hyperlink" Target="https://africanmarketingconfederation.org/smoke-archive/page-59" TargetMode="External" Id="rId297"/><Relationship Type="http://schemas.openxmlformats.org/officeDocument/2006/relationships/hyperlink" Target="https://africanmarketingconfederation.org/smoke-archive/page-6" TargetMode="External" Id="rId298"/><Relationship Type="http://schemas.openxmlformats.org/officeDocument/2006/relationships/hyperlink" Target="#'Main'!A1" TargetMode="External" Id="rId299"/><Relationship Type="http://schemas.openxmlformats.org/officeDocument/2006/relationships/hyperlink" Target="https://africanmarketingconfederation.org/smoke-archive/page-6" TargetMode="External" Id="rId300"/><Relationship Type="http://schemas.openxmlformats.org/officeDocument/2006/relationships/hyperlink" Target="https://africanmarketingconfederation.org/smoke-archive/page-60" TargetMode="External" Id="rId301"/><Relationship Type="http://schemas.openxmlformats.org/officeDocument/2006/relationships/hyperlink" Target="https://africanmarketingconfederation.org/smoke-archive/page-61" TargetMode="External" Id="rId302"/><Relationship Type="http://schemas.openxmlformats.org/officeDocument/2006/relationships/hyperlink" Target="#'Main'!A1" TargetMode="External" Id="rId303"/><Relationship Type="http://schemas.openxmlformats.org/officeDocument/2006/relationships/hyperlink" Target="https://africanmarketingconfederation.org/smoke-archive/page-61" TargetMode="External" Id="rId304"/><Relationship Type="http://schemas.openxmlformats.org/officeDocument/2006/relationships/hyperlink" Target="https://africanmarketingconfederation.org/smoke-archive/page-62" TargetMode="External" Id="rId305"/><Relationship Type="http://schemas.openxmlformats.org/officeDocument/2006/relationships/hyperlink" Target="#'Main'!A1" TargetMode="External" Id="rId306"/><Relationship Type="http://schemas.openxmlformats.org/officeDocument/2006/relationships/hyperlink" Target="https://africanmarketingconfederation.org/smoke-archive/page-62" TargetMode="External" Id="rId307"/><Relationship Type="http://schemas.openxmlformats.org/officeDocument/2006/relationships/hyperlink" Target="https://africanmarketingconfederation.org/smoke-archive/page-63" TargetMode="External" Id="rId308"/><Relationship Type="http://schemas.openxmlformats.org/officeDocument/2006/relationships/hyperlink" Target="#'Main'!A1" TargetMode="External" Id="rId309"/><Relationship Type="http://schemas.openxmlformats.org/officeDocument/2006/relationships/hyperlink" Target="https://africanmarketingconfederation.org/smoke-archive/page-63" TargetMode="External" Id="rId310"/><Relationship Type="http://schemas.openxmlformats.org/officeDocument/2006/relationships/hyperlink" Target="https://africanmarketingconfederation.org/smoke-archive/page-64" TargetMode="External" Id="rId311"/><Relationship Type="http://schemas.openxmlformats.org/officeDocument/2006/relationships/hyperlink" Target="#'Main'!A1" TargetMode="External" Id="rId312"/><Relationship Type="http://schemas.openxmlformats.org/officeDocument/2006/relationships/hyperlink" Target="https://africanmarketingconfederation.org/smoke-archive/page-64" TargetMode="External" Id="rId313"/><Relationship Type="http://schemas.openxmlformats.org/officeDocument/2006/relationships/hyperlink" Target="https://africanmarketingconfederation.org/smoke-archive/page-65" TargetMode="External" Id="rId314"/><Relationship Type="http://schemas.openxmlformats.org/officeDocument/2006/relationships/hyperlink" Target="https://africanmarketingconfederation.org/smoke-archive/page-66" TargetMode="External" Id="rId315"/><Relationship Type="http://schemas.openxmlformats.org/officeDocument/2006/relationships/hyperlink" Target="#'Main'!A1" TargetMode="External" Id="rId316"/><Relationship Type="http://schemas.openxmlformats.org/officeDocument/2006/relationships/hyperlink" Target="https://africanmarketingconfederation.org/smoke-archive/page-66" TargetMode="External" Id="rId317"/><Relationship Type="http://schemas.openxmlformats.org/officeDocument/2006/relationships/hyperlink" Target="https://africanmarketingconfederation.org/smoke-archive/page-67" TargetMode="External" Id="rId318"/><Relationship Type="http://schemas.openxmlformats.org/officeDocument/2006/relationships/hyperlink" Target="#'Main'!A1" TargetMode="External" Id="rId319"/><Relationship Type="http://schemas.openxmlformats.org/officeDocument/2006/relationships/hyperlink" Target="https://africanmarketingconfederation.org/smoke-archive/page-67" TargetMode="External" Id="rId320"/><Relationship Type="http://schemas.openxmlformats.org/officeDocument/2006/relationships/hyperlink" Target="https://africanmarketingconfederation.org/smoke-archive/page-68" TargetMode="External" Id="rId321"/><Relationship Type="http://schemas.openxmlformats.org/officeDocument/2006/relationships/hyperlink" Target="#'Main'!A1" TargetMode="External" Id="rId322"/><Relationship Type="http://schemas.openxmlformats.org/officeDocument/2006/relationships/hyperlink" Target="https://africanmarketingconfederation.org/smoke-archive/page-68" TargetMode="External" Id="rId323"/><Relationship Type="http://schemas.openxmlformats.org/officeDocument/2006/relationships/hyperlink" Target="https://africanmarketingconfederation.org/smoke-archive/page-69" TargetMode="External" Id="rId324"/><Relationship Type="http://schemas.openxmlformats.org/officeDocument/2006/relationships/hyperlink" Target="#'Main'!A1" TargetMode="External" Id="rId325"/><Relationship Type="http://schemas.openxmlformats.org/officeDocument/2006/relationships/hyperlink" Target="https://africanmarketingconfederation.org/smoke-archive/page-69" TargetMode="External" Id="rId326"/><Relationship Type="http://schemas.openxmlformats.org/officeDocument/2006/relationships/hyperlink" Target="https://africanmarketingconfederation.org/smoke-archive/page-7" TargetMode="External" Id="rId327"/><Relationship Type="http://schemas.openxmlformats.org/officeDocument/2006/relationships/hyperlink" Target="#'Main'!A1" TargetMode="External" Id="rId328"/><Relationship Type="http://schemas.openxmlformats.org/officeDocument/2006/relationships/hyperlink" Target="https://africanmarketingconfederation.org/smoke-archive/page-7" TargetMode="External" Id="rId329"/><Relationship Type="http://schemas.openxmlformats.org/officeDocument/2006/relationships/hyperlink" Target="https://africanmarketingconfederation.org/smoke-archive/page-70" TargetMode="External" Id="rId330"/><Relationship Type="http://schemas.openxmlformats.org/officeDocument/2006/relationships/hyperlink" Target="https://africanmarketingconfederation.org/smoke-archive/page-71" TargetMode="External" Id="rId331"/><Relationship Type="http://schemas.openxmlformats.org/officeDocument/2006/relationships/hyperlink" Target="#'Main'!A1" TargetMode="External" Id="rId332"/><Relationship Type="http://schemas.openxmlformats.org/officeDocument/2006/relationships/hyperlink" Target="https://africanmarketingconfederation.org/smoke-archive/page-71" TargetMode="External" Id="rId333"/><Relationship Type="http://schemas.openxmlformats.org/officeDocument/2006/relationships/hyperlink" Target="https://africanmarketingconfederation.org/smoke-archive/page-72" TargetMode="External" Id="rId334"/><Relationship Type="http://schemas.openxmlformats.org/officeDocument/2006/relationships/hyperlink" Target="#'Main'!A1" TargetMode="External" Id="rId335"/><Relationship Type="http://schemas.openxmlformats.org/officeDocument/2006/relationships/hyperlink" Target="https://africanmarketingconfederation.org/smoke-archive/page-72" TargetMode="External" Id="rId336"/><Relationship Type="http://schemas.openxmlformats.org/officeDocument/2006/relationships/hyperlink" Target="https://africanmarketingconfederation.org/smoke-archive/page-73" TargetMode="External" Id="rId337"/><Relationship Type="http://schemas.openxmlformats.org/officeDocument/2006/relationships/hyperlink" Target="#'Main'!A1" TargetMode="External" Id="rId338"/><Relationship Type="http://schemas.openxmlformats.org/officeDocument/2006/relationships/hyperlink" Target="https://africanmarketingconfederation.org/smoke-archive/page-73" TargetMode="External" Id="rId339"/><Relationship Type="http://schemas.openxmlformats.org/officeDocument/2006/relationships/hyperlink" Target="https://africanmarketingconfederation.org/smoke-archive/page-74" TargetMode="External" Id="rId340"/><Relationship Type="http://schemas.openxmlformats.org/officeDocument/2006/relationships/hyperlink" Target="#'Main'!A1" TargetMode="External" Id="rId341"/><Relationship Type="http://schemas.openxmlformats.org/officeDocument/2006/relationships/hyperlink" Target="https://africanmarketingconfederation.org/smoke-archive/page-74" TargetMode="External" Id="rId342"/><Relationship Type="http://schemas.openxmlformats.org/officeDocument/2006/relationships/hyperlink" Target="https://africanmarketingconfederation.org/smoke-archive/page-75" TargetMode="External" Id="rId343"/><Relationship Type="http://schemas.openxmlformats.org/officeDocument/2006/relationships/hyperlink" Target="https://africanmarketingconfederation.org/smoke-archive/page-76" TargetMode="External" Id="rId344"/><Relationship Type="http://schemas.openxmlformats.org/officeDocument/2006/relationships/hyperlink" Target="#'Main'!A1" TargetMode="External" Id="rId345"/><Relationship Type="http://schemas.openxmlformats.org/officeDocument/2006/relationships/hyperlink" Target="https://africanmarketingconfederation.org/smoke-archive/page-76" TargetMode="External" Id="rId346"/><Relationship Type="http://schemas.openxmlformats.org/officeDocument/2006/relationships/hyperlink" Target="https://africanmarketingconfederation.org/smoke-archive/page-77" TargetMode="External" Id="rId347"/><Relationship Type="http://schemas.openxmlformats.org/officeDocument/2006/relationships/hyperlink" Target="#'Main'!A1" TargetMode="External" Id="rId348"/><Relationship Type="http://schemas.openxmlformats.org/officeDocument/2006/relationships/hyperlink" Target="https://africanmarketingconfederation.org/smoke-archive/page-77" TargetMode="External" Id="rId349"/><Relationship Type="http://schemas.openxmlformats.org/officeDocument/2006/relationships/hyperlink" Target="https://africanmarketingconfederation.org/smoke-archive/page-78" TargetMode="External" Id="rId350"/><Relationship Type="http://schemas.openxmlformats.org/officeDocument/2006/relationships/hyperlink" Target="#'Main'!A1" TargetMode="External" Id="rId351"/><Relationship Type="http://schemas.openxmlformats.org/officeDocument/2006/relationships/hyperlink" Target="https://africanmarketingconfederation.org/smoke-archive/page-78" TargetMode="External" Id="rId352"/><Relationship Type="http://schemas.openxmlformats.org/officeDocument/2006/relationships/hyperlink" Target="https://africanmarketingconfederation.org/smoke-archive/page-79" TargetMode="External" Id="rId353"/><Relationship Type="http://schemas.openxmlformats.org/officeDocument/2006/relationships/hyperlink" Target="#'Main'!A1" TargetMode="External" Id="rId354"/><Relationship Type="http://schemas.openxmlformats.org/officeDocument/2006/relationships/hyperlink" Target="https://africanmarketingconfederation.org/smoke-archive/page-79" TargetMode="External" Id="rId355"/><Relationship Type="http://schemas.openxmlformats.org/officeDocument/2006/relationships/hyperlink" Target="https://africanmarketingconfederation.org/smoke-archive/page-8" TargetMode="External" Id="rId356"/><Relationship Type="http://schemas.openxmlformats.org/officeDocument/2006/relationships/hyperlink" Target="#'Main'!A1" TargetMode="External" Id="rId357"/><Relationship Type="http://schemas.openxmlformats.org/officeDocument/2006/relationships/hyperlink" Target="https://africanmarketingconfederation.org/smoke-archive/page-8" TargetMode="External" Id="rId358"/><Relationship Type="http://schemas.openxmlformats.org/officeDocument/2006/relationships/hyperlink" Target="https://africanmarketingconfederation.org/smoke-archive/page-9" TargetMode="External" Id="rId359"/><Relationship Type="http://schemas.openxmlformats.org/officeDocument/2006/relationships/hyperlink" Target="#'Main'!A1" TargetMode="External" Id="rId360"/><Relationship Type="http://schemas.openxmlformats.org/officeDocument/2006/relationships/hyperlink" Target="https://africanmarketingconfederation.org/smoke-archive/page-9" TargetMode="External" Id="rId361"/><Relationship Type="http://schemas.openxmlformats.org/officeDocument/2006/relationships/hyperlink" Target="https://africanmarketingconfederation.org/discovered-via-bfs-1" TargetMode="External" Id="rId362"/><Relationship Type="http://schemas.openxmlformats.org/officeDocument/2006/relationships/hyperlink" Target="https://africanmarketingconfederation.org/smoke-archive/page-18" TargetMode="External" Id="rId363"/><Relationship Type="http://schemas.openxmlformats.org/officeDocument/2006/relationships/hyperlink" Target="https://africanmarketingconfederation.org/smoke-archive/page-27" TargetMode="External" Id="rId364"/><Relationship Type="http://schemas.openxmlformats.org/officeDocument/2006/relationships/hyperlink" Target="https://africanmarketingconfederation.org/smoke-archive/page-36" TargetMode="External" Id="rId365"/><Relationship Type="http://schemas.openxmlformats.org/officeDocument/2006/relationships/hyperlink" Target="https://africanmarketingconfederation.org/smoke-archive/page-45" TargetMode="External" Id="rId366"/><Relationship Type="http://schemas.openxmlformats.org/officeDocument/2006/relationships/hyperlink" Target="https://africanmarketingconfederation.org/smoke-archive/page-54" TargetMode="External" Id="rId367"/><Relationship Type="http://schemas.openxmlformats.org/officeDocument/2006/relationships/hyperlink" Target="https://africanmarketingconfederation.org/smoke-archive/page-63" TargetMode="External" Id="rId368"/><Relationship Type="http://schemas.openxmlformats.org/officeDocument/2006/relationships/hyperlink" Target="https://africanmarketingconfederation.org/smoke-archive/page-72" TargetMode="External" Id="rId369"/><Relationship Type="http://schemas.openxmlformats.org/officeDocument/2006/relationships/hyperlink" Target="https://africanmarketingconfederation.org/smoke-archive/page-9" TargetMode="External" Id="rId370"/><Relationship Type="http://schemas.openxmlformats.org/officeDocument/2006/relationships/hyperlink" Target="https://africanmarketingconfederation.org/discovered-via-bfs-1" TargetMode="External" Id="rId371"/><Relationship Type="http://schemas.openxmlformats.org/officeDocument/2006/relationships/hyperlink" Target="https://africanmarketingconfederation.org/smoke-archive/page-18" TargetMode="External" Id="rId372"/><Relationship Type="http://schemas.openxmlformats.org/officeDocument/2006/relationships/hyperlink" Target="https://africanmarketingconfederation.org/smoke-archive/page-27" TargetMode="External" Id="rId373"/><Relationship Type="http://schemas.openxmlformats.org/officeDocument/2006/relationships/hyperlink" Target="https://africanmarketingconfederation.org/smoke-archive/page-36" TargetMode="External" Id="rId374"/><Relationship Type="http://schemas.openxmlformats.org/officeDocument/2006/relationships/hyperlink" Target="https://africanmarketingconfederation.org/smoke-archive/page-45" TargetMode="External" Id="rId375"/><Relationship Type="http://schemas.openxmlformats.org/officeDocument/2006/relationships/hyperlink" Target="https://africanmarketingconfederation.org/smoke-archive/page-54" TargetMode="External" Id="rId376"/><Relationship Type="http://schemas.openxmlformats.org/officeDocument/2006/relationships/hyperlink" Target="https://africanmarketingconfederation.org/smoke-archive/page-63" TargetMode="External" Id="rId377"/><Relationship Type="http://schemas.openxmlformats.org/officeDocument/2006/relationships/hyperlink" Target="https://africanmarketingconfederation.org/smoke-archive/page-72" TargetMode="External" Id="rId378"/><Relationship Type="http://schemas.openxmlformats.org/officeDocument/2006/relationships/hyperlink" Target="https://africanmarketingconfederation.org/smoke-archive/page-9" TargetMode="External" Id="rId379"/><Relationship Type="http://schemas.openxmlformats.org/officeDocument/2006/relationships/hyperlink" Target="https://africanmarketingconfederation.org/discovered-via-bfs-1" TargetMode="External" Id="rId380"/><Relationship Type="http://schemas.openxmlformats.org/officeDocument/2006/relationships/hyperlink" Target="https://africanmarketingconfederation.org/smoke-archive/page-18" TargetMode="External" Id="rId381"/><Relationship Type="http://schemas.openxmlformats.org/officeDocument/2006/relationships/hyperlink" Target="https://africanmarketingconfederation.org/smoke-archive/page-27" TargetMode="External" Id="rId382"/><Relationship Type="http://schemas.openxmlformats.org/officeDocument/2006/relationships/hyperlink" Target="https://africanmarketingconfederation.org/smoke-archive/page-36" TargetMode="External" Id="rId383"/><Relationship Type="http://schemas.openxmlformats.org/officeDocument/2006/relationships/hyperlink" Target="https://africanmarketingconfederation.org/smoke-archive/page-45" TargetMode="External" Id="rId384"/><Relationship Type="http://schemas.openxmlformats.org/officeDocument/2006/relationships/hyperlink" Target="https://africanmarketingconfederation.org/smoke-archive/page-54" TargetMode="External" Id="rId385"/><Relationship Type="http://schemas.openxmlformats.org/officeDocument/2006/relationships/hyperlink" Target="https://africanmarketingconfederation.org/smoke-archive/page-63" TargetMode="External" Id="rId386"/><Relationship Type="http://schemas.openxmlformats.org/officeDocument/2006/relationships/hyperlink" Target="https://africanmarketingconfederation.org/smoke-archive/page-72" TargetMode="External" Id="rId387"/><Relationship Type="http://schemas.openxmlformats.org/officeDocument/2006/relationships/hyperlink" Target="https://africanmarketingconfederation.org/smoke-archive/page-9" TargetMode="External" Id="rId388"/><Relationship Type="http://schemas.openxmlformats.org/officeDocument/2006/relationships/hyperlink" Target="https://africanmarketingconfederation.org/" TargetMode="External" Id="rId389"/><Relationship Type="http://schemas.openxmlformats.org/officeDocument/2006/relationships/hyperlink" Target="#'Main'!A1" TargetMode="External" Id="rId390"/><Relationship Type="http://schemas.openxmlformats.org/officeDocument/2006/relationships/hyperlink" Target="https://africanmarketingconfederation.org/discovered-via-bfs-1" TargetMode="External" Id="rId391"/><Relationship Type="http://schemas.openxmlformats.org/officeDocument/2006/relationships/hyperlink" Target="#'Main'!A1" TargetMode="External" Id="rId392"/><Relationship Type="http://schemas.openxmlformats.org/officeDocument/2006/relationships/hyperlink" Target="https://africanmarketingconfederation.org/discovered-via-bfs-2" TargetMode="External" Id="rId393"/><Relationship Type="http://schemas.openxmlformats.org/officeDocument/2006/relationships/hyperlink" Target="#'Main'!A1" TargetMode="External" Id="rId394"/><Relationship Type="http://schemas.openxmlformats.org/officeDocument/2006/relationships/hyperlink" Target="https://africanmarketingconfederation.org/discovered-via-bfs-3" TargetMode="External" Id="rId395"/><Relationship Type="http://schemas.openxmlformats.org/officeDocument/2006/relationships/hyperlink" Target="#'Main'!A1" TargetMode="External" Id="rId396"/><Relationship Type="http://schemas.openxmlformats.org/officeDocument/2006/relationships/hyperlink" Target="https://africanmarketingconfederation.org/smoke-archive/page-1" TargetMode="External" Id="rId397"/><Relationship Type="http://schemas.openxmlformats.org/officeDocument/2006/relationships/hyperlink" Target="#'Main'!A1" TargetMode="External" Id="rId398"/><Relationship Type="http://schemas.openxmlformats.org/officeDocument/2006/relationships/hyperlink" Target="https://africanmarketingconfederation.org/smoke-archive/page-10" TargetMode="External" Id="rId399"/><Relationship Type="http://schemas.openxmlformats.org/officeDocument/2006/relationships/hyperlink" Target="#'Main'!A1" TargetMode="External" Id="rId400"/><Relationship Type="http://schemas.openxmlformats.org/officeDocument/2006/relationships/hyperlink" Target="https://africanmarketingconfederation.org/smoke-archive/page-11" TargetMode="External" Id="rId401"/><Relationship Type="http://schemas.openxmlformats.org/officeDocument/2006/relationships/hyperlink" Target="#'Main'!A1" TargetMode="External" Id="rId402"/><Relationship Type="http://schemas.openxmlformats.org/officeDocument/2006/relationships/hyperlink" Target="https://africanmarketingconfederation.org/smoke-archive/page-12" TargetMode="External" Id="rId403"/><Relationship Type="http://schemas.openxmlformats.org/officeDocument/2006/relationships/hyperlink" Target="#'Main'!A1" TargetMode="External" Id="rId404"/><Relationship Type="http://schemas.openxmlformats.org/officeDocument/2006/relationships/hyperlink" Target="https://africanmarketingconfederation.org/smoke-archive/page-13" TargetMode="External" Id="rId405"/><Relationship Type="http://schemas.openxmlformats.org/officeDocument/2006/relationships/hyperlink" Target="#'Main'!A1" TargetMode="External" Id="rId406"/><Relationship Type="http://schemas.openxmlformats.org/officeDocument/2006/relationships/hyperlink" Target="https://africanmarketingconfederation.org/smoke-archive/page-14" TargetMode="External" Id="rId407"/><Relationship Type="http://schemas.openxmlformats.org/officeDocument/2006/relationships/hyperlink" Target="#'Main'!A1" TargetMode="External" Id="rId408"/><Relationship Type="http://schemas.openxmlformats.org/officeDocument/2006/relationships/hyperlink" Target="https://africanmarketingconfederation.org/smoke-archive/page-15" TargetMode="External" Id="rId409"/><Relationship Type="http://schemas.openxmlformats.org/officeDocument/2006/relationships/hyperlink" Target="#'Main'!A1" TargetMode="External" Id="rId410"/><Relationship Type="http://schemas.openxmlformats.org/officeDocument/2006/relationships/hyperlink" Target="https://africanmarketingconfederation.org/smoke-archive/page-16" TargetMode="External" Id="rId411"/><Relationship Type="http://schemas.openxmlformats.org/officeDocument/2006/relationships/hyperlink" Target="#'Main'!A1" TargetMode="External" Id="rId412"/><Relationship Type="http://schemas.openxmlformats.org/officeDocument/2006/relationships/hyperlink" Target="https://africanmarketingconfederation.org/smoke-archive/page-17" TargetMode="External" Id="rId413"/><Relationship Type="http://schemas.openxmlformats.org/officeDocument/2006/relationships/hyperlink" Target="#'Main'!A1" TargetMode="External" Id="rId414"/><Relationship Type="http://schemas.openxmlformats.org/officeDocument/2006/relationships/hyperlink" Target="https://africanmarketingconfederation.org/smoke-archive/page-18" TargetMode="External" Id="rId415"/><Relationship Type="http://schemas.openxmlformats.org/officeDocument/2006/relationships/hyperlink" Target="#'Main'!A1" TargetMode="External" Id="rId416"/><Relationship Type="http://schemas.openxmlformats.org/officeDocument/2006/relationships/hyperlink" Target="https://africanmarketingconfederation.org/smoke-archive/page-19" TargetMode="External" Id="rId417"/><Relationship Type="http://schemas.openxmlformats.org/officeDocument/2006/relationships/hyperlink" Target="#'Main'!A1" TargetMode="External" Id="rId418"/><Relationship Type="http://schemas.openxmlformats.org/officeDocument/2006/relationships/hyperlink" Target="https://africanmarketingconfederation.org/smoke-archive/page-2" TargetMode="External" Id="rId419"/><Relationship Type="http://schemas.openxmlformats.org/officeDocument/2006/relationships/hyperlink" Target="#'Main'!A1" TargetMode="External" Id="rId420"/><Relationship Type="http://schemas.openxmlformats.org/officeDocument/2006/relationships/hyperlink" Target="https://africanmarketingconfederation.org/smoke-archive/page-20" TargetMode="External" Id="rId421"/><Relationship Type="http://schemas.openxmlformats.org/officeDocument/2006/relationships/hyperlink" Target="#'Main'!A1" TargetMode="External" Id="rId422"/><Relationship Type="http://schemas.openxmlformats.org/officeDocument/2006/relationships/hyperlink" Target="https://africanmarketingconfederation.org/smoke-archive/page-21" TargetMode="External" Id="rId423"/><Relationship Type="http://schemas.openxmlformats.org/officeDocument/2006/relationships/hyperlink" Target="#'Main'!A1" TargetMode="External" Id="rId424"/><Relationship Type="http://schemas.openxmlformats.org/officeDocument/2006/relationships/hyperlink" Target="https://africanmarketingconfederation.org/smoke-archive/page-22" TargetMode="External" Id="rId425"/><Relationship Type="http://schemas.openxmlformats.org/officeDocument/2006/relationships/hyperlink" Target="#'Main'!A1" TargetMode="External" Id="rId426"/><Relationship Type="http://schemas.openxmlformats.org/officeDocument/2006/relationships/hyperlink" Target="https://africanmarketingconfederation.org/smoke-archive/page-23" TargetMode="External" Id="rId427"/><Relationship Type="http://schemas.openxmlformats.org/officeDocument/2006/relationships/hyperlink" Target="#'Main'!A1" TargetMode="External" Id="rId428"/><Relationship Type="http://schemas.openxmlformats.org/officeDocument/2006/relationships/hyperlink" Target="https://africanmarketingconfederation.org/smoke-archive/page-24" TargetMode="External" Id="rId429"/><Relationship Type="http://schemas.openxmlformats.org/officeDocument/2006/relationships/hyperlink" Target="#'Main'!A1" TargetMode="External" Id="rId430"/><Relationship Type="http://schemas.openxmlformats.org/officeDocument/2006/relationships/hyperlink" Target="https://africanmarketingconfederation.org/smoke-archive/page-25" TargetMode="External" Id="rId431"/><Relationship Type="http://schemas.openxmlformats.org/officeDocument/2006/relationships/hyperlink" Target="#'Main'!A1" TargetMode="External" Id="rId432"/><Relationship Type="http://schemas.openxmlformats.org/officeDocument/2006/relationships/hyperlink" Target="https://africanmarketingconfederation.org/smoke-archive/page-26" TargetMode="External" Id="rId433"/><Relationship Type="http://schemas.openxmlformats.org/officeDocument/2006/relationships/hyperlink" Target="#'Main'!A1" TargetMode="External" Id="rId434"/><Relationship Type="http://schemas.openxmlformats.org/officeDocument/2006/relationships/hyperlink" Target="https://africanmarketingconfederation.org/smoke-archive/page-27" TargetMode="External" Id="rId435"/><Relationship Type="http://schemas.openxmlformats.org/officeDocument/2006/relationships/hyperlink" Target="#'Main'!A1" TargetMode="External" Id="rId436"/><Relationship Type="http://schemas.openxmlformats.org/officeDocument/2006/relationships/hyperlink" Target="https://africanmarketingconfederation.org/smoke-archive/page-28" TargetMode="External" Id="rId437"/><Relationship Type="http://schemas.openxmlformats.org/officeDocument/2006/relationships/hyperlink" Target="#'Main'!A1" TargetMode="External" Id="rId438"/><Relationship Type="http://schemas.openxmlformats.org/officeDocument/2006/relationships/hyperlink" Target="https://africanmarketingconfederation.org/smoke-archive/page-29" TargetMode="External" Id="rId439"/><Relationship Type="http://schemas.openxmlformats.org/officeDocument/2006/relationships/hyperlink" Target="#'Main'!A1" TargetMode="External" Id="rId440"/><Relationship Type="http://schemas.openxmlformats.org/officeDocument/2006/relationships/hyperlink" Target="https://africanmarketingconfederation.org/smoke-archive/page-3" TargetMode="External" Id="rId441"/><Relationship Type="http://schemas.openxmlformats.org/officeDocument/2006/relationships/hyperlink" Target="#'Main'!A1" TargetMode="External" Id="rId442"/><Relationship Type="http://schemas.openxmlformats.org/officeDocument/2006/relationships/hyperlink" Target="https://africanmarketingconfederation.org/smoke-archive/page-30" TargetMode="External" Id="rId443"/><Relationship Type="http://schemas.openxmlformats.org/officeDocument/2006/relationships/hyperlink" Target="#'Main'!A1" TargetMode="External" Id="rId444"/><Relationship Type="http://schemas.openxmlformats.org/officeDocument/2006/relationships/hyperlink" Target="https://africanmarketingconfederation.org/smoke-archive/page-31" TargetMode="External" Id="rId445"/><Relationship Type="http://schemas.openxmlformats.org/officeDocument/2006/relationships/hyperlink" Target="#'Main'!A1" TargetMode="External" Id="rId446"/><Relationship Type="http://schemas.openxmlformats.org/officeDocument/2006/relationships/hyperlink" Target="https://africanmarketingconfederation.org/smoke-archive/page-32" TargetMode="External" Id="rId447"/><Relationship Type="http://schemas.openxmlformats.org/officeDocument/2006/relationships/hyperlink" Target="#'Main'!A1" TargetMode="External" Id="rId448"/><Relationship Type="http://schemas.openxmlformats.org/officeDocument/2006/relationships/hyperlink" Target="https://africanmarketingconfederation.org/smoke-archive/page-33" TargetMode="External" Id="rId449"/><Relationship Type="http://schemas.openxmlformats.org/officeDocument/2006/relationships/hyperlink" Target="#'Main'!A1" TargetMode="External" Id="rId450"/><Relationship Type="http://schemas.openxmlformats.org/officeDocument/2006/relationships/hyperlink" Target="https://africanmarketingconfederation.org/smoke-archive/page-34" TargetMode="External" Id="rId451"/><Relationship Type="http://schemas.openxmlformats.org/officeDocument/2006/relationships/hyperlink" Target="#'Main'!A1" TargetMode="External" Id="rId452"/><Relationship Type="http://schemas.openxmlformats.org/officeDocument/2006/relationships/hyperlink" Target="https://africanmarketingconfederation.org/smoke-archive/page-35" TargetMode="External" Id="rId453"/><Relationship Type="http://schemas.openxmlformats.org/officeDocument/2006/relationships/hyperlink" Target="#'Main'!A1" TargetMode="External" Id="rId454"/><Relationship Type="http://schemas.openxmlformats.org/officeDocument/2006/relationships/hyperlink" Target="https://africanmarketingconfederation.org/smoke-archive/page-36" TargetMode="External" Id="rId455"/><Relationship Type="http://schemas.openxmlformats.org/officeDocument/2006/relationships/hyperlink" Target="#'Main'!A1" TargetMode="External" Id="rId456"/><Relationship Type="http://schemas.openxmlformats.org/officeDocument/2006/relationships/hyperlink" Target="https://africanmarketingconfederation.org/smoke-archive/page-37" TargetMode="External" Id="rId457"/><Relationship Type="http://schemas.openxmlformats.org/officeDocument/2006/relationships/hyperlink" Target="#'Main'!A1" TargetMode="External" Id="rId458"/><Relationship Type="http://schemas.openxmlformats.org/officeDocument/2006/relationships/hyperlink" Target="https://africanmarketingconfederation.org/smoke-archive/page-38" TargetMode="External" Id="rId459"/><Relationship Type="http://schemas.openxmlformats.org/officeDocument/2006/relationships/hyperlink" Target="#'Main'!A1" TargetMode="External" Id="rId460"/><Relationship Type="http://schemas.openxmlformats.org/officeDocument/2006/relationships/hyperlink" Target="https://africanmarketingconfederation.org/smoke-archive/page-39" TargetMode="External" Id="rId461"/><Relationship Type="http://schemas.openxmlformats.org/officeDocument/2006/relationships/hyperlink" Target="#'Main'!A1" TargetMode="External" Id="rId462"/><Relationship Type="http://schemas.openxmlformats.org/officeDocument/2006/relationships/hyperlink" Target="https://africanmarketingconfederation.org/smoke-archive/page-4" TargetMode="External" Id="rId463"/><Relationship Type="http://schemas.openxmlformats.org/officeDocument/2006/relationships/hyperlink" Target="#'Main'!A1" TargetMode="External" Id="rId464"/><Relationship Type="http://schemas.openxmlformats.org/officeDocument/2006/relationships/hyperlink" Target="https://africanmarketingconfederation.org/smoke-archive/page-40" TargetMode="External" Id="rId465"/><Relationship Type="http://schemas.openxmlformats.org/officeDocument/2006/relationships/hyperlink" Target="#'Main'!A1" TargetMode="External" Id="rId466"/><Relationship Type="http://schemas.openxmlformats.org/officeDocument/2006/relationships/hyperlink" Target="https://africanmarketingconfederation.org/smoke-archive/page-41" TargetMode="External" Id="rId467"/><Relationship Type="http://schemas.openxmlformats.org/officeDocument/2006/relationships/hyperlink" Target="#'Main'!A1" TargetMode="External" Id="rId468"/><Relationship Type="http://schemas.openxmlformats.org/officeDocument/2006/relationships/hyperlink" Target="https://africanmarketingconfederation.org/smoke-archive/page-42" TargetMode="External" Id="rId469"/><Relationship Type="http://schemas.openxmlformats.org/officeDocument/2006/relationships/hyperlink" Target="#'Main'!A1" TargetMode="External" Id="rId470"/><Relationship Type="http://schemas.openxmlformats.org/officeDocument/2006/relationships/hyperlink" Target="https://africanmarketingconfederation.org/smoke-archive/page-43" TargetMode="External" Id="rId471"/><Relationship Type="http://schemas.openxmlformats.org/officeDocument/2006/relationships/hyperlink" Target="#'Main'!A1" TargetMode="External" Id="rId472"/><Relationship Type="http://schemas.openxmlformats.org/officeDocument/2006/relationships/hyperlink" Target="https://africanmarketingconfederation.org/smoke-archive/page-44" TargetMode="External" Id="rId473"/><Relationship Type="http://schemas.openxmlformats.org/officeDocument/2006/relationships/hyperlink" Target="#'Main'!A1" TargetMode="External" Id="rId474"/><Relationship Type="http://schemas.openxmlformats.org/officeDocument/2006/relationships/hyperlink" Target="https://africanmarketingconfederation.org/smoke-archive/page-45" TargetMode="External" Id="rId475"/><Relationship Type="http://schemas.openxmlformats.org/officeDocument/2006/relationships/hyperlink" Target="#'Main'!A1" TargetMode="External" Id="rId476"/><Relationship Type="http://schemas.openxmlformats.org/officeDocument/2006/relationships/hyperlink" Target="https://africanmarketingconfederation.org/smoke-archive/page-46" TargetMode="External" Id="rId477"/><Relationship Type="http://schemas.openxmlformats.org/officeDocument/2006/relationships/hyperlink" Target="#'Main'!A1" TargetMode="External" Id="rId478"/><Relationship Type="http://schemas.openxmlformats.org/officeDocument/2006/relationships/hyperlink" Target="https://africanmarketingconfederation.org/smoke-archive/page-47" TargetMode="External" Id="rId479"/><Relationship Type="http://schemas.openxmlformats.org/officeDocument/2006/relationships/hyperlink" Target="#'Main'!A1" TargetMode="External" Id="rId480"/><Relationship Type="http://schemas.openxmlformats.org/officeDocument/2006/relationships/hyperlink" Target="https://africanmarketingconfederation.org/smoke-archive/page-48" TargetMode="External" Id="rId481"/><Relationship Type="http://schemas.openxmlformats.org/officeDocument/2006/relationships/hyperlink" Target="#'Main'!A1" TargetMode="External" Id="rId482"/><Relationship Type="http://schemas.openxmlformats.org/officeDocument/2006/relationships/hyperlink" Target="https://africanmarketingconfederation.org/smoke-archive/page-49" TargetMode="External" Id="rId483"/><Relationship Type="http://schemas.openxmlformats.org/officeDocument/2006/relationships/hyperlink" Target="#'Main'!A1" TargetMode="External" Id="rId484"/><Relationship Type="http://schemas.openxmlformats.org/officeDocument/2006/relationships/hyperlink" Target="https://africanmarketingconfederation.org/smoke-archive/page-5" TargetMode="External" Id="rId485"/><Relationship Type="http://schemas.openxmlformats.org/officeDocument/2006/relationships/hyperlink" Target="#'Main'!A1" TargetMode="External" Id="rId486"/><Relationship Type="http://schemas.openxmlformats.org/officeDocument/2006/relationships/hyperlink" Target="https://africanmarketingconfederation.org/smoke-archive/page-50" TargetMode="External" Id="rId487"/><Relationship Type="http://schemas.openxmlformats.org/officeDocument/2006/relationships/hyperlink" Target="#'Main'!A1" TargetMode="External" Id="rId488"/><Relationship Type="http://schemas.openxmlformats.org/officeDocument/2006/relationships/hyperlink" Target="https://africanmarketingconfederation.org/smoke-archive/page-51" TargetMode="External" Id="rId489"/><Relationship Type="http://schemas.openxmlformats.org/officeDocument/2006/relationships/hyperlink" Target="#'Main'!A1" TargetMode="External" Id="rId490"/><Relationship Type="http://schemas.openxmlformats.org/officeDocument/2006/relationships/hyperlink" Target="https://africanmarketingconfederation.org/smoke-archive/page-52" TargetMode="External" Id="rId491"/><Relationship Type="http://schemas.openxmlformats.org/officeDocument/2006/relationships/hyperlink" Target="#'Main'!A1" TargetMode="External" Id="rId492"/><Relationship Type="http://schemas.openxmlformats.org/officeDocument/2006/relationships/hyperlink" Target="https://africanmarketingconfederation.org/smoke-archive/page-53" TargetMode="External" Id="rId493"/><Relationship Type="http://schemas.openxmlformats.org/officeDocument/2006/relationships/hyperlink" Target="#'Main'!A1" TargetMode="External" Id="rId494"/><Relationship Type="http://schemas.openxmlformats.org/officeDocument/2006/relationships/hyperlink" Target="https://africanmarketingconfederation.org/smoke-archive/page-54" TargetMode="External" Id="rId495"/><Relationship Type="http://schemas.openxmlformats.org/officeDocument/2006/relationships/hyperlink" Target="#'Main'!A1" TargetMode="External" Id="rId496"/><Relationship Type="http://schemas.openxmlformats.org/officeDocument/2006/relationships/hyperlink" Target="https://africanmarketingconfederation.org/smoke-archive/page-55" TargetMode="External" Id="rId497"/><Relationship Type="http://schemas.openxmlformats.org/officeDocument/2006/relationships/hyperlink" Target="#'Main'!A1" TargetMode="External" Id="rId498"/><Relationship Type="http://schemas.openxmlformats.org/officeDocument/2006/relationships/hyperlink" Target="https://africanmarketingconfederation.org/smoke-archive/page-56" TargetMode="External" Id="rId499"/><Relationship Type="http://schemas.openxmlformats.org/officeDocument/2006/relationships/hyperlink" Target="#'Main'!A1" TargetMode="External" Id="rId500"/><Relationship Type="http://schemas.openxmlformats.org/officeDocument/2006/relationships/hyperlink" Target="https://africanmarketingconfederation.org/smoke-archive/page-57" TargetMode="External" Id="rId501"/><Relationship Type="http://schemas.openxmlformats.org/officeDocument/2006/relationships/hyperlink" Target="#'Main'!A1" TargetMode="External" Id="rId502"/><Relationship Type="http://schemas.openxmlformats.org/officeDocument/2006/relationships/hyperlink" Target="https://africanmarketingconfederation.org/smoke-archive/page-58" TargetMode="External" Id="rId503"/><Relationship Type="http://schemas.openxmlformats.org/officeDocument/2006/relationships/hyperlink" Target="#'Main'!A1" TargetMode="External" Id="rId504"/><Relationship Type="http://schemas.openxmlformats.org/officeDocument/2006/relationships/hyperlink" Target="https://africanmarketingconfederation.org/smoke-archive/page-59" TargetMode="External" Id="rId505"/><Relationship Type="http://schemas.openxmlformats.org/officeDocument/2006/relationships/hyperlink" Target="#'Main'!A1" TargetMode="External" Id="rId506"/><Relationship Type="http://schemas.openxmlformats.org/officeDocument/2006/relationships/hyperlink" Target="https://africanmarketingconfederation.org/smoke-archive/page-6" TargetMode="External" Id="rId507"/><Relationship Type="http://schemas.openxmlformats.org/officeDocument/2006/relationships/hyperlink" Target="#'Main'!A1" TargetMode="External" Id="rId508"/><Relationship Type="http://schemas.openxmlformats.org/officeDocument/2006/relationships/hyperlink" Target="https://africanmarketingconfederation.org/smoke-archive/page-60" TargetMode="External" Id="rId509"/><Relationship Type="http://schemas.openxmlformats.org/officeDocument/2006/relationships/hyperlink" Target="#'Main'!A1" TargetMode="External" Id="rId510"/><Relationship Type="http://schemas.openxmlformats.org/officeDocument/2006/relationships/hyperlink" Target="https://africanmarketingconfederation.org/smoke-archive/page-61" TargetMode="External" Id="rId511"/><Relationship Type="http://schemas.openxmlformats.org/officeDocument/2006/relationships/hyperlink" Target="#'Main'!A1" TargetMode="External" Id="rId512"/><Relationship Type="http://schemas.openxmlformats.org/officeDocument/2006/relationships/hyperlink" Target="https://africanmarketingconfederation.org/smoke-archive/page-62" TargetMode="External" Id="rId513"/><Relationship Type="http://schemas.openxmlformats.org/officeDocument/2006/relationships/hyperlink" Target="#'Main'!A1" TargetMode="External" Id="rId514"/><Relationship Type="http://schemas.openxmlformats.org/officeDocument/2006/relationships/hyperlink" Target="https://africanmarketingconfederation.org/smoke-archive/page-63" TargetMode="External" Id="rId515"/><Relationship Type="http://schemas.openxmlformats.org/officeDocument/2006/relationships/hyperlink" Target="#'Main'!A1" TargetMode="External" Id="rId516"/><Relationship Type="http://schemas.openxmlformats.org/officeDocument/2006/relationships/hyperlink" Target="https://africanmarketingconfederation.org/smoke-archive/page-64" TargetMode="External" Id="rId517"/><Relationship Type="http://schemas.openxmlformats.org/officeDocument/2006/relationships/hyperlink" Target="#'Main'!A1" TargetMode="External" Id="rId518"/><Relationship Type="http://schemas.openxmlformats.org/officeDocument/2006/relationships/hyperlink" Target="https://africanmarketingconfederation.org/smoke-archive/page-65" TargetMode="External" Id="rId519"/><Relationship Type="http://schemas.openxmlformats.org/officeDocument/2006/relationships/hyperlink" Target="#'Main'!A1" TargetMode="External" Id="rId520"/><Relationship Type="http://schemas.openxmlformats.org/officeDocument/2006/relationships/hyperlink" Target="https://africanmarketingconfederation.org/smoke-archive/page-66" TargetMode="External" Id="rId521"/><Relationship Type="http://schemas.openxmlformats.org/officeDocument/2006/relationships/hyperlink" Target="#'Main'!A1" TargetMode="External" Id="rId522"/><Relationship Type="http://schemas.openxmlformats.org/officeDocument/2006/relationships/hyperlink" Target="https://africanmarketingconfederation.org/smoke-archive/page-67" TargetMode="External" Id="rId523"/><Relationship Type="http://schemas.openxmlformats.org/officeDocument/2006/relationships/hyperlink" Target="#'Main'!A1" TargetMode="External" Id="rId524"/><Relationship Type="http://schemas.openxmlformats.org/officeDocument/2006/relationships/hyperlink" Target="https://africanmarketingconfederation.org/smoke-archive/page-68" TargetMode="External" Id="rId525"/><Relationship Type="http://schemas.openxmlformats.org/officeDocument/2006/relationships/hyperlink" Target="#'Main'!A1" TargetMode="External" Id="rId526"/><Relationship Type="http://schemas.openxmlformats.org/officeDocument/2006/relationships/hyperlink" Target="https://africanmarketingconfederation.org/smoke-archive/page-69" TargetMode="External" Id="rId527"/><Relationship Type="http://schemas.openxmlformats.org/officeDocument/2006/relationships/hyperlink" Target="#'Main'!A1" TargetMode="External" Id="rId528"/><Relationship Type="http://schemas.openxmlformats.org/officeDocument/2006/relationships/hyperlink" Target="https://africanmarketingconfederation.org/smoke-archive/page-7" TargetMode="External" Id="rId529"/><Relationship Type="http://schemas.openxmlformats.org/officeDocument/2006/relationships/hyperlink" Target="#'Main'!A1" TargetMode="External" Id="rId530"/><Relationship Type="http://schemas.openxmlformats.org/officeDocument/2006/relationships/hyperlink" Target="https://africanmarketingconfederation.org/smoke-archive/page-70" TargetMode="External" Id="rId531"/><Relationship Type="http://schemas.openxmlformats.org/officeDocument/2006/relationships/hyperlink" Target="#'Main'!A1" TargetMode="External" Id="rId532"/><Relationship Type="http://schemas.openxmlformats.org/officeDocument/2006/relationships/hyperlink" Target="https://africanmarketingconfederation.org/smoke-archive/page-71" TargetMode="External" Id="rId533"/><Relationship Type="http://schemas.openxmlformats.org/officeDocument/2006/relationships/hyperlink" Target="#'Main'!A1" TargetMode="External" Id="rId534"/><Relationship Type="http://schemas.openxmlformats.org/officeDocument/2006/relationships/hyperlink" Target="https://africanmarketingconfederation.org/smoke-archive/page-72" TargetMode="External" Id="rId535"/><Relationship Type="http://schemas.openxmlformats.org/officeDocument/2006/relationships/hyperlink" Target="#'Main'!A1" TargetMode="External" Id="rId536"/><Relationship Type="http://schemas.openxmlformats.org/officeDocument/2006/relationships/hyperlink" Target="https://africanmarketingconfederation.org/smoke-archive/page-73" TargetMode="External" Id="rId537"/><Relationship Type="http://schemas.openxmlformats.org/officeDocument/2006/relationships/hyperlink" Target="#'Main'!A1" TargetMode="External" Id="rId538"/><Relationship Type="http://schemas.openxmlformats.org/officeDocument/2006/relationships/hyperlink" Target="https://africanmarketingconfederation.org/smoke-archive/page-74" TargetMode="External" Id="rId539"/><Relationship Type="http://schemas.openxmlformats.org/officeDocument/2006/relationships/hyperlink" Target="#'Main'!A1" TargetMode="External" Id="rId540"/><Relationship Type="http://schemas.openxmlformats.org/officeDocument/2006/relationships/hyperlink" Target="https://africanmarketingconfederation.org/smoke-archive/page-75" TargetMode="External" Id="rId541"/><Relationship Type="http://schemas.openxmlformats.org/officeDocument/2006/relationships/hyperlink" Target="#'Main'!A1" TargetMode="External" Id="rId542"/><Relationship Type="http://schemas.openxmlformats.org/officeDocument/2006/relationships/hyperlink" Target="https://africanmarketingconfederation.org/smoke-archive/page-76" TargetMode="External" Id="rId543"/><Relationship Type="http://schemas.openxmlformats.org/officeDocument/2006/relationships/hyperlink" Target="#'Main'!A1" TargetMode="External" Id="rId544"/><Relationship Type="http://schemas.openxmlformats.org/officeDocument/2006/relationships/hyperlink" Target="https://africanmarketingconfederation.org/smoke-archive/page-77" TargetMode="External" Id="rId545"/><Relationship Type="http://schemas.openxmlformats.org/officeDocument/2006/relationships/hyperlink" Target="#'Main'!A1" TargetMode="External" Id="rId546"/><Relationship Type="http://schemas.openxmlformats.org/officeDocument/2006/relationships/hyperlink" Target="https://africanmarketingconfederation.org/smoke-archive/page-78" TargetMode="External" Id="rId547"/><Relationship Type="http://schemas.openxmlformats.org/officeDocument/2006/relationships/hyperlink" Target="#'Main'!A1" TargetMode="External" Id="rId548"/><Relationship Type="http://schemas.openxmlformats.org/officeDocument/2006/relationships/hyperlink" Target="https://africanmarketingconfederation.org/smoke-archive/page-79" TargetMode="External" Id="rId549"/><Relationship Type="http://schemas.openxmlformats.org/officeDocument/2006/relationships/hyperlink" Target="#'Main'!A1" TargetMode="External" Id="rId550"/><Relationship Type="http://schemas.openxmlformats.org/officeDocument/2006/relationships/hyperlink" Target="https://africanmarketingconfederation.org/smoke-archive/page-8" TargetMode="External" Id="rId551"/><Relationship Type="http://schemas.openxmlformats.org/officeDocument/2006/relationships/hyperlink" Target="#'Main'!A1" TargetMode="External" Id="rId552"/><Relationship Type="http://schemas.openxmlformats.org/officeDocument/2006/relationships/hyperlink" Target="https://africanmarketingconfederation.org/smoke-archive/page-9" TargetMode="External" Id="rId553"/><Relationship Type="http://schemas.openxmlformats.org/officeDocument/2006/relationships/hyperlink" Target="#'Main'!A1" TargetMode="External" Id="rId554"/><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smoke-archive/page-10" TargetMode="External" Id="rId2"/><Relationship Type="http://schemas.openxmlformats.org/officeDocument/2006/relationships/hyperlink" Target="https://africanmarketingconfederation.org/smoke-archive/page-11" TargetMode="External" Id="rId3"/><Relationship Type="http://schemas.openxmlformats.org/officeDocument/2006/relationships/hyperlink" Target="https://africanmarketingconfederation.org/smoke-archive/page-12" TargetMode="External" Id="rId4"/><Relationship Type="http://schemas.openxmlformats.org/officeDocument/2006/relationships/hyperlink" Target="https://africanmarketingconfederation.org/smoke-archive/page-13" TargetMode="External" Id="rId5"/><Relationship Type="http://schemas.openxmlformats.org/officeDocument/2006/relationships/hyperlink" Target="https://africanmarketingconfederation.org/smoke-archive/page-14" TargetMode="External" Id="rId6"/><Relationship Type="http://schemas.openxmlformats.org/officeDocument/2006/relationships/hyperlink" Target="https://africanmarketingconfederation.org/smoke-archive/page-15" TargetMode="External" Id="rId7"/><Relationship Type="http://schemas.openxmlformats.org/officeDocument/2006/relationships/hyperlink" Target="https://africanmarketingconfederation.org/smoke-archive/page-16" TargetMode="External" Id="rId8"/><Relationship Type="http://schemas.openxmlformats.org/officeDocument/2006/relationships/hyperlink" Target="https://africanmarketingconfederation.org/smoke-archive/page-17" TargetMode="External" Id="rId9"/><Relationship Type="http://schemas.openxmlformats.org/officeDocument/2006/relationships/hyperlink" Target="https://africanmarketingconfederation.org/smoke-archive/page-18" TargetMode="External" Id="rId10"/><Relationship Type="http://schemas.openxmlformats.org/officeDocument/2006/relationships/hyperlink" Target="https://africanmarketingconfederation.org/smoke-archive/page-19" TargetMode="External" Id="rId11"/><Relationship Type="http://schemas.openxmlformats.org/officeDocument/2006/relationships/hyperlink" Target="https://africanmarketingconfederation.org/smoke-archive/page-20" TargetMode="External" Id="rId12"/><Relationship Type="http://schemas.openxmlformats.org/officeDocument/2006/relationships/hyperlink" Target="https://africanmarketingconfederation.org/smoke-archive/page-21" TargetMode="External" Id="rId13"/><Relationship Type="http://schemas.openxmlformats.org/officeDocument/2006/relationships/hyperlink" Target="https://africanmarketingconfederation.org/smoke-archive/page-22" TargetMode="External" Id="rId14"/><Relationship Type="http://schemas.openxmlformats.org/officeDocument/2006/relationships/hyperlink" Target="https://africanmarketingconfederation.org/smoke-archive/page-23" TargetMode="External" Id="rId15"/><Relationship Type="http://schemas.openxmlformats.org/officeDocument/2006/relationships/hyperlink" Target="https://africanmarketingconfederation.org/smoke-archive/page-24" TargetMode="External" Id="rId16"/><Relationship Type="http://schemas.openxmlformats.org/officeDocument/2006/relationships/hyperlink" Target="https://africanmarketingconfederation.org/smoke-archive/page-25" TargetMode="External" Id="rId17"/><Relationship Type="http://schemas.openxmlformats.org/officeDocument/2006/relationships/hyperlink" Target="https://africanmarketingconfederation.org/smoke-archive/page-26" TargetMode="External" Id="rId18"/><Relationship Type="http://schemas.openxmlformats.org/officeDocument/2006/relationships/hyperlink" Target="https://africanmarketingconfederation.org/smoke-archive/page-27" TargetMode="External" Id="rId19"/><Relationship Type="http://schemas.openxmlformats.org/officeDocument/2006/relationships/hyperlink" Target="https://africanmarketingconfederation.org/smoke-archive/page-28" TargetMode="External" Id="rId20"/><Relationship Type="http://schemas.openxmlformats.org/officeDocument/2006/relationships/hyperlink" Target="https://africanmarketingconfederation.org/smoke-archive/page-29" TargetMode="External" Id="rId21"/><Relationship Type="http://schemas.openxmlformats.org/officeDocument/2006/relationships/hyperlink" Target="https://africanmarketingconfederation.org/smoke-archive/page-30" TargetMode="External" Id="rId22"/><Relationship Type="http://schemas.openxmlformats.org/officeDocument/2006/relationships/hyperlink" Target="https://africanmarketingconfederation.org/smoke-archive/page-31" TargetMode="External" Id="rId23"/><Relationship Type="http://schemas.openxmlformats.org/officeDocument/2006/relationships/hyperlink" Target="https://africanmarketingconfederation.org/smoke-archive/page-32" TargetMode="External" Id="rId24"/><Relationship Type="http://schemas.openxmlformats.org/officeDocument/2006/relationships/hyperlink" Target="https://africanmarketingconfederation.org/smoke-archive/page-33" TargetMode="External" Id="rId25"/><Relationship Type="http://schemas.openxmlformats.org/officeDocument/2006/relationships/hyperlink" Target="https://africanmarketingconfederation.org/smoke-archive/page-34" TargetMode="External" Id="rId26"/><Relationship Type="http://schemas.openxmlformats.org/officeDocument/2006/relationships/hyperlink" Target="https://africanmarketingconfederation.org/smoke-archive/page-35" TargetMode="External" Id="rId27"/><Relationship Type="http://schemas.openxmlformats.org/officeDocument/2006/relationships/hyperlink" Target="https://africanmarketingconfederation.org/smoke-archive/page-36" TargetMode="External" Id="rId28"/><Relationship Type="http://schemas.openxmlformats.org/officeDocument/2006/relationships/hyperlink" Target="https://africanmarketingconfederation.org/smoke-archive/page-37" TargetMode="External" Id="rId29"/><Relationship Type="http://schemas.openxmlformats.org/officeDocument/2006/relationships/hyperlink" Target="https://africanmarketingconfederation.org/smoke-archive/page-38" TargetMode="External" Id="rId30"/><Relationship Type="http://schemas.openxmlformats.org/officeDocument/2006/relationships/hyperlink" Target="https://africanmarketingconfederation.org/smoke-archive/page-39" TargetMode="External" Id="rId31"/><Relationship Type="http://schemas.openxmlformats.org/officeDocument/2006/relationships/hyperlink" Target="https://africanmarketingconfederation.org/smoke-archive/page-40" TargetMode="External" Id="rId32"/><Relationship Type="http://schemas.openxmlformats.org/officeDocument/2006/relationships/hyperlink" Target="https://africanmarketingconfederation.org/smoke-archive/page-41" TargetMode="External" Id="rId33"/><Relationship Type="http://schemas.openxmlformats.org/officeDocument/2006/relationships/hyperlink" Target="https://africanmarketingconfederation.org/smoke-archive/page-42" TargetMode="External" Id="rId34"/><Relationship Type="http://schemas.openxmlformats.org/officeDocument/2006/relationships/hyperlink" Target="https://africanmarketingconfederation.org/smoke-archive/page-43" TargetMode="External" Id="rId35"/><Relationship Type="http://schemas.openxmlformats.org/officeDocument/2006/relationships/hyperlink" Target="https://africanmarketingconfederation.org/smoke-archive/page-44" TargetMode="External" Id="rId36"/><Relationship Type="http://schemas.openxmlformats.org/officeDocument/2006/relationships/hyperlink" Target="https://africanmarketingconfederation.org/smoke-archive/page-45" TargetMode="External" Id="rId37"/><Relationship Type="http://schemas.openxmlformats.org/officeDocument/2006/relationships/hyperlink" Target="https://africanmarketingconfederation.org/smoke-archive/page-46" TargetMode="External" Id="rId38"/><Relationship Type="http://schemas.openxmlformats.org/officeDocument/2006/relationships/hyperlink" Target="https://africanmarketingconfederation.org/smoke-archive/page-47" TargetMode="External" Id="rId39"/><Relationship Type="http://schemas.openxmlformats.org/officeDocument/2006/relationships/hyperlink" Target="https://africanmarketingconfederation.org/smoke-archive/page-48" TargetMode="External" Id="rId40"/><Relationship Type="http://schemas.openxmlformats.org/officeDocument/2006/relationships/hyperlink" Target="https://africanmarketingconfederation.org/smoke-archive/page-49" TargetMode="External" Id="rId41"/><Relationship Type="http://schemas.openxmlformats.org/officeDocument/2006/relationships/hyperlink" Target="https://africanmarketingconfederation.org/smoke-archive/page-50" TargetMode="External" Id="rId42"/><Relationship Type="http://schemas.openxmlformats.org/officeDocument/2006/relationships/hyperlink" Target="https://africanmarketingconfederation.org/smoke-archive/page-51" TargetMode="External" Id="rId43"/><Relationship Type="http://schemas.openxmlformats.org/officeDocument/2006/relationships/hyperlink" Target="https://africanmarketingconfederation.org/smoke-archive/page-52" TargetMode="External" Id="rId44"/><Relationship Type="http://schemas.openxmlformats.org/officeDocument/2006/relationships/hyperlink" Target="https://africanmarketingconfederation.org/smoke-archive/page-53" TargetMode="External" Id="rId45"/><Relationship Type="http://schemas.openxmlformats.org/officeDocument/2006/relationships/hyperlink" Target="https://africanmarketingconfederation.org/smoke-archive/page-54" TargetMode="External" Id="rId46"/><Relationship Type="http://schemas.openxmlformats.org/officeDocument/2006/relationships/hyperlink" Target="https://africanmarketingconfederation.org/smoke-archive/page-55" TargetMode="External" Id="rId47"/><Relationship Type="http://schemas.openxmlformats.org/officeDocument/2006/relationships/hyperlink" Target="https://africanmarketingconfederation.org/smoke-archive/page-56" TargetMode="External" Id="rId48"/><Relationship Type="http://schemas.openxmlformats.org/officeDocument/2006/relationships/hyperlink" Target="https://africanmarketingconfederation.org/smoke-archive/page-57" TargetMode="External" Id="rId49"/><Relationship Type="http://schemas.openxmlformats.org/officeDocument/2006/relationships/hyperlink" Target="https://africanmarketingconfederation.org/smoke-archive/page-58" TargetMode="External" Id="rId50"/><Relationship Type="http://schemas.openxmlformats.org/officeDocument/2006/relationships/hyperlink" Target="https://africanmarketingconfederation.org/smoke-archive/page-59" TargetMode="External" Id="rId51"/><Relationship Type="http://schemas.openxmlformats.org/officeDocument/2006/relationships/hyperlink" Target="https://africanmarketingconfederation.org/smoke-archive/page-60" TargetMode="External" Id="rId52"/><Relationship Type="http://schemas.openxmlformats.org/officeDocument/2006/relationships/hyperlink" Target="https://africanmarketingconfederation.org/smoke-archive/page-61" TargetMode="External" Id="rId53"/><Relationship Type="http://schemas.openxmlformats.org/officeDocument/2006/relationships/hyperlink" Target="https://africanmarketingconfederation.org/smoke-archive/page-62" TargetMode="External" Id="rId54"/><Relationship Type="http://schemas.openxmlformats.org/officeDocument/2006/relationships/hyperlink" Target="https://africanmarketingconfederation.org/smoke-archive/page-63" TargetMode="External" Id="rId55"/><Relationship Type="http://schemas.openxmlformats.org/officeDocument/2006/relationships/hyperlink" Target="https://africanmarketingconfederation.org/smoke-archive/page-64" TargetMode="External" Id="rId56"/><Relationship Type="http://schemas.openxmlformats.org/officeDocument/2006/relationships/hyperlink" Target="https://africanmarketingconfederation.org/smoke-archive/page-65" TargetMode="External" Id="rId57"/><Relationship Type="http://schemas.openxmlformats.org/officeDocument/2006/relationships/hyperlink" Target="https://africanmarketingconfederation.org/smoke-archive/page-66" TargetMode="External" Id="rId58"/><Relationship Type="http://schemas.openxmlformats.org/officeDocument/2006/relationships/hyperlink" Target="https://africanmarketingconfederation.org/smoke-archive/page-67" TargetMode="External" Id="rId59"/><Relationship Type="http://schemas.openxmlformats.org/officeDocument/2006/relationships/hyperlink" Target="https://africanmarketingconfederation.org/smoke-archive/page-68" TargetMode="External" Id="rId60"/><Relationship Type="http://schemas.openxmlformats.org/officeDocument/2006/relationships/hyperlink" Target="https://africanmarketingconfederation.org/smoke-archive/page-69" TargetMode="External" Id="rId61"/><Relationship Type="http://schemas.openxmlformats.org/officeDocument/2006/relationships/hyperlink" Target="https://africanmarketingconfederation.org/smoke-archive/page-70" TargetMode="External" Id="rId62"/><Relationship Type="http://schemas.openxmlformats.org/officeDocument/2006/relationships/hyperlink" Target="https://africanmarketingconfederation.org/smoke-archive/page-71" TargetMode="External" Id="rId63"/><Relationship Type="http://schemas.openxmlformats.org/officeDocument/2006/relationships/hyperlink" Target="https://africanmarketingconfederation.org/smoke-archive/page-72" TargetMode="External" Id="rId64"/><Relationship Type="http://schemas.openxmlformats.org/officeDocument/2006/relationships/hyperlink" Target="https://africanmarketingconfederation.org/smoke-archive/page-73" TargetMode="External" Id="rId65"/><Relationship Type="http://schemas.openxmlformats.org/officeDocument/2006/relationships/hyperlink" Target="https://africanmarketingconfederation.org/smoke-archive/page-74" TargetMode="External" Id="rId66"/><Relationship Type="http://schemas.openxmlformats.org/officeDocument/2006/relationships/hyperlink" Target="https://africanmarketingconfederation.org/smoke-archive/page-75" TargetMode="External" Id="rId67"/><Relationship Type="http://schemas.openxmlformats.org/officeDocument/2006/relationships/hyperlink" Target="https://africanmarketingconfederation.org/smoke-archive/page-76" TargetMode="External" Id="rId68"/><Relationship Type="http://schemas.openxmlformats.org/officeDocument/2006/relationships/hyperlink" Target="https://africanmarketingconfederation.org/smoke-archive/page-77" TargetMode="External" Id="rId69"/><Relationship Type="http://schemas.openxmlformats.org/officeDocument/2006/relationships/hyperlink" Target="https://africanmarketingconfederation.org/smoke-archive/page-78" TargetMode="External" Id="rId70"/><Relationship Type="http://schemas.openxmlformats.org/officeDocument/2006/relationships/hyperlink" Target="https://africanmarketingconfederation.org/smoke-archive/page-79" TargetMode="External" Id="rId71"/><Relationship Type="http://schemas.openxmlformats.org/officeDocument/2006/relationships/hyperlink" Target="https://africanmarketingconfederation.org/discovered-via-bfs-1" TargetMode="External" Id="rId72"/><Relationship Type="http://schemas.openxmlformats.org/officeDocument/2006/relationships/hyperlink" Target="https://africanmarketingconfederation.org/discovered-via-bfs-2" TargetMode="External" Id="rId73"/><Relationship Type="http://schemas.openxmlformats.org/officeDocument/2006/relationships/hyperlink" Target="https://africanmarketingconfederation.org/discovered-via-bfs-3" TargetMode="External" Id="rId74"/><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FixPlan!A18" TargetMode="External" Id="rId2"/><Relationship Type="http://schemas.openxmlformats.org/officeDocument/2006/relationships/hyperlink" Target="#'Content &amp; AI Readiness'!A1" TargetMode="External" Id="rId3"/><Relationship Type="http://schemas.openxmlformats.org/officeDocument/2006/relationships/hyperlink" Target="#FixPlan!A16" TargetMode="External" Id="rId4"/><Relationship Type="http://schemas.openxmlformats.org/officeDocument/2006/relationships/hyperlink" Target="#'Content &amp; AI Readiness'!A1" TargetMode="External" Id="rId5"/><Relationship Type="http://schemas.openxmlformats.org/officeDocument/2006/relationships/hyperlink" Target="#FixPlan!A15" TargetMode="External" Id="rId6"/><Relationship Type="http://schemas.openxmlformats.org/officeDocument/2006/relationships/hyperlink" Target="#'Content &amp; AI Readiness'!A1" TargetMode="External" Id="rId7"/><Relationship Type="http://schemas.openxmlformats.org/officeDocument/2006/relationships/hyperlink" Target="#FixPlan!A14" TargetMode="External" Id="rId8"/><Relationship Type="http://schemas.openxmlformats.org/officeDocument/2006/relationships/hyperlink" Target="#'Content &amp; AI Readiness'!A1" TargetMode="External" Id="rId9"/><Relationship Type="http://schemas.openxmlformats.org/officeDocument/2006/relationships/hyperlink" Target="#FixPlan!A11" TargetMode="External" Id="rId10"/><Relationship Type="http://schemas.openxmlformats.org/officeDocument/2006/relationships/hyperlink" Target="#'Technical Diagnostics'!A1" TargetMode="External" Id="rId11"/><Relationship Type="http://schemas.openxmlformats.org/officeDocument/2006/relationships/hyperlink" Target="#FixPlan!A19" TargetMode="External" Id="rId12"/><Relationship Type="http://schemas.openxmlformats.org/officeDocument/2006/relationships/hyperlink" Target="#'Technical Diagnostics'!A1" TargetMode="External" Id="rId13"/><Relationship Type="http://schemas.openxmlformats.org/officeDocument/2006/relationships/hyperlink" Target="#FixPlan!A7" TargetMode="External" Id="rId14"/><Relationship Type="http://schemas.openxmlformats.org/officeDocument/2006/relationships/hyperlink" Target="#'Technical Diagnostics'!A1" TargetMode="External" Id="rId15"/><Relationship Type="http://schemas.openxmlformats.org/officeDocument/2006/relationships/hyperlink" Target="#FixPlan!A8" TargetMode="External" Id="rId16"/><Relationship Type="http://schemas.openxmlformats.org/officeDocument/2006/relationships/hyperlink" Target="#'Technical Diagnostics'!A1" TargetMode="External" Id="rId17"/><Relationship Type="http://schemas.openxmlformats.org/officeDocument/2006/relationships/hyperlink" Target="#FixPlan!A9" TargetMode="External" Id="rId18"/><Relationship Type="http://schemas.openxmlformats.org/officeDocument/2006/relationships/hyperlink" Target="#'Technical Diagnostics'!A1" TargetMode="External" Id="rId19"/><Relationship Type="http://schemas.openxmlformats.org/officeDocument/2006/relationships/hyperlink" Target="#FixPlan!A10" TargetMode="External" Id="rId20"/><Relationship Type="http://schemas.openxmlformats.org/officeDocument/2006/relationships/hyperlink" Target="#'Technical Diagnostics'!A1" TargetMode="External" Id="rId21"/><Relationship Type="http://schemas.openxmlformats.org/officeDocument/2006/relationships/hyperlink" Target="#FixPlan!A13" TargetMode="External" Id="rId22"/><Relationship Type="http://schemas.openxmlformats.org/officeDocument/2006/relationships/hyperlink" Target="#'Technical Diagnostics'!A1" TargetMode="External" Id="rId23"/><Relationship Type="http://schemas.openxmlformats.org/officeDocument/2006/relationships/hyperlink" Target="#FixPlan!A18" TargetMode="External" Id="rId24"/><Relationship Type="http://schemas.openxmlformats.org/officeDocument/2006/relationships/hyperlink" Target="#'Content &amp; AI Readiness'!A1" TargetMode="External" Id="rId25"/><Relationship Type="http://schemas.openxmlformats.org/officeDocument/2006/relationships/hyperlink" Target="#FixPlan!A17" TargetMode="External" Id="rId26"/><Relationship Type="http://schemas.openxmlformats.org/officeDocument/2006/relationships/hyperlink" Target="#'Technical Diagnostics'!A1" TargetMode="External" Id="rId27"/><Relationship Type="http://schemas.openxmlformats.org/officeDocument/2006/relationships/hyperlink" Target="#FixPlan!A4" TargetMode="External" Id="rId28"/><Relationship Type="http://schemas.openxmlformats.org/officeDocument/2006/relationships/hyperlink" Target="#'Technical Diagnostics'!A1" TargetMode="External" Id="rId29"/><Relationship Type="http://schemas.openxmlformats.org/officeDocument/2006/relationships/hyperlink" Target="#FixPlan!A5" TargetMode="External" Id="rId30"/><Relationship Type="http://schemas.openxmlformats.org/officeDocument/2006/relationships/hyperlink" Target="#'Technical Diagnostics'!A1" TargetMode="External" Id="rId31"/><Relationship Type="http://schemas.openxmlformats.org/officeDocument/2006/relationships/hyperlink" Target="#FixPlan!A3" TargetMode="External" Id="rId32"/><Relationship Type="http://schemas.openxmlformats.org/officeDocument/2006/relationships/hyperlink" Target="#'Technical Diagnostics'!A1" TargetMode="External" Id="rId33"/><Relationship Type="http://schemas.openxmlformats.org/officeDocument/2006/relationships/hyperlink" Target="#FixPlan!A6" TargetMode="External" Id="rId34"/><Relationship Type="http://schemas.openxmlformats.org/officeDocument/2006/relationships/hyperlink" Target="#'Technical Diagnostics'!A1" TargetMode="External" Id="rId35"/><Relationship Type="http://schemas.openxmlformats.org/officeDocument/2006/relationships/hyperlink" Target="#FixPlan!A12" TargetMode="External" Id="rId36"/><Relationship Type="http://schemas.openxmlformats.org/officeDocument/2006/relationships/hyperlink" Target="#'Technical Diagnostics'!A1" TargetMode="External" Id="rId37"/><Relationship Type="http://schemas.openxmlformats.org/officeDocument/2006/relationships/hyperlink" Target="#FixPlan!A16" TargetMode="External" Id="rId38"/><Relationship Type="http://schemas.openxmlformats.org/officeDocument/2006/relationships/hyperlink" Target="#'Technical Diagnostics'!A1" TargetMode="External" Id="rId39"/><Relationship Type="http://schemas.openxmlformats.org/officeDocument/2006/relationships/hyperlink" Target="#FixPlan!A15" TargetMode="External" Id="rId40"/><Relationship Type="http://schemas.openxmlformats.org/officeDocument/2006/relationships/hyperlink" Target="#'Technical Diagnostics'!A1" TargetMode="External" Id="rId41"/><Relationship Type="http://schemas.openxmlformats.org/officeDocument/2006/relationships/hyperlink" Target="#FixPlan!A14" TargetMode="External" Id="rId42"/><Relationship Type="http://schemas.openxmlformats.org/officeDocument/2006/relationships/hyperlink" Target="#'Content &amp; AI Readiness'!A1" TargetMode="External" Id="rId43"/><Relationship Type="http://schemas.openxmlformats.org/officeDocument/2006/relationships/hyperlink" Target="#'Priority URLs'!A1" TargetMode="External" Id="rId44"/><Relationship Type="http://schemas.openxmlformats.org/officeDocument/2006/relationships/hyperlink" Target="#'Priority URLs'!A1" TargetMode="External" Id="rId45"/><Relationship Type="http://schemas.openxmlformats.org/officeDocument/2006/relationships/hyperlink" Target="#'Priority URLs'!A1" TargetMode="External" Id="rId46"/><Relationship Type="http://schemas.openxmlformats.org/officeDocument/2006/relationships/hyperlink" Target="#'Priority URLs'!A1" TargetMode="External" Id="rId47"/><Relationship Type="http://schemas.openxmlformats.org/officeDocument/2006/relationships/hyperlink" Target="#'Priority URLs'!A1" TargetMode="External" Id="rId48"/><Relationship Type="http://schemas.openxmlformats.org/officeDocument/2006/relationships/hyperlink" Target="#'Priority URLs'!A1" TargetMode="External" Id="rId49"/><Relationship Type="http://schemas.openxmlformats.org/officeDocument/2006/relationships/hyperlink" Target="#'Priority URLs'!A1" TargetMode="External" Id="rId50"/><Relationship Type="http://schemas.openxmlformats.org/officeDocument/2006/relationships/hyperlink" Target="#'Priority URLs'!A1" TargetMode="External" Id="rId51"/><Relationship Type="http://schemas.openxmlformats.org/officeDocument/2006/relationships/hyperlink" Target="#'Priority URLs'!A1" TargetMode="External" Id="rId52"/><Relationship Type="http://schemas.openxmlformats.org/officeDocument/2006/relationships/hyperlink" Target="#'Priority URLs'!A1" TargetMode="External" Id="rId53"/><Relationship Type="http://schemas.openxmlformats.org/officeDocument/2006/relationships/hyperlink" Target="#'Template &amp; Duplication Risks'!A1" TargetMode="External" Id="rId54"/><Relationship Type="http://schemas.openxmlformats.org/officeDocument/2006/relationships/hyperlink" Target="#'Template &amp; Duplication Risks'!A1" TargetMode="External" Id="rId55"/><Relationship Type="http://schemas.openxmlformats.org/officeDocument/2006/relationships/hyperlink" Target="#'Template &amp; Duplication Risks'!A1" TargetMode="External" Id="rId56"/><Relationship Type="http://schemas.openxmlformats.org/officeDocument/2006/relationships/hyperlink" Target="#'Template &amp; Duplication Risks'!A1" TargetMode="External" Id="rId57"/><Relationship Type="http://schemas.openxmlformats.org/officeDocument/2006/relationships/hyperlink" Target="#'Template &amp; Duplication Risks'!A1" TargetMode="External" Id="rId58"/><Relationship Type="http://schemas.openxmlformats.org/officeDocument/2006/relationships/hyperlink" Target="#'Template &amp; Duplication Risks'!A1" TargetMode="External" Id="rId59"/><Relationship Type="http://schemas.openxmlformats.org/officeDocument/2006/relationships/hyperlink" Target="#'Template &amp; Duplication Risks'!A1" TargetMode="External" Id="rId60"/><Relationship Type="http://schemas.openxmlformats.org/officeDocument/2006/relationships/hyperlink" Target="#'Template &amp; Duplication Risks'!A1" TargetMode="External" Id="rId61"/><Relationship Type="http://schemas.openxmlformats.org/officeDocument/2006/relationships/hyperlink" Target="#'Template &amp; Duplication Risks'!A1" TargetMode="External" Id="rId62"/><Relationship Type="http://schemas.openxmlformats.org/officeDocument/2006/relationships/hyperlink" Target="#'Template &amp; Duplication Risks'!A1" TargetMode="External" Id="rId63"/><Relationship Type="http://schemas.openxmlformats.org/officeDocument/2006/relationships/hyperlink" Target="#'Template &amp; Duplication Risks'!A1" TargetMode="External" Id="rId64"/><Relationship Type="http://schemas.openxmlformats.org/officeDocument/2006/relationships/hyperlink" Target="#'Template &amp; Duplication Risks'!A1" TargetMode="External" Id="rId65"/><Relationship Type="http://schemas.openxmlformats.org/officeDocument/2006/relationships/hyperlink" Target="#'Template &amp; Duplication Risks'!A1" TargetMode="External" Id="rId66"/><Relationship Type="http://schemas.openxmlformats.org/officeDocument/2006/relationships/hyperlink" Target="#'Template &amp; Duplication Risks'!A1" TargetMode="External" Id="rId67"/><Relationship Type="http://schemas.openxmlformats.org/officeDocument/2006/relationships/hyperlink" Target="#'Template &amp; Duplication Risks'!A1" TargetMode="External" Id="rId68"/><Relationship Type="http://schemas.openxmlformats.org/officeDocument/2006/relationships/hyperlink" Target="#'Template &amp; Duplication Risks'!A1" TargetMode="External" Id="rId69"/><Relationship Type="http://schemas.openxmlformats.org/officeDocument/2006/relationships/hyperlink" Target="#'Template &amp; Duplication Risks'!A1" TargetMode="External" Id="rId70"/><Relationship Type="http://schemas.openxmlformats.org/officeDocument/2006/relationships/hyperlink" Target="#'Template &amp; Duplication Risks'!A1" TargetMode="External" Id="rId71"/><Relationship Type="http://schemas.openxmlformats.org/officeDocument/2006/relationships/hyperlink" Target="#'Template &amp; Duplication Risks'!A1" TargetMode="External" Id="rId72"/><Relationship Type="http://schemas.openxmlformats.org/officeDocument/2006/relationships/hyperlink" Target="#'Template &amp; Duplication Risks'!A1" TargetMode="External" Id="rId73"/><Relationship Type="http://schemas.openxmlformats.org/officeDocument/2006/relationships/hyperlink" Target="#FixPlan!A3" TargetMode="External" Id="rId74"/><Relationship Type="http://schemas.openxmlformats.org/officeDocument/2006/relationships/hyperlink" Target="#'Technical Diagnostics'!A1" TargetMode="External" Id="rId75"/><Relationship Type="http://schemas.openxmlformats.org/officeDocument/2006/relationships/hyperlink" Target="https://africanmarketingconfederation.org/" TargetMode="External" Id="rId76"/><Relationship Type="http://schemas.openxmlformats.org/officeDocument/2006/relationships/hyperlink" Target="#FixPlan!A11" TargetMode="External" Id="rId77"/><Relationship Type="http://schemas.openxmlformats.org/officeDocument/2006/relationships/hyperlink" Target="#'Technical Diagnostics'!A1" TargetMode="External" Id="rId78"/><Relationship Type="http://schemas.openxmlformats.org/officeDocument/2006/relationships/hyperlink" Target="https://africanmarketingconfederation.org/smoke-archive/page-1" TargetMode="External" Id="rId79"/><Relationship Type="http://schemas.openxmlformats.org/officeDocument/2006/relationships/hyperlink" Target="#FixPlan!A7" TargetMode="External" Id="rId80"/><Relationship Type="http://schemas.openxmlformats.org/officeDocument/2006/relationships/hyperlink" Target="#'Technical Diagnostics'!A1" TargetMode="External" Id="rId81"/><Relationship Type="http://schemas.openxmlformats.org/officeDocument/2006/relationships/hyperlink" Target="https://africanmarketingconfederation.org/smoke-archive/page-1" TargetMode="External" Id="rId82"/><Relationship Type="http://schemas.openxmlformats.org/officeDocument/2006/relationships/hyperlink" Target="#FixPlan!A4" TargetMode="External" Id="rId83"/><Relationship Type="http://schemas.openxmlformats.org/officeDocument/2006/relationships/hyperlink" Target="#'Technical Diagnostics'!A1" TargetMode="External" Id="rId84"/><Relationship Type="http://schemas.openxmlformats.org/officeDocument/2006/relationships/hyperlink" Target="https://africanmarketingconfederation.org/smoke-archive/page-1" TargetMode="External" Id="rId85"/><Relationship Type="http://schemas.openxmlformats.org/officeDocument/2006/relationships/hyperlink" Target="#FixPlan!A5" TargetMode="External" Id="rId86"/><Relationship Type="http://schemas.openxmlformats.org/officeDocument/2006/relationships/hyperlink" Target="#'Technical Diagnostics'!A1" TargetMode="External" Id="rId87"/><Relationship Type="http://schemas.openxmlformats.org/officeDocument/2006/relationships/hyperlink" Target="https://africanmarketingconfederation.org/smoke-archive/page-1" TargetMode="External" Id="rId88"/><Relationship Type="http://schemas.openxmlformats.org/officeDocument/2006/relationships/hyperlink" Target="#FixPlan!A6" TargetMode="External" Id="rId89"/><Relationship Type="http://schemas.openxmlformats.org/officeDocument/2006/relationships/hyperlink" Target="#'Technical Diagnostics'!A1" TargetMode="External" Id="rId90"/><Relationship Type="http://schemas.openxmlformats.org/officeDocument/2006/relationships/hyperlink" Target="https://africanmarketingconfederation.org/smoke-archive/page-2" TargetMode="External" Id="rId91"/><Relationship Type="http://schemas.openxmlformats.org/officeDocument/2006/relationships/hyperlink" Target="#FixPlan!A7" TargetMode="External" Id="rId92"/><Relationship Type="http://schemas.openxmlformats.org/officeDocument/2006/relationships/hyperlink" Target="#'Technical Diagnostics'!A1" TargetMode="External" Id="rId93"/><Relationship Type="http://schemas.openxmlformats.org/officeDocument/2006/relationships/hyperlink" Target="https://africanmarketingconfederation.org/smoke-archive/page-2" TargetMode="External" Id="rId94"/><Relationship Type="http://schemas.openxmlformats.org/officeDocument/2006/relationships/hyperlink" Target="#FixPlan!A4" TargetMode="External" Id="rId95"/><Relationship Type="http://schemas.openxmlformats.org/officeDocument/2006/relationships/hyperlink" Target="#'Technical Diagnostics'!A1" TargetMode="External" Id="rId96"/><Relationship Type="http://schemas.openxmlformats.org/officeDocument/2006/relationships/hyperlink" Target="https://africanmarketingconfederation.org/smoke-archive/page-2" TargetMode="External" Id="rId97"/><Relationship Type="http://schemas.openxmlformats.org/officeDocument/2006/relationships/hyperlink" Target="#FixPlan!A5" TargetMode="External" Id="rId98"/><Relationship Type="http://schemas.openxmlformats.org/officeDocument/2006/relationships/hyperlink" Target="#'Technical Diagnostics'!A1" TargetMode="External" Id="rId99"/><Relationship Type="http://schemas.openxmlformats.org/officeDocument/2006/relationships/hyperlink" Target="https://africanmarketingconfederation.org/smoke-archive/page-2" TargetMode="External" Id="rId100"/><Relationship Type="http://schemas.openxmlformats.org/officeDocument/2006/relationships/hyperlink" Target="#FixPlan!A6" TargetMode="External" Id="rId101"/><Relationship Type="http://schemas.openxmlformats.org/officeDocument/2006/relationships/hyperlink" Target="#'Technical Diagnostics'!A1" TargetMode="External" Id="rId102"/><Relationship Type="http://schemas.openxmlformats.org/officeDocument/2006/relationships/hyperlink" Target="https://africanmarketingconfederation.org/smoke-archive/page-3" TargetMode="External" Id="rId103"/><Relationship Type="http://schemas.openxmlformats.org/officeDocument/2006/relationships/hyperlink" Target="#FixPlan!A7" TargetMode="External" Id="rId104"/><Relationship Type="http://schemas.openxmlformats.org/officeDocument/2006/relationships/hyperlink" Target="#'Technical Diagnostics'!A1" TargetMode="External" Id="rId105"/><Relationship Type="http://schemas.openxmlformats.org/officeDocument/2006/relationships/hyperlink" Target="https://africanmarketingconfederation.org/smoke-archive/page-3" TargetMode="External" Id="rId106"/><Relationship Type="http://schemas.openxmlformats.org/officeDocument/2006/relationships/hyperlink" Target="#FixPlan!A4" TargetMode="External" Id="rId107"/><Relationship Type="http://schemas.openxmlformats.org/officeDocument/2006/relationships/hyperlink" Target="#'Technical Diagnostics'!A1" TargetMode="External" Id="rId108"/><Relationship Type="http://schemas.openxmlformats.org/officeDocument/2006/relationships/hyperlink" Target="https://africanmarketingconfederation.org/smoke-archive/page-3" TargetMode="External" Id="rId109"/><Relationship Type="http://schemas.openxmlformats.org/officeDocument/2006/relationships/hyperlink" Target="#FixPlan!A5" TargetMode="External" Id="rId110"/><Relationship Type="http://schemas.openxmlformats.org/officeDocument/2006/relationships/hyperlink" Target="#'Technical Diagnostics'!A1" TargetMode="External" Id="rId111"/><Relationship Type="http://schemas.openxmlformats.org/officeDocument/2006/relationships/hyperlink" Target="https://africanmarketingconfederation.org/smoke-archive/page-3" TargetMode="External" Id="rId112"/><Relationship Type="http://schemas.openxmlformats.org/officeDocument/2006/relationships/hyperlink" Target="#FixPlan!A6" TargetMode="External" Id="rId113"/><Relationship Type="http://schemas.openxmlformats.org/officeDocument/2006/relationships/hyperlink" Target="#'Technical Diagnostics'!A1" TargetMode="External" Id="rId114"/><Relationship Type="http://schemas.openxmlformats.org/officeDocument/2006/relationships/hyperlink" Target="https://africanmarketingconfederation.org/smoke-archive/page-4" TargetMode="External" Id="rId115"/><Relationship Type="http://schemas.openxmlformats.org/officeDocument/2006/relationships/hyperlink" Target="#FixPlan!A4" TargetMode="External" Id="rId116"/><Relationship Type="http://schemas.openxmlformats.org/officeDocument/2006/relationships/hyperlink" Target="#'Technical Diagnostics'!A1" TargetMode="External" Id="rId117"/><Relationship Type="http://schemas.openxmlformats.org/officeDocument/2006/relationships/hyperlink" Target="https://africanmarketingconfederation.org/smoke-archive/page-4" TargetMode="External" Id="rId118"/><Relationship Type="http://schemas.openxmlformats.org/officeDocument/2006/relationships/hyperlink" Target="#FixPlan!A5" TargetMode="External" Id="rId119"/><Relationship Type="http://schemas.openxmlformats.org/officeDocument/2006/relationships/hyperlink" Target="#'Technical Diagnostics'!A1" TargetMode="External" Id="rId120"/><Relationship Type="http://schemas.openxmlformats.org/officeDocument/2006/relationships/hyperlink" Target="https://africanmarketingconfederation.org/smoke-archive/page-4" TargetMode="External" Id="rId121"/><Relationship Type="http://schemas.openxmlformats.org/officeDocument/2006/relationships/hyperlink" Target="#FixPlan!A6" TargetMode="External" Id="rId122"/><Relationship Type="http://schemas.openxmlformats.org/officeDocument/2006/relationships/hyperlink" Target="#'Technical Diagnostics'!A1" TargetMode="External" Id="rId123"/><Relationship Type="http://schemas.openxmlformats.org/officeDocument/2006/relationships/hyperlink" Target="https://africanmarketingconfederation.org/smoke-archive/page-5" TargetMode="External" Id="rId124"/><Relationship Type="http://schemas.openxmlformats.org/officeDocument/2006/relationships/hyperlink" Target="#FixPlan!A8" TargetMode="External" Id="rId125"/><Relationship Type="http://schemas.openxmlformats.org/officeDocument/2006/relationships/hyperlink" Target="#'Technical Diagnostics'!A1" TargetMode="External" Id="rId126"/><Relationship Type="http://schemas.openxmlformats.org/officeDocument/2006/relationships/hyperlink" Target="https://africanmarketingconfederation.org/smoke-archive/page-5" TargetMode="External" Id="rId127"/><Relationship Type="http://schemas.openxmlformats.org/officeDocument/2006/relationships/hyperlink" Target="#FixPlan!A9" TargetMode="External" Id="rId128"/><Relationship Type="http://schemas.openxmlformats.org/officeDocument/2006/relationships/hyperlink" Target="#'Technical Diagnostics'!A1" TargetMode="External" Id="rId129"/><Relationship Type="http://schemas.openxmlformats.org/officeDocument/2006/relationships/hyperlink" Target="https://africanmarketingconfederation.org/smoke-archive/page-5" TargetMode="External" Id="rId130"/><Relationship Type="http://schemas.openxmlformats.org/officeDocument/2006/relationships/hyperlink" Target="#FixPlan!A7" TargetMode="External" Id="rId131"/><Relationship Type="http://schemas.openxmlformats.org/officeDocument/2006/relationships/hyperlink" Target="#'Technical Diagnostics'!A1" TargetMode="External" Id="rId132"/><Relationship Type="http://schemas.openxmlformats.org/officeDocument/2006/relationships/hyperlink" Target="https://africanmarketingconfederation.org/smoke-archive/page-5" TargetMode="External" Id="rId133"/><Relationship Type="http://schemas.openxmlformats.org/officeDocument/2006/relationships/hyperlink" Target="#FixPlan!A4" TargetMode="External" Id="rId134"/><Relationship Type="http://schemas.openxmlformats.org/officeDocument/2006/relationships/hyperlink" Target="#'Technical Diagnostics'!A1" TargetMode="External" Id="rId135"/><Relationship Type="http://schemas.openxmlformats.org/officeDocument/2006/relationships/hyperlink" Target="https://africanmarketingconfederation.org/smoke-archive/page-5" TargetMode="External" Id="rId136"/><Relationship Type="http://schemas.openxmlformats.org/officeDocument/2006/relationships/hyperlink" Target="#FixPlan!A5" TargetMode="External" Id="rId137"/><Relationship Type="http://schemas.openxmlformats.org/officeDocument/2006/relationships/hyperlink" Target="#'Technical Diagnostics'!A1" TargetMode="External" Id="rId138"/><Relationship Type="http://schemas.openxmlformats.org/officeDocument/2006/relationships/hyperlink" Target="https://africanmarketingconfederation.org/smoke-archive/page-5" TargetMode="External" Id="rId139"/><Relationship Type="http://schemas.openxmlformats.org/officeDocument/2006/relationships/hyperlink" Target="#FixPlan!A6" TargetMode="External" Id="rId140"/><Relationship Type="http://schemas.openxmlformats.org/officeDocument/2006/relationships/hyperlink" Target="#'Technical Diagnostics'!A1" TargetMode="External" Id="rId141"/><Relationship Type="http://schemas.openxmlformats.org/officeDocument/2006/relationships/hyperlink" Target="https://africanmarketingconfederation.org/smoke-archive/page-6" TargetMode="External" Id="rId142"/><Relationship Type="http://schemas.openxmlformats.org/officeDocument/2006/relationships/hyperlink" Target="#FixPlan!A10" TargetMode="External" Id="rId143"/><Relationship Type="http://schemas.openxmlformats.org/officeDocument/2006/relationships/hyperlink" Target="#'Technical Diagnostics'!A1" TargetMode="External" Id="rId144"/><Relationship Type="http://schemas.openxmlformats.org/officeDocument/2006/relationships/hyperlink" Target="https://africanmarketingconfederation.org/smoke-archive/page-6" TargetMode="External" Id="rId145"/><Relationship Type="http://schemas.openxmlformats.org/officeDocument/2006/relationships/hyperlink" Target="#FixPlan!A7" TargetMode="External" Id="rId146"/><Relationship Type="http://schemas.openxmlformats.org/officeDocument/2006/relationships/hyperlink" Target="#'Technical Diagnostics'!A1" TargetMode="External" Id="rId147"/><Relationship Type="http://schemas.openxmlformats.org/officeDocument/2006/relationships/hyperlink" Target="https://africanmarketingconfederation.org/smoke-archive/page-6" TargetMode="External" Id="rId148"/><Relationship Type="http://schemas.openxmlformats.org/officeDocument/2006/relationships/hyperlink" Target="#FixPlan!A4" TargetMode="External" Id="rId149"/><Relationship Type="http://schemas.openxmlformats.org/officeDocument/2006/relationships/hyperlink" Target="#'Technical Diagnostics'!A1" TargetMode="External" Id="rId150"/><Relationship Type="http://schemas.openxmlformats.org/officeDocument/2006/relationships/hyperlink" Target="https://africanmarketingconfederation.org/smoke-archive/page-6" TargetMode="External" Id="rId151"/><Relationship Type="http://schemas.openxmlformats.org/officeDocument/2006/relationships/hyperlink" Target="#FixPlan!A5" TargetMode="External" Id="rId152"/><Relationship Type="http://schemas.openxmlformats.org/officeDocument/2006/relationships/hyperlink" Target="#'Technical Diagnostics'!A1" TargetMode="External" Id="rId153"/><Relationship Type="http://schemas.openxmlformats.org/officeDocument/2006/relationships/hyperlink" Target="https://africanmarketingconfederation.org/smoke-archive/page-6" TargetMode="External" Id="rId154"/><Relationship Type="http://schemas.openxmlformats.org/officeDocument/2006/relationships/hyperlink" Target="#FixPlan!A6" TargetMode="External" Id="rId155"/><Relationship Type="http://schemas.openxmlformats.org/officeDocument/2006/relationships/hyperlink" Target="#'Technical Diagnostics'!A1" TargetMode="External" Id="rId156"/><Relationship Type="http://schemas.openxmlformats.org/officeDocument/2006/relationships/hyperlink" Target="https://africanmarketingconfederation.org/smoke-archive/page-7" TargetMode="External" Id="rId157"/><Relationship Type="http://schemas.openxmlformats.org/officeDocument/2006/relationships/hyperlink" Target="#FixPlan!A13" TargetMode="External" Id="rId158"/><Relationship Type="http://schemas.openxmlformats.org/officeDocument/2006/relationships/hyperlink" Target="#'Technical Diagnostics'!A1" TargetMode="External" Id="rId159"/><Relationship Type="http://schemas.openxmlformats.org/officeDocument/2006/relationships/hyperlink" Target="https://africanmarketingconfederation.org/smoke-archive/page-7" TargetMode="External" Id="rId160"/><Relationship Type="http://schemas.openxmlformats.org/officeDocument/2006/relationships/hyperlink" Target="#FixPlan!A7" TargetMode="External" Id="rId161"/><Relationship Type="http://schemas.openxmlformats.org/officeDocument/2006/relationships/hyperlink" Target="#'Technical Diagnostics'!A1" TargetMode="External" Id="rId162"/><Relationship Type="http://schemas.openxmlformats.org/officeDocument/2006/relationships/hyperlink" Target="https://africanmarketingconfederation.org/smoke-archive/page-7" TargetMode="External" Id="rId163"/><Relationship Type="http://schemas.openxmlformats.org/officeDocument/2006/relationships/hyperlink" Target="#FixPlan!A12" TargetMode="External" Id="rId164"/><Relationship Type="http://schemas.openxmlformats.org/officeDocument/2006/relationships/hyperlink" Target="#'Technical Diagnostics'!A1" TargetMode="External" Id="rId165"/><Relationship Type="http://schemas.openxmlformats.org/officeDocument/2006/relationships/hyperlink" Target="https://africanmarketingconfederation.org/smoke-archive/page-7" TargetMode="External" Id="rId166"/><Relationship Type="http://schemas.openxmlformats.org/officeDocument/2006/relationships/hyperlink" Target="#FixPlan!A4" TargetMode="External" Id="rId167"/><Relationship Type="http://schemas.openxmlformats.org/officeDocument/2006/relationships/hyperlink" Target="#'Technical Diagnostics'!A1" TargetMode="External" Id="rId168"/><Relationship Type="http://schemas.openxmlformats.org/officeDocument/2006/relationships/hyperlink" Target="https://africanmarketingconfederation.org/smoke-archive/page-7" TargetMode="External" Id="rId169"/><Relationship Type="http://schemas.openxmlformats.org/officeDocument/2006/relationships/hyperlink" Target="#FixPlan!A5" TargetMode="External" Id="rId170"/><Relationship Type="http://schemas.openxmlformats.org/officeDocument/2006/relationships/hyperlink" Target="#'Technical Diagnostics'!A1" TargetMode="External" Id="rId171"/><Relationship Type="http://schemas.openxmlformats.org/officeDocument/2006/relationships/hyperlink" Target="https://africanmarketingconfederation.org/smoke-archive/page-7" TargetMode="External" Id="rId172"/><Relationship Type="http://schemas.openxmlformats.org/officeDocument/2006/relationships/hyperlink" Target="#FixPlan!A6" TargetMode="External" Id="rId173"/><Relationship Type="http://schemas.openxmlformats.org/officeDocument/2006/relationships/hyperlink" Target="#'Technical Diagnostics'!A1" TargetMode="External" Id="rId174"/><Relationship Type="http://schemas.openxmlformats.org/officeDocument/2006/relationships/hyperlink" Target="https://africanmarketingconfederation.org/smoke-archive/page-8" TargetMode="External" Id="rId175"/><Relationship Type="http://schemas.openxmlformats.org/officeDocument/2006/relationships/hyperlink" Target="#FixPlan!A17" TargetMode="External" Id="rId176"/><Relationship Type="http://schemas.openxmlformats.org/officeDocument/2006/relationships/hyperlink" Target="#'Technical Diagnostics'!A1" TargetMode="External" Id="rId177"/><Relationship Type="http://schemas.openxmlformats.org/officeDocument/2006/relationships/hyperlink" Target="https://africanmarketingconfederation.org/smoke-archive/page-8" TargetMode="External" Id="rId178"/><Relationship Type="http://schemas.openxmlformats.org/officeDocument/2006/relationships/hyperlink" Target="#FixPlan!A4" TargetMode="External" Id="rId179"/><Relationship Type="http://schemas.openxmlformats.org/officeDocument/2006/relationships/hyperlink" Target="#'Technical Diagnostics'!A1" TargetMode="External" Id="rId180"/><Relationship Type="http://schemas.openxmlformats.org/officeDocument/2006/relationships/hyperlink" Target="https://africanmarketingconfederation.org/smoke-archive/page-8" TargetMode="External" Id="rId181"/><Relationship Type="http://schemas.openxmlformats.org/officeDocument/2006/relationships/hyperlink" Target="#FixPlan!A5" TargetMode="External" Id="rId182"/><Relationship Type="http://schemas.openxmlformats.org/officeDocument/2006/relationships/hyperlink" Target="#'Technical Diagnostics'!A1" TargetMode="External" Id="rId183"/><Relationship Type="http://schemas.openxmlformats.org/officeDocument/2006/relationships/hyperlink" Target="https://africanmarketingconfederation.org/smoke-archive/page-8" TargetMode="External" Id="rId184"/><Relationship Type="http://schemas.openxmlformats.org/officeDocument/2006/relationships/hyperlink" Target="#FixPlan!A6" TargetMode="External" Id="rId185"/><Relationship Type="http://schemas.openxmlformats.org/officeDocument/2006/relationships/hyperlink" Target="#'Technical Diagnostics'!A1" TargetMode="External" Id="rId186"/><Relationship Type="http://schemas.openxmlformats.org/officeDocument/2006/relationships/hyperlink" Target="https://africanmarketingconfederation.org/smoke-archive/page-9" TargetMode="External" Id="rId187"/><Relationship Type="http://schemas.openxmlformats.org/officeDocument/2006/relationships/hyperlink" Target="#FixPlan!A7" TargetMode="External" Id="rId188"/><Relationship Type="http://schemas.openxmlformats.org/officeDocument/2006/relationships/hyperlink" Target="#'Technical Diagnostics'!A1" TargetMode="External" Id="rId189"/><Relationship Type="http://schemas.openxmlformats.org/officeDocument/2006/relationships/hyperlink" Target="https://africanmarketingconfederation.org/smoke-archive/page-9" TargetMode="External" Id="rId190"/><Relationship Type="http://schemas.openxmlformats.org/officeDocument/2006/relationships/hyperlink" Target="#FixPlan!A18" TargetMode="External" Id="rId191"/><Relationship Type="http://schemas.openxmlformats.org/officeDocument/2006/relationships/hyperlink" Target="#'Content &amp; AI Readiness'!A1" TargetMode="External" Id="rId192"/><Relationship Type="http://schemas.openxmlformats.org/officeDocument/2006/relationships/hyperlink" Target="https://africanmarketingconfederation.org/smoke-archive/page-9" TargetMode="External" Id="rId193"/><Relationship Type="http://schemas.openxmlformats.org/officeDocument/2006/relationships/hyperlink" Target="#FixPlan!A14" TargetMode="External" Id="rId194"/><Relationship Type="http://schemas.openxmlformats.org/officeDocument/2006/relationships/hyperlink" Target="#'Content &amp; AI Readiness'!A1" TargetMode="External" Id="rId195"/><Relationship Type="http://schemas.openxmlformats.org/officeDocument/2006/relationships/hyperlink" Target="https://africanmarketingconfederation.org/smoke-archive/page-9" TargetMode="External" Id="rId196"/><Relationship Type="http://schemas.openxmlformats.org/officeDocument/2006/relationships/hyperlink" Target="#FixPlan!A15" TargetMode="External" Id="rId197"/><Relationship Type="http://schemas.openxmlformats.org/officeDocument/2006/relationships/hyperlink" Target="#'Technical Diagnostics'!A1" TargetMode="External" Id="rId198"/><Relationship Type="http://schemas.openxmlformats.org/officeDocument/2006/relationships/hyperlink" Target="https://africanmarketingconfederation.org/smoke-archive/page-9" TargetMode="External" Id="rId199"/><Relationship Type="http://schemas.openxmlformats.org/officeDocument/2006/relationships/hyperlink" Target="#FixPlan!A16" TargetMode="External" Id="rId200"/><Relationship Type="http://schemas.openxmlformats.org/officeDocument/2006/relationships/hyperlink" Target="#'Technical Diagnostics'!A1" TargetMode="External" Id="rId201"/><Relationship Type="http://schemas.openxmlformats.org/officeDocument/2006/relationships/hyperlink" Target="https://africanmarketingconfederation.org/smoke-archive/page-9" TargetMode="External" Id="rId202"/><Relationship Type="http://schemas.openxmlformats.org/officeDocument/2006/relationships/hyperlink" Target="#FixPlan!A4" TargetMode="External" Id="rId203"/><Relationship Type="http://schemas.openxmlformats.org/officeDocument/2006/relationships/hyperlink" Target="#'Technical Diagnostics'!A1" TargetMode="External" Id="rId204"/><Relationship Type="http://schemas.openxmlformats.org/officeDocument/2006/relationships/hyperlink" Target="https://africanmarketingconfederation.org/smoke-archive/page-9" TargetMode="External" Id="rId205"/><Relationship Type="http://schemas.openxmlformats.org/officeDocument/2006/relationships/hyperlink" Target="#FixPlan!A5" TargetMode="External" Id="rId206"/><Relationship Type="http://schemas.openxmlformats.org/officeDocument/2006/relationships/hyperlink" Target="#'Technical Diagnostics'!A1" TargetMode="External" Id="rId207"/><Relationship Type="http://schemas.openxmlformats.org/officeDocument/2006/relationships/hyperlink" Target="https://africanmarketingconfederation.org/smoke-archive/page-9" TargetMode="External" Id="rId208"/><Relationship Type="http://schemas.openxmlformats.org/officeDocument/2006/relationships/hyperlink" Target="#FixPlan!A6" TargetMode="External" Id="rId209"/><Relationship Type="http://schemas.openxmlformats.org/officeDocument/2006/relationships/hyperlink" Target="#'Technical Diagnostics'!A1" TargetMode="External" Id="rId210"/><Relationship Type="http://schemas.openxmlformats.org/officeDocument/2006/relationships/hyperlink" Target="https://africanmarketingconfederation.org/smoke-archive/page-10" TargetMode="External" Id="rId211"/><Relationship Type="http://schemas.openxmlformats.org/officeDocument/2006/relationships/hyperlink" Target="#FixPlan!A8" TargetMode="External" Id="rId212"/><Relationship Type="http://schemas.openxmlformats.org/officeDocument/2006/relationships/hyperlink" Target="#'Technical Diagnostics'!A1" TargetMode="External" Id="rId213"/><Relationship Type="http://schemas.openxmlformats.org/officeDocument/2006/relationships/hyperlink" Target="https://africanmarketingconfederation.org/smoke-archive/page-10" TargetMode="External" Id="rId214"/><Relationship Type="http://schemas.openxmlformats.org/officeDocument/2006/relationships/hyperlink" Target="#FixPlan!A9" TargetMode="External" Id="rId215"/><Relationship Type="http://schemas.openxmlformats.org/officeDocument/2006/relationships/hyperlink" Target="#'Technical Diagnostics'!A1" TargetMode="External" Id="rId216"/><Relationship Type="http://schemas.openxmlformats.org/officeDocument/2006/relationships/hyperlink" Target="https://africanmarketingconfederation.org/smoke-archive/page-10" TargetMode="External" Id="rId217"/><Relationship Type="http://schemas.openxmlformats.org/officeDocument/2006/relationships/hyperlink" Target="#FixPlan!A7" TargetMode="External" Id="rId218"/><Relationship Type="http://schemas.openxmlformats.org/officeDocument/2006/relationships/hyperlink" Target="#'Technical Diagnostics'!A1" TargetMode="External" Id="rId219"/><Relationship Type="http://schemas.openxmlformats.org/officeDocument/2006/relationships/hyperlink" Target="https://africanmarketingconfederation.org/smoke-archive/page-10" TargetMode="External" Id="rId220"/><Relationship Type="http://schemas.openxmlformats.org/officeDocument/2006/relationships/hyperlink" Target="#FixPlan!A4" TargetMode="External" Id="rId221"/><Relationship Type="http://schemas.openxmlformats.org/officeDocument/2006/relationships/hyperlink" Target="#'Technical Diagnostics'!A1" TargetMode="External" Id="rId222"/><Relationship Type="http://schemas.openxmlformats.org/officeDocument/2006/relationships/hyperlink" Target="https://africanmarketingconfederation.org/smoke-archive/page-10" TargetMode="External" Id="rId223"/><Relationship Type="http://schemas.openxmlformats.org/officeDocument/2006/relationships/hyperlink" Target="#FixPlan!A5" TargetMode="External" Id="rId224"/><Relationship Type="http://schemas.openxmlformats.org/officeDocument/2006/relationships/hyperlink" Target="#'Technical Diagnostics'!A1" TargetMode="External" Id="rId225"/><Relationship Type="http://schemas.openxmlformats.org/officeDocument/2006/relationships/hyperlink" Target="https://africanmarketingconfederation.org/smoke-archive/page-10" TargetMode="External" Id="rId226"/><Relationship Type="http://schemas.openxmlformats.org/officeDocument/2006/relationships/hyperlink" Target="#FixPlan!A6" TargetMode="External" Id="rId227"/><Relationship Type="http://schemas.openxmlformats.org/officeDocument/2006/relationships/hyperlink" Target="#'Technical Diagnostics'!A1" TargetMode="External" Id="rId228"/><Relationship Type="http://schemas.openxmlformats.org/officeDocument/2006/relationships/hyperlink" Target="https://africanmarketingconfederation.org/smoke-archive/page-11" TargetMode="External" Id="rId229"/><Relationship Type="http://schemas.openxmlformats.org/officeDocument/2006/relationships/hyperlink" Target="#FixPlan!A7" TargetMode="External" Id="rId230"/><Relationship Type="http://schemas.openxmlformats.org/officeDocument/2006/relationships/hyperlink" Target="#'Technical Diagnostics'!A1" TargetMode="External" Id="rId231"/><Relationship Type="http://schemas.openxmlformats.org/officeDocument/2006/relationships/hyperlink" Target="https://africanmarketingconfederation.org/smoke-archive/page-11" TargetMode="External" Id="rId232"/><Relationship Type="http://schemas.openxmlformats.org/officeDocument/2006/relationships/hyperlink" Target="#FixPlan!A4" TargetMode="External" Id="rId233"/><Relationship Type="http://schemas.openxmlformats.org/officeDocument/2006/relationships/hyperlink" Target="#'Technical Diagnostics'!A1" TargetMode="External" Id="rId234"/><Relationship Type="http://schemas.openxmlformats.org/officeDocument/2006/relationships/hyperlink" Target="https://africanmarketingconfederation.org/smoke-archive/page-11" TargetMode="External" Id="rId235"/><Relationship Type="http://schemas.openxmlformats.org/officeDocument/2006/relationships/hyperlink" Target="#FixPlan!A5" TargetMode="External" Id="rId236"/><Relationship Type="http://schemas.openxmlformats.org/officeDocument/2006/relationships/hyperlink" Target="#'Technical Diagnostics'!A1" TargetMode="External" Id="rId237"/><Relationship Type="http://schemas.openxmlformats.org/officeDocument/2006/relationships/hyperlink" Target="https://africanmarketingconfederation.org/smoke-archive/page-11" TargetMode="External" Id="rId238"/><Relationship Type="http://schemas.openxmlformats.org/officeDocument/2006/relationships/hyperlink" Target="#FixPlan!A6" TargetMode="External" Id="rId239"/><Relationship Type="http://schemas.openxmlformats.org/officeDocument/2006/relationships/hyperlink" Target="#'Technical Diagnostics'!A1" TargetMode="External" Id="rId240"/><Relationship Type="http://schemas.openxmlformats.org/officeDocument/2006/relationships/hyperlink" Target="https://africanmarketingconfederation.org/smoke-archive/page-12" TargetMode="External" Id="rId241"/><Relationship Type="http://schemas.openxmlformats.org/officeDocument/2006/relationships/hyperlink" Target="#FixPlan!A19" TargetMode="External" Id="rId242"/><Relationship Type="http://schemas.openxmlformats.org/officeDocument/2006/relationships/hyperlink" Target="#'Technical Diagnostics'!A1" TargetMode="External" Id="rId243"/><Relationship Type="http://schemas.openxmlformats.org/officeDocument/2006/relationships/hyperlink" Target="https://africanmarketingconfederation.org/smoke-archive/page-12" TargetMode="External" Id="rId244"/><Relationship Type="http://schemas.openxmlformats.org/officeDocument/2006/relationships/hyperlink" Target="#FixPlan!A10" TargetMode="External" Id="rId245"/><Relationship Type="http://schemas.openxmlformats.org/officeDocument/2006/relationships/hyperlink" Target="#'Technical Diagnostics'!A1" TargetMode="External" Id="rId246"/><Relationship Type="http://schemas.openxmlformats.org/officeDocument/2006/relationships/hyperlink" Target="https://africanmarketingconfederation.org/smoke-archive/page-12" TargetMode="External" Id="rId247"/><Relationship Type="http://schemas.openxmlformats.org/officeDocument/2006/relationships/hyperlink" Target="#FixPlan!A4" TargetMode="External" Id="rId248"/><Relationship Type="http://schemas.openxmlformats.org/officeDocument/2006/relationships/hyperlink" Target="#'Technical Diagnostics'!A1" TargetMode="External" Id="rId249"/><Relationship Type="http://schemas.openxmlformats.org/officeDocument/2006/relationships/hyperlink" Target="https://africanmarketingconfederation.org/smoke-archive/page-12" TargetMode="External" Id="rId250"/><Relationship Type="http://schemas.openxmlformats.org/officeDocument/2006/relationships/hyperlink" Target="#FixPlan!A5" TargetMode="External" Id="rId251"/><Relationship Type="http://schemas.openxmlformats.org/officeDocument/2006/relationships/hyperlink" Target="#'Technical Diagnostics'!A1" TargetMode="External" Id="rId252"/><Relationship Type="http://schemas.openxmlformats.org/officeDocument/2006/relationships/hyperlink" Target="https://africanmarketingconfederation.org/smoke-archive/page-12" TargetMode="External" Id="rId253"/><Relationship Type="http://schemas.openxmlformats.org/officeDocument/2006/relationships/hyperlink" Target="#FixPlan!A6" TargetMode="External" Id="rId254"/><Relationship Type="http://schemas.openxmlformats.org/officeDocument/2006/relationships/hyperlink" Target="#'Technical Diagnostics'!A1" TargetMode="External" Id="rId255"/><Relationship Type="http://schemas.openxmlformats.org/officeDocument/2006/relationships/hyperlink" Target="https://africanmarketingconfederation.org/smoke-archive/page-13" TargetMode="External" Id="rId256"/><Relationship Type="http://schemas.openxmlformats.org/officeDocument/2006/relationships/hyperlink" Target="#FixPlan!A11" TargetMode="External" Id="rId257"/><Relationship Type="http://schemas.openxmlformats.org/officeDocument/2006/relationships/hyperlink" Target="#'Technical Diagnostics'!A1" TargetMode="External" Id="rId258"/><Relationship Type="http://schemas.openxmlformats.org/officeDocument/2006/relationships/hyperlink" Target="https://africanmarketingconfederation.org/smoke-archive/page-14" TargetMode="External" Id="rId259"/><Relationship Type="http://schemas.openxmlformats.org/officeDocument/2006/relationships/hyperlink" Target="#FixPlan!A13" TargetMode="External" Id="rId260"/><Relationship Type="http://schemas.openxmlformats.org/officeDocument/2006/relationships/hyperlink" Target="#'Technical Diagnostics'!A1" TargetMode="External" Id="rId261"/><Relationship Type="http://schemas.openxmlformats.org/officeDocument/2006/relationships/hyperlink" Target="https://africanmarketingconfederation.org/smoke-archive/page-14" TargetMode="External" Id="rId262"/><Relationship Type="http://schemas.openxmlformats.org/officeDocument/2006/relationships/hyperlink" Target="#FixPlan!A7" TargetMode="External" Id="rId263"/><Relationship Type="http://schemas.openxmlformats.org/officeDocument/2006/relationships/hyperlink" Target="#'Technical Diagnostics'!A1" TargetMode="External" Id="rId264"/><Relationship Type="http://schemas.openxmlformats.org/officeDocument/2006/relationships/hyperlink" Target="https://africanmarketingconfederation.org/smoke-archive/page-14" TargetMode="External" Id="rId265"/><Relationship Type="http://schemas.openxmlformats.org/officeDocument/2006/relationships/hyperlink" Target="#FixPlan!A12" TargetMode="External" Id="rId266"/><Relationship Type="http://schemas.openxmlformats.org/officeDocument/2006/relationships/hyperlink" Target="#'Technical Diagnostics'!A1" TargetMode="External" Id="rId267"/><Relationship Type="http://schemas.openxmlformats.org/officeDocument/2006/relationships/hyperlink" Target="https://africanmarketingconfederation.org/smoke-archive/page-14" TargetMode="External" Id="rId268"/><Relationship Type="http://schemas.openxmlformats.org/officeDocument/2006/relationships/hyperlink" Target="#FixPlan!A4" TargetMode="External" Id="rId269"/><Relationship Type="http://schemas.openxmlformats.org/officeDocument/2006/relationships/hyperlink" Target="#'Technical Diagnostics'!A1" TargetMode="External" Id="rId270"/><Relationship Type="http://schemas.openxmlformats.org/officeDocument/2006/relationships/hyperlink" Target="https://africanmarketingconfederation.org/smoke-archive/page-14" TargetMode="External" Id="rId271"/><Relationship Type="http://schemas.openxmlformats.org/officeDocument/2006/relationships/hyperlink" Target="#FixPlan!A5" TargetMode="External" Id="rId272"/><Relationship Type="http://schemas.openxmlformats.org/officeDocument/2006/relationships/hyperlink" Target="#'Technical Diagnostics'!A1" TargetMode="External" Id="rId273"/><Relationship Type="http://schemas.openxmlformats.org/officeDocument/2006/relationships/hyperlink" Target="https://africanmarketingconfederation.org/smoke-archive/page-14" TargetMode="External" Id="rId274"/><Relationship Type="http://schemas.openxmlformats.org/officeDocument/2006/relationships/hyperlink" Target="#FixPlan!A6" TargetMode="External" Id="rId275"/><Relationship Type="http://schemas.openxmlformats.org/officeDocument/2006/relationships/hyperlink" Target="#'Technical Diagnostics'!A1" TargetMode="External" Id="rId276"/><Relationship Type="http://schemas.openxmlformats.org/officeDocument/2006/relationships/hyperlink" Target="https://africanmarketingconfederation.org/smoke-archive/page-15" TargetMode="External" Id="rId277"/><Relationship Type="http://schemas.openxmlformats.org/officeDocument/2006/relationships/hyperlink" Target="#FixPlan!A8" TargetMode="External" Id="rId278"/><Relationship Type="http://schemas.openxmlformats.org/officeDocument/2006/relationships/hyperlink" Target="#'Technical Diagnostics'!A1" TargetMode="External" Id="rId279"/><Relationship Type="http://schemas.openxmlformats.org/officeDocument/2006/relationships/hyperlink" Target="https://africanmarketingconfederation.org/smoke-archive/page-15" TargetMode="External" Id="rId280"/><Relationship Type="http://schemas.openxmlformats.org/officeDocument/2006/relationships/hyperlink" Target="#FixPlan!A9" TargetMode="External" Id="rId281"/><Relationship Type="http://schemas.openxmlformats.org/officeDocument/2006/relationships/hyperlink" Target="#'Technical Diagnostics'!A1" TargetMode="External" Id="rId282"/><Relationship Type="http://schemas.openxmlformats.org/officeDocument/2006/relationships/hyperlink" Target="https://africanmarketingconfederation.org/smoke-archive/page-15" TargetMode="External" Id="rId283"/><Relationship Type="http://schemas.openxmlformats.org/officeDocument/2006/relationships/hyperlink" Target="#FixPlan!A7" TargetMode="External" Id="rId284"/><Relationship Type="http://schemas.openxmlformats.org/officeDocument/2006/relationships/hyperlink" Target="#'Technical Diagnostics'!A1" TargetMode="External" Id="rId285"/><Relationship Type="http://schemas.openxmlformats.org/officeDocument/2006/relationships/hyperlink" Target="https://africanmarketingconfederation.org/smoke-archive/page-15" TargetMode="External" Id="rId286"/><Relationship Type="http://schemas.openxmlformats.org/officeDocument/2006/relationships/hyperlink" Target="#FixPlan!A4" TargetMode="External" Id="rId287"/><Relationship Type="http://schemas.openxmlformats.org/officeDocument/2006/relationships/hyperlink" Target="#'Technical Diagnostics'!A1" TargetMode="External" Id="rId288"/><Relationship Type="http://schemas.openxmlformats.org/officeDocument/2006/relationships/hyperlink" Target="https://africanmarketingconfederation.org/smoke-archive/page-15" TargetMode="External" Id="rId289"/><Relationship Type="http://schemas.openxmlformats.org/officeDocument/2006/relationships/hyperlink" Target="#FixPlan!A5" TargetMode="External" Id="rId290"/><Relationship Type="http://schemas.openxmlformats.org/officeDocument/2006/relationships/hyperlink" Target="#'Technical Diagnostics'!A1" TargetMode="External" Id="rId291"/><Relationship Type="http://schemas.openxmlformats.org/officeDocument/2006/relationships/hyperlink" Target="https://africanmarketingconfederation.org/smoke-archive/page-15" TargetMode="External" Id="rId292"/><Relationship Type="http://schemas.openxmlformats.org/officeDocument/2006/relationships/hyperlink" Target="#FixPlan!A6" TargetMode="External" Id="rId293"/><Relationship Type="http://schemas.openxmlformats.org/officeDocument/2006/relationships/hyperlink" Target="#'Technical Diagnostics'!A1" TargetMode="External" Id="rId294"/><Relationship Type="http://schemas.openxmlformats.org/officeDocument/2006/relationships/hyperlink" Target="https://africanmarketingconfederation.org/smoke-archive/page-16" TargetMode="External" Id="rId295"/><Relationship Type="http://schemas.openxmlformats.org/officeDocument/2006/relationships/hyperlink" Target="#FixPlan!A17" TargetMode="External" Id="rId296"/><Relationship Type="http://schemas.openxmlformats.org/officeDocument/2006/relationships/hyperlink" Target="#'Technical Diagnostics'!A1" TargetMode="External" Id="rId297"/><Relationship Type="http://schemas.openxmlformats.org/officeDocument/2006/relationships/hyperlink" Target="https://africanmarketingconfederation.org/smoke-archive/page-16" TargetMode="External" Id="rId298"/><Relationship Type="http://schemas.openxmlformats.org/officeDocument/2006/relationships/hyperlink" Target="#FixPlan!A4" TargetMode="External" Id="rId299"/><Relationship Type="http://schemas.openxmlformats.org/officeDocument/2006/relationships/hyperlink" Target="#'Technical Diagnostics'!A1" TargetMode="External" Id="rId300"/><Relationship Type="http://schemas.openxmlformats.org/officeDocument/2006/relationships/hyperlink" Target="https://africanmarketingconfederation.org/smoke-archive/page-16" TargetMode="External" Id="rId301"/><Relationship Type="http://schemas.openxmlformats.org/officeDocument/2006/relationships/hyperlink" Target="#FixPlan!A5" TargetMode="External" Id="rId302"/><Relationship Type="http://schemas.openxmlformats.org/officeDocument/2006/relationships/hyperlink" Target="#'Technical Diagnostics'!A1" TargetMode="External" Id="rId303"/><Relationship Type="http://schemas.openxmlformats.org/officeDocument/2006/relationships/hyperlink" Target="https://africanmarketingconfederation.org/smoke-archive/page-16" TargetMode="External" Id="rId304"/><Relationship Type="http://schemas.openxmlformats.org/officeDocument/2006/relationships/hyperlink" Target="#FixPlan!A6" TargetMode="External" Id="rId305"/><Relationship Type="http://schemas.openxmlformats.org/officeDocument/2006/relationships/hyperlink" Target="#'Technical Diagnostics'!A1" TargetMode="External" Id="rId306"/><Relationship Type="http://schemas.openxmlformats.org/officeDocument/2006/relationships/hyperlink" Target="https://africanmarketingconfederation.org/smoke-archive/page-17" TargetMode="External" Id="rId307"/><Relationship Type="http://schemas.openxmlformats.org/officeDocument/2006/relationships/hyperlink" Target="#FixPlan!A11" TargetMode="External" Id="rId308"/><Relationship Type="http://schemas.openxmlformats.org/officeDocument/2006/relationships/hyperlink" Target="#'Technical Diagnostics'!A1" TargetMode="External" Id="rId309"/><Relationship Type="http://schemas.openxmlformats.org/officeDocument/2006/relationships/hyperlink" Target="https://africanmarketingconfederation.org/smoke-archive/page-18" TargetMode="External" Id="rId310"/><Relationship Type="http://schemas.openxmlformats.org/officeDocument/2006/relationships/hyperlink" Target="#FixPlan!A10" TargetMode="External" Id="rId311"/><Relationship Type="http://schemas.openxmlformats.org/officeDocument/2006/relationships/hyperlink" Target="#'Technical Diagnostics'!A1" TargetMode="External" Id="rId312"/><Relationship Type="http://schemas.openxmlformats.org/officeDocument/2006/relationships/hyperlink" Target="https://africanmarketingconfederation.org/smoke-archive/page-18" TargetMode="External" Id="rId313"/><Relationship Type="http://schemas.openxmlformats.org/officeDocument/2006/relationships/hyperlink" Target="#FixPlan!A7" TargetMode="External" Id="rId314"/><Relationship Type="http://schemas.openxmlformats.org/officeDocument/2006/relationships/hyperlink" Target="#'Technical Diagnostics'!A1" TargetMode="External" Id="rId315"/><Relationship Type="http://schemas.openxmlformats.org/officeDocument/2006/relationships/hyperlink" Target="https://africanmarketingconfederation.org/smoke-archive/page-18" TargetMode="External" Id="rId316"/><Relationship Type="http://schemas.openxmlformats.org/officeDocument/2006/relationships/hyperlink" Target="#FixPlan!A18" TargetMode="External" Id="rId317"/><Relationship Type="http://schemas.openxmlformats.org/officeDocument/2006/relationships/hyperlink" Target="#'Content &amp; AI Readiness'!A1" TargetMode="External" Id="rId318"/><Relationship Type="http://schemas.openxmlformats.org/officeDocument/2006/relationships/hyperlink" Target="https://africanmarketingconfederation.org/smoke-archive/page-18" TargetMode="External" Id="rId319"/><Relationship Type="http://schemas.openxmlformats.org/officeDocument/2006/relationships/hyperlink" Target="#FixPlan!A14" TargetMode="External" Id="rId320"/><Relationship Type="http://schemas.openxmlformats.org/officeDocument/2006/relationships/hyperlink" Target="#'Content &amp; AI Readiness'!A1" TargetMode="External" Id="rId321"/><Relationship Type="http://schemas.openxmlformats.org/officeDocument/2006/relationships/hyperlink" Target="https://africanmarketingconfederation.org/smoke-archive/page-18" TargetMode="External" Id="rId322"/><Relationship Type="http://schemas.openxmlformats.org/officeDocument/2006/relationships/hyperlink" Target="#FixPlan!A15" TargetMode="External" Id="rId323"/><Relationship Type="http://schemas.openxmlformats.org/officeDocument/2006/relationships/hyperlink" Target="#'Technical Diagnostics'!A1" TargetMode="External" Id="rId324"/><Relationship Type="http://schemas.openxmlformats.org/officeDocument/2006/relationships/hyperlink" Target="https://africanmarketingconfederation.org/smoke-archive/page-18" TargetMode="External" Id="rId325"/><Relationship Type="http://schemas.openxmlformats.org/officeDocument/2006/relationships/hyperlink" Target="#FixPlan!A16" TargetMode="External" Id="rId326"/><Relationship Type="http://schemas.openxmlformats.org/officeDocument/2006/relationships/hyperlink" Target="#'Technical Diagnostics'!A1" TargetMode="External" Id="rId327"/><Relationship Type="http://schemas.openxmlformats.org/officeDocument/2006/relationships/hyperlink" Target="https://africanmarketingconfederation.org/smoke-archive/page-18" TargetMode="External" Id="rId328"/><Relationship Type="http://schemas.openxmlformats.org/officeDocument/2006/relationships/hyperlink" Target="#FixPlan!A4" TargetMode="External" Id="rId329"/><Relationship Type="http://schemas.openxmlformats.org/officeDocument/2006/relationships/hyperlink" Target="#'Technical Diagnostics'!A1" TargetMode="External" Id="rId330"/><Relationship Type="http://schemas.openxmlformats.org/officeDocument/2006/relationships/hyperlink" Target="https://africanmarketingconfederation.org/smoke-archive/page-18" TargetMode="External" Id="rId331"/><Relationship Type="http://schemas.openxmlformats.org/officeDocument/2006/relationships/hyperlink" Target="#FixPlan!A5" TargetMode="External" Id="rId332"/><Relationship Type="http://schemas.openxmlformats.org/officeDocument/2006/relationships/hyperlink" Target="#'Technical Diagnostics'!A1" TargetMode="External" Id="rId333"/><Relationship Type="http://schemas.openxmlformats.org/officeDocument/2006/relationships/hyperlink" Target="https://africanmarketingconfederation.org/smoke-archive/page-18" TargetMode="External" Id="rId334"/><Relationship Type="http://schemas.openxmlformats.org/officeDocument/2006/relationships/hyperlink" Target="#FixPlan!A6" TargetMode="External" Id="rId335"/><Relationship Type="http://schemas.openxmlformats.org/officeDocument/2006/relationships/hyperlink" Target="#'Technical Diagnostics'!A1" TargetMode="External" Id="rId336"/><Relationship Type="http://schemas.openxmlformats.org/officeDocument/2006/relationships/hyperlink" Target="https://africanmarketingconfederation.org/smoke-archive/page-19" TargetMode="External" Id="rId337"/><Relationship Type="http://schemas.openxmlformats.org/officeDocument/2006/relationships/hyperlink" Target="#FixPlan!A7" TargetMode="External" Id="rId338"/><Relationship Type="http://schemas.openxmlformats.org/officeDocument/2006/relationships/hyperlink" Target="#'Technical Diagnostics'!A1" TargetMode="External" Id="rId339"/><Relationship Type="http://schemas.openxmlformats.org/officeDocument/2006/relationships/hyperlink" Target="https://africanmarketingconfederation.org/smoke-archive/page-19" TargetMode="External" Id="rId340"/><Relationship Type="http://schemas.openxmlformats.org/officeDocument/2006/relationships/hyperlink" Target="#FixPlan!A4" TargetMode="External" Id="rId341"/><Relationship Type="http://schemas.openxmlformats.org/officeDocument/2006/relationships/hyperlink" Target="#'Technical Diagnostics'!A1" TargetMode="External" Id="rId342"/><Relationship Type="http://schemas.openxmlformats.org/officeDocument/2006/relationships/hyperlink" Target="https://africanmarketingconfederation.org/smoke-archive/page-19" TargetMode="External" Id="rId343"/><Relationship Type="http://schemas.openxmlformats.org/officeDocument/2006/relationships/hyperlink" Target="#FixPlan!A5" TargetMode="External" Id="rId344"/><Relationship Type="http://schemas.openxmlformats.org/officeDocument/2006/relationships/hyperlink" Target="#'Technical Diagnostics'!A1" TargetMode="External" Id="rId345"/><Relationship Type="http://schemas.openxmlformats.org/officeDocument/2006/relationships/hyperlink" Target="https://africanmarketingconfederation.org/smoke-archive/page-19" TargetMode="External" Id="rId346"/><Relationship Type="http://schemas.openxmlformats.org/officeDocument/2006/relationships/hyperlink" Target="#FixPlan!A6" TargetMode="External" Id="rId347"/><Relationship Type="http://schemas.openxmlformats.org/officeDocument/2006/relationships/hyperlink" Target="#'Technical Diagnostics'!A1" TargetMode="External" Id="rId348"/><Relationship Type="http://schemas.openxmlformats.org/officeDocument/2006/relationships/hyperlink" Target="https://africanmarketingconfederation.org/smoke-archive/page-20" TargetMode="External" Id="rId349"/><Relationship Type="http://schemas.openxmlformats.org/officeDocument/2006/relationships/hyperlink" Target="#FixPlan!A8" TargetMode="External" Id="rId350"/><Relationship Type="http://schemas.openxmlformats.org/officeDocument/2006/relationships/hyperlink" Target="#'Technical Diagnostics'!A1" TargetMode="External" Id="rId351"/><Relationship Type="http://schemas.openxmlformats.org/officeDocument/2006/relationships/hyperlink" Target="https://africanmarketingconfederation.org/smoke-archive/page-20" TargetMode="External" Id="rId352"/><Relationship Type="http://schemas.openxmlformats.org/officeDocument/2006/relationships/hyperlink" Target="#FixPlan!A9" TargetMode="External" Id="rId353"/><Relationship Type="http://schemas.openxmlformats.org/officeDocument/2006/relationships/hyperlink" Target="#'Technical Diagnostics'!A1" TargetMode="External" Id="rId354"/><Relationship Type="http://schemas.openxmlformats.org/officeDocument/2006/relationships/hyperlink" Target="https://africanmarketingconfederation.org/smoke-archive/page-20" TargetMode="External" Id="rId355"/><Relationship Type="http://schemas.openxmlformats.org/officeDocument/2006/relationships/hyperlink" Target="#FixPlan!A4" TargetMode="External" Id="rId356"/><Relationship Type="http://schemas.openxmlformats.org/officeDocument/2006/relationships/hyperlink" Target="#'Technical Diagnostics'!A1" TargetMode="External" Id="rId357"/><Relationship Type="http://schemas.openxmlformats.org/officeDocument/2006/relationships/hyperlink" Target="https://africanmarketingconfederation.org/smoke-archive/page-20" TargetMode="External" Id="rId358"/><Relationship Type="http://schemas.openxmlformats.org/officeDocument/2006/relationships/hyperlink" Target="#FixPlan!A5" TargetMode="External" Id="rId359"/><Relationship Type="http://schemas.openxmlformats.org/officeDocument/2006/relationships/hyperlink" Target="#'Technical Diagnostics'!A1" TargetMode="External" Id="rId360"/><Relationship Type="http://schemas.openxmlformats.org/officeDocument/2006/relationships/hyperlink" Target="https://africanmarketingconfederation.org/smoke-archive/page-20" TargetMode="External" Id="rId361"/><Relationship Type="http://schemas.openxmlformats.org/officeDocument/2006/relationships/hyperlink" Target="#FixPlan!A6" TargetMode="External" Id="rId362"/><Relationship Type="http://schemas.openxmlformats.org/officeDocument/2006/relationships/hyperlink" Target="#'Technical Diagnostics'!A1" TargetMode="External" Id="rId363"/><Relationship Type="http://schemas.openxmlformats.org/officeDocument/2006/relationships/hyperlink" Target="https://africanmarketingconfederation.org/smoke-archive/page-21" TargetMode="External" Id="rId364"/><Relationship Type="http://schemas.openxmlformats.org/officeDocument/2006/relationships/hyperlink" Target="#FixPlan!A13" TargetMode="External" Id="rId365"/><Relationship Type="http://schemas.openxmlformats.org/officeDocument/2006/relationships/hyperlink" Target="#'Technical Diagnostics'!A1" TargetMode="External" Id="rId366"/><Relationship Type="http://schemas.openxmlformats.org/officeDocument/2006/relationships/hyperlink" Target="https://africanmarketingconfederation.org/smoke-archive/page-21" TargetMode="External" Id="rId367"/><Relationship Type="http://schemas.openxmlformats.org/officeDocument/2006/relationships/hyperlink" Target="#FixPlan!A7" TargetMode="External" Id="rId368"/><Relationship Type="http://schemas.openxmlformats.org/officeDocument/2006/relationships/hyperlink" Target="#'Technical Diagnostics'!A1" TargetMode="External" Id="rId369"/><Relationship Type="http://schemas.openxmlformats.org/officeDocument/2006/relationships/hyperlink" Target="https://africanmarketingconfederation.org/smoke-archive/page-21" TargetMode="External" Id="rId370"/><Relationship Type="http://schemas.openxmlformats.org/officeDocument/2006/relationships/hyperlink" Target="#FixPlan!A12" TargetMode="External" Id="rId371"/><Relationship Type="http://schemas.openxmlformats.org/officeDocument/2006/relationships/hyperlink" Target="#'Technical Diagnostics'!A1" TargetMode="External" Id="rId372"/><Relationship Type="http://schemas.openxmlformats.org/officeDocument/2006/relationships/hyperlink" Target="https://africanmarketingconfederation.org/smoke-archive/page-21" TargetMode="External" Id="rId373"/><Relationship Type="http://schemas.openxmlformats.org/officeDocument/2006/relationships/hyperlink" Target="#FixPlan!A4" TargetMode="External" Id="rId374"/><Relationship Type="http://schemas.openxmlformats.org/officeDocument/2006/relationships/hyperlink" Target="#'Technical Diagnostics'!A1" TargetMode="External" Id="rId375"/><Relationship Type="http://schemas.openxmlformats.org/officeDocument/2006/relationships/hyperlink" Target="https://africanmarketingconfederation.org/smoke-archive/page-21" TargetMode="External" Id="rId376"/><Relationship Type="http://schemas.openxmlformats.org/officeDocument/2006/relationships/hyperlink" Target="#FixPlan!A5" TargetMode="External" Id="rId377"/><Relationship Type="http://schemas.openxmlformats.org/officeDocument/2006/relationships/hyperlink" Target="#'Technical Diagnostics'!A1" TargetMode="External" Id="rId378"/><Relationship Type="http://schemas.openxmlformats.org/officeDocument/2006/relationships/hyperlink" Target="https://africanmarketingconfederation.org/smoke-archive/page-21" TargetMode="External" Id="rId379"/><Relationship Type="http://schemas.openxmlformats.org/officeDocument/2006/relationships/hyperlink" Target="#FixPlan!A6" TargetMode="External" Id="rId380"/><Relationship Type="http://schemas.openxmlformats.org/officeDocument/2006/relationships/hyperlink" Target="#'Technical Diagnostics'!A1" TargetMode="External" Id="rId381"/><Relationship Type="http://schemas.openxmlformats.org/officeDocument/2006/relationships/hyperlink" Target="https://africanmarketingconfederation.org/smoke-archive/page-22" TargetMode="External" Id="rId382"/><Relationship Type="http://schemas.openxmlformats.org/officeDocument/2006/relationships/hyperlink" Target="#FixPlan!A7" TargetMode="External" Id="rId383"/><Relationship Type="http://schemas.openxmlformats.org/officeDocument/2006/relationships/hyperlink" Target="#'Technical Diagnostics'!A1" TargetMode="External" Id="rId384"/><Relationship Type="http://schemas.openxmlformats.org/officeDocument/2006/relationships/hyperlink" Target="https://africanmarketingconfederation.org/smoke-archive/page-22" TargetMode="External" Id="rId385"/><Relationship Type="http://schemas.openxmlformats.org/officeDocument/2006/relationships/hyperlink" Target="#FixPlan!A4" TargetMode="External" Id="rId386"/><Relationship Type="http://schemas.openxmlformats.org/officeDocument/2006/relationships/hyperlink" Target="#'Technical Diagnostics'!A1" TargetMode="External" Id="rId387"/><Relationship Type="http://schemas.openxmlformats.org/officeDocument/2006/relationships/hyperlink" Target="https://africanmarketingconfederation.org/smoke-archive/page-22" TargetMode="External" Id="rId388"/><Relationship Type="http://schemas.openxmlformats.org/officeDocument/2006/relationships/hyperlink" Target="#FixPlan!A5" TargetMode="External" Id="rId389"/><Relationship Type="http://schemas.openxmlformats.org/officeDocument/2006/relationships/hyperlink" Target="#'Technical Diagnostics'!A1" TargetMode="External" Id="rId390"/><Relationship Type="http://schemas.openxmlformats.org/officeDocument/2006/relationships/hyperlink" Target="https://africanmarketingconfederation.org/smoke-archive/page-22" TargetMode="External" Id="rId391"/><Relationship Type="http://schemas.openxmlformats.org/officeDocument/2006/relationships/hyperlink" Target="#FixPlan!A6" TargetMode="External" Id="rId392"/><Relationship Type="http://schemas.openxmlformats.org/officeDocument/2006/relationships/hyperlink" Target="#'Technical Diagnostics'!A1" TargetMode="External" Id="rId393"/><Relationship Type="http://schemas.openxmlformats.org/officeDocument/2006/relationships/hyperlink" Target="https://africanmarketingconfederation.org/smoke-archive/page-23" TargetMode="External" Id="rId394"/><Relationship Type="http://schemas.openxmlformats.org/officeDocument/2006/relationships/hyperlink" Target="#FixPlan!A7" TargetMode="External" Id="rId395"/><Relationship Type="http://schemas.openxmlformats.org/officeDocument/2006/relationships/hyperlink" Target="#'Technical Diagnostics'!A1" TargetMode="External" Id="rId396"/><Relationship Type="http://schemas.openxmlformats.org/officeDocument/2006/relationships/hyperlink" Target="https://africanmarketingconfederation.org/smoke-archive/page-23" TargetMode="External" Id="rId397"/><Relationship Type="http://schemas.openxmlformats.org/officeDocument/2006/relationships/hyperlink" Target="#FixPlan!A4" TargetMode="External" Id="rId398"/><Relationship Type="http://schemas.openxmlformats.org/officeDocument/2006/relationships/hyperlink" Target="#'Technical Diagnostics'!A1" TargetMode="External" Id="rId399"/><Relationship Type="http://schemas.openxmlformats.org/officeDocument/2006/relationships/hyperlink" Target="https://africanmarketingconfederation.org/smoke-archive/page-23" TargetMode="External" Id="rId400"/><Relationship Type="http://schemas.openxmlformats.org/officeDocument/2006/relationships/hyperlink" Target="#FixPlan!A5" TargetMode="External" Id="rId401"/><Relationship Type="http://schemas.openxmlformats.org/officeDocument/2006/relationships/hyperlink" Target="#'Technical Diagnostics'!A1" TargetMode="External" Id="rId402"/><Relationship Type="http://schemas.openxmlformats.org/officeDocument/2006/relationships/hyperlink" Target="https://africanmarketingconfederation.org/smoke-archive/page-23" TargetMode="External" Id="rId403"/><Relationship Type="http://schemas.openxmlformats.org/officeDocument/2006/relationships/hyperlink" Target="#FixPlan!A6" TargetMode="External" Id="rId404"/><Relationship Type="http://schemas.openxmlformats.org/officeDocument/2006/relationships/hyperlink" Target="#'Technical Diagnostics'!A1" TargetMode="External" Id="rId405"/><Relationship Type="http://schemas.openxmlformats.org/officeDocument/2006/relationships/hyperlink" Target="https://africanmarketingconfederation.org/smoke-archive/page-24" TargetMode="External" Id="rId406"/><Relationship Type="http://schemas.openxmlformats.org/officeDocument/2006/relationships/hyperlink" Target="#FixPlan!A19" TargetMode="External" Id="rId407"/><Relationship Type="http://schemas.openxmlformats.org/officeDocument/2006/relationships/hyperlink" Target="#'Technical Diagnostics'!A1" TargetMode="External" Id="rId408"/><Relationship Type="http://schemas.openxmlformats.org/officeDocument/2006/relationships/hyperlink" Target="https://africanmarketingconfederation.org/smoke-archive/page-24" TargetMode="External" Id="rId409"/><Relationship Type="http://schemas.openxmlformats.org/officeDocument/2006/relationships/hyperlink" Target="#FixPlan!A10" TargetMode="External" Id="rId410"/><Relationship Type="http://schemas.openxmlformats.org/officeDocument/2006/relationships/hyperlink" Target="#'Technical Diagnostics'!A1" TargetMode="External" Id="rId411"/><Relationship Type="http://schemas.openxmlformats.org/officeDocument/2006/relationships/hyperlink" Target="https://africanmarketingconfederation.org/smoke-archive/page-24" TargetMode="External" Id="rId412"/><Relationship Type="http://schemas.openxmlformats.org/officeDocument/2006/relationships/hyperlink" Target="#FixPlan!A17" TargetMode="External" Id="rId413"/><Relationship Type="http://schemas.openxmlformats.org/officeDocument/2006/relationships/hyperlink" Target="#'Technical Diagnostics'!A1" TargetMode="External" Id="rId414"/><Relationship Type="http://schemas.openxmlformats.org/officeDocument/2006/relationships/hyperlink" Target="https://africanmarketingconfederation.org/smoke-archive/page-24" TargetMode="External" Id="rId415"/><Relationship Type="http://schemas.openxmlformats.org/officeDocument/2006/relationships/hyperlink" Target="#FixPlan!A4" TargetMode="External" Id="rId416"/><Relationship Type="http://schemas.openxmlformats.org/officeDocument/2006/relationships/hyperlink" Target="#'Technical Diagnostics'!A1" TargetMode="External" Id="rId417"/><Relationship Type="http://schemas.openxmlformats.org/officeDocument/2006/relationships/hyperlink" Target="https://africanmarketingconfederation.org/smoke-archive/page-24" TargetMode="External" Id="rId418"/><Relationship Type="http://schemas.openxmlformats.org/officeDocument/2006/relationships/hyperlink" Target="#FixPlan!A5" TargetMode="External" Id="rId419"/><Relationship Type="http://schemas.openxmlformats.org/officeDocument/2006/relationships/hyperlink" Target="#'Technical Diagnostics'!A1" TargetMode="External" Id="rId420"/><Relationship Type="http://schemas.openxmlformats.org/officeDocument/2006/relationships/hyperlink" Target="https://africanmarketingconfederation.org/smoke-archive/page-24" TargetMode="External" Id="rId421"/><Relationship Type="http://schemas.openxmlformats.org/officeDocument/2006/relationships/hyperlink" Target="#FixPlan!A6" TargetMode="External" Id="rId422"/><Relationship Type="http://schemas.openxmlformats.org/officeDocument/2006/relationships/hyperlink" Target="#'Technical Diagnostics'!A1" TargetMode="External" Id="rId423"/><Relationship Type="http://schemas.openxmlformats.org/officeDocument/2006/relationships/hyperlink" Target="https://africanmarketingconfederation.org/smoke-archive/page-25" TargetMode="External" Id="rId424"/><Relationship Type="http://schemas.openxmlformats.org/officeDocument/2006/relationships/hyperlink" Target="#FixPlan!A8" TargetMode="External" Id="rId425"/><Relationship Type="http://schemas.openxmlformats.org/officeDocument/2006/relationships/hyperlink" Target="#'Technical Diagnostics'!A1" TargetMode="External" Id="rId426"/><Relationship Type="http://schemas.openxmlformats.org/officeDocument/2006/relationships/hyperlink" Target="https://africanmarketingconfederation.org/smoke-archive/page-25" TargetMode="External" Id="rId427"/><Relationship Type="http://schemas.openxmlformats.org/officeDocument/2006/relationships/hyperlink" Target="#FixPlan!A9" TargetMode="External" Id="rId428"/><Relationship Type="http://schemas.openxmlformats.org/officeDocument/2006/relationships/hyperlink" Target="#'Technical Diagnostics'!A1" TargetMode="External" Id="rId429"/><Relationship Type="http://schemas.openxmlformats.org/officeDocument/2006/relationships/hyperlink" Target="https://africanmarketingconfederation.org/smoke-archive/page-25" TargetMode="External" Id="rId430"/><Relationship Type="http://schemas.openxmlformats.org/officeDocument/2006/relationships/hyperlink" Target="#FixPlan!A7" TargetMode="External" Id="rId431"/><Relationship Type="http://schemas.openxmlformats.org/officeDocument/2006/relationships/hyperlink" Target="#'Technical Diagnostics'!A1" TargetMode="External" Id="rId432"/><Relationship Type="http://schemas.openxmlformats.org/officeDocument/2006/relationships/hyperlink" Target="https://africanmarketingconfederation.org/smoke-archive/page-25" TargetMode="External" Id="rId433"/><Relationship Type="http://schemas.openxmlformats.org/officeDocument/2006/relationships/hyperlink" Target="#FixPlan!A4" TargetMode="External" Id="rId434"/><Relationship Type="http://schemas.openxmlformats.org/officeDocument/2006/relationships/hyperlink" Target="#'Technical Diagnostics'!A1" TargetMode="External" Id="rId435"/><Relationship Type="http://schemas.openxmlformats.org/officeDocument/2006/relationships/hyperlink" Target="https://africanmarketingconfederation.org/smoke-archive/page-25" TargetMode="External" Id="rId436"/><Relationship Type="http://schemas.openxmlformats.org/officeDocument/2006/relationships/hyperlink" Target="#FixPlan!A5" TargetMode="External" Id="rId437"/><Relationship Type="http://schemas.openxmlformats.org/officeDocument/2006/relationships/hyperlink" Target="#'Technical Diagnostics'!A1" TargetMode="External" Id="rId438"/><Relationship Type="http://schemas.openxmlformats.org/officeDocument/2006/relationships/hyperlink" Target="https://africanmarketingconfederation.org/smoke-archive/page-25" TargetMode="External" Id="rId439"/><Relationship Type="http://schemas.openxmlformats.org/officeDocument/2006/relationships/hyperlink" Target="#FixPlan!A6" TargetMode="External" Id="rId440"/><Relationship Type="http://schemas.openxmlformats.org/officeDocument/2006/relationships/hyperlink" Target="#'Technical Diagnostics'!A1" TargetMode="External" Id="rId441"/><Relationship Type="http://schemas.openxmlformats.org/officeDocument/2006/relationships/hyperlink" Target="https://africanmarketingconfederation.org/smoke-archive/page-26" TargetMode="External" Id="rId442"/><Relationship Type="http://schemas.openxmlformats.org/officeDocument/2006/relationships/hyperlink" Target="#FixPlan!A11" TargetMode="External" Id="rId443"/><Relationship Type="http://schemas.openxmlformats.org/officeDocument/2006/relationships/hyperlink" Target="#'Technical Diagnostics'!A1" TargetMode="External" Id="rId444"/><Relationship Type="http://schemas.openxmlformats.org/officeDocument/2006/relationships/hyperlink" Target="https://africanmarketingconfederation.org/smoke-archive/page-27" TargetMode="External" Id="rId445"/><Relationship Type="http://schemas.openxmlformats.org/officeDocument/2006/relationships/hyperlink" Target="#FixPlan!A7" TargetMode="External" Id="rId446"/><Relationship Type="http://schemas.openxmlformats.org/officeDocument/2006/relationships/hyperlink" Target="#'Technical Diagnostics'!A1" TargetMode="External" Id="rId447"/><Relationship Type="http://schemas.openxmlformats.org/officeDocument/2006/relationships/hyperlink" Target="https://africanmarketingconfederation.org/smoke-archive/page-27" TargetMode="External" Id="rId448"/><Relationship Type="http://schemas.openxmlformats.org/officeDocument/2006/relationships/hyperlink" Target="#FixPlan!A18" TargetMode="External" Id="rId449"/><Relationship Type="http://schemas.openxmlformats.org/officeDocument/2006/relationships/hyperlink" Target="#'Content &amp; AI Readiness'!A1" TargetMode="External" Id="rId450"/><Relationship Type="http://schemas.openxmlformats.org/officeDocument/2006/relationships/hyperlink" Target="https://africanmarketingconfederation.org/smoke-archive/page-27" TargetMode="External" Id="rId451"/><Relationship Type="http://schemas.openxmlformats.org/officeDocument/2006/relationships/hyperlink" Target="#FixPlan!A14" TargetMode="External" Id="rId452"/><Relationship Type="http://schemas.openxmlformats.org/officeDocument/2006/relationships/hyperlink" Target="#'Content &amp; AI Readiness'!A1" TargetMode="External" Id="rId453"/><Relationship Type="http://schemas.openxmlformats.org/officeDocument/2006/relationships/hyperlink" Target="https://africanmarketingconfederation.org/smoke-archive/page-27" TargetMode="External" Id="rId454"/><Relationship Type="http://schemas.openxmlformats.org/officeDocument/2006/relationships/hyperlink" Target="#FixPlan!A15" TargetMode="External" Id="rId455"/><Relationship Type="http://schemas.openxmlformats.org/officeDocument/2006/relationships/hyperlink" Target="#'Technical Diagnostics'!A1" TargetMode="External" Id="rId456"/><Relationship Type="http://schemas.openxmlformats.org/officeDocument/2006/relationships/hyperlink" Target="https://africanmarketingconfederation.org/smoke-archive/page-27" TargetMode="External" Id="rId457"/><Relationship Type="http://schemas.openxmlformats.org/officeDocument/2006/relationships/hyperlink" Target="#FixPlan!A16" TargetMode="External" Id="rId458"/><Relationship Type="http://schemas.openxmlformats.org/officeDocument/2006/relationships/hyperlink" Target="#'Technical Diagnostics'!A1" TargetMode="External" Id="rId459"/><Relationship Type="http://schemas.openxmlformats.org/officeDocument/2006/relationships/hyperlink" Target="https://africanmarketingconfederation.org/smoke-archive/page-27" TargetMode="External" Id="rId460"/><Relationship Type="http://schemas.openxmlformats.org/officeDocument/2006/relationships/hyperlink" Target="#FixPlan!A4" TargetMode="External" Id="rId461"/><Relationship Type="http://schemas.openxmlformats.org/officeDocument/2006/relationships/hyperlink" Target="#'Technical Diagnostics'!A1" TargetMode="External" Id="rId462"/><Relationship Type="http://schemas.openxmlformats.org/officeDocument/2006/relationships/hyperlink" Target="https://africanmarketingconfederation.org/smoke-archive/page-27" TargetMode="External" Id="rId463"/><Relationship Type="http://schemas.openxmlformats.org/officeDocument/2006/relationships/hyperlink" Target="#FixPlan!A5" TargetMode="External" Id="rId464"/><Relationship Type="http://schemas.openxmlformats.org/officeDocument/2006/relationships/hyperlink" Target="#'Technical Diagnostics'!A1" TargetMode="External" Id="rId465"/><Relationship Type="http://schemas.openxmlformats.org/officeDocument/2006/relationships/hyperlink" Target="https://africanmarketingconfederation.org/smoke-archive/page-27" TargetMode="External" Id="rId466"/><Relationship Type="http://schemas.openxmlformats.org/officeDocument/2006/relationships/hyperlink" Target="#FixPlan!A6" TargetMode="External" Id="rId467"/><Relationship Type="http://schemas.openxmlformats.org/officeDocument/2006/relationships/hyperlink" Target="#'Technical Diagnostics'!A1" TargetMode="External" Id="rId468"/><Relationship Type="http://schemas.openxmlformats.org/officeDocument/2006/relationships/hyperlink" Target="https://africanmarketingconfederation.org/smoke-archive/page-28" TargetMode="External" Id="rId469"/><Relationship Type="http://schemas.openxmlformats.org/officeDocument/2006/relationships/hyperlink" Target="#FixPlan!A13" TargetMode="External" Id="rId470"/><Relationship Type="http://schemas.openxmlformats.org/officeDocument/2006/relationships/hyperlink" Target="#'Technical Diagnostics'!A1" TargetMode="External" Id="rId471"/><Relationship Type="http://schemas.openxmlformats.org/officeDocument/2006/relationships/hyperlink" Target="https://africanmarketingconfederation.org/smoke-archive/page-28" TargetMode="External" Id="rId472"/><Relationship Type="http://schemas.openxmlformats.org/officeDocument/2006/relationships/hyperlink" Target="#FixPlan!A12" TargetMode="External" Id="rId473"/><Relationship Type="http://schemas.openxmlformats.org/officeDocument/2006/relationships/hyperlink" Target="#'Technical Diagnostics'!A1" TargetMode="External" Id="rId474"/><Relationship Type="http://schemas.openxmlformats.org/officeDocument/2006/relationships/hyperlink" Target="https://africanmarketingconfederation.org/smoke-archive/page-28" TargetMode="External" Id="rId475"/><Relationship Type="http://schemas.openxmlformats.org/officeDocument/2006/relationships/hyperlink" Target="#FixPlan!A4" TargetMode="External" Id="rId476"/><Relationship Type="http://schemas.openxmlformats.org/officeDocument/2006/relationships/hyperlink" Target="#'Technical Diagnostics'!A1" TargetMode="External" Id="rId477"/><Relationship Type="http://schemas.openxmlformats.org/officeDocument/2006/relationships/hyperlink" Target="https://africanmarketingconfederation.org/smoke-archive/page-28" TargetMode="External" Id="rId478"/><Relationship Type="http://schemas.openxmlformats.org/officeDocument/2006/relationships/hyperlink" Target="#FixPlan!A5" TargetMode="External" Id="rId479"/><Relationship Type="http://schemas.openxmlformats.org/officeDocument/2006/relationships/hyperlink" Target="#'Technical Diagnostics'!A1" TargetMode="External" Id="rId480"/><Relationship Type="http://schemas.openxmlformats.org/officeDocument/2006/relationships/hyperlink" Target="https://africanmarketingconfederation.org/smoke-archive/page-28" TargetMode="External" Id="rId481"/><Relationship Type="http://schemas.openxmlformats.org/officeDocument/2006/relationships/hyperlink" Target="#FixPlan!A6" TargetMode="External" Id="rId482"/><Relationship Type="http://schemas.openxmlformats.org/officeDocument/2006/relationships/hyperlink" Target="#'Technical Diagnostics'!A1" TargetMode="External" Id="rId483"/><Relationship Type="http://schemas.openxmlformats.org/officeDocument/2006/relationships/hyperlink" Target="https://africanmarketingconfederation.org/smoke-archive/page-29" TargetMode="External" Id="rId484"/><Relationship Type="http://schemas.openxmlformats.org/officeDocument/2006/relationships/hyperlink" Target="#FixPlan!A7" TargetMode="External" Id="rId485"/><Relationship Type="http://schemas.openxmlformats.org/officeDocument/2006/relationships/hyperlink" Target="#'Technical Diagnostics'!A1" TargetMode="External" Id="rId486"/><Relationship Type="http://schemas.openxmlformats.org/officeDocument/2006/relationships/hyperlink" Target="https://africanmarketingconfederation.org/smoke-archive/page-29" TargetMode="External" Id="rId487"/><Relationship Type="http://schemas.openxmlformats.org/officeDocument/2006/relationships/hyperlink" Target="#FixPlan!A4" TargetMode="External" Id="rId488"/><Relationship Type="http://schemas.openxmlformats.org/officeDocument/2006/relationships/hyperlink" Target="#'Technical Diagnostics'!A1" TargetMode="External" Id="rId489"/><Relationship Type="http://schemas.openxmlformats.org/officeDocument/2006/relationships/hyperlink" Target="https://africanmarketingconfederation.org/smoke-archive/page-29" TargetMode="External" Id="rId490"/><Relationship Type="http://schemas.openxmlformats.org/officeDocument/2006/relationships/hyperlink" Target="#FixPlan!A5" TargetMode="External" Id="rId491"/><Relationship Type="http://schemas.openxmlformats.org/officeDocument/2006/relationships/hyperlink" Target="#'Technical Diagnostics'!A1" TargetMode="External" Id="rId492"/><Relationship Type="http://schemas.openxmlformats.org/officeDocument/2006/relationships/hyperlink" Target="https://africanmarketingconfederation.org/smoke-archive/page-29" TargetMode="External" Id="rId493"/><Relationship Type="http://schemas.openxmlformats.org/officeDocument/2006/relationships/hyperlink" Target="#FixPlan!A6" TargetMode="External" Id="rId494"/><Relationship Type="http://schemas.openxmlformats.org/officeDocument/2006/relationships/hyperlink" Target="#'Technical Diagnostics'!A1" TargetMode="External" Id="rId495"/><Relationship Type="http://schemas.openxmlformats.org/officeDocument/2006/relationships/hyperlink" Target="https://africanmarketingconfederation.org/smoke-archive/page-30" TargetMode="External" Id="rId496"/><Relationship Type="http://schemas.openxmlformats.org/officeDocument/2006/relationships/hyperlink" Target="#FixPlan!A8" TargetMode="External" Id="rId497"/><Relationship Type="http://schemas.openxmlformats.org/officeDocument/2006/relationships/hyperlink" Target="#'Technical Diagnostics'!A1" TargetMode="External" Id="rId498"/><Relationship Type="http://schemas.openxmlformats.org/officeDocument/2006/relationships/hyperlink" Target="https://africanmarketingconfederation.org/smoke-archive/page-30" TargetMode="External" Id="rId499"/><Relationship Type="http://schemas.openxmlformats.org/officeDocument/2006/relationships/hyperlink" Target="#FixPlan!A10" TargetMode="External" Id="rId500"/><Relationship Type="http://schemas.openxmlformats.org/officeDocument/2006/relationships/hyperlink" Target="#'Technical Diagnostics'!A1" TargetMode="External" Id="rId501"/><Relationship Type="http://schemas.openxmlformats.org/officeDocument/2006/relationships/hyperlink" Target="https://africanmarketingconfederation.org/smoke-archive/page-30" TargetMode="External" Id="rId502"/><Relationship Type="http://schemas.openxmlformats.org/officeDocument/2006/relationships/hyperlink" Target="#FixPlan!A9" TargetMode="External" Id="rId503"/><Relationship Type="http://schemas.openxmlformats.org/officeDocument/2006/relationships/hyperlink" Target="#'Technical Diagnostics'!A1" TargetMode="External" Id="rId504"/><Relationship Type="http://schemas.openxmlformats.org/officeDocument/2006/relationships/hyperlink" Target="https://africanmarketingconfederation.org/smoke-archive/page-30" TargetMode="External" Id="rId505"/><Relationship Type="http://schemas.openxmlformats.org/officeDocument/2006/relationships/hyperlink" Target="#FixPlan!A7" TargetMode="External" Id="rId506"/><Relationship Type="http://schemas.openxmlformats.org/officeDocument/2006/relationships/hyperlink" Target="#'Technical Diagnostics'!A1" TargetMode="External" Id="rId507"/><Relationship Type="http://schemas.openxmlformats.org/officeDocument/2006/relationships/hyperlink" Target="https://africanmarketingconfederation.org/smoke-archive/page-30" TargetMode="External" Id="rId508"/><Relationship Type="http://schemas.openxmlformats.org/officeDocument/2006/relationships/hyperlink" Target="#FixPlan!A4" TargetMode="External" Id="rId509"/><Relationship Type="http://schemas.openxmlformats.org/officeDocument/2006/relationships/hyperlink" Target="#'Technical Diagnostics'!A1" TargetMode="External" Id="rId510"/><Relationship Type="http://schemas.openxmlformats.org/officeDocument/2006/relationships/hyperlink" Target="https://africanmarketingconfederation.org/smoke-archive/page-30" TargetMode="External" Id="rId511"/><Relationship Type="http://schemas.openxmlformats.org/officeDocument/2006/relationships/hyperlink" Target="#FixPlan!A5" TargetMode="External" Id="rId512"/><Relationship Type="http://schemas.openxmlformats.org/officeDocument/2006/relationships/hyperlink" Target="#'Technical Diagnostics'!A1" TargetMode="External" Id="rId513"/><Relationship Type="http://schemas.openxmlformats.org/officeDocument/2006/relationships/hyperlink" Target="https://africanmarketingconfederation.org/smoke-archive/page-30" TargetMode="External" Id="rId514"/><Relationship Type="http://schemas.openxmlformats.org/officeDocument/2006/relationships/hyperlink" Target="#FixPlan!A6" TargetMode="External" Id="rId515"/><Relationship Type="http://schemas.openxmlformats.org/officeDocument/2006/relationships/hyperlink" Target="#'Technical Diagnostics'!A1" TargetMode="External" Id="rId516"/><Relationship Type="http://schemas.openxmlformats.org/officeDocument/2006/relationships/hyperlink" Target="https://africanmarketingconfederation.org/smoke-archive/page-31" TargetMode="External" Id="rId517"/><Relationship Type="http://schemas.openxmlformats.org/officeDocument/2006/relationships/hyperlink" Target="#FixPlan!A7" TargetMode="External" Id="rId518"/><Relationship Type="http://schemas.openxmlformats.org/officeDocument/2006/relationships/hyperlink" Target="#'Technical Diagnostics'!A1" TargetMode="External" Id="rId519"/><Relationship Type="http://schemas.openxmlformats.org/officeDocument/2006/relationships/hyperlink" Target="https://africanmarketingconfederation.org/smoke-archive/page-31" TargetMode="External" Id="rId520"/><Relationship Type="http://schemas.openxmlformats.org/officeDocument/2006/relationships/hyperlink" Target="#FixPlan!A4" TargetMode="External" Id="rId521"/><Relationship Type="http://schemas.openxmlformats.org/officeDocument/2006/relationships/hyperlink" Target="#'Technical Diagnostics'!A1" TargetMode="External" Id="rId522"/><Relationship Type="http://schemas.openxmlformats.org/officeDocument/2006/relationships/hyperlink" Target="https://africanmarketingconfederation.org/smoke-archive/page-31" TargetMode="External" Id="rId523"/><Relationship Type="http://schemas.openxmlformats.org/officeDocument/2006/relationships/hyperlink" Target="#FixPlan!A5" TargetMode="External" Id="rId524"/><Relationship Type="http://schemas.openxmlformats.org/officeDocument/2006/relationships/hyperlink" Target="#'Technical Diagnostics'!A1" TargetMode="External" Id="rId525"/><Relationship Type="http://schemas.openxmlformats.org/officeDocument/2006/relationships/hyperlink" Target="https://africanmarketingconfederation.org/smoke-archive/page-31" TargetMode="External" Id="rId526"/><Relationship Type="http://schemas.openxmlformats.org/officeDocument/2006/relationships/hyperlink" Target="#FixPlan!A6" TargetMode="External" Id="rId527"/><Relationship Type="http://schemas.openxmlformats.org/officeDocument/2006/relationships/hyperlink" Target="#'Technical Diagnostics'!A1" TargetMode="External" Id="rId528"/><Relationship Type="http://schemas.openxmlformats.org/officeDocument/2006/relationships/hyperlink" Target="https://africanmarketingconfederation.org/smoke-archive/page-32" TargetMode="External" Id="rId529"/><Relationship Type="http://schemas.openxmlformats.org/officeDocument/2006/relationships/hyperlink" Target="#FixPlan!A17" TargetMode="External" Id="rId530"/><Relationship Type="http://schemas.openxmlformats.org/officeDocument/2006/relationships/hyperlink" Target="#'Technical Diagnostics'!A1" TargetMode="External" Id="rId531"/><Relationship Type="http://schemas.openxmlformats.org/officeDocument/2006/relationships/hyperlink" Target="https://africanmarketingconfederation.org/smoke-archive/page-32" TargetMode="External" Id="rId532"/><Relationship Type="http://schemas.openxmlformats.org/officeDocument/2006/relationships/hyperlink" Target="#FixPlan!A4" TargetMode="External" Id="rId533"/><Relationship Type="http://schemas.openxmlformats.org/officeDocument/2006/relationships/hyperlink" Target="#'Technical Diagnostics'!A1" TargetMode="External" Id="rId534"/><Relationship Type="http://schemas.openxmlformats.org/officeDocument/2006/relationships/hyperlink" Target="https://africanmarketingconfederation.org/smoke-archive/page-32" TargetMode="External" Id="rId535"/><Relationship Type="http://schemas.openxmlformats.org/officeDocument/2006/relationships/hyperlink" Target="#FixPlan!A5" TargetMode="External" Id="rId536"/><Relationship Type="http://schemas.openxmlformats.org/officeDocument/2006/relationships/hyperlink" Target="#'Technical Diagnostics'!A1" TargetMode="External" Id="rId537"/><Relationship Type="http://schemas.openxmlformats.org/officeDocument/2006/relationships/hyperlink" Target="https://africanmarketingconfederation.org/smoke-archive/page-32" TargetMode="External" Id="rId538"/><Relationship Type="http://schemas.openxmlformats.org/officeDocument/2006/relationships/hyperlink" Target="#FixPlan!A6" TargetMode="External" Id="rId539"/><Relationship Type="http://schemas.openxmlformats.org/officeDocument/2006/relationships/hyperlink" Target="#'Technical Diagnostics'!A1" TargetMode="External" Id="rId540"/><Relationship Type="http://schemas.openxmlformats.org/officeDocument/2006/relationships/hyperlink" Target="https://africanmarketingconfederation.org/smoke-archive/page-33" TargetMode="External" Id="rId541"/><Relationship Type="http://schemas.openxmlformats.org/officeDocument/2006/relationships/hyperlink" Target="#FixPlan!A7" TargetMode="External" Id="rId542"/><Relationship Type="http://schemas.openxmlformats.org/officeDocument/2006/relationships/hyperlink" Target="#'Technical Diagnostics'!A1" TargetMode="External" Id="rId543"/><Relationship Type="http://schemas.openxmlformats.org/officeDocument/2006/relationships/hyperlink" Target="https://africanmarketingconfederation.org/smoke-archive/page-33" TargetMode="External" Id="rId544"/><Relationship Type="http://schemas.openxmlformats.org/officeDocument/2006/relationships/hyperlink" Target="#FixPlan!A4" TargetMode="External" Id="rId545"/><Relationship Type="http://schemas.openxmlformats.org/officeDocument/2006/relationships/hyperlink" Target="#'Technical Diagnostics'!A1" TargetMode="External" Id="rId546"/><Relationship Type="http://schemas.openxmlformats.org/officeDocument/2006/relationships/hyperlink" Target="https://africanmarketingconfederation.org/smoke-archive/page-33" TargetMode="External" Id="rId547"/><Relationship Type="http://schemas.openxmlformats.org/officeDocument/2006/relationships/hyperlink" Target="#FixPlan!A5" TargetMode="External" Id="rId548"/><Relationship Type="http://schemas.openxmlformats.org/officeDocument/2006/relationships/hyperlink" Target="#'Technical Diagnostics'!A1" TargetMode="External" Id="rId549"/><Relationship Type="http://schemas.openxmlformats.org/officeDocument/2006/relationships/hyperlink" Target="https://africanmarketingconfederation.org/smoke-archive/page-33" TargetMode="External" Id="rId550"/><Relationship Type="http://schemas.openxmlformats.org/officeDocument/2006/relationships/hyperlink" Target="#FixPlan!A6" TargetMode="External" Id="rId551"/><Relationship Type="http://schemas.openxmlformats.org/officeDocument/2006/relationships/hyperlink" Target="#'Technical Diagnostics'!A1" TargetMode="External" Id="rId552"/><Relationship Type="http://schemas.openxmlformats.org/officeDocument/2006/relationships/hyperlink" Target="https://africanmarketingconfederation.org/smoke-archive/page-34" TargetMode="External" Id="rId553"/><Relationship Type="http://schemas.openxmlformats.org/officeDocument/2006/relationships/hyperlink" Target="#FixPlan!A11" TargetMode="External" Id="rId554"/><Relationship Type="http://schemas.openxmlformats.org/officeDocument/2006/relationships/hyperlink" Target="#'Technical Diagnostics'!A1" TargetMode="External" Id="rId555"/><Relationship Type="http://schemas.openxmlformats.org/officeDocument/2006/relationships/hyperlink" Target="https://africanmarketingconfederation.org/smoke-archive/page-35" TargetMode="External" Id="rId556"/><Relationship Type="http://schemas.openxmlformats.org/officeDocument/2006/relationships/hyperlink" Target="#FixPlan!A8" TargetMode="External" Id="rId557"/><Relationship Type="http://schemas.openxmlformats.org/officeDocument/2006/relationships/hyperlink" Target="#'Technical Diagnostics'!A1" TargetMode="External" Id="rId558"/><Relationship Type="http://schemas.openxmlformats.org/officeDocument/2006/relationships/hyperlink" Target="https://africanmarketingconfederation.org/smoke-archive/page-35" TargetMode="External" Id="rId559"/><Relationship Type="http://schemas.openxmlformats.org/officeDocument/2006/relationships/hyperlink" Target="#FixPlan!A13" TargetMode="External" Id="rId560"/><Relationship Type="http://schemas.openxmlformats.org/officeDocument/2006/relationships/hyperlink" Target="#'Technical Diagnostics'!A1" TargetMode="External" Id="rId561"/><Relationship Type="http://schemas.openxmlformats.org/officeDocument/2006/relationships/hyperlink" Target="https://africanmarketingconfederation.org/smoke-archive/page-35" TargetMode="External" Id="rId562"/><Relationship Type="http://schemas.openxmlformats.org/officeDocument/2006/relationships/hyperlink" Target="#FixPlan!A9" TargetMode="External" Id="rId563"/><Relationship Type="http://schemas.openxmlformats.org/officeDocument/2006/relationships/hyperlink" Target="#'Technical Diagnostics'!A1" TargetMode="External" Id="rId564"/><Relationship Type="http://schemas.openxmlformats.org/officeDocument/2006/relationships/hyperlink" Target="https://africanmarketingconfederation.org/smoke-archive/page-35" TargetMode="External" Id="rId565"/><Relationship Type="http://schemas.openxmlformats.org/officeDocument/2006/relationships/hyperlink" Target="#FixPlan!A7" TargetMode="External" Id="rId566"/><Relationship Type="http://schemas.openxmlformats.org/officeDocument/2006/relationships/hyperlink" Target="#'Technical Diagnostics'!A1" TargetMode="External" Id="rId567"/><Relationship Type="http://schemas.openxmlformats.org/officeDocument/2006/relationships/hyperlink" Target="https://africanmarketingconfederation.org/smoke-archive/page-35" TargetMode="External" Id="rId568"/><Relationship Type="http://schemas.openxmlformats.org/officeDocument/2006/relationships/hyperlink" Target="#FixPlan!A12" TargetMode="External" Id="rId569"/><Relationship Type="http://schemas.openxmlformats.org/officeDocument/2006/relationships/hyperlink" Target="#'Technical Diagnostics'!A1" TargetMode="External" Id="rId570"/><Relationship Type="http://schemas.openxmlformats.org/officeDocument/2006/relationships/hyperlink" Target="https://africanmarketingconfederation.org/smoke-archive/page-35" TargetMode="External" Id="rId571"/><Relationship Type="http://schemas.openxmlformats.org/officeDocument/2006/relationships/hyperlink" Target="#FixPlan!A4" TargetMode="External" Id="rId572"/><Relationship Type="http://schemas.openxmlformats.org/officeDocument/2006/relationships/hyperlink" Target="#'Technical Diagnostics'!A1" TargetMode="External" Id="rId573"/><Relationship Type="http://schemas.openxmlformats.org/officeDocument/2006/relationships/hyperlink" Target="https://africanmarketingconfederation.org/smoke-archive/page-35" TargetMode="External" Id="rId574"/><Relationship Type="http://schemas.openxmlformats.org/officeDocument/2006/relationships/hyperlink" Target="#FixPlan!A5" TargetMode="External" Id="rId575"/><Relationship Type="http://schemas.openxmlformats.org/officeDocument/2006/relationships/hyperlink" Target="#'Technical Diagnostics'!A1" TargetMode="External" Id="rId576"/><Relationship Type="http://schemas.openxmlformats.org/officeDocument/2006/relationships/hyperlink" Target="https://africanmarketingconfederation.org/smoke-archive/page-35" TargetMode="External" Id="rId577"/><Relationship Type="http://schemas.openxmlformats.org/officeDocument/2006/relationships/hyperlink" Target="#FixPlan!A6" TargetMode="External" Id="rId578"/><Relationship Type="http://schemas.openxmlformats.org/officeDocument/2006/relationships/hyperlink" Target="#'Technical Diagnostics'!A1" TargetMode="External" Id="rId579"/><Relationship Type="http://schemas.openxmlformats.org/officeDocument/2006/relationships/hyperlink" Target="https://africanmarketingconfederation.org/smoke-archive/page-36" TargetMode="External" Id="rId580"/><Relationship Type="http://schemas.openxmlformats.org/officeDocument/2006/relationships/hyperlink" Target="#FixPlan!A19" TargetMode="External" Id="rId581"/><Relationship Type="http://schemas.openxmlformats.org/officeDocument/2006/relationships/hyperlink" Target="#'Technical Diagnostics'!A1" TargetMode="External" Id="rId582"/><Relationship Type="http://schemas.openxmlformats.org/officeDocument/2006/relationships/hyperlink" Target="https://africanmarketingconfederation.org/smoke-archive/page-36" TargetMode="External" Id="rId583"/><Relationship Type="http://schemas.openxmlformats.org/officeDocument/2006/relationships/hyperlink" Target="#FixPlan!A10" TargetMode="External" Id="rId584"/><Relationship Type="http://schemas.openxmlformats.org/officeDocument/2006/relationships/hyperlink" Target="#'Technical Diagnostics'!A1" TargetMode="External" Id="rId585"/><Relationship Type="http://schemas.openxmlformats.org/officeDocument/2006/relationships/hyperlink" Target="https://africanmarketingconfederation.org/smoke-archive/page-36" TargetMode="External" Id="rId586"/><Relationship Type="http://schemas.openxmlformats.org/officeDocument/2006/relationships/hyperlink" Target="#FixPlan!A18" TargetMode="External" Id="rId587"/><Relationship Type="http://schemas.openxmlformats.org/officeDocument/2006/relationships/hyperlink" Target="#'Content &amp; AI Readiness'!A1" TargetMode="External" Id="rId588"/><Relationship Type="http://schemas.openxmlformats.org/officeDocument/2006/relationships/hyperlink" Target="https://africanmarketingconfederation.org/smoke-archive/page-36" TargetMode="External" Id="rId589"/><Relationship Type="http://schemas.openxmlformats.org/officeDocument/2006/relationships/hyperlink" Target="#FixPlan!A14" TargetMode="External" Id="rId590"/><Relationship Type="http://schemas.openxmlformats.org/officeDocument/2006/relationships/hyperlink" Target="#'Content &amp; AI Readiness'!A1" TargetMode="External" Id="rId591"/><Relationship Type="http://schemas.openxmlformats.org/officeDocument/2006/relationships/hyperlink" Target="https://africanmarketingconfederation.org/smoke-archive/page-36" TargetMode="External" Id="rId592"/><Relationship Type="http://schemas.openxmlformats.org/officeDocument/2006/relationships/hyperlink" Target="#FixPlan!A15" TargetMode="External" Id="rId593"/><Relationship Type="http://schemas.openxmlformats.org/officeDocument/2006/relationships/hyperlink" Target="#'Technical Diagnostics'!A1" TargetMode="External" Id="rId594"/><Relationship Type="http://schemas.openxmlformats.org/officeDocument/2006/relationships/hyperlink" Target="https://africanmarketingconfederation.org/smoke-archive/page-36" TargetMode="External" Id="rId595"/><Relationship Type="http://schemas.openxmlformats.org/officeDocument/2006/relationships/hyperlink" Target="#FixPlan!A16" TargetMode="External" Id="rId596"/><Relationship Type="http://schemas.openxmlformats.org/officeDocument/2006/relationships/hyperlink" Target="#'Technical Diagnostics'!A1" TargetMode="External" Id="rId597"/><Relationship Type="http://schemas.openxmlformats.org/officeDocument/2006/relationships/hyperlink" Target="https://africanmarketingconfederation.org/smoke-archive/page-36" TargetMode="External" Id="rId598"/><Relationship Type="http://schemas.openxmlformats.org/officeDocument/2006/relationships/hyperlink" Target="#FixPlan!A4" TargetMode="External" Id="rId599"/><Relationship Type="http://schemas.openxmlformats.org/officeDocument/2006/relationships/hyperlink" Target="#'Technical Diagnostics'!A1" TargetMode="External" Id="rId600"/><Relationship Type="http://schemas.openxmlformats.org/officeDocument/2006/relationships/hyperlink" Target="https://africanmarketingconfederation.org/smoke-archive/page-36" TargetMode="External" Id="rId601"/><Relationship Type="http://schemas.openxmlformats.org/officeDocument/2006/relationships/hyperlink" Target="#FixPlan!A5" TargetMode="External" Id="rId602"/><Relationship Type="http://schemas.openxmlformats.org/officeDocument/2006/relationships/hyperlink" Target="#'Technical Diagnostics'!A1" TargetMode="External" Id="rId603"/><Relationship Type="http://schemas.openxmlformats.org/officeDocument/2006/relationships/hyperlink" Target="https://africanmarketingconfederation.org/smoke-archive/page-36" TargetMode="External" Id="rId604"/><Relationship Type="http://schemas.openxmlformats.org/officeDocument/2006/relationships/hyperlink" Target="#FixPlan!A6" TargetMode="External" Id="rId605"/><Relationship Type="http://schemas.openxmlformats.org/officeDocument/2006/relationships/hyperlink" Target="#'Technical Diagnostics'!A1" TargetMode="External" Id="rId606"/><Relationship Type="http://schemas.openxmlformats.org/officeDocument/2006/relationships/hyperlink" Target="https://africanmarketingconfederation.org/smoke-archive/page-37" TargetMode="External" Id="rId607"/><Relationship Type="http://schemas.openxmlformats.org/officeDocument/2006/relationships/hyperlink" Target="#FixPlan!A7" TargetMode="External" Id="rId608"/><Relationship Type="http://schemas.openxmlformats.org/officeDocument/2006/relationships/hyperlink" Target="#'Technical Diagnostics'!A1" TargetMode="External" Id="rId609"/><Relationship Type="http://schemas.openxmlformats.org/officeDocument/2006/relationships/hyperlink" Target="https://africanmarketingconfederation.org/smoke-archive/page-37" TargetMode="External" Id="rId610"/><Relationship Type="http://schemas.openxmlformats.org/officeDocument/2006/relationships/hyperlink" Target="#FixPlan!A4" TargetMode="External" Id="rId611"/><Relationship Type="http://schemas.openxmlformats.org/officeDocument/2006/relationships/hyperlink" Target="#'Technical Diagnostics'!A1" TargetMode="External" Id="rId612"/><Relationship Type="http://schemas.openxmlformats.org/officeDocument/2006/relationships/hyperlink" Target="https://africanmarketingconfederation.org/smoke-archive/page-37" TargetMode="External" Id="rId613"/><Relationship Type="http://schemas.openxmlformats.org/officeDocument/2006/relationships/hyperlink" Target="#FixPlan!A5" TargetMode="External" Id="rId614"/><Relationship Type="http://schemas.openxmlformats.org/officeDocument/2006/relationships/hyperlink" Target="#'Technical Diagnostics'!A1" TargetMode="External" Id="rId615"/><Relationship Type="http://schemas.openxmlformats.org/officeDocument/2006/relationships/hyperlink" Target="https://africanmarketingconfederation.org/smoke-archive/page-37" TargetMode="External" Id="rId616"/><Relationship Type="http://schemas.openxmlformats.org/officeDocument/2006/relationships/hyperlink" Target="#FixPlan!A6" TargetMode="External" Id="rId617"/><Relationship Type="http://schemas.openxmlformats.org/officeDocument/2006/relationships/hyperlink" Target="#'Technical Diagnostics'!A1" TargetMode="External" Id="rId618"/><Relationship Type="http://schemas.openxmlformats.org/officeDocument/2006/relationships/hyperlink" Target="https://africanmarketingconfederation.org/smoke-archive/page-38" TargetMode="External" Id="rId619"/><Relationship Type="http://schemas.openxmlformats.org/officeDocument/2006/relationships/hyperlink" Target="#FixPlan!A7" TargetMode="External" Id="rId620"/><Relationship Type="http://schemas.openxmlformats.org/officeDocument/2006/relationships/hyperlink" Target="#'Technical Diagnostics'!A1" TargetMode="External" Id="rId621"/><Relationship Type="http://schemas.openxmlformats.org/officeDocument/2006/relationships/hyperlink" Target="https://africanmarketingconfederation.org/smoke-archive/page-38" TargetMode="External" Id="rId622"/><Relationship Type="http://schemas.openxmlformats.org/officeDocument/2006/relationships/hyperlink" Target="#FixPlan!A4" TargetMode="External" Id="rId623"/><Relationship Type="http://schemas.openxmlformats.org/officeDocument/2006/relationships/hyperlink" Target="#'Technical Diagnostics'!A1" TargetMode="External" Id="rId624"/><Relationship Type="http://schemas.openxmlformats.org/officeDocument/2006/relationships/hyperlink" Target="https://africanmarketingconfederation.org/smoke-archive/page-38" TargetMode="External" Id="rId625"/><Relationship Type="http://schemas.openxmlformats.org/officeDocument/2006/relationships/hyperlink" Target="#FixPlan!A5" TargetMode="External" Id="rId626"/><Relationship Type="http://schemas.openxmlformats.org/officeDocument/2006/relationships/hyperlink" Target="#'Technical Diagnostics'!A1" TargetMode="External" Id="rId627"/><Relationship Type="http://schemas.openxmlformats.org/officeDocument/2006/relationships/hyperlink" Target="https://africanmarketingconfederation.org/smoke-archive/page-38" TargetMode="External" Id="rId628"/><Relationship Type="http://schemas.openxmlformats.org/officeDocument/2006/relationships/hyperlink" Target="#FixPlan!A6" TargetMode="External" Id="rId629"/><Relationship Type="http://schemas.openxmlformats.org/officeDocument/2006/relationships/hyperlink" Target="#'Technical Diagnostics'!A1" TargetMode="External" Id="rId630"/><Relationship Type="http://schemas.openxmlformats.org/officeDocument/2006/relationships/hyperlink" Target="https://africanmarketingconfederation.org/smoke-archive/page-39" TargetMode="External" Id="rId631"/><Relationship Type="http://schemas.openxmlformats.org/officeDocument/2006/relationships/hyperlink" Target="#FixPlan!A11" TargetMode="External" Id="rId632"/><Relationship Type="http://schemas.openxmlformats.org/officeDocument/2006/relationships/hyperlink" Target="#'Technical Diagnostics'!A1" TargetMode="External" Id="rId633"/><Relationship Type="http://schemas.openxmlformats.org/officeDocument/2006/relationships/hyperlink" Target="https://africanmarketingconfederation.org/smoke-archive/page-40" TargetMode="External" Id="rId634"/><Relationship Type="http://schemas.openxmlformats.org/officeDocument/2006/relationships/hyperlink" Target="#FixPlan!A8" TargetMode="External" Id="rId635"/><Relationship Type="http://schemas.openxmlformats.org/officeDocument/2006/relationships/hyperlink" Target="#'Technical Diagnostics'!A1" TargetMode="External" Id="rId636"/><Relationship Type="http://schemas.openxmlformats.org/officeDocument/2006/relationships/hyperlink" Target="https://africanmarketingconfederation.org/smoke-archive/page-40" TargetMode="External" Id="rId637"/><Relationship Type="http://schemas.openxmlformats.org/officeDocument/2006/relationships/hyperlink" Target="#FixPlan!A17" TargetMode="External" Id="rId638"/><Relationship Type="http://schemas.openxmlformats.org/officeDocument/2006/relationships/hyperlink" Target="#'Technical Diagnostics'!A1" TargetMode="External" Id="rId639"/><Relationship Type="http://schemas.openxmlformats.org/officeDocument/2006/relationships/hyperlink" Target="https://africanmarketingconfederation.org/smoke-archive/page-40" TargetMode="External" Id="rId640"/><Relationship Type="http://schemas.openxmlformats.org/officeDocument/2006/relationships/hyperlink" Target="#FixPlan!A9" TargetMode="External" Id="rId641"/><Relationship Type="http://schemas.openxmlformats.org/officeDocument/2006/relationships/hyperlink" Target="#'Technical Diagnostics'!A1" TargetMode="External" Id="rId642"/><Relationship Type="http://schemas.openxmlformats.org/officeDocument/2006/relationships/hyperlink" Target="https://africanmarketingconfederation.org/smoke-archive/page-40" TargetMode="External" Id="rId643"/><Relationship Type="http://schemas.openxmlformats.org/officeDocument/2006/relationships/hyperlink" Target="#FixPlan!A4" TargetMode="External" Id="rId644"/><Relationship Type="http://schemas.openxmlformats.org/officeDocument/2006/relationships/hyperlink" Target="#'Technical Diagnostics'!A1" TargetMode="External" Id="rId645"/><Relationship Type="http://schemas.openxmlformats.org/officeDocument/2006/relationships/hyperlink" Target="https://africanmarketingconfederation.org/smoke-archive/page-40" TargetMode="External" Id="rId646"/><Relationship Type="http://schemas.openxmlformats.org/officeDocument/2006/relationships/hyperlink" Target="#FixPlan!A5" TargetMode="External" Id="rId647"/><Relationship Type="http://schemas.openxmlformats.org/officeDocument/2006/relationships/hyperlink" Target="#'Technical Diagnostics'!A1" TargetMode="External" Id="rId648"/><Relationship Type="http://schemas.openxmlformats.org/officeDocument/2006/relationships/hyperlink" Target="https://africanmarketingconfederation.org/smoke-archive/page-40" TargetMode="External" Id="rId649"/><Relationship Type="http://schemas.openxmlformats.org/officeDocument/2006/relationships/hyperlink" Target="#FixPlan!A6" TargetMode="External" Id="rId650"/><Relationship Type="http://schemas.openxmlformats.org/officeDocument/2006/relationships/hyperlink" Target="#'Technical Diagnostics'!A1" TargetMode="External" Id="rId651"/><Relationship Type="http://schemas.openxmlformats.org/officeDocument/2006/relationships/hyperlink" Target="https://africanmarketingconfederation.org/smoke-archive/page-41" TargetMode="External" Id="rId652"/><Relationship Type="http://schemas.openxmlformats.org/officeDocument/2006/relationships/hyperlink" Target="#FixPlan!A7" TargetMode="External" Id="rId653"/><Relationship Type="http://schemas.openxmlformats.org/officeDocument/2006/relationships/hyperlink" Target="#'Technical Diagnostics'!A1" TargetMode="External" Id="rId654"/><Relationship Type="http://schemas.openxmlformats.org/officeDocument/2006/relationships/hyperlink" Target="https://africanmarketingconfederation.org/smoke-archive/page-41" TargetMode="External" Id="rId655"/><Relationship Type="http://schemas.openxmlformats.org/officeDocument/2006/relationships/hyperlink" Target="#FixPlan!A4" TargetMode="External" Id="rId656"/><Relationship Type="http://schemas.openxmlformats.org/officeDocument/2006/relationships/hyperlink" Target="#'Technical Diagnostics'!A1" TargetMode="External" Id="rId657"/><Relationship Type="http://schemas.openxmlformats.org/officeDocument/2006/relationships/hyperlink" Target="https://africanmarketingconfederation.org/smoke-archive/page-41" TargetMode="External" Id="rId658"/><Relationship Type="http://schemas.openxmlformats.org/officeDocument/2006/relationships/hyperlink" Target="#FixPlan!A5" TargetMode="External" Id="rId659"/><Relationship Type="http://schemas.openxmlformats.org/officeDocument/2006/relationships/hyperlink" Target="#'Technical Diagnostics'!A1" TargetMode="External" Id="rId660"/><Relationship Type="http://schemas.openxmlformats.org/officeDocument/2006/relationships/hyperlink" Target="https://africanmarketingconfederation.org/smoke-archive/page-41" TargetMode="External" Id="rId661"/><Relationship Type="http://schemas.openxmlformats.org/officeDocument/2006/relationships/hyperlink" Target="#FixPlan!A6" TargetMode="External" Id="rId662"/><Relationship Type="http://schemas.openxmlformats.org/officeDocument/2006/relationships/hyperlink" Target="#'Technical Diagnostics'!A1" TargetMode="External" Id="rId663"/><Relationship Type="http://schemas.openxmlformats.org/officeDocument/2006/relationships/hyperlink" Target="https://africanmarketingconfederation.org/smoke-archive/page-42" TargetMode="External" Id="rId664"/><Relationship Type="http://schemas.openxmlformats.org/officeDocument/2006/relationships/hyperlink" Target="#FixPlan!A10" TargetMode="External" Id="rId665"/><Relationship Type="http://schemas.openxmlformats.org/officeDocument/2006/relationships/hyperlink" Target="#'Technical Diagnostics'!A1" TargetMode="External" Id="rId666"/><Relationship Type="http://schemas.openxmlformats.org/officeDocument/2006/relationships/hyperlink" Target="https://africanmarketingconfederation.org/smoke-archive/page-42" TargetMode="External" Id="rId667"/><Relationship Type="http://schemas.openxmlformats.org/officeDocument/2006/relationships/hyperlink" Target="#FixPlan!A13" TargetMode="External" Id="rId668"/><Relationship Type="http://schemas.openxmlformats.org/officeDocument/2006/relationships/hyperlink" Target="#'Technical Diagnostics'!A1" TargetMode="External" Id="rId669"/><Relationship Type="http://schemas.openxmlformats.org/officeDocument/2006/relationships/hyperlink" Target="https://africanmarketingconfederation.org/smoke-archive/page-42" TargetMode="External" Id="rId670"/><Relationship Type="http://schemas.openxmlformats.org/officeDocument/2006/relationships/hyperlink" Target="#FixPlan!A7" TargetMode="External" Id="rId671"/><Relationship Type="http://schemas.openxmlformats.org/officeDocument/2006/relationships/hyperlink" Target="#'Technical Diagnostics'!A1" TargetMode="External" Id="rId672"/><Relationship Type="http://schemas.openxmlformats.org/officeDocument/2006/relationships/hyperlink" Target="https://africanmarketingconfederation.org/smoke-archive/page-42" TargetMode="External" Id="rId673"/><Relationship Type="http://schemas.openxmlformats.org/officeDocument/2006/relationships/hyperlink" Target="#FixPlan!A12" TargetMode="External" Id="rId674"/><Relationship Type="http://schemas.openxmlformats.org/officeDocument/2006/relationships/hyperlink" Target="#'Technical Diagnostics'!A1" TargetMode="External" Id="rId675"/><Relationship Type="http://schemas.openxmlformats.org/officeDocument/2006/relationships/hyperlink" Target="https://africanmarketingconfederation.org/smoke-archive/page-42" TargetMode="External" Id="rId676"/><Relationship Type="http://schemas.openxmlformats.org/officeDocument/2006/relationships/hyperlink" Target="#FixPlan!A4" TargetMode="External" Id="rId677"/><Relationship Type="http://schemas.openxmlformats.org/officeDocument/2006/relationships/hyperlink" Target="#'Technical Diagnostics'!A1" TargetMode="External" Id="rId678"/><Relationship Type="http://schemas.openxmlformats.org/officeDocument/2006/relationships/hyperlink" Target="https://africanmarketingconfederation.org/smoke-archive/page-42" TargetMode="External" Id="rId679"/><Relationship Type="http://schemas.openxmlformats.org/officeDocument/2006/relationships/hyperlink" Target="#FixPlan!A5" TargetMode="External" Id="rId680"/><Relationship Type="http://schemas.openxmlformats.org/officeDocument/2006/relationships/hyperlink" Target="#'Technical Diagnostics'!A1" TargetMode="External" Id="rId681"/><Relationship Type="http://schemas.openxmlformats.org/officeDocument/2006/relationships/hyperlink" Target="https://africanmarketingconfederation.org/smoke-archive/page-42" TargetMode="External" Id="rId682"/><Relationship Type="http://schemas.openxmlformats.org/officeDocument/2006/relationships/hyperlink" Target="#FixPlan!A6" TargetMode="External" Id="rId683"/><Relationship Type="http://schemas.openxmlformats.org/officeDocument/2006/relationships/hyperlink" Target="#'Technical Diagnostics'!A1" TargetMode="External" Id="rId684"/><Relationship Type="http://schemas.openxmlformats.org/officeDocument/2006/relationships/hyperlink" Target="https://africanmarketingconfederation.org/smoke-archive/page-43" TargetMode="External" Id="rId685"/><Relationship Type="http://schemas.openxmlformats.org/officeDocument/2006/relationships/hyperlink" Target="#FixPlan!A7" TargetMode="External" Id="rId686"/><Relationship Type="http://schemas.openxmlformats.org/officeDocument/2006/relationships/hyperlink" Target="#'Technical Diagnostics'!A1" TargetMode="External" Id="rId687"/><Relationship Type="http://schemas.openxmlformats.org/officeDocument/2006/relationships/hyperlink" Target="https://africanmarketingconfederation.org/smoke-archive/page-43" TargetMode="External" Id="rId688"/><Relationship Type="http://schemas.openxmlformats.org/officeDocument/2006/relationships/hyperlink" Target="#FixPlan!A4" TargetMode="External" Id="rId689"/><Relationship Type="http://schemas.openxmlformats.org/officeDocument/2006/relationships/hyperlink" Target="#'Technical Diagnostics'!A1" TargetMode="External" Id="rId690"/><Relationship Type="http://schemas.openxmlformats.org/officeDocument/2006/relationships/hyperlink" Target="https://africanmarketingconfederation.org/smoke-archive/page-43" TargetMode="External" Id="rId691"/><Relationship Type="http://schemas.openxmlformats.org/officeDocument/2006/relationships/hyperlink" Target="#FixPlan!A5" TargetMode="External" Id="rId692"/><Relationship Type="http://schemas.openxmlformats.org/officeDocument/2006/relationships/hyperlink" Target="#'Technical Diagnostics'!A1" TargetMode="External" Id="rId693"/><Relationship Type="http://schemas.openxmlformats.org/officeDocument/2006/relationships/hyperlink" Target="https://africanmarketingconfederation.org/smoke-archive/page-43" TargetMode="External" Id="rId694"/><Relationship Type="http://schemas.openxmlformats.org/officeDocument/2006/relationships/hyperlink" Target="#FixPlan!A6" TargetMode="External" Id="rId695"/><Relationship Type="http://schemas.openxmlformats.org/officeDocument/2006/relationships/hyperlink" Target="#'Technical Diagnostics'!A1" TargetMode="External" Id="rId696"/><Relationship Type="http://schemas.openxmlformats.org/officeDocument/2006/relationships/hyperlink" Target="https://africanmarketingconfederation.org/smoke-archive/page-44" TargetMode="External" Id="rId697"/><Relationship Type="http://schemas.openxmlformats.org/officeDocument/2006/relationships/hyperlink" Target="#FixPlan!A4" TargetMode="External" Id="rId698"/><Relationship Type="http://schemas.openxmlformats.org/officeDocument/2006/relationships/hyperlink" Target="#'Technical Diagnostics'!A1" TargetMode="External" Id="rId699"/><Relationship Type="http://schemas.openxmlformats.org/officeDocument/2006/relationships/hyperlink" Target="https://africanmarketingconfederation.org/smoke-archive/page-44" TargetMode="External" Id="rId700"/><Relationship Type="http://schemas.openxmlformats.org/officeDocument/2006/relationships/hyperlink" Target="#FixPlan!A5" TargetMode="External" Id="rId701"/><Relationship Type="http://schemas.openxmlformats.org/officeDocument/2006/relationships/hyperlink" Target="#'Technical Diagnostics'!A1" TargetMode="External" Id="rId702"/><Relationship Type="http://schemas.openxmlformats.org/officeDocument/2006/relationships/hyperlink" Target="https://africanmarketingconfederation.org/smoke-archive/page-44" TargetMode="External" Id="rId703"/><Relationship Type="http://schemas.openxmlformats.org/officeDocument/2006/relationships/hyperlink" Target="#FixPlan!A6" TargetMode="External" Id="rId704"/><Relationship Type="http://schemas.openxmlformats.org/officeDocument/2006/relationships/hyperlink" Target="#'Technical Diagnostics'!A1" TargetMode="External" Id="rId705"/><Relationship Type="http://schemas.openxmlformats.org/officeDocument/2006/relationships/hyperlink" Target="https://africanmarketingconfederation.org/smoke-archive/page-45" TargetMode="External" Id="rId706"/><Relationship Type="http://schemas.openxmlformats.org/officeDocument/2006/relationships/hyperlink" Target="#FixPlan!A8" TargetMode="External" Id="rId707"/><Relationship Type="http://schemas.openxmlformats.org/officeDocument/2006/relationships/hyperlink" Target="#'Technical Diagnostics'!A1" TargetMode="External" Id="rId708"/><Relationship Type="http://schemas.openxmlformats.org/officeDocument/2006/relationships/hyperlink" Target="https://africanmarketingconfederation.org/smoke-archive/page-45" TargetMode="External" Id="rId709"/><Relationship Type="http://schemas.openxmlformats.org/officeDocument/2006/relationships/hyperlink" Target="#FixPlan!A9" TargetMode="External" Id="rId710"/><Relationship Type="http://schemas.openxmlformats.org/officeDocument/2006/relationships/hyperlink" Target="#'Technical Diagnostics'!A1" TargetMode="External" Id="rId711"/><Relationship Type="http://schemas.openxmlformats.org/officeDocument/2006/relationships/hyperlink" Target="https://africanmarketingconfederation.org/smoke-archive/page-45" TargetMode="External" Id="rId712"/><Relationship Type="http://schemas.openxmlformats.org/officeDocument/2006/relationships/hyperlink" Target="#FixPlan!A7" TargetMode="External" Id="rId713"/><Relationship Type="http://schemas.openxmlformats.org/officeDocument/2006/relationships/hyperlink" Target="#'Technical Diagnostics'!A1" TargetMode="External" Id="rId714"/><Relationship Type="http://schemas.openxmlformats.org/officeDocument/2006/relationships/hyperlink" Target="https://africanmarketingconfederation.org/smoke-archive/page-45" TargetMode="External" Id="rId715"/><Relationship Type="http://schemas.openxmlformats.org/officeDocument/2006/relationships/hyperlink" Target="#FixPlan!A18" TargetMode="External" Id="rId716"/><Relationship Type="http://schemas.openxmlformats.org/officeDocument/2006/relationships/hyperlink" Target="#'Content &amp; AI Readiness'!A1" TargetMode="External" Id="rId717"/><Relationship Type="http://schemas.openxmlformats.org/officeDocument/2006/relationships/hyperlink" Target="https://africanmarketingconfederation.org/smoke-archive/page-45" TargetMode="External" Id="rId718"/><Relationship Type="http://schemas.openxmlformats.org/officeDocument/2006/relationships/hyperlink" Target="#FixPlan!A14" TargetMode="External" Id="rId719"/><Relationship Type="http://schemas.openxmlformats.org/officeDocument/2006/relationships/hyperlink" Target="#'Content &amp; AI Readiness'!A1" TargetMode="External" Id="rId720"/><Relationship Type="http://schemas.openxmlformats.org/officeDocument/2006/relationships/hyperlink" Target="https://africanmarketingconfederation.org/smoke-archive/page-45" TargetMode="External" Id="rId721"/><Relationship Type="http://schemas.openxmlformats.org/officeDocument/2006/relationships/hyperlink" Target="#FixPlan!A15" TargetMode="External" Id="rId722"/><Relationship Type="http://schemas.openxmlformats.org/officeDocument/2006/relationships/hyperlink" Target="#'Technical Diagnostics'!A1" TargetMode="External" Id="rId723"/><Relationship Type="http://schemas.openxmlformats.org/officeDocument/2006/relationships/hyperlink" Target="https://africanmarketingconfederation.org/smoke-archive/page-45" TargetMode="External" Id="rId724"/><Relationship Type="http://schemas.openxmlformats.org/officeDocument/2006/relationships/hyperlink" Target="#FixPlan!A16" TargetMode="External" Id="rId725"/><Relationship Type="http://schemas.openxmlformats.org/officeDocument/2006/relationships/hyperlink" Target="#'Technical Diagnostics'!A1" TargetMode="External" Id="rId726"/><Relationship Type="http://schemas.openxmlformats.org/officeDocument/2006/relationships/hyperlink" Target="https://africanmarketingconfederation.org/smoke-archive/page-45" TargetMode="External" Id="rId727"/><Relationship Type="http://schemas.openxmlformats.org/officeDocument/2006/relationships/hyperlink" Target="#FixPlan!A4" TargetMode="External" Id="rId728"/><Relationship Type="http://schemas.openxmlformats.org/officeDocument/2006/relationships/hyperlink" Target="#'Technical Diagnostics'!A1" TargetMode="External" Id="rId729"/><Relationship Type="http://schemas.openxmlformats.org/officeDocument/2006/relationships/hyperlink" Target="https://africanmarketingconfederation.org/smoke-archive/page-45" TargetMode="External" Id="rId730"/><Relationship Type="http://schemas.openxmlformats.org/officeDocument/2006/relationships/hyperlink" Target="#FixPlan!A5" TargetMode="External" Id="rId731"/><Relationship Type="http://schemas.openxmlformats.org/officeDocument/2006/relationships/hyperlink" Target="#'Technical Diagnostics'!A1" TargetMode="External" Id="rId732"/><Relationship Type="http://schemas.openxmlformats.org/officeDocument/2006/relationships/hyperlink" Target="https://africanmarketingconfederation.org/smoke-archive/page-45" TargetMode="External" Id="rId733"/><Relationship Type="http://schemas.openxmlformats.org/officeDocument/2006/relationships/hyperlink" Target="#FixPlan!A6" TargetMode="External" Id="rId734"/><Relationship Type="http://schemas.openxmlformats.org/officeDocument/2006/relationships/hyperlink" Target="#'Technical Diagnostics'!A1" TargetMode="External" Id="rId735"/><Relationship Type="http://schemas.openxmlformats.org/officeDocument/2006/relationships/hyperlink" Target="https://africanmarketingconfederation.org/smoke-archive/page-46" TargetMode="External" Id="rId736"/><Relationship Type="http://schemas.openxmlformats.org/officeDocument/2006/relationships/hyperlink" Target="#FixPlan!A7" TargetMode="External" Id="rId737"/><Relationship Type="http://schemas.openxmlformats.org/officeDocument/2006/relationships/hyperlink" Target="#'Technical Diagnostics'!A1" TargetMode="External" Id="rId738"/><Relationship Type="http://schemas.openxmlformats.org/officeDocument/2006/relationships/hyperlink" Target="https://africanmarketingconfederation.org/smoke-archive/page-46" TargetMode="External" Id="rId739"/><Relationship Type="http://schemas.openxmlformats.org/officeDocument/2006/relationships/hyperlink" Target="#FixPlan!A4" TargetMode="External" Id="rId740"/><Relationship Type="http://schemas.openxmlformats.org/officeDocument/2006/relationships/hyperlink" Target="#'Technical Diagnostics'!A1" TargetMode="External" Id="rId741"/><Relationship Type="http://schemas.openxmlformats.org/officeDocument/2006/relationships/hyperlink" Target="https://africanmarketingconfederation.org/smoke-archive/page-46" TargetMode="External" Id="rId742"/><Relationship Type="http://schemas.openxmlformats.org/officeDocument/2006/relationships/hyperlink" Target="#FixPlan!A5" TargetMode="External" Id="rId743"/><Relationship Type="http://schemas.openxmlformats.org/officeDocument/2006/relationships/hyperlink" Target="#'Technical Diagnostics'!A1" TargetMode="External" Id="rId744"/><Relationship Type="http://schemas.openxmlformats.org/officeDocument/2006/relationships/hyperlink" Target="https://africanmarketingconfederation.org/smoke-archive/page-46" TargetMode="External" Id="rId745"/><Relationship Type="http://schemas.openxmlformats.org/officeDocument/2006/relationships/hyperlink" Target="#FixPlan!A6" TargetMode="External" Id="rId746"/><Relationship Type="http://schemas.openxmlformats.org/officeDocument/2006/relationships/hyperlink" Target="#'Technical Diagnostics'!A1" TargetMode="External" Id="rId747"/><Relationship Type="http://schemas.openxmlformats.org/officeDocument/2006/relationships/hyperlink" Target="https://africanmarketingconfederation.org/smoke-archive/page-47" TargetMode="External" Id="rId748"/><Relationship Type="http://schemas.openxmlformats.org/officeDocument/2006/relationships/hyperlink" Target="#FixPlan!A7" TargetMode="External" Id="rId749"/><Relationship Type="http://schemas.openxmlformats.org/officeDocument/2006/relationships/hyperlink" Target="#'Technical Diagnostics'!A1" TargetMode="External" Id="rId750"/><Relationship Type="http://schemas.openxmlformats.org/officeDocument/2006/relationships/hyperlink" Target="https://africanmarketingconfederation.org/smoke-archive/page-47" TargetMode="External" Id="rId751"/><Relationship Type="http://schemas.openxmlformats.org/officeDocument/2006/relationships/hyperlink" Target="#FixPlan!A4" TargetMode="External" Id="rId752"/><Relationship Type="http://schemas.openxmlformats.org/officeDocument/2006/relationships/hyperlink" Target="#'Technical Diagnostics'!A1" TargetMode="External" Id="rId753"/><Relationship Type="http://schemas.openxmlformats.org/officeDocument/2006/relationships/hyperlink" Target="https://africanmarketingconfederation.org/smoke-archive/page-47" TargetMode="External" Id="rId754"/><Relationship Type="http://schemas.openxmlformats.org/officeDocument/2006/relationships/hyperlink" Target="#FixPlan!A5" TargetMode="External" Id="rId755"/><Relationship Type="http://schemas.openxmlformats.org/officeDocument/2006/relationships/hyperlink" Target="#'Technical Diagnostics'!A1" TargetMode="External" Id="rId756"/><Relationship Type="http://schemas.openxmlformats.org/officeDocument/2006/relationships/hyperlink" Target="https://africanmarketingconfederation.org/smoke-archive/page-47" TargetMode="External" Id="rId757"/><Relationship Type="http://schemas.openxmlformats.org/officeDocument/2006/relationships/hyperlink" Target="#FixPlan!A6" TargetMode="External" Id="rId758"/><Relationship Type="http://schemas.openxmlformats.org/officeDocument/2006/relationships/hyperlink" Target="#'Technical Diagnostics'!A1" TargetMode="External" Id="rId759"/><Relationship Type="http://schemas.openxmlformats.org/officeDocument/2006/relationships/hyperlink" Target="https://africanmarketingconfederation.org/smoke-archive/page-48" TargetMode="External" Id="rId760"/><Relationship Type="http://schemas.openxmlformats.org/officeDocument/2006/relationships/hyperlink" Target="#FixPlan!A19" TargetMode="External" Id="rId761"/><Relationship Type="http://schemas.openxmlformats.org/officeDocument/2006/relationships/hyperlink" Target="#'Technical Diagnostics'!A1" TargetMode="External" Id="rId762"/><Relationship Type="http://schemas.openxmlformats.org/officeDocument/2006/relationships/hyperlink" Target="https://africanmarketingconfederation.org/smoke-archive/page-48" TargetMode="External" Id="rId763"/><Relationship Type="http://schemas.openxmlformats.org/officeDocument/2006/relationships/hyperlink" Target="#FixPlan!A10" TargetMode="External" Id="rId764"/><Relationship Type="http://schemas.openxmlformats.org/officeDocument/2006/relationships/hyperlink" Target="#'Technical Diagnostics'!A1" TargetMode="External" Id="rId765"/><Relationship Type="http://schemas.openxmlformats.org/officeDocument/2006/relationships/hyperlink" Target="https://africanmarketingconfederation.org/smoke-archive/page-48" TargetMode="External" Id="rId766"/><Relationship Type="http://schemas.openxmlformats.org/officeDocument/2006/relationships/hyperlink" Target="#FixPlan!A17" TargetMode="External" Id="rId767"/><Relationship Type="http://schemas.openxmlformats.org/officeDocument/2006/relationships/hyperlink" Target="#'Technical Diagnostics'!A1" TargetMode="External" Id="rId768"/><Relationship Type="http://schemas.openxmlformats.org/officeDocument/2006/relationships/hyperlink" Target="https://africanmarketingconfederation.org/smoke-archive/page-48" TargetMode="External" Id="rId769"/><Relationship Type="http://schemas.openxmlformats.org/officeDocument/2006/relationships/hyperlink" Target="#FixPlan!A4" TargetMode="External" Id="rId770"/><Relationship Type="http://schemas.openxmlformats.org/officeDocument/2006/relationships/hyperlink" Target="#'Technical Diagnostics'!A1" TargetMode="External" Id="rId771"/><Relationship Type="http://schemas.openxmlformats.org/officeDocument/2006/relationships/hyperlink" Target="https://africanmarketingconfederation.org/smoke-archive/page-48" TargetMode="External" Id="rId772"/><Relationship Type="http://schemas.openxmlformats.org/officeDocument/2006/relationships/hyperlink" Target="#FixPlan!A5" TargetMode="External" Id="rId773"/><Relationship Type="http://schemas.openxmlformats.org/officeDocument/2006/relationships/hyperlink" Target="#'Technical Diagnostics'!A1" TargetMode="External" Id="rId774"/><Relationship Type="http://schemas.openxmlformats.org/officeDocument/2006/relationships/hyperlink" Target="https://africanmarketingconfederation.org/smoke-archive/page-48" TargetMode="External" Id="rId775"/><Relationship Type="http://schemas.openxmlformats.org/officeDocument/2006/relationships/hyperlink" Target="#FixPlan!A6" TargetMode="External" Id="rId776"/><Relationship Type="http://schemas.openxmlformats.org/officeDocument/2006/relationships/hyperlink" Target="#'Technical Diagnostics'!A1" TargetMode="External" Id="rId777"/><Relationship Type="http://schemas.openxmlformats.org/officeDocument/2006/relationships/hyperlink" Target="https://africanmarketingconfederation.org/smoke-archive/page-49" TargetMode="External" Id="rId778"/><Relationship Type="http://schemas.openxmlformats.org/officeDocument/2006/relationships/hyperlink" Target="#FixPlan!A13" TargetMode="External" Id="rId779"/><Relationship Type="http://schemas.openxmlformats.org/officeDocument/2006/relationships/hyperlink" Target="#'Technical Diagnostics'!A1" TargetMode="External" Id="rId780"/><Relationship Type="http://schemas.openxmlformats.org/officeDocument/2006/relationships/hyperlink" Target="https://africanmarketingconfederation.org/smoke-archive/page-49" TargetMode="External" Id="rId781"/><Relationship Type="http://schemas.openxmlformats.org/officeDocument/2006/relationships/hyperlink" Target="#FixPlan!A7" TargetMode="External" Id="rId782"/><Relationship Type="http://schemas.openxmlformats.org/officeDocument/2006/relationships/hyperlink" Target="#'Technical Diagnostics'!A1" TargetMode="External" Id="rId783"/><Relationship Type="http://schemas.openxmlformats.org/officeDocument/2006/relationships/hyperlink" Target="https://africanmarketingconfederation.org/smoke-archive/page-49" TargetMode="External" Id="rId784"/><Relationship Type="http://schemas.openxmlformats.org/officeDocument/2006/relationships/hyperlink" Target="#FixPlan!A12" TargetMode="External" Id="rId785"/><Relationship Type="http://schemas.openxmlformats.org/officeDocument/2006/relationships/hyperlink" Target="#'Technical Diagnostics'!A1" TargetMode="External" Id="rId786"/><Relationship Type="http://schemas.openxmlformats.org/officeDocument/2006/relationships/hyperlink" Target="https://africanmarketingconfederation.org/smoke-archive/page-49" TargetMode="External" Id="rId787"/><Relationship Type="http://schemas.openxmlformats.org/officeDocument/2006/relationships/hyperlink" Target="#FixPlan!A4" TargetMode="External" Id="rId788"/><Relationship Type="http://schemas.openxmlformats.org/officeDocument/2006/relationships/hyperlink" Target="#'Technical Diagnostics'!A1" TargetMode="External" Id="rId789"/><Relationship Type="http://schemas.openxmlformats.org/officeDocument/2006/relationships/hyperlink" Target="https://africanmarketingconfederation.org/smoke-archive/page-49" TargetMode="External" Id="rId790"/><Relationship Type="http://schemas.openxmlformats.org/officeDocument/2006/relationships/hyperlink" Target="#FixPlan!A5" TargetMode="External" Id="rId791"/><Relationship Type="http://schemas.openxmlformats.org/officeDocument/2006/relationships/hyperlink" Target="#'Technical Diagnostics'!A1" TargetMode="External" Id="rId792"/><Relationship Type="http://schemas.openxmlformats.org/officeDocument/2006/relationships/hyperlink" Target="https://africanmarketingconfederation.org/smoke-archive/page-49" TargetMode="External" Id="rId793"/><Relationship Type="http://schemas.openxmlformats.org/officeDocument/2006/relationships/hyperlink" Target="#FixPlan!A6" TargetMode="External" Id="rId794"/><Relationship Type="http://schemas.openxmlformats.org/officeDocument/2006/relationships/hyperlink" Target="#'Technical Diagnostics'!A1" TargetMode="External" Id="rId795"/><Relationship Type="http://schemas.openxmlformats.org/officeDocument/2006/relationships/hyperlink" Target="https://africanmarketingconfederation.org/smoke-archive/page-50" TargetMode="External" Id="rId796"/><Relationship Type="http://schemas.openxmlformats.org/officeDocument/2006/relationships/hyperlink" Target="#FixPlan!A8" TargetMode="External" Id="rId797"/><Relationship Type="http://schemas.openxmlformats.org/officeDocument/2006/relationships/hyperlink" Target="#'Technical Diagnostics'!A1" TargetMode="External" Id="rId798"/><Relationship Type="http://schemas.openxmlformats.org/officeDocument/2006/relationships/hyperlink" Target="https://africanmarketingconfederation.org/smoke-archive/page-50" TargetMode="External" Id="rId799"/><Relationship Type="http://schemas.openxmlformats.org/officeDocument/2006/relationships/hyperlink" Target="#FixPlan!A9" TargetMode="External" Id="rId800"/><Relationship Type="http://schemas.openxmlformats.org/officeDocument/2006/relationships/hyperlink" Target="#'Technical Diagnostics'!A1" TargetMode="External" Id="rId801"/><Relationship Type="http://schemas.openxmlformats.org/officeDocument/2006/relationships/hyperlink" Target="https://africanmarketingconfederation.org/smoke-archive/page-50" TargetMode="External" Id="rId802"/><Relationship Type="http://schemas.openxmlformats.org/officeDocument/2006/relationships/hyperlink" Target="#FixPlan!A7" TargetMode="External" Id="rId803"/><Relationship Type="http://schemas.openxmlformats.org/officeDocument/2006/relationships/hyperlink" Target="#'Technical Diagnostics'!A1" TargetMode="External" Id="rId804"/><Relationship Type="http://schemas.openxmlformats.org/officeDocument/2006/relationships/hyperlink" Target="https://africanmarketingconfederation.org/smoke-archive/page-50" TargetMode="External" Id="rId805"/><Relationship Type="http://schemas.openxmlformats.org/officeDocument/2006/relationships/hyperlink" Target="#FixPlan!A4" TargetMode="External" Id="rId806"/><Relationship Type="http://schemas.openxmlformats.org/officeDocument/2006/relationships/hyperlink" Target="#'Technical Diagnostics'!A1" TargetMode="External" Id="rId807"/><Relationship Type="http://schemas.openxmlformats.org/officeDocument/2006/relationships/hyperlink" Target="https://africanmarketingconfederation.org/smoke-archive/page-50" TargetMode="External" Id="rId808"/><Relationship Type="http://schemas.openxmlformats.org/officeDocument/2006/relationships/hyperlink" Target="#FixPlan!A5" TargetMode="External" Id="rId809"/><Relationship Type="http://schemas.openxmlformats.org/officeDocument/2006/relationships/hyperlink" Target="#'Technical Diagnostics'!A1" TargetMode="External" Id="rId810"/><Relationship Type="http://schemas.openxmlformats.org/officeDocument/2006/relationships/hyperlink" Target="https://africanmarketingconfederation.org/smoke-archive/page-50" TargetMode="External" Id="rId811"/><Relationship Type="http://schemas.openxmlformats.org/officeDocument/2006/relationships/hyperlink" Target="#FixPlan!A6" TargetMode="External" Id="rId812"/><Relationship Type="http://schemas.openxmlformats.org/officeDocument/2006/relationships/hyperlink" Target="#'Technical Diagnostics'!A1" TargetMode="External" Id="rId813"/><Relationship Type="http://schemas.openxmlformats.org/officeDocument/2006/relationships/hyperlink" Target="https://africanmarketingconfederation.org/smoke-archive/page-51" TargetMode="External" Id="rId814"/><Relationship Type="http://schemas.openxmlformats.org/officeDocument/2006/relationships/hyperlink" Target="#FixPlan!A11" TargetMode="External" Id="rId815"/><Relationship Type="http://schemas.openxmlformats.org/officeDocument/2006/relationships/hyperlink" Target="#'Technical Diagnostics'!A1" TargetMode="External" Id="rId816"/><Relationship Type="http://schemas.openxmlformats.org/officeDocument/2006/relationships/hyperlink" Target="https://africanmarketingconfederation.org/smoke-archive/page-52" TargetMode="External" Id="rId817"/><Relationship Type="http://schemas.openxmlformats.org/officeDocument/2006/relationships/hyperlink" Target="#FixPlan!A11" TargetMode="External" Id="rId818"/><Relationship Type="http://schemas.openxmlformats.org/officeDocument/2006/relationships/hyperlink" Target="#'Technical Diagnostics'!A1" TargetMode="External" Id="rId819"/><Relationship Type="http://schemas.openxmlformats.org/officeDocument/2006/relationships/hyperlink" Target="https://africanmarketingconfederation.org/smoke-archive/page-53" TargetMode="External" Id="rId820"/><Relationship Type="http://schemas.openxmlformats.org/officeDocument/2006/relationships/hyperlink" Target="#FixPlan!A7" TargetMode="External" Id="rId821"/><Relationship Type="http://schemas.openxmlformats.org/officeDocument/2006/relationships/hyperlink" Target="#'Technical Diagnostics'!A1" TargetMode="External" Id="rId822"/><Relationship Type="http://schemas.openxmlformats.org/officeDocument/2006/relationships/hyperlink" Target="https://africanmarketingconfederation.org/smoke-archive/page-53" TargetMode="External" Id="rId823"/><Relationship Type="http://schemas.openxmlformats.org/officeDocument/2006/relationships/hyperlink" Target="#FixPlan!A4" TargetMode="External" Id="rId824"/><Relationship Type="http://schemas.openxmlformats.org/officeDocument/2006/relationships/hyperlink" Target="#'Technical Diagnostics'!A1" TargetMode="External" Id="rId825"/><Relationship Type="http://schemas.openxmlformats.org/officeDocument/2006/relationships/hyperlink" Target="https://africanmarketingconfederation.org/smoke-archive/page-53" TargetMode="External" Id="rId826"/><Relationship Type="http://schemas.openxmlformats.org/officeDocument/2006/relationships/hyperlink" Target="#FixPlan!A5" TargetMode="External" Id="rId827"/><Relationship Type="http://schemas.openxmlformats.org/officeDocument/2006/relationships/hyperlink" Target="#'Technical Diagnostics'!A1" TargetMode="External" Id="rId828"/><Relationship Type="http://schemas.openxmlformats.org/officeDocument/2006/relationships/hyperlink" Target="https://africanmarketingconfederation.org/smoke-archive/page-53" TargetMode="External" Id="rId829"/><Relationship Type="http://schemas.openxmlformats.org/officeDocument/2006/relationships/hyperlink" Target="#FixPlan!A6" TargetMode="External" Id="rId830"/><Relationship Type="http://schemas.openxmlformats.org/officeDocument/2006/relationships/hyperlink" Target="#'Technical Diagnostics'!A1" TargetMode="External" Id="rId831"/><Relationship Type="http://schemas.openxmlformats.org/officeDocument/2006/relationships/hyperlink" Target="https://africanmarketingconfederation.org/smoke-archive/page-54" TargetMode="External" Id="rId832"/><Relationship Type="http://schemas.openxmlformats.org/officeDocument/2006/relationships/hyperlink" Target="#FixPlan!A10" TargetMode="External" Id="rId833"/><Relationship Type="http://schemas.openxmlformats.org/officeDocument/2006/relationships/hyperlink" Target="#'Technical Diagnostics'!A1" TargetMode="External" Id="rId834"/><Relationship Type="http://schemas.openxmlformats.org/officeDocument/2006/relationships/hyperlink" Target="https://africanmarketingconfederation.org/smoke-archive/page-54" TargetMode="External" Id="rId835"/><Relationship Type="http://schemas.openxmlformats.org/officeDocument/2006/relationships/hyperlink" Target="#FixPlan!A7" TargetMode="External" Id="rId836"/><Relationship Type="http://schemas.openxmlformats.org/officeDocument/2006/relationships/hyperlink" Target="#'Technical Diagnostics'!A1" TargetMode="External" Id="rId837"/><Relationship Type="http://schemas.openxmlformats.org/officeDocument/2006/relationships/hyperlink" Target="https://africanmarketingconfederation.org/smoke-archive/page-54" TargetMode="External" Id="rId838"/><Relationship Type="http://schemas.openxmlformats.org/officeDocument/2006/relationships/hyperlink" Target="#FixPlan!A18" TargetMode="External" Id="rId839"/><Relationship Type="http://schemas.openxmlformats.org/officeDocument/2006/relationships/hyperlink" Target="#'Content &amp; AI Readiness'!A1" TargetMode="External" Id="rId840"/><Relationship Type="http://schemas.openxmlformats.org/officeDocument/2006/relationships/hyperlink" Target="https://africanmarketingconfederation.org/smoke-archive/page-54" TargetMode="External" Id="rId841"/><Relationship Type="http://schemas.openxmlformats.org/officeDocument/2006/relationships/hyperlink" Target="#FixPlan!A14" TargetMode="External" Id="rId842"/><Relationship Type="http://schemas.openxmlformats.org/officeDocument/2006/relationships/hyperlink" Target="#'Content &amp; AI Readiness'!A1" TargetMode="External" Id="rId843"/><Relationship Type="http://schemas.openxmlformats.org/officeDocument/2006/relationships/hyperlink" Target="https://africanmarketingconfederation.org/smoke-archive/page-54" TargetMode="External" Id="rId844"/><Relationship Type="http://schemas.openxmlformats.org/officeDocument/2006/relationships/hyperlink" Target="#FixPlan!A15" TargetMode="External" Id="rId845"/><Relationship Type="http://schemas.openxmlformats.org/officeDocument/2006/relationships/hyperlink" Target="#'Technical Diagnostics'!A1" TargetMode="External" Id="rId846"/><Relationship Type="http://schemas.openxmlformats.org/officeDocument/2006/relationships/hyperlink" Target="https://africanmarketingconfederation.org/smoke-archive/page-54" TargetMode="External" Id="rId847"/><Relationship Type="http://schemas.openxmlformats.org/officeDocument/2006/relationships/hyperlink" Target="#FixPlan!A16" TargetMode="External" Id="rId848"/><Relationship Type="http://schemas.openxmlformats.org/officeDocument/2006/relationships/hyperlink" Target="#'Technical Diagnostics'!A1" TargetMode="External" Id="rId849"/><Relationship Type="http://schemas.openxmlformats.org/officeDocument/2006/relationships/hyperlink" Target="https://africanmarketingconfederation.org/smoke-archive/page-54" TargetMode="External" Id="rId850"/><Relationship Type="http://schemas.openxmlformats.org/officeDocument/2006/relationships/hyperlink" Target="#FixPlan!A4" TargetMode="External" Id="rId851"/><Relationship Type="http://schemas.openxmlformats.org/officeDocument/2006/relationships/hyperlink" Target="#'Technical Diagnostics'!A1" TargetMode="External" Id="rId852"/><Relationship Type="http://schemas.openxmlformats.org/officeDocument/2006/relationships/hyperlink" Target="https://africanmarketingconfederation.org/smoke-archive/page-54" TargetMode="External" Id="rId853"/><Relationship Type="http://schemas.openxmlformats.org/officeDocument/2006/relationships/hyperlink" Target="#FixPlan!A5" TargetMode="External" Id="rId854"/><Relationship Type="http://schemas.openxmlformats.org/officeDocument/2006/relationships/hyperlink" Target="#'Technical Diagnostics'!A1" TargetMode="External" Id="rId855"/><Relationship Type="http://schemas.openxmlformats.org/officeDocument/2006/relationships/hyperlink" Target="https://africanmarketingconfederation.org/smoke-archive/page-54" TargetMode="External" Id="rId856"/><Relationship Type="http://schemas.openxmlformats.org/officeDocument/2006/relationships/hyperlink" Target="#FixPlan!A6" TargetMode="External" Id="rId857"/><Relationship Type="http://schemas.openxmlformats.org/officeDocument/2006/relationships/hyperlink" Target="#'Technical Diagnostics'!A1" TargetMode="External" Id="rId858"/><Relationship Type="http://schemas.openxmlformats.org/officeDocument/2006/relationships/hyperlink" Target="https://africanmarketingconfederation.org/smoke-archive/page-55" TargetMode="External" Id="rId859"/><Relationship Type="http://schemas.openxmlformats.org/officeDocument/2006/relationships/hyperlink" Target="#FixPlan!A8" TargetMode="External" Id="rId860"/><Relationship Type="http://schemas.openxmlformats.org/officeDocument/2006/relationships/hyperlink" Target="#'Technical Diagnostics'!A1" TargetMode="External" Id="rId861"/><Relationship Type="http://schemas.openxmlformats.org/officeDocument/2006/relationships/hyperlink" Target="https://africanmarketingconfederation.org/smoke-archive/page-55" TargetMode="External" Id="rId862"/><Relationship Type="http://schemas.openxmlformats.org/officeDocument/2006/relationships/hyperlink" Target="#FixPlan!A9" TargetMode="External" Id="rId863"/><Relationship Type="http://schemas.openxmlformats.org/officeDocument/2006/relationships/hyperlink" Target="#'Technical Diagnostics'!A1" TargetMode="External" Id="rId864"/><Relationship Type="http://schemas.openxmlformats.org/officeDocument/2006/relationships/hyperlink" Target="https://africanmarketingconfederation.org/smoke-archive/page-55" TargetMode="External" Id="rId865"/><Relationship Type="http://schemas.openxmlformats.org/officeDocument/2006/relationships/hyperlink" Target="#FixPlan!A7" TargetMode="External" Id="rId866"/><Relationship Type="http://schemas.openxmlformats.org/officeDocument/2006/relationships/hyperlink" Target="#'Technical Diagnostics'!A1" TargetMode="External" Id="rId867"/><Relationship Type="http://schemas.openxmlformats.org/officeDocument/2006/relationships/hyperlink" Target="https://africanmarketingconfederation.org/smoke-archive/page-55" TargetMode="External" Id="rId868"/><Relationship Type="http://schemas.openxmlformats.org/officeDocument/2006/relationships/hyperlink" Target="#FixPlan!A4" TargetMode="External" Id="rId869"/><Relationship Type="http://schemas.openxmlformats.org/officeDocument/2006/relationships/hyperlink" Target="#'Technical Diagnostics'!A1" TargetMode="External" Id="rId870"/><Relationship Type="http://schemas.openxmlformats.org/officeDocument/2006/relationships/hyperlink" Target="https://africanmarketingconfederation.org/smoke-archive/page-55" TargetMode="External" Id="rId871"/><Relationship Type="http://schemas.openxmlformats.org/officeDocument/2006/relationships/hyperlink" Target="#FixPlan!A5" TargetMode="External" Id="rId872"/><Relationship Type="http://schemas.openxmlformats.org/officeDocument/2006/relationships/hyperlink" Target="#'Technical Diagnostics'!A1" TargetMode="External" Id="rId873"/><Relationship Type="http://schemas.openxmlformats.org/officeDocument/2006/relationships/hyperlink" Target="https://africanmarketingconfederation.org/smoke-archive/page-55" TargetMode="External" Id="rId874"/><Relationship Type="http://schemas.openxmlformats.org/officeDocument/2006/relationships/hyperlink" Target="#FixPlan!A6" TargetMode="External" Id="rId875"/><Relationship Type="http://schemas.openxmlformats.org/officeDocument/2006/relationships/hyperlink" Target="#'Technical Diagnostics'!A1" TargetMode="External" Id="rId876"/><Relationship Type="http://schemas.openxmlformats.org/officeDocument/2006/relationships/hyperlink" Target="https://africanmarketingconfederation.org/smoke-archive/page-56" TargetMode="External" Id="rId877"/><Relationship Type="http://schemas.openxmlformats.org/officeDocument/2006/relationships/hyperlink" Target="#FixPlan!A13" TargetMode="External" Id="rId878"/><Relationship Type="http://schemas.openxmlformats.org/officeDocument/2006/relationships/hyperlink" Target="#'Technical Diagnostics'!A1" TargetMode="External" Id="rId879"/><Relationship Type="http://schemas.openxmlformats.org/officeDocument/2006/relationships/hyperlink" Target="https://africanmarketingconfederation.org/smoke-archive/page-56" TargetMode="External" Id="rId880"/><Relationship Type="http://schemas.openxmlformats.org/officeDocument/2006/relationships/hyperlink" Target="#FixPlan!A17" TargetMode="External" Id="rId881"/><Relationship Type="http://schemas.openxmlformats.org/officeDocument/2006/relationships/hyperlink" Target="#'Technical Diagnostics'!A1" TargetMode="External" Id="rId882"/><Relationship Type="http://schemas.openxmlformats.org/officeDocument/2006/relationships/hyperlink" Target="https://africanmarketingconfederation.org/smoke-archive/page-56" TargetMode="External" Id="rId883"/><Relationship Type="http://schemas.openxmlformats.org/officeDocument/2006/relationships/hyperlink" Target="#FixPlan!A12" TargetMode="External" Id="rId884"/><Relationship Type="http://schemas.openxmlformats.org/officeDocument/2006/relationships/hyperlink" Target="#'Technical Diagnostics'!A1" TargetMode="External" Id="rId885"/><Relationship Type="http://schemas.openxmlformats.org/officeDocument/2006/relationships/hyperlink" Target="https://africanmarketingconfederation.org/smoke-archive/page-56" TargetMode="External" Id="rId886"/><Relationship Type="http://schemas.openxmlformats.org/officeDocument/2006/relationships/hyperlink" Target="#FixPlan!A4" TargetMode="External" Id="rId887"/><Relationship Type="http://schemas.openxmlformats.org/officeDocument/2006/relationships/hyperlink" Target="#'Technical Diagnostics'!A1" TargetMode="External" Id="rId888"/><Relationship Type="http://schemas.openxmlformats.org/officeDocument/2006/relationships/hyperlink" Target="https://africanmarketingconfederation.org/smoke-archive/page-56" TargetMode="External" Id="rId889"/><Relationship Type="http://schemas.openxmlformats.org/officeDocument/2006/relationships/hyperlink" Target="#FixPlan!A5" TargetMode="External" Id="rId890"/><Relationship Type="http://schemas.openxmlformats.org/officeDocument/2006/relationships/hyperlink" Target="#'Technical Diagnostics'!A1" TargetMode="External" Id="rId891"/><Relationship Type="http://schemas.openxmlformats.org/officeDocument/2006/relationships/hyperlink" Target="https://africanmarketingconfederation.org/smoke-archive/page-56" TargetMode="External" Id="rId892"/><Relationship Type="http://schemas.openxmlformats.org/officeDocument/2006/relationships/hyperlink" Target="#FixPlan!A6" TargetMode="External" Id="rId893"/><Relationship Type="http://schemas.openxmlformats.org/officeDocument/2006/relationships/hyperlink" Target="#'Technical Diagnostics'!A1" TargetMode="External" Id="rId894"/><Relationship Type="http://schemas.openxmlformats.org/officeDocument/2006/relationships/hyperlink" Target="https://africanmarketingconfederation.org/smoke-archive/page-57" TargetMode="External" Id="rId895"/><Relationship Type="http://schemas.openxmlformats.org/officeDocument/2006/relationships/hyperlink" Target="#FixPlan!A7" TargetMode="External" Id="rId896"/><Relationship Type="http://schemas.openxmlformats.org/officeDocument/2006/relationships/hyperlink" Target="#'Technical Diagnostics'!A1" TargetMode="External" Id="rId897"/><Relationship Type="http://schemas.openxmlformats.org/officeDocument/2006/relationships/hyperlink" Target="https://africanmarketingconfederation.org/smoke-archive/page-57" TargetMode="External" Id="rId898"/><Relationship Type="http://schemas.openxmlformats.org/officeDocument/2006/relationships/hyperlink" Target="#FixPlan!A4" TargetMode="External" Id="rId899"/><Relationship Type="http://schemas.openxmlformats.org/officeDocument/2006/relationships/hyperlink" Target="#'Technical Diagnostics'!A1" TargetMode="External" Id="rId900"/><Relationship Type="http://schemas.openxmlformats.org/officeDocument/2006/relationships/hyperlink" Target="https://africanmarketingconfederation.org/smoke-archive/page-57" TargetMode="External" Id="rId901"/><Relationship Type="http://schemas.openxmlformats.org/officeDocument/2006/relationships/hyperlink" Target="#FixPlan!A5" TargetMode="External" Id="rId902"/><Relationship Type="http://schemas.openxmlformats.org/officeDocument/2006/relationships/hyperlink" Target="#'Technical Diagnostics'!A1" TargetMode="External" Id="rId903"/><Relationship Type="http://schemas.openxmlformats.org/officeDocument/2006/relationships/hyperlink" Target="https://africanmarketingconfederation.org/smoke-archive/page-57" TargetMode="External" Id="rId904"/><Relationship Type="http://schemas.openxmlformats.org/officeDocument/2006/relationships/hyperlink" Target="#FixPlan!A6" TargetMode="External" Id="rId905"/><Relationship Type="http://schemas.openxmlformats.org/officeDocument/2006/relationships/hyperlink" Target="#'Technical Diagnostics'!A1" TargetMode="External" Id="rId906"/><Relationship Type="http://schemas.openxmlformats.org/officeDocument/2006/relationships/hyperlink" Target="https://africanmarketingconfederation.org/smoke-archive/page-58" TargetMode="External" Id="rId907"/><Relationship Type="http://schemas.openxmlformats.org/officeDocument/2006/relationships/hyperlink" Target="#FixPlan!A7" TargetMode="External" Id="rId908"/><Relationship Type="http://schemas.openxmlformats.org/officeDocument/2006/relationships/hyperlink" Target="#'Technical Diagnostics'!A1" TargetMode="External" Id="rId909"/><Relationship Type="http://schemas.openxmlformats.org/officeDocument/2006/relationships/hyperlink" Target="https://africanmarketingconfederation.org/smoke-archive/page-58" TargetMode="External" Id="rId910"/><Relationship Type="http://schemas.openxmlformats.org/officeDocument/2006/relationships/hyperlink" Target="#FixPlan!A4" TargetMode="External" Id="rId911"/><Relationship Type="http://schemas.openxmlformats.org/officeDocument/2006/relationships/hyperlink" Target="#'Technical Diagnostics'!A1" TargetMode="External" Id="rId912"/><Relationship Type="http://schemas.openxmlformats.org/officeDocument/2006/relationships/hyperlink" Target="https://africanmarketingconfederation.org/smoke-archive/page-58" TargetMode="External" Id="rId913"/><Relationship Type="http://schemas.openxmlformats.org/officeDocument/2006/relationships/hyperlink" Target="#FixPlan!A5" TargetMode="External" Id="rId914"/><Relationship Type="http://schemas.openxmlformats.org/officeDocument/2006/relationships/hyperlink" Target="#'Technical Diagnostics'!A1" TargetMode="External" Id="rId915"/><Relationship Type="http://schemas.openxmlformats.org/officeDocument/2006/relationships/hyperlink" Target="https://africanmarketingconfederation.org/smoke-archive/page-58" TargetMode="External" Id="rId916"/><Relationship Type="http://schemas.openxmlformats.org/officeDocument/2006/relationships/hyperlink" Target="#FixPlan!A6" TargetMode="External" Id="rId917"/><Relationship Type="http://schemas.openxmlformats.org/officeDocument/2006/relationships/hyperlink" Target="#'Technical Diagnostics'!A1" TargetMode="External" Id="rId918"/><Relationship Type="http://schemas.openxmlformats.org/officeDocument/2006/relationships/hyperlink" Target="https://africanmarketingconfederation.org/smoke-archive/page-59" TargetMode="External" Id="rId919"/><Relationship Type="http://schemas.openxmlformats.org/officeDocument/2006/relationships/hyperlink" Target="#FixPlan!A7" TargetMode="External" Id="rId920"/><Relationship Type="http://schemas.openxmlformats.org/officeDocument/2006/relationships/hyperlink" Target="#'Technical Diagnostics'!A1" TargetMode="External" Id="rId921"/><Relationship Type="http://schemas.openxmlformats.org/officeDocument/2006/relationships/hyperlink" Target="https://africanmarketingconfederation.org/smoke-archive/page-59" TargetMode="External" Id="rId922"/><Relationship Type="http://schemas.openxmlformats.org/officeDocument/2006/relationships/hyperlink" Target="#FixPlan!A4" TargetMode="External" Id="rId923"/><Relationship Type="http://schemas.openxmlformats.org/officeDocument/2006/relationships/hyperlink" Target="#'Technical Diagnostics'!A1" TargetMode="External" Id="rId924"/><Relationship Type="http://schemas.openxmlformats.org/officeDocument/2006/relationships/hyperlink" Target="https://africanmarketingconfederation.org/smoke-archive/page-59" TargetMode="External" Id="rId925"/><Relationship Type="http://schemas.openxmlformats.org/officeDocument/2006/relationships/hyperlink" Target="#FixPlan!A5" TargetMode="External" Id="rId926"/><Relationship Type="http://schemas.openxmlformats.org/officeDocument/2006/relationships/hyperlink" Target="#'Technical Diagnostics'!A1" TargetMode="External" Id="rId927"/><Relationship Type="http://schemas.openxmlformats.org/officeDocument/2006/relationships/hyperlink" Target="https://africanmarketingconfederation.org/smoke-archive/page-59" TargetMode="External" Id="rId928"/><Relationship Type="http://schemas.openxmlformats.org/officeDocument/2006/relationships/hyperlink" Target="#FixPlan!A6" TargetMode="External" Id="rId929"/><Relationship Type="http://schemas.openxmlformats.org/officeDocument/2006/relationships/hyperlink" Target="#'Technical Diagnostics'!A1" TargetMode="External" Id="rId930"/><Relationship Type="http://schemas.openxmlformats.org/officeDocument/2006/relationships/hyperlink" Target="https://africanmarketingconfederation.org/smoke-archive/page-60" TargetMode="External" Id="rId931"/><Relationship Type="http://schemas.openxmlformats.org/officeDocument/2006/relationships/hyperlink" Target="#FixPlan!A19" TargetMode="External" Id="rId932"/><Relationship Type="http://schemas.openxmlformats.org/officeDocument/2006/relationships/hyperlink" Target="#'Technical Diagnostics'!A1" TargetMode="External" Id="rId933"/><Relationship Type="http://schemas.openxmlformats.org/officeDocument/2006/relationships/hyperlink" Target="https://africanmarketingconfederation.org/smoke-archive/page-60" TargetMode="External" Id="rId934"/><Relationship Type="http://schemas.openxmlformats.org/officeDocument/2006/relationships/hyperlink" Target="#FixPlan!A8" TargetMode="External" Id="rId935"/><Relationship Type="http://schemas.openxmlformats.org/officeDocument/2006/relationships/hyperlink" Target="#'Technical Diagnostics'!A1" TargetMode="External" Id="rId936"/><Relationship Type="http://schemas.openxmlformats.org/officeDocument/2006/relationships/hyperlink" Target="https://africanmarketingconfederation.org/smoke-archive/page-60" TargetMode="External" Id="rId937"/><Relationship Type="http://schemas.openxmlformats.org/officeDocument/2006/relationships/hyperlink" Target="#FixPlan!A10" TargetMode="External" Id="rId938"/><Relationship Type="http://schemas.openxmlformats.org/officeDocument/2006/relationships/hyperlink" Target="#'Technical Diagnostics'!A1" TargetMode="External" Id="rId939"/><Relationship Type="http://schemas.openxmlformats.org/officeDocument/2006/relationships/hyperlink" Target="https://africanmarketingconfederation.org/smoke-archive/page-60" TargetMode="External" Id="rId940"/><Relationship Type="http://schemas.openxmlformats.org/officeDocument/2006/relationships/hyperlink" Target="#FixPlan!A9" TargetMode="External" Id="rId941"/><Relationship Type="http://schemas.openxmlformats.org/officeDocument/2006/relationships/hyperlink" Target="#'Technical Diagnostics'!A1" TargetMode="External" Id="rId942"/><Relationship Type="http://schemas.openxmlformats.org/officeDocument/2006/relationships/hyperlink" Target="https://africanmarketingconfederation.org/smoke-archive/page-60" TargetMode="External" Id="rId943"/><Relationship Type="http://schemas.openxmlformats.org/officeDocument/2006/relationships/hyperlink" Target="#FixPlan!A4" TargetMode="External" Id="rId944"/><Relationship Type="http://schemas.openxmlformats.org/officeDocument/2006/relationships/hyperlink" Target="#'Technical Diagnostics'!A1" TargetMode="External" Id="rId945"/><Relationship Type="http://schemas.openxmlformats.org/officeDocument/2006/relationships/hyperlink" Target="https://africanmarketingconfederation.org/smoke-archive/page-60" TargetMode="External" Id="rId946"/><Relationship Type="http://schemas.openxmlformats.org/officeDocument/2006/relationships/hyperlink" Target="#FixPlan!A5" TargetMode="External" Id="rId947"/><Relationship Type="http://schemas.openxmlformats.org/officeDocument/2006/relationships/hyperlink" Target="#'Technical Diagnostics'!A1" TargetMode="External" Id="rId948"/><Relationship Type="http://schemas.openxmlformats.org/officeDocument/2006/relationships/hyperlink" Target="https://africanmarketingconfederation.org/smoke-archive/page-60" TargetMode="External" Id="rId949"/><Relationship Type="http://schemas.openxmlformats.org/officeDocument/2006/relationships/hyperlink" Target="#FixPlan!A6" TargetMode="External" Id="rId950"/><Relationship Type="http://schemas.openxmlformats.org/officeDocument/2006/relationships/hyperlink" Target="#'Technical Diagnostics'!A1" TargetMode="External" Id="rId951"/><Relationship Type="http://schemas.openxmlformats.org/officeDocument/2006/relationships/hyperlink" Target="https://africanmarketingconfederation.org/smoke-archive/page-61" TargetMode="External" Id="rId952"/><Relationship Type="http://schemas.openxmlformats.org/officeDocument/2006/relationships/hyperlink" Target="#FixPlan!A7" TargetMode="External" Id="rId953"/><Relationship Type="http://schemas.openxmlformats.org/officeDocument/2006/relationships/hyperlink" Target="#'Technical Diagnostics'!A1" TargetMode="External" Id="rId954"/><Relationship Type="http://schemas.openxmlformats.org/officeDocument/2006/relationships/hyperlink" Target="https://africanmarketingconfederation.org/smoke-archive/page-61" TargetMode="External" Id="rId955"/><Relationship Type="http://schemas.openxmlformats.org/officeDocument/2006/relationships/hyperlink" Target="#FixPlan!A4" TargetMode="External" Id="rId956"/><Relationship Type="http://schemas.openxmlformats.org/officeDocument/2006/relationships/hyperlink" Target="#'Technical Diagnostics'!A1" TargetMode="External" Id="rId957"/><Relationship Type="http://schemas.openxmlformats.org/officeDocument/2006/relationships/hyperlink" Target="https://africanmarketingconfederation.org/smoke-archive/page-61" TargetMode="External" Id="rId958"/><Relationship Type="http://schemas.openxmlformats.org/officeDocument/2006/relationships/hyperlink" Target="#FixPlan!A5" TargetMode="External" Id="rId959"/><Relationship Type="http://schemas.openxmlformats.org/officeDocument/2006/relationships/hyperlink" Target="#'Technical Diagnostics'!A1" TargetMode="External" Id="rId960"/><Relationship Type="http://schemas.openxmlformats.org/officeDocument/2006/relationships/hyperlink" Target="https://africanmarketingconfederation.org/smoke-archive/page-61" TargetMode="External" Id="rId961"/><Relationship Type="http://schemas.openxmlformats.org/officeDocument/2006/relationships/hyperlink" Target="#FixPlan!A6" TargetMode="External" Id="rId962"/><Relationship Type="http://schemas.openxmlformats.org/officeDocument/2006/relationships/hyperlink" Target="#'Technical Diagnostics'!A1" TargetMode="External" Id="rId963"/><Relationship Type="http://schemas.openxmlformats.org/officeDocument/2006/relationships/hyperlink" Target="https://africanmarketingconfederation.org/smoke-archive/page-62" TargetMode="External" Id="rId964"/><Relationship Type="http://schemas.openxmlformats.org/officeDocument/2006/relationships/hyperlink" Target="#FixPlan!A7" TargetMode="External" Id="rId965"/><Relationship Type="http://schemas.openxmlformats.org/officeDocument/2006/relationships/hyperlink" Target="#'Technical Diagnostics'!A1" TargetMode="External" Id="rId966"/><Relationship Type="http://schemas.openxmlformats.org/officeDocument/2006/relationships/hyperlink" Target="https://africanmarketingconfederation.org/smoke-archive/page-62" TargetMode="External" Id="rId967"/><Relationship Type="http://schemas.openxmlformats.org/officeDocument/2006/relationships/hyperlink" Target="#FixPlan!A4" TargetMode="External" Id="rId968"/><Relationship Type="http://schemas.openxmlformats.org/officeDocument/2006/relationships/hyperlink" Target="#'Technical Diagnostics'!A1" TargetMode="External" Id="rId969"/><Relationship Type="http://schemas.openxmlformats.org/officeDocument/2006/relationships/hyperlink" Target="https://africanmarketingconfederation.org/smoke-archive/page-62" TargetMode="External" Id="rId970"/><Relationship Type="http://schemas.openxmlformats.org/officeDocument/2006/relationships/hyperlink" Target="#FixPlan!A5" TargetMode="External" Id="rId971"/><Relationship Type="http://schemas.openxmlformats.org/officeDocument/2006/relationships/hyperlink" Target="#'Technical Diagnostics'!A1" TargetMode="External" Id="rId972"/><Relationship Type="http://schemas.openxmlformats.org/officeDocument/2006/relationships/hyperlink" Target="https://africanmarketingconfederation.org/smoke-archive/page-62" TargetMode="External" Id="rId973"/><Relationship Type="http://schemas.openxmlformats.org/officeDocument/2006/relationships/hyperlink" Target="#FixPlan!A6" TargetMode="External" Id="rId974"/><Relationship Type="http://schemas.openxmlformats.org/officeDocument/2006/relationships/hyperlink" Target="#'Technical Diagnostics'!A1" TargetMode="External" Id="rId975"/><Relationship Type="http://schemas.openxmlformats.org/officeDocument/2006/relationships/hyperlink" Target="https://africanmarketingconfederation.org/smoke-archive/page-63" TargetMode="External" Id="rId976"/><Relationship Type="http://schemas.openxmlformats.org/officeDocument/2006/relationships/hyperlink" Target="#FixPlan!A13" TargetMode="External" Id="rId977"/><Relationship Type="http://schemas.openxmlformats.org/officeDocument/2006/relationships/hyperlink" Target="#'Technical Diagnostics'!A1" TargetMode="External" Id="rId978"/><Relationship Type="http://schemas.openxmlformats.org/officeDocument/2006/relationships/hyperlink" Target="https://africanmarketingconfederation.org/smoke-archive/page-63" TargetMode="External" Id="rId979"/><Relationship Type="http://schemas.openxmlformats.org/officeDocument/2006/relationships/hyperlink" Target="#FixPlan!A7" TargetMode="External" Id="rId980"/><Relationship Type="http://schemas.openxmlformats.org/officeDocument/2006/relationships/hyperlink" Target="#'Technical Diagnostics'!A1" TargetMode="External" Id="rId981"/><Relationship Type="http://schemas.openxmlformats.org/officeDocument/2006/relationships/hyperlink" Target="https://africanmarketingconfederation.org/smoke-archive/page-63" TargetMode="External" Id="rId982"/><Relationship Type="http://schemas.openxmlformats.org/officeDocument/2006/relationships/hyperlink" Target="#FixPlan!A18" TargetMode="External" Id="rId983"/><Relationship Type="http://schemas.openxmlformats.org/officeDocument/2006/relationships/hyperlink" Target="#'Content &amp; AI Readiness'!A1" TargetMode="External" Id="rId984"/><Relationship Type="http://schemas.openxmlformats.org/officeDocument/2006/relationships/hyperlink" Target="https://africanmarketingconfederation.org/smoke-archive/page-63" TargetMode="External" Id="rId985"/><Relationship Type="http://schemas.openxmlformats.org/officeDocument/2006/relationships/hyperlink" Target="#FixPlan!A12" TargetMode="External" Id="rId986"/><Relationship Type="http://schemas.openxmlformats.org/officeDocument/2006/relationships/hyperlink" Target="#'Technical Diagnostics'!A1" TargetMode="External" Id="rId987"/><Relationship Type="http://schemas.openxmlformats.org/officeDocument/2006/relationships/hyperlink" Target="https://africanmarketingconfederation.org/smoke-archive/page-63" TargetMode="External" Id="rId988"/><Relationship Type="http://schemas.openxmlformats.org/officeDocument/2006/relationships/hyperlink" Target="#FixPlan!A14" TargetMode="External" Id="rId989"/><Relationship Type="http://schemas.openxmlformats.org/officeDocument/2006/relationships/hyperlink" Target="#'Content &amp; AI Readiness'!A1" TargetMode="External" Id="rId990"/><Relationship Type="http://schemas.openxmlformats.org/officeDocument/2006/relationships/hyperlink" Target="https://africanmarketingconfederation.org/smoke-archive/page-63" TargetMode="External" Id="rId991"/><Relationship Type="http://schemas.openxmlformats.org/officeDocument/2006/relationships/hyperlink" Target="#FixPlan!A15" TargetMode="External" Id="rId992"/><Relationship Type="http://schemas.openxmlformats.org/officeDocument/2006/relationships/hyperlink" Target="#'Technical Diagnostics'!A1" TargetMode="External" Id="rId993"/><Relationship Type="http://schemas.openxmlformats.org/officeDocument/2006/relationships/hyperlink" Target="https://africanmarketingconfederation.org/smoke-archive/page-63" TargetMode="External" Id="rId994"/><Relationship Type="http://schemas.openxmlformats.org/officeDocument/2006/relationships/hyperlink" Target="#FixPlan!A16" TargetMode="External" Id="rId995"/><Relationship Type="http://schemas.openxmlformats.org/officeDocument/2006/relationships/hyperlink" Target="#'Technical Diagnostics'!A1" TargetMode="External" Id="rId996"/><Relationship Type="http://schemas.openxmlformats.org/officeDocument/2006/relationships/hyperlink" Target="https://africanmarketingconfederation.org/smoke-archive/page-63" TargetMode="External" Id="rId997"/><Relationship Type="http://schemas.openxmlformats.org/officeDocument/2006/relationships/hyperlink" Target="#FixPlan!A4" TargetMode="External" Id="rId998"/><Relationship Type="http://schemas.openxmlformats.org/officeDocument/2006/relationships/hyperlink" Target="#'Technical Diagnostics'!A1" TargetMode="External" Id="rId999"/><Relationship Type="http://schemas.openxmlformats.org/officeDocument/2006/relationships/hyperlink" Target="https://africanmarketingconfederation.org/smoke-archive/page-63" TargetMode="External" Id="rId1000"/><Relationship Type="http://schemas.openxmlformats.org/officeDocument/2006/relationships/hyperlink" Target="#FixPlan!A5" TargetMode="External" Id="rId1001"/><Relationship Type="http://schemas.openxmlformats.org/officeDocument/2006/relationships/hyperlink" Target="#'Technical Diagnostics'!A1" TargetMode="External" Id="rId1002"/><Relationship Type="http://schemas.openxmlformats.org/officeDocument/2006/relationships/hyperlink" Target="https://africanmarketingconfederation.org/smoke-archive/page-63" TargetMode="External" Id="rId1003"/><Relationship Type="http://schemas.openxmlformats.org/officeDocument/2006/relationships/hyperlink" Target="#FixPlan!A6" TargetMode="External" Id="rId1004"/><Relationship Type="http://schemas.openxmlformats.org/officeDocument/2006/relationships/hyperlink" Target="#'Technical Diagnostics'!A1" TargetMode="External" Id="rId1005"/><Relationship Type="http://schemas.openxmlformats.org/officeDocument/2006/relationships/hyperlink" Target="https://africanmarketingconfederation.org/smoke-archive/page-64" TargetMode="External" Id="rId1006"/><Relationship Type="http://schemas.openxmlformats.org/officeDocument/2006/relationships/hyperlink" Target="#FixPlan!A17" TargetMode="External" Id="rId1007"/><Relationship Type="http://schemas.openxmlformats.org/officeDocument/2006/relationships/hyperlink" Target="#'Technical Diagnostics'!A1" TargetMode="External" Id="rId1008"/><Relationship Type="http://schemas.openxmlformats.org/officeDocument/2006/relationships/hyperlink" Target="https://africanmarketingconfederation.org/smoke-archive/page-64" TargetMode="External" Id="rId1009"/><Relationship Type="http://schemas.openxmlformats.org/officeDocument/2006/relationships/hyperlink" Target="#FixPlan!A4" TargetMode="External" Id="rId1010"/><Relationship Type="http://schemas.openxmlformats.org/officeDocument/2006/relationships/hyperlink" Target="#'Technical Diagnostics'!A1" TargetMode="External" Id="rId1011"/><Relationship Type="http://schemas.openxmlformats.org/officeDocument/2006/relationships/hyperlink" Target="https://africanmarketingconfederation.org/smoke-archive/page-64" TargetMode="External" Id="rId1012"/><Relationship Type="http://schemas.openxmlformats.org/officeDocument/2006/relationships/hyperlink" Target="#FixPlan!A5" TargetMode="External" Id="rId1013"/><Relationship Type="http://schemas.openxmlformats.org/officeDocument/2006/relationships/hyperlink" Target="#'Technical Diagnostics'!A1" TargetMode="External" Id="rId1014"/><Relationship Type="http://schemas.openxmlformats.org/officeDocument/2006/relationships/hyperlink" Target="https://africanmarketingconfederation.org/smoke-archive/page-64" TargetMode="External" Id="rId1015"/><Relationship Type="http://schemas.openxmlformats.org/officeDocument/2006/relationships/hyperlink" Target="#FixPlan!A6" TargetMode="External" Id="rId1016"/><Relationship Type="http://schemas.openxmlformats.org/officeDocument/2006/relationships/hyperlink" Target="#'Technical Diagnostics'!A1" TargetMode="External" Id="rId1017"/><Relationship Type="http://schemas.openxmlformats.org/officeDocument/2006/relationships/hyperlink" Target="https://africanmarketingconfederation.org/smoke-archive/page-65" TargetMode="External" Id="rId1018"/><Relationship Type="http://schemas.openxmlformats.org/officeDocument/2006/relationships/hyperlink" Target="#FixPlan!A11" TargetMode="External" Id="rId1019"/><Relationship Type="http://schemas.openxmlformats.org/officeDocument/2006/relationships/hyperlink" Target="#'Technical Diagnostics'!A1" TargetMode="External" Id="rId1020"/><Relationship Type="http://schemas.openxmlformats.org/officeDocument/2006/relationships/hyperlink" Target="https://africanmarketingconfederation.org/smoke-archive/page-66" TargetMode="External" Id="rId1021"/><Relationship Type="http://schemas.openxmlformats.org/officeDocument/2006/relationships/hyperlink" Target="#FixPlan!A10" TargetMode="External" Id="rId1022"/><Relationship Type="http://schemas.openxmlformats.org/officeDocument/2006/relationships/hyperlink" Target="#'Technical Diagnostics'!A1" TargetMode="External" Id="rId1023"/><Relationship Type="http://schemas.openxmlformats.org/officeDocument/2006/relationships/hyperlink" Target="https://africanmarketingconfederation.org/smoke-archive/page-66" TargetMode="External" Id="rId1024"/><Relationship Type="http://schemas.openxmlformats.org/officeDocument/2006/relationships/hyperlink" Target="#FixPlan!A7" TargetMode="External" Id="rId1025"/><Relationship Type="http://schemas.openxmlformats.org/officeDocument/2006/relationships/hyperlink" Target="#'Technical Diagnostics'!A1" TargetMode="External" Id="rId1026"/><Relationship Type="http://schemas.openxmlformats.org/officeDocument/2006/relationships/hyperlink" Target="https://africanmarketingconfederation.org/smoke-archive/page-66" TargetMode="External" Id="rId1027"/><Relationship Type="http://schemas.openxmlformats.org/officeDocument/2006/relationships/hyperlink" Target="#FixPlan!A4" TargetMode="External" Id="rId1028"/><Relationship Type="http://schemas.openxmlformats.org/officeDocument/2006/relationships/hyperlink" Target="#'Technical Diagnostics'!A1" TargetMode="External" Id="rId1029"/><Relationship Type="http://schemas.openxmlformats.org/officeDocument/2006/relationships/hyperlink" Target="https://africanmarketingconfederation.org/smoke-archive/page-66" TargetMode="External" Id="rId1030"/><Relationship Type="http://schemas.openxmlformats.org/officeDocument/2006/relationships/hyperlink" Target="#FixPlan!A5" TargetMode="External" Id="rId1031"/><Relationship Type="http://schemas.openxmlformats.org/officeDocument/2006/relationships/hyperlink" Target="#'Technical Diagnostics'!A1" TargetMode="External" Id="rId1032"/><Relationship Type="http://schemas.openxmlformats.org/officeDocument/2006/relationships/hyperlink" Target="https://africanmarketingconfederation.org/smoke-archive/page-66" TargetMode="External" Id="rId1033"/><Relationship Type="http://schemas.openxmlformats.org/officeDocument/2006/relationships/hyperlink" Target="#FixPlan!A6" TargetMode="External" Id="rId1034"/><Relationship Type="http://schemas.openxmlformats.org/officeDocument/2006/relationships/hyperlink" Target="#'Technical Diagnostics'!A1" TargetMode="External" Id="rId1035"/><Relationship Type="http://schemas.openxmlformats.org/officeDocument/2006/relationships/hyperlink" Target="https://africanmarketingconfederation.org/smoke-archive/page-67" TargetMode="External" Id="rId1036"/><Relationship Type="http://schemas.openxmlformats.org/officeDocument/2006/relationships/hyperlink" Target="#FixPlan!A7" TargetMode="External" Id="rId1037"/><Relationship Type="http://schemas.openxmlformats.org/officeDocument/2006/relationships/hyperlink" Target="#'Technical Diagnostics'!A1" TargetMode="External" Id="rId1038"/><Relationship Type="http://schemas.openxmlformats.org/officeDocument/2006/relationships/hyperlink" Target="https://africanmarketingconfederation.org/smoke-archive/page-67" TargetMode="External" Id="rId1039"/><Relationship Type="http://schemas.openxmlformats.org/officeDocument/2006/relationships/hyperlink" Target="#FixPlan!A4" TargetMode="External" Id="rId1040"/><Relationship Type="http://schemas.openxmlformats.org/officeDocument/2006/relationships/hyperlink" Target="#'Technical Diagnostics'!A1" TargetMode="External" Id="rId1041"/><Relationship Type="http://schemas.openxmlformats.org/officeDocument/2006/relationships/hyperlink" Target="https://africanmarketingconfederation.org/smoke-archive/page-67" TargetMode="External" Id="rId1042"/><Relationship Type="http://schemas.openxmlformats.org/officeDocument/2006/relationships/hyperlink" Target="#FixPlan!A5" TargetMode="External" Id="rId1043"/><Relationship Type="http://schemas.openxmlformats.org/officeDocument/2006/relationships/hyperlink" Target="#'Technical Diagnostics'!A1" TargetMode="External" Id="rId1044"/><Relationship Type="http://schemas.openxmlformats.org/officeDocument/2006/relationships/hyperlink" Target="https://africanmarketingconfederation.org/smoke-archive/page-67" TargetMode="External" Id="rId1045"/><Relationship Type="http://schemas.openxmlformats.org/officeDocument/2006/relationships/hyperlink" Target="#FixPlan!A6" TargetMode="External" Id="rId1046"/><Relationship Type="http://schemas.openxmlformats.org/officeDocument/2006/relationships/hyperlink" Target="#'Technical Diagnostics'!A1" TargetMode="External" Id="rId1047"/><Relationship Type="http://schemas.openxmlformats.org/officeDocument/2006/relationships/hyperlink" Target="https://africanmarketingconfederation.org/smoke-archive/page-68" TargetMode="External" Id="rId1048"/><Relationship Type="http://schemas.openxmlformats.org/officeDocument/2006/relationships/hyperlink" Target="#FixPlan!A11" TargetMode="External" Id="rId1049"/><Relationship Type="http://schemas.openxmlformats.org/officeDocument/2006/relationships/hyperlink" Target="#'Technical Diagnostics'!A1" TargetMode="External" Id="rId1050"/><Relationship Type="http://schemas.openxmlformats.org/officeDocument/2006/relationships/hyperlink" Target="https://africanmarketingconfederation.org/smoke-archive/page-69" TargetMode="External" Id="rId1051"/><Relationship Type="http://schemas.openxmlformats.org/officeDocument/2006/relationships/hyperlink" Target="#FixPlan!A7" TargetMode="External" Id="rId1052"/><Relationship Type="http://schemas.openxmlformats.org/officeDocument/2006/relationships/hyperlink" Target="#'Technical Diagnostics'!A1" TargetMode="External" Id="rId1053"/><Relationship Type="http://schemas.openxmlformats.org/officeDocument/2006/relationships/hyperlink" Target="https://africanmarketingconfederation.org/smoke-archive/page-69" TargetMode="External" Id="rId1054"/><Relationship Type="http://schemas.openxmlformats.org/officeDocument/2006/relationships/hyperlink" Target="#FixPlan!A4" TargetMode="External" Id="rId1055"/><Relationship Type="http://schemas.openxmlformats.org/officeDocument/2006/relationships/hyperlink" Target="#'Technical Diagnostics'!A1" TargetMode="External" Id="rId1056"/><Relationship Type="http://schemas.openxmlformats.org/officeDocument/2006/relationships/hyperlink" Target="https://africanmarketingconfederation.org/smoke-archive/page-69" TargetMode="External" Id="rId1057"/><Relationship Type="http://schemas.openxmlformats.org/officeDocument/2006/relationships/hyperlink" Target="#FixPlan!A5" TargetMode="External" Id="rId1058"/><Relationship Type="http://schemas.openxmlformats.org/officeDocument/2006/relationships/hyperlink" Target="#'Technical Diagnostics'!A1" TargetMode="External" Id="rId1059"/><Relationship Type="http://schemas.openxmlformats.org/officeDocument/2006/relationships/hyperlink" Target="https://africanmarketingconfederation.org/smoke-archive/page-69" TargetMode="External" Id="rId1060"/><Relationship Type="http://schemas.openxmlformats.org/officeDocument/2006/relationships/hyperlink" Target="#FixPlan!A6" TargetMode="External" Id="rId1061"/><Relationship Type="http://schemas.openxmlformats.org/officeDocument/2006/relationships/hyperlink" Target="#'Technical Diagnostics'!A1" TargetMode="External" Id="rId1062"/><Relationship Type="http://schemas.openxmlformats.org/officeDocument/2006/relationships/hyperlink" Target="https://africanmarketingconfederation.org/smoke-archive/page-70" TargetMode="External" Id="rId1063"/><Relationship Type="http://schemas.openxmlformats.org/officeDocument/2006/relationships/hyperlink" Target="#FixPlan!A8" TargetMode="External" Id="rId1064"/><Relationship Type="http://schemas.openxmlformats.org/officeDocument/2006/relationships/hyperlink" Target="#'Technical Diagnostics'!A1" TargetMode="External" Id="rId1065"/><Relationship Type="http://schemas.openxmlformats.org/officeDocument/2006/relationships/hyperlink" Target="https://africanmarketingconfederation.org/smoke-archive/page-70" TargetMode="External" Id="rId1066"/><Relationship Type="http://schemas.openxmlformats.org/officeDocument/2006/relationships/hyperlink" Target="#FixPlan!A13" TargetMode="External" Id="rId1067"/><Relationship Type="http://schemas.openxmlformats.org/officeDocument/2006/relationships/hyperlink" Target="#'Technical Diagnostics'!A1" TargetMode="External" Id="rId1068"/><Relationship Type="http://schemas.openxmlformats.org/officeDocument/2006/relationships/hyperlink" Target="https://africanmarketingconfederation.org/smoke-archive/page-70" TargetMode="External" Id="rId1069"/><Relationship Type="http://schemas.openxmlformats.org/officeDocument/2006/relationships/hyperlink" Target="#FixPlan!A9" TargetMode="External" Id="rId1070"/><Relationship Type="http://schemas.openxmlformats.org/officeDocument/2006/relationships/hyperlink" Target="#'Technical Diagnostics'!A1" TargetMode="External" Id="rId1071"/><Relationship Type="http://schemas.openxmlformats.org/officeDocument/2006/relationships/hyperlink" Target="https://africanmarketingconfederation.org/smoke-archive/page-70" TargetMode="External" Id="rId1072"/><Relationship Type="http://schemas.openxmlformats.org/officeDocument/2006/relationships/hyperlink" Target="#FixPlan!A7" TargetMode="External" Id="rId1073"/><Relationship Type="http://schemas.openxmlformats.org/officeDocument/2006/relationships/hyperlink" Target="#'Technical Diagnostics'!A1" TargetMode="External" Id="rId1074"/><Relationship Type="http://schemas.openxmlformats.org/officeDocument/2006/relationships/hyperlink" Target="https://africanmarketingconfederation.org/smoke-archive/page-70" TargetMode="External" Id="rId1075"/><Relationship Type="http://schemas.openxmlformats.org/officeDocument/2006/relationships/hyperlink" Target="#FixPlan!A12" TargetMode="External" Id="rId1076"/><Relationship Type="http://schemas.openxmlformats.org/officeDocument/2006/relationships/hyperlink" Target="#'Technical Diagnostics'!A1" TargetMode="External" Id="rId1077"/><Relationship Type="http://schemas.openxmlformats.org/officeDocument/2006/relationships/hyperlink" Target="https://africanmarketingconfederation.org/smoke-archive/page-70" TargetMode="External" Id="rId1078"/><Relationship Type="http://schemas.openxmlformats.org/officeDocument/2006/relationships/hyperlink" Target="#FixPlan!A4" TargetMode="External" Id="rId1079"/><Relationship Type="http://schemas.openxmlformats.org/officeDocument/2006/relationships/hyperlink" Target="#'Technical Diagnostics'!A1" TargetMode="External" Id="rId1080"/><Relationship Type="http://schemas.openxmlformats.org/officeDocument/2006/relationships/hyperlink" Target="https://africanmarketingconfederation.org/smoke-archive/page-70" TargetMode="External" Id="rId1081"/><Relationship Type="http://schemas.openxmlformats.org/officeDocument/2006/relationships/hyperlink" Target="#FixPlan!A5" TargetMode="External" Id="rId1082"/><Relationship Type="http://schemas.openxmlformats.org/officeDocument/2006/relationships/hyperlink" Target="#'Technical Diagnostics'!A1" TargetMode="External" Id="rId1083"/><Relationship Type="http://schemas.openxmlformats.org/officeDocument/2006/relationships/hyperlink" Target="https://africanmarketingconfederation.org/smoke-archive/page-70" TargetMode="External" Id="rId1084"/><Relationship Type="http://schemas.openxmlformats.org/officeDocument/2006/relationships/hyperlink" Target="#FixPlan!A6" TargetMode="External" Id="rId1085"/><Relationship Type="http://schemas.openxmlformats.org/officeDocument/2006/relationships/hyperlink" Target="#'Technical Diagnostics'!A1" TargetMode="External" Id="rId1086"/><Relationship Type="http://schemas.openxmlformats.org/officeDocument/2006/relationships/hyperlink" Target="https://africanmarketingconfederation.org/smoke-archive/page-71" TargetMode="External" Id="rId1087"/><Relationship Type="http://schemas.openxmlformats.org/officeDocument/2006/relationships/hyperlink" Target="#FixPlan!A7" TargetMode="External" Id="rId1088"/><Relationship Type="http://schemas.openxmlformats.org/officeDocument/2006/relationships/hyperlink" Target="#'Technical Diagnostics'!A1" TargetMode="External" Id="rId1089"/><Relationship Type="http://schemas.openxmlformats.org/officeDocument/2006/relationships/hyperlink" Target="https://africanmarketingconfederation.org/smoke-archive/page-71" TargetMode="External" Id="rId1090"/><Relationship Type="http://schemas.openxmlformats.org/officeDocument/2006/relationships/hyperlink" Target="#FixPlan!A4" TargetMode="External" Id="rId1091"/><Relationship Type="http://schemas.openxmlformats.org/officeDocument/2006/relationships/hyperlink" Target="#'Technical Diagnostics'!A1" TargetMode="External" Id="rId1092"/><Relationship Type="http://schemas.openxmlformats.org/officeDocument/2006/relationships/hyperlink" Target="https://africanmarketingconfederation.org/smoke-archive/page-71" TargetMode="External" Id="rId1093"/><Relationship Type="http://schemas.openxmlformats.org/officeDocument/2006/relationships/hyperlink" Target="#FixPlan!A5" TargetMode="External" Id="rId1094"/><Relationship Type="http://schemas.openxmlformats.org/officeDocument/2006/relationships/hyperlink" Target="#'Technical Diagnostics'!A1" TargetMode="External" Id="rId1095"/><Relationship Type="http://schemas.openxmlformats.org/officeDocument/2006/relationships/hyperlink" Target="https://africanmarketingconfederation.org/smoke-archive/page-71" TargetMode="External" Id="rId1096"/><Relationship Type="http://schemas.openxmlformats.org/officeDocument/2006/relationships/hyperlink" Target="#FixPlan!A6" TargetMode="External" Id="rId1097"/><Relationship Type="http://schemas.openxmlformats.org/officeDocument/2006/relationships/hyperlink" Target="#'Technical Diagnostics'!A1" TargetMode="External" Id="rId1098"/><Relationship Type="http://schemas.openxmlformats.org/officeDocument/2006/relationships/hyperlink" Target="https://africanmarketingconfederation.org/smoke-archive/page-72" TargetMode="External" Id="rId1099"/><Relationship Type="http://schemas.openxmlformats.org/officeDocument/2006/relationships/hyperlink" Target="#FixPlan!A19" TargetMode="External" Id="rId1100"/><Relationship Type="http://schemas.openxmlformats.org/officeDocument/2006/relationships/hyperlink" Target="#'Technical Diagnostics'!A1" TargetMode="External" Id="rId1101"/><Relationship Type="http://schemas.openxmlformats.org/officeDocument/2006/relationships/hyperlink" Target="https://africanmarketingconfederation.org/smoke-archive/page-72" TargetMode="External" Id="rId1102"/><Relationship Type="http://schemas.openxmlformats.org/officeDocument/2006/relationships/hyperlink" Target="#FixPlan!A10" TargetMode="External" Id="rId1103"/><Relationship Type="http://schemas.openxmlformats.org/officeDocument/2006/relationships/hyperlink" Target="#'Technical Diagnostics'!A1" TargetMode="External" Id="rId1104"/><Relationship Type="http://schemas.openxmlformats.org/officeDocument/2006/relationships/hyperlink" Target="https://africanmarketingconfederation.org/smoke-archive/page-72" TargetMode="External" Id="rId1105"/><Relationship Type="http://schemas.openxmlformats.org/officeDocument/2006/relationships/hyperlink" Target="#FixPlan!A17" TargetMode="External" Id="rId1106"/><Relationship Type="http://schemas.openxmlformats.org/officeDocument/2006/relationships/hyperlink" Target="#'Technical Diagnostics'!A1" TargetMode="External" Id="rId1107"/><Relationship Type="http://schemas.openxmlformats.org/officeDocument/2006/relationships/hyperlink" Target="https://africanmarketingconfederation.org/smoke-archive/page-72" TargetMode="External" Id="rId1108"/><Relationship Type="http://schemas.openxmlformats.org/officeDocument/2006/relationships/hyperlink" Target="#FixPlan!A18" TargetMode="External" Id="rId1109"/><Relationship Type="http://schemas.openxmlformats.org/officeDocument/2006/relationships/hyperlink" Target="#'Content &amp; AI Readiness'!A1" TargetMode="External" Id="rId1110"/><Relationship Type="http://schemas.openxmlformats.org/officeDocument/2006/relationships/hyperlink" Target="https://africanmarketingconfederation.org/smoke-archive/page-72" TargetMode="External" Id="rId1111"/><Relationship Type="http://schemas.openxmlformats.org/officeDocument/2006/relationships/hyperlink" Target="#FixPlan!A14" TargetMode="External" Id="rId1112"/><Relationship Type="http://schemas.openxmlformats.org/officeDocument/2006/relationships/hyperlink" Target="#'Content &amp; AI Readiness'!A1" TargetMode="External" Id="rId1113"/><Relationship Type="http://schemas.openxmlformats.org/officeDocument/2006/relationships/hyperlink" Target="https://africanmarketingconfederation.org/smoke-archive/page-72" TargetMode="External" Id="rId1114"/><Relationship Type="http://schemas.openxmlformats.org/officeDocument/2006/relationships/hyperlink" Target="#FixPlan!A15" TargetMode="External" Id="rId1115"/><Relationship Type="http://schemas.openxmlformats.org/officeDocument/2006/relationships/hyperlink" Target="#'Technical Diagnostics'!A1" TargetMode="External" Id="rId1116"/><Relationship Type="http://schemas.openxmlformats.org/officeDocument/2006/relationships/hyperlink" Target="https://africanmarketingconfederation.org/smoke-archive/page-72" TargetMode="External" Id="rId1117"/><Relationship Type="http://schemas.openxmlformats.org/officeDocument/2006/relationships/hyperlink" Target="#FixPlan!A16" TargetMode="External" Id="rId1118"/><Relationship Type="http://schemas.openxmlformats.org/officeDocument/2006/relationships/hyperlink" Target="#'Technical Diagnostics'!A1" TargetMode="External" Id="rId1119"/><Relationship Type="http://schemas.openxmlformats.org/officeDocument/2006/relationships/hyperlink" Target="https://africanmarketingconfederation.org/smoke-archive/page-72" TargetMode="External" Id="rId1120"/><Relationship Type="http://schemas.openxmlformats.org/officeDocument/2006/relationships/hyperlink" Target="#FixPlan!A4" TargetMode="External" Id="rId1121"/><Relationship Type="http://schemas.openxmlformats.org/officeDocument/2006/relationships/hyperlink" Target="#'Technical Diagnostics'!A1" TargetMode="External" Id="rId1122"/><Relationship Type="http://schemas.openxmlformats.org/officeDocument/2006/relationships/hyperlink" Target="https://africanmarketingconfederation.org/smoke-archive/page-72" TargetMode="External" Id="rId1123"/><Relationship Type="http://schemas.openxmlformats.org/officeDocument/2006/relationships/hyperlink" Target="#FixPlan!A5" TargetMode="External" Id="rId1124"/><Relationship Type="http://schemas.openxmlformats.org/officeDocument/2006/relationships/hyperlink" Target="#'Technical Diagnostics'!A1" TargetMode="External" Id="rId1125"/><Relationship Type="http://schemas.openxmlformats.org/officeDocument/2006/relationships/hyperlink" Target="https://africanmarketingconfederation.org/smoke-archive/page-72" TargetMode="External" Id="rId1126"/><Relationship Type="http://schemas.openxmlformats.org/officeDocument/2006/relationships/hyperlink" Target="#FixPlan!A6" TargetMode="External" Id="rId1127"/><Relationship Type="http://schemas.openxmlformats.org/officeDocument/2006/relationships/hyperlink" Target="#'Technical Diagnostics'!A1" TargetMode="External" Id="rId1128"/><Relationship Type="http://schemas.openxmlformats.org/officeDocument/2006/relationships/hyperlink" Target="https://africanmarketingconfederation.org/smoke-archive/page-73" TargetMode="External" Id="rId1129"/><Relationship Type="http://schemas.openxmlformats.org/officeDocument/2006/relationships/hyperlink" Target="#FixPlan!A7" TargetMode="External" Id="rId1130"/><Relationship Type="http://schemas.openxmlformats.org/officeDocument/2006/relationships/hyperlink" Target="#'Technical Diagnostics'!A1" TargetMode="External" Id="rId1131"/><Relationship Type="http://schemas.openxmlformats.org/officeDocument/2006/relationships/hyperlink" Target="https://africanmarketingconfederation.org/smoke-archive/page-73" TargetMode="External" Id="rId1132"/><Relationship Type="http://schemas.openxmlformats.org/officeDocument/2006/relationships/hyperlink" Target="#FixPlan!A4" TargetMode="External" Id="rId1133"/><Relationship Type="http://schemas.openxmlformats.org/officeDocument/2006/relationships/hyperlink" Target="#'Technical Diagnostics'!A1" TargetMode="External" Id="rId1134"/><Relationship Type="http://schemas.openxmlformats.org/officeDocument/2006/relationships/hyperlink" Target="https://africanmarketingconfederation.org/smoke-archive/page-73" TargetMode="External" Id="rId1135"/><Relationship Type="http://schemas.openxmlformats.org/officeDocument/2006/relationships/hyperlink" Target="#FixPlan!A5" TargetMode="External" Id="rId1136"/><Relationship Type="http://schemas.openxmlformats.org/officeDocument/2006/relationships/hyperlink" Target="#'Technical Diagnostics'!A1" TargetMode="External" Id="rId1137"/><Relationship Type="http://schemas.openxmlformats.org/officeDocument/2006/relationships/hyperlink" Target="https://africanmarketingconfederation.org/smoke-archive/page-73" TargetMode="External" Id="rId1138"/><Relationship Type="http://schemas.openxmlformats.org/officeDocument/2006/relationships/hyperlink" Target="#FixPlan!A6" TargetMode="External" Id="rId1139"/><Relationship Type="http://schemas.openxmlformats.org/officeDocument/2006/relationships/hyperlink" Target="#'Technical Diagnostics'!A1" TargetMode="External" Id="rId1140"/><Relationship Type="http://schemas.openxmlformats.org/officeDocument/2006/relationships/hyperlink" Target="https://africanmarketingconfederation.org/smoke-archive/page-74" TargetMode="External" Id="rId1141"/><Relationship Type="http://schemas.openxmlformats.org/officeDocument/2006/relationships/hyperlink" Target="#FixPlan!A7" TargetMode="External" Id="rId1142"/><Relationship Type="http://schemas.openxmlformats.org/officeDocument/2006/relationships/hyperlink" Target="#'Technical Diagnostics'!A1" TargetMode="External" Id="rId1143"/><Relationship Type="http://schemas.openxmlformats.org/officeDocument/2006/relationships/hyperlink" Target="https://africanmarketingconfederation.org/smoke-archive/page-74" TargetMode="External" Id="rId1144"/><Relationship Type="http://schemas.openxmlformats.org/officeDocument/2006/relationships/hyperlink" Target="#FixPlan!A4" TargetMode="External" Id="rId1145"/><Relationship Type="http://schemas.openxmlformats.org/officeDocument/2006/relationships/hyperlink" Target="#'Technical Diagnostics'!A1" TargetMode="External" Id="rId1146"/><Relationship Type="http://schemas.openxmlformats.org/officeDocument/2006/relationships/hyperlink" Target="https://africanmarketingconfederation.org/smoke-archive/page-74" TargetMode="External" Id="rId1147"/><Relationship Type="http://schemas.openxmlformats.org/officeDocument/2006/relationships/hyperlink" Target="#FixPlan!A5" TargetMode="External" Id="rId1148"/><Relationship Type="http://schemas.openxmlformats.org/officeDocument/2006/relationships/hyperlink" Target="#'Technical Diagnostics'!A1" TargetMode="External" Id="rId1149"/><Relationship Type="http://schemas.openxmlformats.org/officeDocument/2006/relationships/hyperlink" Target="https://africanmarketingconfederation.org/smoke-archive/page-74" TargetMode="External" Id="rId1150"/><Relationship Type="http://schemas.openxmlformats.org/officeDocument/2006/relationships/hyperlink" Target="#FixPlan!A6" TargetMode="External" Id="rId1151"/><Relationship Type="http://schemas.openxmlformats.org/officeDocument/2006/relationships/hyperlink" Target="#'Technical Diagnostics'!A1" TargetMode="External" Id="rId1152"/><Relationship Type="http://schemas.openxmlformats.org/officeDocument/2006/relationships/hyperlink" Target="https://africanmarketingconfederation.org/smoke-archive/page-75" TargetMode="External" Id="rId1153"/><Relationship Type="http://schemas.openxmlformats.org/officeDocument/2006/relationships/hyperlink" Target="#FixPlan!A8" TargetMode="External" Id="rId1154"/><Relationship Type="http://schemas.openxmlformats.org/officeDocument/2006/relationships/hyperlink" Target="#'Technical Diagnostics'!A1" TargetMode="External" Id="rId1155"/><Relationship Type="http://schemas.openxmlformats.org/officeDocument/2006/relationships/hyperlink" Target="https://africanmarketingconfederation.org/smoke-archive/page-75" TargetMode="External" Id="rId1156"/><Relationship Type="http://schemas.openxmlformats.org/officeDocument/2006/relationships/hyperlink" Target="#FixPlan!A9" TargetMode="External" Id="rId1157"/><Relationship Type="http://schemas.openxmlformats.org/officeDocument/2006/relationships/hyperlink" Target="#'Technical Diagnostics'!A1" TargetMode="External" Id="rId1158"/><Relationship Type="http://schemas.openxmlformats.org/officeDocument/2006/relationships/hyperlink" Target="https://africanmarketingconfederation.org/smoke-archive/page-75" TargetMode="External" Id="rId1159"/><Relationship Type="http://schemas.openxmlformats.org/officeDocument/2006/relationships/hyperlink" Target="#FixPlan!A7" TargetMode="External" Id="rId1160"/><Relationship Type="http://schemas.openxmlformats.org/officeDocument/2006/relationships/hyperlink" Target="#'Technical Diagnostics'!A1" TargetMode="External" Id="rId1161"/><Relationship Type="http://schemas.openxmlformats.org/officeDocument/2006/relationships/hyperlink" Target="https://africanmarketingconfederation.org/smoke-archive/page-75" TargetMode="External" Id="rId1162"/><Relationship Type="http://schemas.openxmlformats.org/officeDocument/2006/relationships/hyperlink" Target="#FixPlan!A4" TargetMode="External" Id="rId1163"/><Relationship Type="http://schemas.openxmlformats.org/officeDocument/2006/relationships/hyperlink" Target="#'Technical Diagnostics'!A1" TargetMode="External" Id="rId1164"/><Relationship Type="http://schemas.openxmlformats.org/officeDocument/2006/relationships/hyperlink" Target="https://africanmarketingconfederation.org/smoke-archive/page-75" TargetMode="External" Id="rId1165"/><Relationship Type="http://schemas.openxmlformats.org/officeDocument/2006/relationships/hyperlink" Target="#FixPlan!A5" TargetMode="External" Id="rId1166"/><Relationship Type="http://schemas.openxmlformats.org/officeDocument/2006/relationships/hyperlink" Target="#'Technical Diagnostics'!A1" TargetMode="External" Id="rId1167"/><Relationship Type="http://schemas.openxmlformats.org/officeDocument/2006/relationships/hyperlink" Target="https://africanmarketingconfederation.org/smoke-archive/page-75" TargetMode="External" Id="rId1168"/><Relationship Type="http://schemas.openxmlformats.org/officeDocument/2006/relationships/hyperlink" Target="#FixPlan!A6" TargetMode="External" Id="rId1169"/><Relationship Type="http://schemas.openxmlformats.org/officeDocument/2006/relationships/hyperlink" Target="#'Technical Diagnostics'!A1" TargetMode="External" Id="rId1170"/><Relationship Type="http://schemas.openxmlformats.org/officeDocument/2006/relationships/hyperlink" Target="https://africanmarketingconfederation.org/smoke-archive/page-76" TargetMode="External" Id="rId1171"/><Relationship Type="http://schemas.openxmlformats.org/officeDocument/2006/relationships/hyperlink" Target="#FixPlan!A4" TargetMode="External" Id="rId1172"/><Relationship Type="http://schemas.openxmlformats.org/officeDocument/2006/relationships/hyperlink" Target="#'Technical Diagnostics'!A1" TargetMode="External" Id="rId1173"/><Relationship Type="http://schemas.openxmlformats.org/officeDocument/2006/relationships/hyperlink" Target="https://africanmarketingconfederation.org/smoke-archive/page-76" TargetMode="External" Id="rId1174"/><Relationship Type="http://schemas.openxmlformats.org/officeDocument/2006/relationships/hyperlink" Target="#FixPlan!A5" TargetMode="External" Id="rId1175"/><Relationship Type="http://schemas.openxmlformats.org/officeDocument/2006/relationships/hyperlink" Target="#'Technical Diagnostics'!A1" TargetMode="External" Id="rId1176"/><Relationship Type="http://schemas.openxmlformats.org/officeDocument/2006/relationships/hyperlink" Target="https://africanmarketingconfederation.org/smoke-archive/page-76" TargetMode="External" Id="rId1177"/><Relationship Type="http://schemas.openxmlformats.org/officeDocument/2006/relationships/hyperlink" Target="#FixPlan!A6" TargetMode="External" Id="rId1178"/><Relationship Type="http://schemas.openxmlformats.org/officeDocument/2006/relationships/hyperlink" Target="#'Technical Diagnostics'!A1" TargetMode="External" Id="rId1179"/><Relationship Type="http://schemas.openxmlformats.org/officeDocument/2006/relationships/hyperlink" Target="https://africanmarketingconfederation.org/smoke-archive/page-77" TargetMode="External" Id="rId1180"/><Relationship Type="http://schemas.openxmlformats.org/officeDocument/2006/relationships/hyperlink" Target="#FixPlan!A13" TargetMode="External" Id="rId1181"/><Relationship Type="http://schemas.openxmlformats.org/officeDocument/2006/relationships/hyperlink" Target="#'Technical Diagnostics'!A1" TargetMode="External" Id="rId1182"/><Relationship Type="http://schemas.openxmlformats.org/officeDocument/2006/relationships/hyperlink" Target="https://africanmarketingconfederation.org/smoke-archive/page-77" TargetMode="External" Id="rId1183"/><Relationship Type="http://schemas.openxmlformats.org/officeDocument/2006/relationships/hyperlink" Target="#FixPlan!A7" TargetMode="External" Id="rId1184"/><Relationship Type="http://schemas.openxmlformats.org/officeDocument/2006/relationships/hyperlink" Target="#'Technical Diagnostics'!A1" TargetMode="External" Id="rId1185"/><Relationship Type="http://schemas.openxmlformats.org/officeDocument/2006/relationships/hyperlink" Target="https://africanmarketingconfederation.org/smoke-archive/page-77" TargetMode="External" Id="rId1186"/><Relationship Type="http://schemas.openxmlformats.org/officeDocument/2006/relationships/hyperlink" Target="#FixPlan!A12" TargetMode="External" Id="rId1187"/><Relationship Type="http://schemas.openxmlformats.org/officeDocument/2006/relationships/hyperlink" Target="#'Technical Diagnostics'!A1" TargetMode="External" Id="rId1188"/><Relationship Type="http://schemas.openxmlformats.org/officeDocument/2006/relationships/hyperlink" Target="https://africanmarketingconfederation.org/smoke-archive/page-77" TargetMode="External" Id="rId1189"/><Relationship Type="http://schemas.openxmlformats.org/officeDocument/2006/relationships/hyperlink" Target="#FixPlan!A4" TargetMode="External" Id="rId1190"/><Relationship Type="http://schemas.openxmlformats.org/officeDocument/2006/relationships/hyperlink" Target="#'Technical Diagnostics'!A1" TargetMode="External" Id="rId1191"/><Relationship Type="http://schemas.openxmlformats.org/officeDocument/2006/relationships/hyperlink" Target="https://africanmarketingconfederation.org/smoke-archive/page-77" TargetMode="External" Id="rId1192"/><Relationship Type="http://schemas.openxmlformats.org/officeDocument/2006/relationships/hyperlink" Target="#FixPlan!A5" TargetMode="External" Id="rId1193"/><Relationship Type="http://schemas.openxmlformats.org/officeDocument/2006/relationships/hyperlink" Target="#'Technical Diagnostics'!A1" TargetMode="External" Id="rId1194"/><Relationship Type="http://schemas.openxmlformats.org/officeDocument/2006/relationships/hyperlink" Target="https://africanmarketingconfederation.org/smoke-archive/page-77" TargetMode="External" Id="rId1195"/><Relationship Type="http://schemas.openxmlformats.org/officeDocument/2006/relationships/hyperlink" Target="#FixPlan!A6" TargetMode="External" Id="rId1196"/><Relationship Type="http://schemas.openxmlformats.org/officeDocument/2006/relationships/hyperlink" Target="#'Technical Diagnostics'!A1" TargetMode="External" Id="rId1197"/><Relationship Type="http://schemas.openxmlformats.org/officeDocument/2006/relationships/hyperlink" Target="https://africanmarketingconfederation.org/smoke-archive/page-78" TargetMode="External" Id="rId1198"/><Relationship Type="http://schemas.openxmlformats.org/officeDocument/2006/relationships/hyperlink" Target="#FixPlan!A11" TargetMode="External" Id="rId1199"/><Relationship Type="http://schemas.openxmlformats.org/officeDocument/2006/relationships/hyperlink" Target="#'Technical Diagnostics'!A1" TargetMode="External" Id="rId1200"/><Relationship Type="http://schemas.openxmlformats.org/officeDocument/2006/relationships/hyperlink" Target="https://africanmarketingconfederation.org/smoke-archive/page-79" TargetMode="External" Id="rId1201"/><Relationship Type="http://schemas.openxmlformats.org/officeDocument/2006/relationships/hyperlink" Target="#FixPlan!A7" TargetMode="External" Id="rId1202"/><Relationship Type="http://schemas.openxmlformats.org/officeDocument/2006/relationships/hyperlink" Target="#'Technical Diagnostics'!A1" TargetMode="External" Id="rId1203"/><Relationship Type="http://schemas.openxmlformats.org/officeDocument/2006/relationships/hyperlink" Target="https://africanmarketingconfederation.org/smoke-archive/page-79" TargetMode="External" Id="rId1204"/><Relationship Type="http://schemas.openxmlformats.org/officeDocument/2006/relationships/hyperlink" Target="#FixPlan!A4" TargetMode="External" Id="rId1205"/><Relationship Type="http://schemas.openxmlformats.org/officeDocument/2006/relationships/hyperlink" Target="#'Technical Diagnostics'!A1" TargetMode="External" Id="rId1206"/><Relationship Type="http://schemas.openxmlformats.org/officeDocument/2006/relationships/hyperlink" Target="https://africanmarketingconfederation.org/smoke-archive/page-79" TargetMode="External" Id="rId1207"/><Relationship Type="http://schemas.openxmlformats.org/officeDocument/2006/relationships/hyperlink" Target="#FixPlan!A5" TargetMode="External" Id="rId1208"/><Relationship Type="http://schemas.openxmlformats.org/officeDocument/2006/relationships/hyperlink" Target="#'Technical Diagnostics'!A1" TargetMode="External" Id="rId1209"/><Relationship Type="http://schemas.openxmlformats.org/officeDocument/2006/relationships/hyperlink" Target="https://africanmarketingconfederation.org/smoke-archive/page-79" TargetMode="External" Id="rId1210"/><Relationship Type="http://schemas.openxmlformats.org/officeDocument/2006/relationships/hyperlink" Target="#FixPlan!A6" TargetMode="External" Id="rId1211"/><Relationship Type="http://schemas.openxmlformats.org/officeDocument/2006/relationships/hyperlink" Target="#'Technical Diagnostics'!A1" TargetMode="External" Id="rId1212"/><Relationship Type="http://schemas.openxmlformats.org/officeDocument/2006/relationships/hyperlink" Target="https://africanmarketingconfederation.org/discovered-via-bfs-1" TargetMode="External" Id="rId1213"/><Relationship Type="http://schemas.openxmlformats.org/officeDocument/2006/relationships/hyperlink" Target="#FixPlan!A7" TargetMode="External" Id="rId1214"/><Relationship Type="http://schemas.openxmlformats.org/officeDocument/2006/relationships/hyperlink" Target="#'Technical Diagnostics'!A1" TargetMode="External" Id="rId1215"/><Relationship Type="http://schemas.openxmlformats.org/officeDocument/2006/relationships/hyperlink" Target="https://africanmarketingconfederation.org/discovered-via-bfs-1" TargetMode="External" Id="rId1216"/><Relationship Type="http://schemas.openxmlformats.org/officeDocument/2006/relationships/hyperlink" Target="#FixPlan!A18" TargetMode="External" Id="rId1217"/><Relationship Type="http://schemas.openxmlformats.org/officeDocument/2006/relationships/hyperlink" Target="#'Content &amp; AI Readiness'!A1" TargetMode="External" Id="rId1218"/><Relationship Type="http://schemas.openxmlformats.org/officeDocument/2006/relationships/hyperlink" Target="https://africanmarketingconfederation.org/discovered-via-bfs-1" TargetMode="External" Id="rId1219"/><Relationship Type="http://schemas.openxmlformats.org/officeDocument/2006/relationships/hyperlink" Target="#FixPlan!A14" TargetMode="External" Id="rId1220"/><Relationship Type="http://schemas.openxmlformats.org/officeDocument/2006/relationships/hyperlink" Target="#'Content &amp; AI Readiness'!A1" TargetMode="External" Id="rId1221"/><Relationship Type="http://schemas.openxmlformats.org/officeDocument/2006/relationships/hyperlink" Target="https://africanmarketingconfederation.org/discovered-via-bfs-1" TargetMode="External" Id="rId1222"/><Relationship Type="http://schemas.openxmlformats.org/officeDocument/2006/relationships/hyperlink" Target="#FixPlan!A15" TargetMode="External" Id="rId1223"/><Relationship Type="http://schemas.openxmlformats.org/officeDocument/2006/relationships/hyperlink" Target="#'Technical Diagnostics'!A1" TargetMode="External" Id="rId1224"/><Relationship Type="http://schemas.openxmlformats.org/officeDocument/2006/relationships/hyperlink" Target="https://africanmarketingconfederation.org/discovered-via-bfs-1" TargetMode="External" Id="rId1225"/><Relationship Type="http://schemas.openxmlformats.org/officeDocument/2006/relationships/hyperlink" Target="#FixPlan!A16" TargetMode="External" Id="rId1226"/><Relationship Type="http://schemas.openxmlformats.org/officeDocument/2006/relationships/hyperlink" Target="#'Technical Diagnostics'!A1" TargetMode="External" Id="rId1227"/><Relationship Type="http://schemas.openxmlformats.org/officeDocument/2006/relationships/hyperlink" Target="https://africanmarketingconfederation.org/discovered-via-bfs-1" TargetMode="External" Id="rId1228"/><Relationship Type="http://schemas.openxmlformats.org/officeDocument/2006/relationships/hyperlink" Target="#FixPlan!A4" TargetMode="External" Id="rId1229"/><Relationship Type="http://schemas.openxmlformats.org/officeDocument/2006/relationships/hyperlink" Target="#'Technical Diagnostics'!A1" TargetMode="External" Id="rId1230"/><Relationship Type="http://schemas.openxmlformats.org/officeDocument/2006/relationships/hyperlink" Target="https://africanmarketingconfederation.org/discovered-via-bfs-1" TargetMode="External" Id="rId1231"/><Relationship Type="http://schemas.openxmlformats.org/officeDocument/2006/relationships/hyperlink" Target="#FixPlan!A5" TargetMode="External" Id="rId1232"/><Relationship Type="http://schemas.openxmlformats.org/officeDocument/2006/relationships/hyperlink" Target="#'Technical Diagnostics'!A1" TargetMode="External" Id="rId1233"/><Relationship Type="http://schemas.openxmlformats.org/officeDocument/2006/relationships/hyperlink" Target="https://africanmarketingconfederation.org/discovered-via-bfs-1" TargetMode="External" Id="rId1234"/><Relationship Type="http://schemas.openxmlformats.org/officeDocument/2006/relationships/hyperlink" Target="#FixPlan!A6" TargetMode="External" Id="rId1235"/><Relationship Type="http://schemas.openxmlformats.org/officeDocument/2006/relationships/hyperlink" Target="#'Technical Diagnostics'!A1" TargetMode="External" Id="rId1236"/><Relationship Type="http://schemas.openxmlformats.org/officeDocument/2006/relationships/hyperlink" Target="https://africanmarketingconfederation.org/discovered-via-bfs-2" TargetMode="External" Id="rId1237"/><Relationship Type="http://schemas.openxmlformats.org/officeDocument/2006/relationships/hyperlink" Target="#FixPlan!A7" TargetMode="External" Id="rId1238"/><Relationship Type="http://schemas.openxmlformats.org/officeDocument/2006/relationships/hyperlink" Target="#'Technical Diagnostics'!A1" TargetMode="External" Id="rId1239"/><Relationship Type="http://schemas.openxmlformats.org/officeDocument/2006/relationships/hyperlink" Target="https://africanmarketingconfederation.org/discovered-via-bfs-2" TargetMode="External" Id="rId1240"/><Relationship Type="http://schemas.openxmlformats.org/officeDocument/2006/relationships/hyperlink" Target="#FixPlan!A4" TargetMode="External" Id="rId1241"/><Relationship Type="http://schemas.openxmlformats.org/officeDocument/2006/relationships/hyperlink" Target="#'Technical Diagnostics'!A1" TargetMode="External" Id="rId1242"/><Relationship Type="http://schemas.openxmlformats.org/officeDocument/2006/relationships/hyperlink" Target="https://africanmarketingconfederation.org/discovered-via-bfs-2" TargetMode="External" Id="rId1243"/><Relationship Type="http://schemas.openxmlformats.org/officeDocument/2006/relationships/hyperlink" Target="#FixPlan!A5" TargetMode="External" Id="rId1244"/><Relationship Type="http://schemas.openxmlformats.org/officeDocument/2006/relationships/hyperlink" Target="#'Technical Diagnostics'!A1" TargetMode="External" Id="rId1245"/><Relationship Type="http://schemas.openxmlformats.org/officeDocument/2006/relationships/hyperlink" Target="https://africanmarketingconfederation.org/discovered-via-bfs-2" TargetMode="External" Id="rId1246"/><Relationship Type="http://schemas.openxmlformats.org/officeDocument/2006/relationships/hyperlink" Target="#FixPlan!A6" TargetMode="External" Id="rId1247"/><Relationship Type="http://schemas.openxmlformats.org/officeDocument/2006/relationships/hyperlink" Target="#'Technical Diagnostics'!A1" TargetMode="External" Id="rId1248"/><Relationship Type="http://schemas.openxmlformats.org/officeDocument/2006/relationships/hyperlink" Target="https://africanmarketingconfederation.org/discovered-via-bfs-3" TargetMode="External" Id="rId1249"/><Relationship Type="http://schemas.openxmlformats.org/officeDocument/2006/relationships/hyperlink" Target="#FixPlan!A7" TargetMode="External" Id="rId1250"/><Relationship Type="http://schemas.openxmlformats.org/officeDocument/2006/relationships/hyperlink" Target="#'Technical Diagnostics'!A1" TargetMode="External" Id="rId1251"/><Relationship Type="http://schemas.openxmlformats.org/officeDocument/2006/relationships/hyperlink" Target="https://africanmarketingconfederation.org/discovered-via-bfs-3" TargetMode="External" Id="rId1252"/><Relationship Type="http://schemas.openxmlformats.org/officeDocument/2006/relationships/hyperlink" Target="#FixPlan!A4" TargetMode="External" Id="rId1253"/><Relationship Type="http://schemas.openxmlformats.org/officeDocument/2006/relationships/hyperlink" Target="#'Technical Diagnostics'!A1" TargetMode="External" Id="rId1254"/><Relationship Type="http://schemas.openxmlformats.org/officeDocument/2006/relationships/hyperlink" Target="https://africanmarketingconfederation.org/discovered-via-bfs-3" TargetMode="External" Id="rId1255"/><Relationship Type="http://schemas.openxmlformats.org/officeDocument/2006/relationships/hyperlink" Target="#FixPlan!A5" TargetMode="External" Id="rId1256"/><Relationship Type="http://schemas.openxmlformats.org/officeDocument/2006/relationships/hyperlink" Target="#'Technical Diagnostics'!A1" TargetMode="External" Id="rId1257"/><Relationship Type="http://schemas.openxmlformats.org/officeDocument/2006/relationships/hyperlink" Target="https://africanmarketingconfederation.org/discovered-via-bfs-3" TargetMode="External" Id="rId1258"/><Relationship Type="http://schemas.openxmlformats.org/officeDocument/2006/relationships/hyperlink" Target="#FixPlan!A6" TargetMode="External" Id="rId1259"/><Relationship Type="http://schemas.openxmlformats.org/officeDocument/2006/relationships/hyperlink" Target="#'Technical Diagnostics'!A1" TargetMode="External" Id="rId1260"/><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smoke-archive/page-1" TargetMode="External" Id="rId3"/><Relationship Type="http://schemas.openxmlformats.org/officeDocument/2006/relationships/hyperlink" Target="https://africanmarketingconfederation.org/smoke-archive/page-2" TargetMode="External" Id="rId4"/><Relationship Type="http://schemas.openxmlformats.org/officeDocument/2006/relationships/hyperlink" Target="https://africanmarketingconfederation.org/smoke-archive/page-3" TargetMode="External" Id="rId5"/><Relationship Type="http://schemas.openxmlformats.org/officeDocument/2006/relationships/hyperlink" Target="https://africanmarketingconfederation.org/smoke-archive/page-4" TargetMode="External" Id="rId6"/><Relationship Type="http://schemas.openxmlformats.org/officeDocument/2006/relationships/hyperlink" Target="https://africanmarketingconfederation.org/smoke-archive/page-5" TargetMode="External" Id="rId7"/><Relationship Type="http://schemas.openxmlformats.org/officeDocument/2006/relationships/hyperlink" Target="https://africanmarketingconfederation.org/smoke-archive/page-6" TargetMode="External" Id="rId8"/><Relationship Type="http://schemas.openxmlformats.org/officeDocument/2006/relationships/hyperlink" Target="https://africanmarketingconfederation.org/smoke-archive/page-7" TargetMode="External" Id="rId9"/><Relationship Type="http://schemas.openxmlformats.org/officeDocument/2006/relationships/hyperlink" Target="https://africanmarketingconfederation.org/smoke-archive/page-8" TargetMode="External" Id="rId10"/><Relationship Type="http://schemas.openxmlformats.org/officeDocument/2006/relationships/hyperlink" Target="https://africanmarketingconfederation.org/smoke-archive/page-9" TargetMode="External" Id="rId11"/><Relationship Type="http://schemas.openxmlformats.org/officeDocument/2006/relationships/hyperlink" Target="https://africanmarketingconfederation.org/smoke-archive/page-10" TargetMode="External" Id="rId12"/><Relationship Type="http://schemas.openxmlformats.org/officeDocument/2006/relationships/hyperlink" Target="https://africanmarketingconfederation.org/smoke-archive/page-11" TargetMode="External" Id="rId13"/><Relationship Type="http://schemas.openxmlformats.org/officeDocument/2006/relationships/hyperlink" Target="https://africanmarketingconfederation.org/smoke-archive/page-12" TargetMode="External" Id="rId14"/><Relationship Type="http://schemas.openxmlformats.org/officeDocument/2006/relationships/hyperlink" Target="https://africanmarketingconfederation.org/smoke-archive/page-13" TargetMode="External" Id="rId15"/><Relationship Type="http://schemas.openxmlformats.org/officeDocument/2006/relationships/hyperlink" Target="https://africanmarketingconfederation.org/smoke-archive/page-14" TargetMode="External" Id="rId16"/><Relationship Type="http://schemas.openxmlformats.org/officeDocument/2006/relationships/hyperlink" Target="https://africanmarketingconfederation.org/smoke-archive/page-15" TargetMode="External" Id="rId17"/><Relationship Type="http://schemas.openxmlformats.org/officeDocument/2006/relationships/hyperlink" Target="https://africanmarketingconfederation.org/smoke-archive/page-16" TargetMode="External" Id="rId18"/><Relationship Type="http://schemas.openxmlformats.org/officeDocument/2006/relationships/hyperlink" Target="https://africanmarketingconfederation.org/smoke-archive/page-17" TargetMode="External" Id="rId19"/><Relationship Type="http://schemas.openxmlformats.org/officeDocument/2006/relationships/hyperlink" Target="https://africanmarketingconfederation.org/smoke-archive/page-18" TargetMode="External" Id="rId20"/><Relationship Type="http://schemas.openxmlformats.org/officeDocument/2006/relationships/hyperlink" Target="https://africanmarketingconfederation.org/smoke-archive/page-19" TargetMode="External" Id="rId21"/><Relationship Type="http://schemas.openxmlformats.org/officeDocument/2006/relationships/hyperlink" Target="https://africanmarketingconfederation.org/smoke-archive/page-20" TargetMode="External" Id="rId22"/><Relationship Type="http://schemas.openxmlformats.org/officeDocument/2006/relationships/hyperlink" Target="https://africanmarketingconfederation.org/smoke-archive/page-21" TargetMode="External" Id="rId23"/><Relationship Type="http://schemas.openxmlformats.org/officeDocument/2006/relationships/hyperlink" Target="https://africanmarketingconfederation.org/smoke-archive/page-22" TargetMode="External" Id="rId24"/><Relationship Type="http://schemas.openxmlformats.org/officeDocument/2006/relationships/hyperlink" Target="https://africanmarketingconfederation.org/smoke-archive/page-23" TargetMode="External" Id="rId25"/><Relationship Type="http://schemas.openxmlformats.org/officeDocument/2006/relationships/hyperlink" Target="https://africanmarketingconfederation.org/smoke-archive/page-24" TargetMode="External" Id="rId26"/><Relationship Type="http://schemas.openxmlformats.org/officeDocument/2006/relationships/hyperlink" Target="https://africanmarketingconfederation.org/smoke-archive/page-25" TargetMode="External" Id="rId27"/><Relationship Type="http://schemas.openxmlformats.org/officeDocument/2006/relationships/hyperlink" Target="https://africanmarketingconfederation.org/smoke-archive/page-26" TargetMode="External" Id="rId28"/><Relationship Type="http://schemas.openxmlformats.org/officeDocument/2006/relationships/hyperlink" Target="https://africanmarketingconfederation.org/smoke-archive/page-27" TargetMode="External" Id="rId29"/><Relationship Type="http://schemas.openxmlformats.org/officeDocument/2006/relationships/hyperlink" Target="https://africanmarketingconfederation.org/smoke-archive/page-28" TargetMode="External" Id="rId30"/><Relationship Type="http://schemas.openxmlformats.org/officeDocument/2006/relationships/hyperlink" Target="https://africanmarketingconfederation.org/smoke-archive/page-29" TargetMode="External" Id="rId31"/><Relationship Type="http://schemas.openxmlformats.org/officeDocument/2006/relationships/hyperlink" Target="https://africanmarketingconfederation.org/smoke-archive/page-30" TargetMode="External" Id="rId32"/><Relationship Type="http://schemas.openxmlformats.org/officeDocument/2006/relationships/hyperlink" Target="https://africanmarketingconfederation.org/smoke-archive/page-31" TargetMode="External" Id="rId33"/><Relationship Type="http://schemas.openxmlformats.org/officeDocument/2006/relationships/hyperlink" Target="https://africanmarketingconfederation.org/smoke-archive/page-32" TargetMode="External" Id="rId34"/><Relationship Type="http://schemas.openxmlformats.org/officeDocument/2006/relationships/hyperlink" Target="https://africanmarketingconfederation.org/smoke-archive/page-33" TargetMode="External" Id="rId35"/><Relationship Type="http://schemas.openxmlformats.org/officeDocument/2006/relationships/hyperlink" Target="https://africanmarketingconfederation.org/smoke-archive/page-34" TargetMode="External" Id="rId36"/><Relationship Type="http://schemas.openxmlformats.org/officeDocument/2006/relationships/hyperlink" Target="https://africanmarketingconfederation.org/smoke-archive/page-35" TargetMode="External" Id="rId37"/><Relationship Type="http://schemas.openxmlformats.org/officeDocument/2006/relationships/hyperlink" Target="https://africanmarketingconfederation.org/smoke-archive/page-36" TargetMode="External" Id="rId38"/><Relationship Type="http://schemas.openxmlformats.org/officeDocument/2006/relationships/hyperlink" Target="https://africanmarketingconfederation.org/smoke-archive/page-37" TargetMode="External" Id="rId39"/><Relationship Type="http://schemas.openxmlformats.org/officeDocument/2006/relationships/hyperlink" Target="https://africanmarketingconfederation.org/smoke-archive/page-38" TargetMode="External" Id="rId40"/><Relationship Type="http://schemas.openxmlformats.org/officeDocument/2006/relationships/hyperlink" Target="https://africanmarketingconfederation.org/smoke-archive/page-39" TargetMode="External" Id="rId41"/><Relationship Type="http://schemas.openxmlformats.org/officeDocument/2006/relationships/hyperlink" Target="https://africanmarketingconfederation.org/smoke-archive/page-40" TargetMode="External" Id="rId42"/><Relationship Type="http://schemas.openxmlformats.org/officeDocument/2006/relationships/hyperlink" Target="https://africanmarketingconfederation.org/smoke-archive/page-41" TargetMode="External" Id="rId43"/><Relationship Type="http://schemas.openxmlformats.org/officeDocument/2006/relationships/hyperlink" Target="https://africanmarketingconfederation.org/smoke-archive/page-42" TargetMode="External" Id="rId44"/><Relationship Type="http://schemas.openxmlformats.org/officeDocument/2006/relationships/hyperlink" Target="https://africanmarketingconfederation.org/smoke-archive/page-43" TargetMode="External" Id="rId45"/><Relationship Type="http://schemas.openxmlformats.org/officeDocument/2006/relationships/hyperlink" Target="https://africanmarketingconfederation.org/smoke-archive/page-44" TargetMode="External" Id="rId46"/><Relationship Type="http://schemas.openxmlformats.org/officeDocument/2006/relationships/hyperlink" Target="https://africanmarketingconfederation.org/smoke-archive/page-45" TargetMode="External" Id="rId47"/><Relationship Type="http://schemas.openxmlformats.org/officeDocument/2006/relationships/hyperlink" Target="https://africanmarketingconfederation.org/smoke-archive/page-46" TargetMode="External" Id="rId48"/><Relationship Type="http://schemas.openxmlformats.org/officeDocument/2006/relationships/hyperlink" Target="https://africanmarketingconfederation.org/smoke-archive/page-47" TargetMode="External" Id="rId49"/><Relationship Type="http://schemas.openxmlformats.org/officeDocument/2006/relationships/hyperlink" Target="https://africanmarketingconfederation.org/smoke-archive/page-48" TargetMode="External" Id="rId50"/><Relationship Type="http://schemas.openxmlformats.org/officeDocument/2006/relationships/hyperlink" Target="https://africanmarketingconfederation.org/smoke-archive/page-49" TargetMode="External" Id="rId51"/><Relationship Type="http://schemas.openxmlformats.org/officeDocument/2006/relationships/hyperlink" Target="https://africanmarketingconfederation.org/smoke-archive/page-50" TargetMode="External" Id="rId52"/><Relationship Type="http://schemas.openxmlformats.org/officeDocument/2006/relationships/hyperlink" Target="https://africanmarketingconfederation.org/smoke-archive/page-51" TargetMode="External" Id="rId53"/><Relationship Type="http://schemas.openxmlformats.org/officeDocument/2006/relationships/hyperlink" Target="https://africanmarketingconfederation.org/smoke-archive/page-52" TargetMode="External" Id="rId54"/><Relationship Type="http://schemas.openxmlformats.org/officeDocument/2006/relationships/hyperlink" Target="https://africanmarketingconfederation.org/smoke-archive/page-53" TargetMode="External" Id="rId55"/><Relationship Type="http://schemas.openxmlformats.org/officeDocument/2006/relationships/hyperlink" Target="https://africanmarketingconfederation.org/smoke-archive/page-54" TargetMode="External" Id="rId56"/><Relationship Type="http://schemas.openxmlformats.org/officeDocument/2006/relationships/hyperlink" Target="https://africanmarketingconfederation.org/smoke-archive/page-55" TargetMode="External" Id="rId57"/><Relationship Type="http://schemas.openxmlformats.org/officeDocument/2006/relationships/hyperlink" Target="https://africanmarketingconfederation.org/smoke-archive/page-56" TargetMode="External" Id="rId58"/><Relationship Type="http://schemas.openxmlformats.org/officeDocument/2006/relationships/hyperlink" Target="https://africanmarketingconfederation.org/smoke-archive/page-57" TargetMode="External" Id="rId59"/><Relationship Type="http://schemas.openxmlformats.org/officeDocument/2006/relationships/hyperlink" Target="https://africanmarketingconfederation.org/smoke-archive/page-58" TargetMode="External" Id="rId60"/><Relationship Type="http://schemas.openxmlformats.org/officeDocument/2006/relationships/hyperlink" Target="https://africanmarketingconfederation.org/smoke-archive/page-59" TargetMode="External" Id="rId61"/><Relationship Type="http://schemas.openxmlformats.org/officeDocument/2006/relationships/hyperlink" Target="https://africanmarketingconfederation.org/smoke-archive/page-60" TargetMode="External" Id="rId62"/><Relationship Type="http://schemas.openxmlformats.org/officeDocument/2006/relationships/hyperlink" Target="https://africanmarketingconfederation.org/smoke-archive/page-61" TargetMode="External" Id="rId63"/><Relationship Type="http://schemas.openxmlformats.org/officeDocument/2006/relationships/hyperlink" Target="https://africanmarketingconfederation.org/smoke-archive/page-62" TargetMode="External" Id="rId64"/><Relationship Type="http://schemas.openxmlformats.org/officeDocument/2006/relationships/hyperlink" Target="https://africanmarketingconfederation.org/smoke-archive/page-63" TargetMode="External" Id="rId65"/><Relationship Type="http://schemas.openxmlformats.org/officeDocument/2006/relationships/hyperlink" Target="https://africanmarketingconfederation.org/smoke-archive/page-64" TargetMode="External" Id="rId66"/><Relationship Type="http://schemas.openxmlformats.org/officeDocument/2006/relationships/hyperlink" Target="https://africanmarketingconfederation.org/smoke-archive/page-65" TargetMode="External" Id="rId67"/><Relationship Type="http://schemas.openxmlformats.org/officeDocument/2006/relationships/hyperlink" Target="https://africanmarketingconfederation.org/smoke-archive/page-66" TargetMode="External" Id="rId68"/><Relationship Type="http://schemas.openxmlformats.org/officeDocument/2006/relationships/hyperlink" Target="https://africanmarketingconfederation.org/smoke-archive/page-67" TargetMode="External" Id="rId69"/><Relationship Type="http://schemas.openxmlformats.org/officeDocument/2006/relationships/hyperlink" Target="https://africanmarketingconfederation.org/smoke-archive/page-68" TargetMode="External" Id="rId70"/><Relationship Type="http://schemas.openxmlformats.org/officeDocument/2006/relationships/hyperlink" Target="https://africanmarketingconfederation.org/smoke-archive/page-69" TargetMode="External" Id="rId71"/><Relationship Type="http://schemas.openxmlformats.org/officeDocument/2006/relationships/hyperlink" Target="https://africanmarketingconfederation.org/smoke-archive/page-70" TargetMode="External" Id="rId72"/><Relationship Type="http://schemas.openxmlformats.org/officeDocument/2006/relationships/hyperlink" Target="https://africanmarketingconfederation.org/smoke-archive/page-71" TargetMode="External" Id="rId73"/><Relationship Type="http://schemas.openxmlformats.org/officeDocument/2006/relationships/hyperlink" Target="https://africanmarketingconfederation.org/smoke-archive/page-72" TargetMode="External" Id="rId74"/><Relationship Type="http://schemas.openxmlformats.org/officeDocument/2006/relationships/hyperlink" Target="https://africanmarketingconfederation.org/smoke-archive/page-73" TargetMode="External" Id="rId75"/><Relationship Type="http://schemas.openxmlformats.org/officeDocument/2006/relationships/hyperlink" Target="https://africanmarketingconfederation.org/smoke-archive/page-74" TargetMode="External" Id="rId76"/><Relationship Type="http://schemas.openxmlformats.org/officeDocument/2006/relationships/hyperlink" Target="https://africanmarketingconfederation.org/smoke-archive/page-75" TargetMode="External" Id="rId77"/><Relationship Type="http://schemas.openxmlformats.org/officeDocument/2006/relationships/hyperlink" Target="https://africanmarketingconfederation.org/smoke-archive/page-76" TargetMode="External" Id="rId78"/><Relationship Type="http://schemas.openxmlformats.org/officeDocument/2006/relationships/hyperlink" Target="https://africanmarketingconfederation.org/smoke-archive/page-77" TargetMode="External" Id="rId79"/><Relationship Type="http://schemas.openxmlformats.org/officeDocument/2006/relationships/hyperlink" Target="https://africanmarketingconfederation.org/smoke-archive/page-78" TargetMode="External" Id="rId80"/><Relationship Type="http://schemas.openxmlformats.org/officeDocument/2006/relationships/hyperlink" Target="https://africanmarketingconfederation.org/smoke-archive/page-79" TargetMode="External" Id="rId81"/><Relationship Type="http://schemas.openxmlformats.org/officeDocument/2006/relationships/hyperlink" Target="https://africanmarketingconfederation.org/discovered-via-bfs-1" TargetMode="External" Id="rId82"/><Relationship Type="http://schemas.openxmlformats.org/officeDocument/2006/relationships/hyperlink" Target="https://africanmarketingconfederation.org/discovered-via-bfs-2" TargetMode="External" Id="rId83"/><Relationship Type="http://schemas.openxmlformats.org/officeDocument/2006/relationships/hyperlink" Target="https://africanmarketingconfederation.org/discovered-via-bfs-3" TargetMode="External" Id="rId84"/><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smoke-archive/page-1" TargetMode="External" Id="rId3"/><Relationship Type="http://schemas.openxmlformats.org/officeDocument/2006/relationships/hyperlink" Target="https://africanmarketingconfederation.org/smoke-archive/page-2" TargetMode="External" Id="rId4"/><Relationship Type="http://schemas.openxmlformats.org/officeDocument/2006/relationships/hyperlink" Target="https://africanmarketingconfederation.org/smoke-archive/page-3" TargetMode="External" Id="rId5"/><Relationship Type="http://schemas.openxmlformats.org/officeDocument/2006/relationships/hyperlink" Target="https://africanmarketingconfederation.org/smoke-archive/page-4" TargetMode="External" Id="rId6"/><Relationship Type="http://schemas.openxmlformats.org/officeDocument/2006/relationships/hyperlink" Target="https://africanmarketingconfederation.org/smoke-archive/page-5" TargetMode="External" Id="rId7"/><Relationship Type="http://schemas.openxmlformats.org/officeDocument/2006/relationships/hyperlink" Target="https://africanmarketingconfederation.org/smoke-archive/page-6" TargetMode="External" Id="rId8"/><Relationship Type="http://schemas.openxmlformats.org/officeDocument/2006/relationships/hyperlink" Target="https://africanmarketingconfederation.org/smoke-archive/page-7" TargetMode="External" Id="rId9"/><Relationship Type="http://schemas.openxmlformats.org/officeDocument/2006/relationships/hyperlink" Target="https://africanmarketingconfederation.org/smoke-archive/page-8" TargetMode="External" Id="rId10"/><Relationship Type="http://schemas.openxmlformats.org/officeDocument/2006/relationships/hyperlink" Target="https://africanmarketingconfederation.org/smoke-archive/page-9" TargetMode="External" Id="rId11"/><Relationship Type="http://schemas.openxmlformats.org/officeDocument/2006/relationships/hyperlink" Target="https://africanmarketingconfederation.org/smoke-archive/page-10" TargetMode="External" Id="rId12"/><Relationship Type="http://schemas.openxmlformats.org/officeDocument/2006/relationships/hyperlink" Target="https://africanmarketingconfederation.org/smoke-archive/page-11" TargetMode="External" Id="rId13"/><Relationship Type="http://schemas.openxmlformats.org/officeDocument/2006/relationships/hyperlink" Target="https://africanmarketingconfederation.org/smoke-archive/page-12" TargetMode="External" Id="rId14"/><Relationship Type="http://schemas.openxmlformats.org/officeDocument/2006/relationships/hyperlink" Target="https://africanmarketingconfederation.org/smoke-archive/page-13" TargetMode="External" Id="rId15"/><Relationship Type="http://schemas.openxmlformats.org/officeDocument/2006/relationships/hyperlink" Target="https://africanmarketingconfederation.org/smoke-archive/page-14" TargetMode="External" Id="rId16"/><Relationship Type="http://schemas.openxmlformats.org/officeDocument/2006/relationships/hyperlink" Target="https://africanmarketingconfederation.org/smoke-archive/page-15" TargetMode="External" Id="rId17"/><Relationship Type="http://schemas.openxmlformats.org/officeDocument/2006/relationships/hyperlink" Target="https://africanmarketingconfederation.org/smoke-archive/page-16" TargetMode="External" Id="rId18"/><Relationship Type="http://schemas.openxmlformats.org/officeDocument/2006/relationships/hyperlink" Target="https://africanmarketingconfederation.org/smoke-archive/page-17" TargetMode="External" Id="rId19"/><Relationship Type="http://schemas.openxmlformats.org/officeDocument/2006/relationships/hyperlink" Target="https://africanmarketingconfederation.org/smoke-archive/page-18" TargetMode="External" Id="rId20"/><Relationship Type="http://schemas.openxmlformats.org/officeDocument/2006/relationships/hyperlink" Target="https://africanmarketingconfederation.org/smoke-archive/page-19" TargetMode="External" Id="rId21"/><Relationship Type="http://schemas.openxmlformats.org/officeDocument/2006/relationships/hyperlink" Target="https://africanmarketingconfederation.org/smoke-archive/page-20" TargetMode="External" Id="rId22"/><Relationship Type="http://schemas.openxmlformats.org/officeDocument/2006/relationships/hyperlink" Target="https://africanmarketingconfederation.org/smoke-archive/page-21" TargetMode="External" Id="rId23"/><Relationship Type="http://schemas.openxmlformats.org/officeDocument/2006/relationships/hyperlink" Target="https://africanmarketingconfederation.org/smoke-archive/page-22" TargetMode="External" Id="rId24"/><Relationship Type="http://schemas.openxmlformats.org/officeDocument/2006/relationships/hyperlink" Target="https://africanmarketingconfederation.org/smoke-archive/page-23" TargetMode="External" Id="rId25"/><Relationship Type="http://schemas.openxmlformats.org/officeDocument/2006/relationships/hyperlink" Target="https://africanmarketingconfederation.org/smoke-archive/page-24" TargetMode="External" Id="rId26"/><Relationship Type="http://schemas.openxmlformats.org/officeDocument/2006/relationships/hyperlink" Target="https://africanmarketingconfederation.org/smoke-archive/page-25" TargetMode="External" Id="rId27"/><Relationship Type="http://schemas.openxmlformats.org/officeDocument/2006/relationships/hyperlink" Target="https://africanmarketingconfederation.org/smoke-archive/page-26" TargetMode="External" Id="rId28"/><Relationship Type="http://schemas.openxmlformats.org/officeDocument/2006/relationships/hyperlink" Target="https://africanmarketingconfederation.org/smoke-archive/page-27" TargetMode="External" Id="rId29"/><Relationship Type="http://schemas.openxmlformats.org/officeDocument/2006/relationships/hyperlink" Target="https://africanmarketingconfederation.org/smoke-archive/page-28" TargetMode="External" Id="rId30"/><Relationship Type="http://schemas.openxmlformats.org/officeDocument/2006/relationships/hyperlink" Target="https://africanmarketingconfederation.org/smoke-archive/page-29" TargetMode="External" Id="rId31"/><Relationship Type="http://schemas.openxmlformats.org/officeDocument/2006/relationships/hyperlink" Target="https://africanmarketingconfederation.org/smoke-archive/page-30" TargetMode="External" Id="rId32"/><Relationship Type="http://schemas.openxmlformats.org/officeDocument/2006/relationships/hyperlink" Target="https://africanmarketingconfederation.org/smoke-archive/page-31" TargetMode="External" Id="rId33"/><Relationship Type="http://schemas.openxmlformats.org/officeDocument/2006/relationships/hyperlink" Target="https://africanmarketingconfederation.org/smoke-archive/page-32" TargetMode="External" Id="rId34"/><Relationship Type="http://schemas.openxmlformats.org/officeDocument/2006/relationships/hyperlink" Target="https://africanmarketingconfederation.org/smoke-archive/page-33" TargetMode="External" Id="rId35"/><Relationship Type="http://schemas.openxmlformats.org/officeDocument/2006/relationships/hyperlink" Target="https://africanmarketingconfederation.org/smoke-archive/page-34" TargetMode="External" Id="rId36"/><Relationship Type="http://schemas.openxmlformats.org/officeDocument/2006/relationships/hyperlink" Target="https://africanmarketingconfederation.org/smoke-archive/page-35" TargetMode="External" Id="rId37"/><Relationship Type="http://schemas.openxmlformats.org/officeDocument/2006/relationships/hyperlink" Target="https://africanmarketingconfederation.org/smoke-archive/page-36" TargetMode="External" Id="rId38"/><Relationship Type="http://schemas.openxmlformats.org/officeDocument/2006/relationships/hyperlink" Target="https://africanmarketingconfederation.org/smoke-archive/page-37" TargetMode="External" Id="rId39"/><Relationship Type="http://schemas.openxmlformats.org/officeDocument/2006/relationships/hyperlink" Target="https://africanmarketingconfederation.org/smoke-archive/page-38" TargetMode="External" Id="rId40"/><Relationship Type="http://schemas.openxmlformats.org/officeDocument/2006/relationships/hyperlink" Target="https://africanmarketingconfederation.org/smoke-archive/page-39" TargetMode="External" Id="rId41"/><Relationship Type="http://schemas.openxmlformats.org/officeDocument/2006/relationships/hyperlink" Target="https://africanmarketingconfederation.org/smoke-archive/page-40" TargetMode="External" Id="rId42"/><Relationship Type="http://schemas.openxmlformats.org/officeDocument/2006/relationships/hyperlink" Target="https://africanmarketingconfederation.org/smoke-archive/page-41" TargetMode="External" Id="rId43"/><Relationship Type="http://schemas.openxmlformats.org/officeDocument/2006/relationships/hyperlink" Target="https://africanmarketingconfederation.org/smoke-archive/page-42" TargetMode="External" Id="rId44"/><Relationship Type="http://schemas.openxmlformats.org/officeDocument/2006/relationships/hyperlink" Target="https://africanmarketingconfederation.org/smoke-archive/page-43" TargetMode="External" Id="rId45"/><Relationship Type="http://schemas.openxmlformats.org/officeDocument/2006/relationships/hyperlink" Target="https://africanmarketingconfederation.org/smoke-archive/page-44" TargetMode="External" Id="rId46"/><Relationship Type="http://schemas.openxmlformats.org/officeDocument/2006/relationships/hyperlink" Target="https://africanmarketingconfederation.org/smoke-archive/page-45" TargetMode="External" Id="rId47"/><Relationship Type="http://schemas.openxmlformats.org/officeDocument/2006/relationships/hyperlink" Target="https://africanmarketingconfederation.org/smoke-archive/page-46" TargetMode="External" Id="rId48"/><Relationship Type="http://schemas.openxmlformats.org/officeDocument/2006/relationships/hyperlink" Target="https://africanmarketingconfederation.org/smoke-archive/page-47" TargetMode="External" Id="rId49"/><Relationship Type="http://schemas.openxmlformats.org/officeDocument/2006/relationships/hyperlink" Target="https://africanmarketingconfederation.org/smoke-archive/page-48" TargetMode="External" Id="rId50"/><Relationship Type="http://schemas.openxmlformats.org/officeDocument/2006/relationships/hyperlink" Target="https://africanmarketingconfederation.org/smoke-archive/page-49" TargetMode="External" Id="rId51"/><Relationship Type="http://schemas.openxmlformats.org/officeDocument/2006/relationships/hyperlink" Target="https://africanmarketingconfederation.org/smoke-archive/page-50" TargetMode="External" Id="rId52"/><Relationship Type="http://schemas.openxmlformats.org/officeDocument/2006/relationships/hyperlink" Target="https://africanmarketingconfederation.org/smoke-archive/page-51" TargetMode="External" Id="rId53"/><Relationship Type="http://schemas.openxmlformats.org/officeDocument/2006/relationships/hyperlink" Target="https://africanmarketingconfederation.org/smoke-archive/page-52" TargetMode="External" Id="rId54"/><Relationship Type="http://schemas.openxmlformats.org/officeDocument/2006/relationships/hyperlink" Target="https://africanmarketingconfederation.org/smoke-archive/page-53" TargetMode="External" Id="rId55"/><Relationship Type="http://schemas.openxmlformats.org/officeDocument/2006/relationships/hyperlink" Target="https://africanmarketingconfederation.org/smoke-archive/page-54" TargetMode="External" Id="rId56"/><Relationship Type="http://schemas.openxmlformats.org/officeDocument/2006/relationships/hyperlink" Target="https://africanmarketingconfederation.org/smoke-archive/page-55" TargetMode="External" Id="rId57"/><Relationship Type="http://schemas.openxmlformats.org/officeDocument/2006/relationships/hyperlink" Target="https://africanmarketingconfederation.org/smoke-archive/page-56" TargetMode="External" Id="rId58"/><Relationship Type="http://schemas.openxmlformats.org/officeDocument/2006/relationships/hyperlink" Target="https://africanmarketingconfederation.org/smoke-archive/page-57" TargetMode="External" Id="rId59"/><Relationship Type="http://schemas.openxmlformats.org/officeDocument/2006/relationships/hyperlink" Target="https://africanmarketingconfederation.org/smoke-archive/page-58" TargetMode="External" Id="rId60"/><Relationship Type="http://schemas.openxmlformats.org/officeDocument/2006/relationships/hyperlink" Target="https://africanmarketingconfederation.org/smoke-archive/page-59" TargetMode="External" Id="rId61"/><Relationship Type="http://schemas.openxmlformats.org/officeDocument/2006/relationships/hyperlink" Target="https://africanmarketingconfederation.org/smoke-archive/page-60" TargetMode="External" Id="rId62"/><Relationship Type="http://schemas.openxmlformats.org/officeDocument/2006/relationships/hyperlink" Target="https://africanmarketingconfederation.org/smoke-archive/page-61" TargetMode="External" Id="rId63"/><Relationship Type="http://schemas.openxmlformats.org/officeDocument/2006/relationships/hyperlink" Target="https://africanmarketingconfederation.org/smoke-archive/page-62" TargetMode="External" Id="rId64"/><Relationship Type="http://schemas.openxmlformats.org/officeDocument/2006/relationships/hyperlink" Target="https://africanmarketingconfederation.org/smoke-archive/page-63" TargetMode="External" Id="rId65"/><Relationship Type="http://schemas.openxmlformats.org/officeDocument/2006/relationships/hyperlink" Target="https://africanmarketingconfederation.org/smoke-archive/page-64" TargetMode="External" Id="rId66"/><Relationship Type="http://schemas.openxmlformats.org/officeDocument/2006/relationships/hyperlink" Target="https://africanmarketingconfederation.org/smoke-archive/page-65" TargetMode="External" Id="rId67"/><Relationship Type="http://schemas.openxmlformats.org/officeDocument/2006/relationships/hyperlink" Target="https://africanmarketingconfederation.org/smoke-archive/page-66" TargetMode="External" Id="rId68"/><Relationship Type="http://schemas.openxmlformats.org/officeDocument/2006/relationships/hyperlink" Target="https://africanmarketingconfederation.org/smoke-archive/page-67" TargetMode="External" Id="rId69"/><Relationship Type="http://schemas.openxmlformats.org/officeDocument/2006/relationships/hyperlink" Target="https://africanmarketingconfederation.org/smoke-archive/page-68" TargetMode="External" Id="rId70"/><Relationship Type="http://schemas.openxmlformats.org/officeDocument/2006/relationships/hyperlink" Target="https://africanmarketingconfederation.org/smoke-archive/page-69" TargetMode="External" Id="rId71"/><Relationship Type="http://schemas.openxmlformats.org/officeDocument/2006/relationships/hyperlink" Target="https://africanmarketingconfederation.org/smoke-archive/page-70" TargetMode="External" Id="rId72"/><Relationship Type="http://schemas.openxmlformats.org/officeDocument/2006/relationships/hyperlink" Target="https://africanmarketingconfederation.org/smoke-archive/page-71" TargetMode="External" Id="rId73"/><Relationship Type="http://schemas.openxmlformats.org/officeDocument/2006/relationships/hyperlink" Target="https://africanmarketingconfederation.org/smoke-archive/page-72" TargetMode="External" Id="rId74"/><Relationship Type="http://schemas.openxmlformats.org/officeDocument/2006/relationships/hyperlink" Target="https://africanmarketingconfederation.org/smoke-archive/page-73" TargetMode="External" Id="rId75"/><Relationship Type="http://schemas.openxmlformats.org/officeDocument/2006/relationships/hyperlink" Target="https://africanmarketingconfederation.org/smoke-archive/page-74" TargetMode="External" Id="rId76"/><Relationship Type="http://schemas.openxmlformats.org/officeDocument/2006/relationships/hyperlink" Target="https://africanmarketingconfederation.org/smoke-archive/page-75" TargetMode="External" Id="rId77"/><Relationship Type="http://schemas.openxmlformats.org/officeDocument/2006/relationships/hyperlink" Target="https://africanmarketingconfederation.org/smoke-archive/page-76" TargetMode="External" Id="rId78"/><Relationship Type="http://schemas.openxmlformats.org/officeDocument/2006/relationships/hyperlink" Target="https://africanmarketingconfederation.org/smoke-archive/page-77" TargetMode="External" Id="rId79"/><Relationship Type="http://schemas.openxmlformats.org/officeDocument/2006/relationships/hyperlink" Target="https://africanmarketingconfederation.org/smoke-archive/page-78" TargetMode="External" Id="rId80"/><Relationship Type="http://schemas.openxmlformats.org/officeDocument/2006/relationships/hyperlink" Target="https://africanmarketingconfederation.org/smoke-archive/page-79" TargetMode="External" Id="rId81"/><Relationship Type="http://schemas.openxmlformats.org/officeDocument/2006/relationships/hyperlink" Target="https://africanmarketingconfederation.org/discovered-via-bfs-1" TargetMode="External" Id="rId82"/><Relationship Type="http://schemas.openxmlformats.org/officeDocument/2006/relationships/hyperlink" Target="https://africanmarketingconfederation.org/discovered-via-bfs-2" TargetMode="External" Id="rId83"/><Relationship Type="http://schemas.openxmlformats.org/officeDocument/2006/relationships/hyperlink" Target="https://africanmarketingconfederation.org/discovered-via-bfs-3" TargetMode="External" Id="rId84"/><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smoke-archive/page-1" TargetMode="External" Id="rId3"/><Relationship Type="http://schemas.openxmlformats.org/officeDocument/2006/relationships/hyperlink" Target="https://africanmarketingconfederation.org/smoke-archive/page-2" TargetMode="External" Id="rId4"/><Relationship Type="http://schemas.openxmlformats.org/officeDocument/2006/relationships/hyperlink" Target="https://africanmarketingconfederation.org/smoke-archive/page-3" TargetMode="External" Id="rId5"/><Relationship Type="http://schemas.openxmlformats.org/officeDocument/2006/relationships/hyperlink" Target="https://africanmarketingconfederation.org/smoke-archive/page-4" TargetMode="External" Id="rId6"/><Relationship Type="http://schemas.openxmlformats.org/officeDocument/2006/relationships/hyperlink" Target="https://africanmarketingconfederation.org/smoke-archive/page-5" TargetMode="External" Id="rId7"/><Relationship Type="http://schemas.openxmlformats.org/officeDocument/2006/relationships/hyperlink" Target="https://africanmarketingconfederation.org/smoke-archive/page-6" TargetMode="External" Id="rId8"/><Relationship Type="http://schemas.openxmlformats.org/officeDocument/2006/relationships/hyperlink" Target="https://africanmarketingconfederation.org/smoke-archive/page-7" TargetMode="External" Id="rId9"/><Relationship Type="http://schemas.openxmlformats.org/officeDocument/2006/relationships/hyperlink" Target="https://africanmarketingconfederation.org/smoke-archive/page-8" TargetMode="External" Id="rId10"/><Relationship Type="http://schemas.openxmlformats.org/officeDocument/2006/relationships/hyperlink" Target="https://africanmarketingconfederation.org/smoke-archive/page-9" TargetMode="External" Id="rId11"/><Relationship Type="http://schemas.openxmlformats.org/officeDocument/2006/relationships/hyperlink" Target="https://africanmarketingconfederation.org/smoke-archive/page-10" TargetMode="External" Id="rId12"/><Relationship Type="http://schemas.openxmlformats.org/officeDocument/2006/relationships/hyperlink" Target="https://africanmarketingconfederation.org/smoke-archive/page-11" TargetMode="External" Id="rId13"/><Relationship Type="http://schemas.openxmlformats.org/officeDocument/2006/relationships/hyperlink" Target="https://africanmarketingconfederation.org/smoke-archive/page-12" TargetMode="External" Id="rId14"/><Relationship Type="http://schemas.openxmlformats.org/officeDocument/2006/relationships/hyperlink" Target="https://africanmarketingconfederation.org/smoke-archive/page-13" TargetMode="External" Id="rId15"/><Relationship Type="http://schemas.openxmlformats.org/officeDocument/2006/relationships/hyperlink" Target="https://africanmarketingconfederation.org/smoke-archive/page-14" TargetMode="External" Id="rId16"/><Relationship Type="http://schemas.openxmlformats.org/officeDocument/2006/relationships/hyperlink" Target="https://africanmarketingconfederation.org/smoke-archive/page-15" TargetMode="External" Id="rId17"/><Relationship Type="http://schemas.openxmlformats.org/officeDocument/2006/relationships/hyperlink" Target="https://africanmarketingconfederation.org/smoke-archive/page-16" TargetMode="External" Id="rId18"/><Relationship Type="http://schemas.openxmlformats.org/officeDocument/2006/relationships/hyperlink" Target="https://africanmarketingconfederation.org/smoke-archive/page-17" TargetMode="External" Id="rId19"/><Relationship Type="http://schemas.openxmlformats.org/officeDocument/2006/relationships/hyperlink" Target="https://africanmarketingconfederation.org/smoke-archive/page-18" TargetMode="External" Id="rId20"/><Relationship Type="http://schemas.openxmlformats.org/officeDocument/2006/relationships/hyperlink" Target="https://africanmarketingconfederation.org/smoke-archive/page-19" TargetMode="External" Id="rId21"/><Relationship Type="http://schemas.openxmlformats.org/officeDocument/2006/relationships/hyperlink" Target="https://africanmarketingconfederation.org/smoke-archive/page-20" TargetMode="External" Id="rId22"/><Relationship Type="http://schemas.openxmlformats.org/officeDocument/2006/relationships/hyperlink" Target="https://africanmarketingconfederation.org/smoke-archive/page-21" TargetMode="External" Id="rId23"/><Relationship Type="http://schemas.openxmlformats.org/officeDocument/2006/relationships/hyperlink" Target="https://africanmarketingconfederation.org/smoke-archive/page-22" TargetMode="External" Id="rId24"/><Relationship Type="http://schemas.openxmlformats.org/officeDocument/2006/relationships/hyperlink" Target="https://africanmarketingconfederation.org/smoke-archive/page-23" TargetMode="External" Id="rId25"/><Relationship Type="http://schemas.openxmlformats.org/officeDocument/2006/relationships/hyperlink" Target="https://africanmarketingconfederation.org/smoke-archive/page-24" TargetMode="External" Id="rId26"/><Relationship Type="http://schemas.openxmlformats.org/officeDocument/2006/relationships/hyperlink" Target="https://africanmarketingconfederation.org/smoke-archive/page-25" TargetMode="External" Id="rId27"/><Relationship Type="http://schemas.openxmlformats.org/officeDocument/2006/relationships/hyperlink" Target="https://africanmarketingconfederation.org/smoke-archive/page-26" TargetMode="External" Id="rId28"/><Relationship Type="http://schemas.openxmlformats.org/officeDocument/2006/relationships/hyperlink" Target="https://africanmarketingconfederation.org/smoke-archive/page-27" TargetMode="External" Id="rId29"/><Relationship Type="http://schemas.openxmlformats.org/officeDocument/2006/relationships/hyperlink" Target="https://africanmarketingconfederation.org/smoke-archive/page-28" TargetMode="External" Id="rId30"/><Relationship Type="http://schemas.openxmlformats.org/officeDocument/2006/relationships/hyperlink" Target="https://africanmarketingconfederation.org/smoke-archive/page-29" TargetMode="External" Id="rId31"/><Relationship Type="http://schemas.openxmlformats.org/officeDocument/2006/relationships/hyperlink" Target="https://africanmarketingconfederation.org/smoke-archive/page-30" TargetMode="External" Id="rId32"/><Relationship Type="http://schemas.openxmlformats.org/officeDocument/2006/relationships/hyperlink" Target="https://africanmarketingconfederation.org/smoke-archive/page-31" TargetMode="External" Id="rId33"/><Relationship Type="http://schemas.openxmlformats.org/officeDocument/2006/relationships/hyperlink" Target="https://africanmarketingconfederation.org/smoke-archive/page-32" TargetMode="External" Id="rId34"/><Relationship Type="http://schemas.openxmlformats.org/officeDocument/2006/relationships/hyperlink" Target="https://africanmarketingconfederation.org/smoke-archive/page-33" TargetMode="External" Id="rId35"/><Relationship Type="http://schemas.openxmlformats.org/officeDocument/2006/relationships/hyperlink" Target="https://africanmarketingconfederation.org/smoke-archive/page-34" TargetMode="External" Id="rId36"/><Relationship Type="http://schemas.openxmlformats.org/officeDocument/2006/relationships/hyperlink" Target="https://africanmarketingconfederation.org/smoke-archive/page-35" TargetMode="External" Id="rId37"/><Relationship Type="http://schemas.openxmlformats.org/officeDocument/2006/relationships/hyperlink" Target="https://africanmarketingconfederation.org/smoke-archive/page-36" TargetMode="External" Id="rId38"/><Relationship Type="http://schemas.openxmlformats.org/officeDocument/2006/relationships/hyperlink" Target="https://africanmarketingconfederation.org/smoke-archive/page-37" TargetMode="External" Id="rId39"/><Relationship Type="http://schemas.openxmlformats.org/officeDocument/2006/relationships/hyperlink" Target="https://africanmarketingconfederation.org/smoke-archive/page-38" TargetMode="External" Id="rId40"/><Relationship Type="http://schemas.openxmlformats.org/officeDocument/2006/relationships/hyperlink" Target="https://africanmarketingconfederation.org/smoke-archive/page-39" TargetMode="External" Id="rId41"/><Relationship Type="http://schemas.openxmlformats.org/officeDocument/2006/relationships/hyperlink" Target="https://africanmarketingconfederation.org/smoke-archive/page-40" TargetMode="External" Id="rId42"/><Relationship Type="http://schemas.openxmlformats.org/officeDocument/2006/relationships/hyperlink" Target="https://africanmarketingconfederation.org/smoke-archive/page-41" TargetMode="External" Id="rId43"/><Relationship Type="http://schemas.openxmlformats.org/officeDocument/2006/relationships/hyperlink" Target="https://africanmarketingconfederation.org/smoke-archive/page-42" TargetMode="External" Id="rId44"/><Relationship Type="http://schemas.openxmlformats.org/officeDocument/2006/relationships/hyperlink" Target="https://africanmarketingconfederation.org/smoke-archive/page-43" TargetMode="External" Id="rId45"/><Relationship Type="http://schemas.openxmlformats.org/officeDocument/2006/relationships/hyperlink" Target="https://africanmarketingconfederation.org/smoke-archive/page-44" TargetMode="External" Id="rId46"/><Relationship Type="http://schemas.openxmlformats.org/officeDocument/2006/relationships/hyperlink" Target="https://africanmarketingconfederation.org/smoke-archive/page-45" TargetMode="External" Id="rId47"/><Relationship Type="http://schemas.openxmlformats.org/officeDocument/2006/relationships/hyperlink" Target="https://africanmarketingconfederation.org/smoke-archive/page-46" TargetMode="External" Id="rId48"/><Relationship Type="http://schemas.openxmlformats.org/officeDocument/2006/relationships/hyperlink" Target="https://africanmarketingconfederation.org/smoke-archive/page-47" TargetMode="External" Id="rId49"/><Relationship Type="http://schemas.openxmlformats.org/officeDocument/2006/relationships/hyperlink" Target="https://africanmarketingconfederation.org/smoke-archive/page-48" TargetMode="External" Id="rId50"/><Relationship Type="http://schemas.openxmlformats.org/officeDocument/2006/relationships/hyperlink" Target="https://africanmarketingconfederation.org/smoke-archive/page-49" TargetMode="External" Id="rId51"/><Relationship Type="http://schemas.openxmlformats.org/officeDocument/2006/relationships/hyperlink" Target="https://africanmarketingconfederation.org/smoke-archive/page-50" TargetMode="External" Id="rId52"/><Relationship Type="http://schemas.openxmlformats.org/officeDocument/2006/relationships/hyperlink" Target="https://africanmarketingconfederation.org/smoke-archive/page-51" TargetMode="External" Id="rId53"/><Relationship Type="http://schemas.openxmlformats.org/officeDocument/2006/relationships/hyperlink" Target="https://africanmarketingconfederation.org/smoke-archive/page-52" TargetMode="External" Id="rId54"/><Relationship Type="http://schemas.openxmlformats.org/officeDocument/2006/relationships/hyperlink" Target="https://africanmarketingconfederation.org/smoke-archive/page-53" TargetMode="External" Id="rId55"/><Relationship Type="http://schemas.openxmlformats.org/officeDocument/2006/relationships/hyperlink" Target="https://africanmarketingconfederation.org/smoke-archive/page-54" TargetMode="External" Id="rId56"/><Relationship Type="http://schemas.openxmlformats.org/officeDocument/2006/relationships/hyperlink" Target="https://africanmarketingconfederation.org/smoke-archive/page-55" TargetMode="External" Id="rId57"/><Relationship Type="http://schemas.openxmlformats.org/officeDocument/2006/relationships/hyperlink" Target="https://africanmarketingconfederation.org/smoke-archive/page-56" TargetMode="External" Id="rId58"/><Relationship Type="http://schemas.openxmlformats.org/officeDocument/2006/relationships/hyperlink" Target="https://africanmarketingconfederation.org/smoke-archive/page-57" TargetMode="External" Id="rId59"/><Relationship Type="http://schemas.openxmlformats.org/officeDocument/2006/relationships/hyperlink" Target="https://africanmarketingconfederation.org/smoke-archive/page-58" TargetMode="External" Id="rId60"/><Relationship Type="http://schemas.openxmlformats.org/officeDocument/2006/relationships/hyperlink" Target="https://africanmarketingconfederation.org/smoke-archive/page-59" TargetMode="External" Id="rId61"/><Relationship Type="http://schemas.openxmlformats.org/officeDocument/2006/relationships/hyperlink" Target="https://africanmarketingconfederation.org/smoke-archive/page-60" TargetMode="External" Id="rId62"/><Relationship Type="http://schemas.openxmlformats.org/officeDocument/2006/relationships/hyperlink" Target="https://africanmarketingconfederation.org/smoke-archive/page-61" TargetMode="External" Id="rId63"/><Relationship Type="http://schemas.openxmlformats.org/officeDocument/2006/relationships/hyperlink" Target="https://africanmarketingconfederation.org/smoke-archive/page-62" TargetMode="External" Id="rId64"/><Relationship Type="http://schemas.openxmlformats.org/officeDocument/2006/relationships/hyperlink" Target="https://africanmarketingconfederation.org/smoke-archive/page-63" TargetMode="External" Id="rId65"/><Relationship Type="http://schemas.openxmlformats.org/officeDocument/2006/relationships/hyperlink" Target="https://africanmarketingconfederation.org/smoke-archive/page-64" TargetMode="External" Id="rId66"/><Relationship Type="http://schemas.openxmlformats.org/officeDocument/2006/relationships/hyperlink" Target="https://africanmarketingconfederation.org/smoke-archive/page-65" TargetMode="External" Id="rId67"/><Relationship Type="http://schemas.openxmlformats.org/officeDocument/2006/relationships/hyperlink" Target="https://africanmarketingconfederation.org/smoke-archive/page-66" TargetMode="External" Id="rId68"/><Relationship Type="http://schemas.openxmlformats.org/officeDocument/2006/relationships/hyperlink" Target="https://africanmarketingconfederation.org/smoke-archive/page-67" TargetMode="External" Id="rId69"/><Relationship Type="http://schemas.openxmlformats.org/officeDocument/2006/relationships/hyperlink" Target="https://africanmarketingconfederation.org/smoke-archive/page-68" TargetMode="External" Id="rId70"/><Relationship Type="http://schemas.openxmlformats.org/officeDocument/2006/relationships/hyperlink" Target="https://africanmarketingconfederation.org/smoke-archive/page-69" TargetMode="External" Id="rId71"/><Relationship Type="http://schemas.openxmlformats.org/officeDocument/2006/relationships/hyperlink" Target="https://africanmarketingconfederation.org/smoke-archive/page-70" TargetMode="External" Id="rId72"/><Relationship Type="http://schemas.openxmlformats.org/officeDocument/2006/relationships/hyperlink" Target="https://africanmarketingconfederation.org/smoke-archive/page-71" TargetMode="External" Id="rId73"/><Relationship Type="http://schemas.openxmlformats.org/officeDocument/2006/relationships/hyperlink" Target="https://africanmarketingconfederation.org/smoke-archive/page-72" TargetMode="External" Id="rId74"/><Relationship Type="http://schemas.openxmlformats.org/officeDocument/2006/relationships/hyperlink" Target="https://africanmarketingconfederation.org/smoke-archive/page-73" TargetMode="External" Id="rId75"/><Relationship Type="http://schemas.openxmlformats.org/officeDocument/2006/relationships/hyperlink" Target="https://africanmarketingconfederation.org/smoke-archive/page-74" TargetMode="External" Id="rId76"/><Relationship Type="http://schemas.openxmlformats.org/officeDocument/2006/relationships/hyperlink" Target="https://africanmarketingconfederation.org/smoke-archive/page-75" TargetMode="External" Id="rId77"/><Relationship Type="http://schemas.openxmlformats.org/officeDocument/2006/relationships/hyperlink" Target="https://africanmarketingconfederation.org/smoke-archive/page-76" TargetMode="External" Id="rId78"/><Relationship Type="http://schemas.openxmlformats.org/officeDocument/2006/relationships/hyperlink" Target="https://africanmarketingconfederation.org/smoke-archive/page-77" TargetMode="External" Id="rId79"/><Relationship Type="http://schemas.openxmlformats.org/officeDocument/2006/relationships/hyperlink" Target="https://africanmarketingconfederation.org/smoke-archive/page-78" TargetMode="External" Id="rId80"/><Relationship Type="http://schemas.openxmlformats.org/officeDocument/2006/relationships/hyperlink" Target="https://africanmarketingconfederation.org/smoke-archive/page-79" TargetMode="External" Id="rId81"/><Relationship Type="http://schemas.openxmlformats.org/officeDocument/2006/relationships/hyperlink" Target="https://africanmarketingconfederation.org/discovered-via-bfs-1" TargetMode="External" Id="rId82"/><Relationship Type="http://schemas.openxmlformats.org/officeDocument/2006/relationships/hyperlink" Target="https://africanmarketingconfederation.org/discovered-via-bfs-2" TargetMode="External" Id="rId83"/><Relationship Type="http://schemas.openxmlformats.org/officeDocument/2006/relationships/hyperlink" Target="https://africanmarketingconfederation.org/discovered-via-bfs-3" TargetMode="External" Id="rId84"/><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smoke-archive/page-1" TargetMode="External" Id="rId3"/><Relationship Type="http://schemas.openxmlformats.org/officeDocument/2006/relationships/hyperlink" Target="https://africanmarketingconfederation.org/smoke-archive/page-2" TargetMode="External" Id="rId4"/><Relationship Type="http://schemas.openxmlformats.org/officeDocument/2006/relationships/hyperlink" Target="https://africanmarketingconfederation.org/smoke-archive/page-3" TargetMode="External" Id="rId5"/><Relationship Type="http://schemas.openxmlformats.org/officeDocument/2006/relationships/hyperlink" Target="https://africanmarketingconfederation.org/smoke-archive/page-4" TargetMode="External" Id="rId6"/><Relationship Type="http://schemas.openxmlformats.org/officeDocument/2006/relationships/hyperlink" Target="https://africanmarketingconfederation.org/smoke-archive/page-5" TargetMode="External" Id="rId7"/><Relationship Type="http://schemas.openxmlformats.org/officeDocument/2006/relationships/hyperlink" Target="https://africanmarketingconfederation.org/smoke-archive/page-6" TargetMode="External" Id="rId8"/><Relationship Type="http://schemas.openxmlformats.org/officeDocument/2006/relationships/hyperlink" Target="https://africanmarketingconfederation.org/smoke-archive/page-7" TargetMode="External" Id="rId9"/><Relationship Type="http://schemas.openxmlformats.org/officeDocument/2006/relationships/hyperlink" Target="https://africanmarketingconfederation.org/smoke-archive/page-8" TargetMode="External" Id="rId10"/><Relationship Type="http://schemas.openxmlformats.org/officeDocument/2006/relationships/hyperlink" Target="https://africanmarketingconfederation.org/smoke-archive/page-9" TargetMode="External" Id="rId11"/><Relationship Type="http://schemas.openxmlformats.org/officeDocument/2006/relationships/hyperlink" Target="https://africanmarketingconfederation.org/smoke-archive/page-10" TargetMode="External" Id="rId12"/><Relationship Type="http://schemas.openxmlformats.org/officeDocument/2006/relationships/hyperlink" Target="https://africanmarketingconfederation.org/smoke-archive/page-11" TargetMode="External" Id="rId13"/><Relationship Type="http://schemas.openxmlformats.org/officeDocument/2006/relationships/hyperlink" Target="https://africanmarketingconfederation.org/smoke-archive/page-12" TargetMode="External" Id="rId14"/><Relationship Type="http://schemas.openxmlformats.org/officeDocument/2006/relationships/hyperlink" Target="https://africanmarketingconfederation.org/smoke-archive/page-13" TargetMode="External" Id="rId15"/><Relationship Type="http://schemas.openxmlformats.org/officeDocument/2006/relationships/hyperlink" Target="https://africanmarketingconfederation.org/smoke-archive/page-14" TargetMode="External" Id="rId16"/><Relationship Type="http://schemas.openxmlformats.org/officeDocument/2006/relationships/hyperlink" Target="https://africanmarketingconfederation.org/smoke-archive/page-15" TargetMode="External" Id="rId17"/><Relationship Type="http://schemas.openxmlformats.org/officeDocument/2006/relationships/hyperlink" Target="https://africanmarketingconfederation.org/smoke-archive/page-16" TargetMode="External" Id="rId18"/><Relationship Type="http://schemas.openxmlformats.org/officeDocument/2006/relationships/hyperlink" Target="https://africanmarketingconfederation.org/smoke-archive/page-17" TargetMode="External" Id="rId19"/><Relationship Type="http://schemas.openxmlformats.org/officeDocument/2006/relationships/hyperlink" Target="https://africanmarketingconfederation.org/smoke-archive/page-18" TargetMode="External" Id="rId20"/><Relationship Type="http://schemas.openxmlformats.org/officeDocument/2006/relationships/hyperlink" Target="https://africanmarketingconfederation.org/smoke-archive/page-19" TargetMode="External" Id="rId21"/><Relationship Type="http://schemas.openxmlformats.org/officeDocument/2006/relationships/hyperlink" Target="https://africanmarketingconfederation.org/smoke-archive/page-20" TargetMode="External" Id="rId22"/><Relationship Type="http://schemas.openxmlformats.org/officeDocument/2006/relationships/hyperlink" Target="https://africanmarketingconfederation.org/smoke-archive/page-21" TargetMode="External" Id="rId23"/><Relationship Type="http://schemas.openxmlformats.org/officeDocument/2006/relationships/hyperlink" Target="https://africanmarketingconfederation.org/smoke-archive/page-22" TargetMode="External" Id="rId24"/><Relationship Type="http://schemas.openxmlformats.org/officeDocument/2006/relationships/hyperlink" Target="https://africanmarketingconfederation.org/smoke-archive/page-23" TargetMode="External" Id="rId25"/><Relationship Type="http://schemas.openxmlformats.org/officeDocument/2006/relationships/hyperlink" Target="https://africanmarketingconfederation.org/smoke-archive/page-24" TargetMode="External" Id="rId26"/><Relationship Type="http://schemas.openxmlformats.org/officeDocument/2006/relationships/hyperlink" Target="https://africanmarketingconfederation.org/smoke-archive/page-25" TargetMode="External" Id="rId27"/><Relationship Type="http://schemas.openxmlformats.org/officeDocument/2006/relationships/hyperlink" Target="https://africanmarketingconfederation.org/smoke-archive/page-26" TargetMode="External" Id="rId28"/><Relationship Type="http://schemas.openxmlformats.org/officeDocument/2006/relationships/hyperlink" Target="https://africanmarketingconfederation.org/smoke-archive/page-27" TargetMode="External" Id="rId29"/><Relationship Type="http://schemas.openxmlformats.org/officeDocument/2006/relationships/hyperlink" Target="https://africanmarketingconfederation.org/smoke-archive/page-28" TargetMode="External" Id="rId30"/><Relationship Type="http://schemas.openxmlformats.org/officeDocument/2006/relationships/hyperlink" Target="https://africanmarketingconfederation.org/smoke-archive/page-29" TargetMode="External" Id="rId31"/><Relationship Type="http://schemas.openxmlformats.org/officeDocument/2006/relationships/hyperlink" Target="https://africanmarketingconfederation.org/smoke-archive/page-30" TargetMode="External" Id="rId32"/><Relationship Type="http://schemas.openxmlformats.org/officeDocument/2006/relationships/hyperlink" Target="https://africanmarketingconfederation.org/smoke-archive/page-31" TargetMode="External" Id="rId33"/><Relationship Type="http://schemas.openxmlformats.org/officeDocument/2006/relationships/hyperlink" Target="https://africanmarketingconfederation.org/smoke-archive/page-32" TargetMode="External" Id="rId34"/><Relationship Type="http://schemas.openxmlformats.org/officeDocument/2006/relationships/hyperlink" Target="https://africanmarketingconfederation.org/smoke-archive/page-33" TargetMode="External" Id="rId35"/><Relationship Type="http://schemas.openxmlformats.org/officeDocument/2006/relationships/hyperlink" Target="https://africanmarketingconfederation.org/smoke-archive/page-34" TargetMode="External" Id="rId36"/><Relationship Type="http://schemas.openxmlformats.org/officeDocument/2006/relationships/hyperlink" Target="https://africanmarketingconfederation.org/smoke-archive/page-35" TargetMode="External" Id="rId37"/><Relationship Type="http://schemas.openxmlformats.org/officeDocument/2006/relationships/hyperlink" Target="https://africanmarketingconfederation.org/smoke-archive/page-36" TargetMode="External" Id="rId38"/><Relationship Type="http://schemas.openxmlformats.org/officeDocument/2006/relationships/hyperlink" Target="https://africanmarketingconfederation.org/smoke-archive/page-37" TargetMode="External" Id="rId39"/><Relationship Type="http://schemas.openxmlformats.org/officeDocument/2006/relationships/hyperlink" Target="https://africanmarketingconfederation.org/smoke-archive/page-38" TargetMode="External" Id="rId40"/><Relationship Type="http://schemas.openxmlformats.org/officeDocument/2006/relationships/hyperlink" Target="https://africanmarketingconfederation.org/smoke-archive/page-39" TargetMode="External" Id="rId41"/><Relationship Type="http://schemas.openxmlformats.org/officeDocument/2006/relationships/hyperlink" Target="https://africanmarketingconfederation.org/smoke-archive/page-40" TargetMode="External" Id="rId42"/><Relationship Type="http://schemas.openxmlformats.org/officeDocument/2006/relationships/hyperlink" Target="https://africanmarketingconfederation.org/smoke-archive/page-41" TargetMode="External" Id="rId43"/><Relationship Type="http://schemas.openxmlformats.org/officeDocument/2006/relationships/hyperlink" Target="https://africanmarketingconfederation.org/smoke-archive/page-42" TargetMode="External" Id="rId44"/><Relationship Type="http://schemas.openxmlformats.org/officeDocument/2006/relationships/hyperlink" Target="https://africanmarketingconfederation.org/smoke-archive/page-43" TargetMode="External" Id="rId45"/><Relationship Type="http://schemas.openxmlformats.org/officeDocument/2006/relationships/hyperlink" Target="https://africanmarketingconfederation.org/smoke-archive/page-44" TargetMode="External" Id="rId46"/><Relationship Type="http://schemas.openxmlformats.org/officeDocument/2006/relationships/hyperlink" Target="https://africanmarketingconfederation.org/smoke-archive/page-45" TargetMode="External" Id="rId47"/><Relationship Type="http://schemas.openxmlformats.org/officeDocument/2006/relationships/hyperlink" Target="https://africanmarketingconfederation.org/smoke-archive/page-46" TargetMode="External" Id="rId48"/><Relationship Type="http://schemas.openxmlformats.org/officeDocument/2006/relationships/hyperlink" Target="https://africanmarketingconfederation.org/smoke-archive/page-47" TargetMode="External" Id="rId49"/><Relationship Type="http://schemas.openxmlformats.org/officeDocument/2006/relationships/hyperlink" Target="https://africanmarketingconfederation.org/smoke-archive/page-48" TargetMode="External" Id="rId50"/><Relationship Type="http://schemas.openxmlformats.org/officeDocument/2006/relationships/hyperlink" Target="https://africanmarketingconfederation.org/smoke-archive/page-49" TargetMode="External" Id="rId51"/><Relationship Type="http://schemas.openxmlformats.org/officeDocument/2006/relationships/hyperlink" Target="https://africanmarketingconfederation.org/smoke-archive/page-50" TargetMode="External" Id="rId52"/><Relationship Type="http://schemas.openxmlformats.org/officeDocument/2006/relationships/hyperlink" Target="https://africanmarketingconfederation.org/smoke-archive/page-51" TargetMode="External" Id="rId53"/><Relationship Type="http://schemas.openxmlformats.org/officeDocument/2006/relationships/hyperlink" Target="https://africanmarketingconfederation.org/smoke-archive/page-52" TargetMode="External" Id="rId54"/><Relationship Type="http://schemas.openxmlformats.org/officeDocument/2006/relationships/hyperlink" Target="https://africanmarketingconfederation.org/smoke-archive/page-53" TargetMode="External" Id="rId55"/><Relationship Type="http://schemas.openxmlformats.org/officeDocument/2006/relationships/hyperlink" Target="https://africanmarketingconfederation.org/smoke-archive/page-54" TargetMode="External" Id="rId56"/><Relationship Type="http://schemas.openxmlformats.org/officeDocument/2006/relationships/hyperlink" Target="https://africanmarketingconfederation.org/smoke-archive/page-55" TargetMode="External" Id="rId57"/><Relationship Type="http://schemas.openxmlformats.org/officeDocument/2006/relationships/hyperlink" Target="https://africanmarketingconfederation.org/smoke-archive/page-56" TargetMode="External" Id="rId58"/><Relationship Type="http://schemas.openxmlformats.org/officeDocument/2006/relationships/hyperlink" Target="https://africanmarketingconfederation.org/smoke-archive/page-57" TargetMode="External" Id="rId59"/><Relationship Type="http://schemas.openxmlformats.org/officeDocument/2006/relationships/hyperlink" Target="https://africanmarketingconfederation.org/smoke-archive/page-58" TargetMode="External" Id="rId60"/><Relationship Type="http://schemas.openxmlformats.org/officeDocument/2006/relationships/hyperlink" Target="https://africanmarketingconfederation.org/smoke-archive/page-59" TargetMode="External" Id="rId61"/><Relationship Type="http://schemas.openxmlformats.org/officeDocument/2006/relationships/hyperlink" Target="https://africanmarketingconfederation.org/smoke-archive/page-60" TargetMode="External" Id="rId62"/><Relationship Type="http://schemas.openxmlformats.org/officeDocument/2006/relationships/hyperlink" Target="https://africanmarketingconfederation.org/smoke-archive/page-61" TargetMode="External" Id="rId63"/><Relationship Type="http://schemas.openxmlformats.org/officeDocument/2006/relationships/hyperlink" Target="https://africanmarketingconfederation.org/smoke-archive/page-62" TargetMode="External" Id="rId64"/><Relationship Type="http://schemas.openxmlformats.org/officeDocument/2006/relationships/hyperlink" Target="https://africanmarketingconfederation.org/smoke-archive/page-63" TargetMode="External" Id="rId65"/><Relationship Type="http://schemas.openxmlformats.org/officeDocument/2006/relationships/hyperlink" Target="https://africanmarketingconfederation.org/smoke-archive/page-64" TargetMode="External" Id="rId66"/><Relationship Type="http://schemas.openxmlformats.org/officeDocument/2006/relationships/hyperlink" Target="https://africanmarketingconfederation.org/smoke-archive/page-65" TargetMode="External" Id="rId67"/><Relationship Type="http://schemas.openxmlformats.org/officeDocument/2006/relationships/hyperlink" Target="https://africanmarketingconfederation.org/smoke-archive/page-66" TargetMode="External" Id="rId68"/><Relationship Type="http://schemas.openxmlformats.org/officeDocument/2006/relationships/hyperlink" Target="https://africanmarketingconfederation.org/smoke-archive/page-67" TargetMode="External" Id="rId69"/><Relationship Type="http://schemas.openxmlformats.org/officeDocument/2006/relationships/hyperlink" Target="https://africanmarketingconfederation.org/smoke-archive/page-68" TargetMode="External" Id="rId70"/><Relationship Type="http://schemas.openxmlformats.org/officeDocument/2006/relationships/hyperlink" Target="https://africanmarketingconfederation.org/smoke-archive/page-69" TargetMode="External" Id="rId71"/><Relationship Type="http://schemas.openxmlformats.org/officeDocument/2006/relationships/hyperlink" Target="https://africanmarketingconfederation.org/smoke-archive/page-70" TargetMode="External" Id="rId72"/><Relationship Type="http://schemas.openxmlformats.org/officeDocument/2006/relationships/hyperlink" Target="https://africanmarketingconfederation.org/smoke-archive/page-71" TargetMode="External" Id="rId73"/><Relationship Type="http://schemas.openxmlformats.org/officeDocument/2006/relationships/hyperlink" Target="https://africanmarketingconfederation.org/smoke-archive/page-72" TargetMode="External" Id="rId74"/><Relationship Type="http://schemas.openxmlformats.org/officeDocument/2006/relationships/hyperlink" Target="https://africanmarketingconfederation.org/smoke-archive/page-73" TargetMode="External" Id="rId75"/><Relationship Type="http://schemas.openxmlformats.org/officeDocument/2006/relationships/hyperlink" Target="https://africanmarketingconfederation.org/smoke-archive/page-74" TargetMode="External" Id="rId76"/><Relationship Type="http://schemas.openxmlformats.org/officeDocument/2006/relationships/hyperlink" Target="https://africanmarketingconfederation.org/smoke-archive/page-75" TargetMode="External" Id="rId77"/><Relationship Type="http://schemas.openxmlformats.org/officeDocument/2006/relationships/hyperlink" Target="https://africanmarketingconfederation.org/smoke-archive/page-76" TargetMode="External" Id="rId78"/><Relationship Type="http://schemas.openxmlformats.org/officeDocument/2006/relationships/hyperlink" Target="https://africanmarketingconfederation.org/smoke-archive/page-77" TargetMode="External" Id="rId79"/><Relationship Type="http://schemas.openxmlformats.org/officeDocument/2006/relationships/hyperlink" Target="https://africanmarketingconfederation.org/smoke-archive/page-78" TargetMode="External" Id="rId80"/><Relationship Type="http://schemas.openxmlformats.org/officeDocument/2006/relationships/hyperlink" Target="https://africanmarketingconfederation.org/smoke-archive/page-79" TargetMode="External" Id="rId81"/><Relationship Type="http://schemas.openxmlformats.org/officeDocument/2006/relationships/hyperlink" Target="https://africanmarketingconfederation.org/discovered-via-bfs-1" TargetMode="External" Id="rId82"/><Relationship Type="http://schemas.openxmlformats.org/officeDocument/2006/relationships/hyperlink" Target="https://africanmarketingconfederation.org/discovered-via-bfs-2" TargetMode="External" Id="rId83"/><Relationship Type="http://schemas.openxmlformats.org/officeDocument/2006/relationships/hyperlink" Target="https://africanmarketingconfederation.org/discovered-via-bfs-3" TargetMode="External" Id="rId84"/><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6.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smoke-archive/page-1" TargetMode="External" Id="rId3"/><Relationship Type="http://schemas.openxmlformats.org/officeDocument/2006/relationships/hyperlink" Target="https://africanmarketingconfederation.org/smoke-archive/page-2" TargetMode="External" Id="rId4"/><Relationship Type="http://schemas.openxmlformats.org/officeDocument/2006/relationships/hyperlink" Target="https://africanmarketingconfederation.org/smoke-archive/page-3" TargetMode="External" Id="rId5"/><Relationship Type="http://schemas.openxmlformats.org/officeDocument/2006/relationships/hyperlink" Target="https://africanmarketingconfederation.org/smoke-archive/page-4" TargetMode="External" Id="rId6"/><Relationship Type="http://schemas.openxmlformats.org/officeDocument/2006/relationships/hyperlink" Target="https://africanmarketingconfederation.org/smoke-archive/page-5" TargetMode="External" Id="rId7"/><Relationship Type="http://schemas.openxmlformats.org/officeDocument/2006/relationships/hyperlink" Target="https://africanmarketingconfederation.org/smoke-archive/page-6" TargetMode="External" Id="rId8"/><Relationship Type="http://schemas.openxmlformats.org/officeDocument/2006/relationships/hyperlink" Target="https://africanmarketingconfederation.org/smoke-archive/page-7" TargetMode="External" Id="rId9"/><Relationship Type="http://schemas.openxmlformats.org/officeDocument/2006/relationships/hyperlink" Target="https://africanmarketingconfederation.org/smoke-archive/page-8" TargetMode="External" Id="rId10"/><Relationship Type="http://schemas.openxmlformats.org/officeDocument/2006/relationships/hyperlink" Target="https://africanmarketingconfederation.org/smoke-archive/page-9" TargetMode="External" Id="rId11"/><Relationship Type="http://schemas.openxmlformats.org/officeDocument/2006/relationships/hyperlink" Target="https://africanmarketingconfederation.org/smoke-archive/page-10" TargetMode="External" Id="rId12"/><Relationship Type="http://schemas.openxmlformats.org/officeDocument/2006/relationships/hyperlink" Target="https://africanmarketingconfederation.org/smoke-archive/page-12" TargetMode="External" Id="rId13"/><Relationship Type="http://schemas.openxmlformats.org/officeDocument/2006/relationships/hyperlink" Target="https://africanmarketingconfederation.org/smoke-archive/page-13" TargetMode="External" Id="rId14"/><Relationship Type="http://schemas.openxmlformats.org/officeDocument/2006/relationships/hyperlink" Target="https://africanmarketingconfederation.org/smoke-archive/page-14" TargetMode="External" Id="rId15"/><Relationship Type="http://schemas.openxmlformats.org/officeDocument/2006/relationships/hyperlink" Target="https://africanmarketingconfederation.org/smoke-archive/page-15" TargetMode="External" Id="rId16"/><Relationship Type="http://schemas.openxmlformats.org/officeDocument/2006/relationships/hyperlink" Target="https://africanmarketingconfederation.org/smoke-archive/page-16" TargetMode="External" Id="rId17"/><Relationship Type="http://schemas.openxmlformats.org/officeDocument/2006/relationships/hyperlink" Target="https://africanmarketingconfederation.org/smoke-archive/page-17" TargetMode="External" Id="rId18"/><Relationship Type="http://schemas.openxmlformats.org/officeDocument/2006/relationships/hyperlink" Target="https://africanmarketingconfederation.org/smoke-archive/page-18" TargetMode="External" Id="rId19"/><Relationship Type="http://schemas.openxmlformats.org/officeDocument/2006/relationships/hyperlink" Target="https://africanmarketingconfederation.org/smoke-archive/page-19" TargetMode="External" Id="rId20"/><Relationship Type="http://schemas.openxmlformats.org/officeDocument/2006/relationships/hyperlink" Target="https://africanmarketingconfederation.org/smoke-archive/page-20" TargetMode="External" Id="rId21"/><Relationship Type="http://schemas.openxmlformats.org/officeDocument/2006/relationships/hyperlink" Target="https://africanmarketingconfederation.org/smoke-archive/page-21" TargetMode="External" Id="rId22"/><Relationship Type="http://schemas.openxmlformats.org/officeDocument/2006/relationships/hyperlink" Target="https://africanmarketingconfederation.org/smoke-archive/page-23" TargetMode="External" Id="rId23"/><Relationship Type="http://schemas.openxmlformats.org/officeDocument/2006/relationships/hyperlink" Target="https://africanmarketingconfederation.org/smoke-archive/page-24" TargetMode="External" Id="rId24"/><Relationship Type="http://schemas.openxmlformats.org/officeDocument/2006/relationships/hyperlink" Target="https://africanmarketingconfederation.org/smoke-archive/page-25" TargetMode="External" Id="rId25"/><Relationship Type="http://schemas.openxmlformats.org/officeDocument/2006/relationships/hyperlink" Target="https://africanmarketingconfederation.org/smoke-archive/page-26" TargetMode="External" Id="rId26"/><Relationship Type="http://schemas.openxmlformats.org/officeDocument/2006/relationships/hyperlink" Target="https://africanmarketingconfederation.org/smoke-archive/page-27" TargetMode="External" Id="rId27"/><Relationship Type="http://schemas.openxmlformats.org/officeDocument/2006/relationships/hyperlink" Target="https://africanmarketingconfederation.org/smoke-archive/page-28" TargetMode="External" Id="rId28"/><Relationship Type="http://schemas.openxmlformats.org/officeDocument/2006/relationships/hyperlink" Target="https://africanmarketingconfederation.org/smoke-archive/page-29" TargetMode="External" Id="rId29"/><Relationship Type="http://schemas.openxmlformats.org/officeDocument/2006/relationships/hyperlink" Target="https://africanmarketingconfederation.org/smoke-archive/page-30" TargetMode="External" Id="rId30"/><Relationship Type="http://schemas.openxmlformats.org/officeDocument/2006/relationships/hyperlink" Target="https://africanmarketingconfederation.org/smoke-archive/page-31" TargetMode="External" Id="rId31"/><Relationship Type="http://schemas.openxmlformats.org/officeDocument/2006/relationships/hyperlink" Target="https://africanmarketingconfederation.org/smoke-archive/page-32" TargetMode="External" Id="rId32"/><Relationship Type="http://schemas.openxmlformats.org/officeDocument/2006/relationships/hyperlink" Target="https://africanmarketingconfederation.org/smoke-archive/page-34" TargetMode="External" Id="rId33"/><Relationship Type="http://schemas.openxmlformats.org/officeDocument/2006/relationships/hyperlink" Target="https://africanmarketingconfederation.org/smoke-archive/page-35" TargetMode="External" Id="rId34"/><Relationship Type="http://schemas.openxmlformats.org/officeDocument/2006/relationships/hyperlink" Target="https://africanmarketingconfederation.org/smoke-archive/page-36" TargetMode="External" Id="rId35"/><Relationship Type="http://schemas.openxmlformats.org/officeDocument/2006/relationships/hyperlink" Target="https://africanmarketingconfederation.org/smoke-archive/page-37" TargetMode="External" Id="rId36"/><Relationship Type="http://schemas.openxmlformats.org/officeDocument/2006/relationships/hyperlink" Target="https://africanmarketingconfederation.org/smoke-archive/page-38" TargetMode="External" Id="rId37"/><Relationship Type="http://schemas.openxmlformats.org/officeDocument/2006/relationships/hyperlink" Target="https://africanmarketingconfederation.org/smoke-archive/page-39" TargetMode="External" Id="rId38"/><Relationship Type="http://schemas.openxmlformats.org/officeDocument/2006/relationships/hyperlink" Target="https://africanmarketingconfederation.org/smoke-archive/page-40" TargetMode="External" Id="rId39"/><Relationship Type="http://schemas.openxmlformats.org/officeDocument/2006/relationships/hyperlink" Target="https://africanmarketingconfederation.org/smoke-archive/page-41" TargetMode="External" Id="rId40"/><Relationship Type="http://schemas.openxmlformats.org/officeDocument/2006/relationships/hyperlink" Target="https://africanmarketingconfederation.org/smoke-archive/page-42" TargetMode="External" Id="rId41"/><Relationship Type="http://schemas.openxmlformats.org/officeDocument/2006/relationships/hyperlink" Target="https://africanmarketingconfederation.org/smoke-archive/page-43" TargetMode="External" Id="rId42"/><Relationship Type="http://schemas.openxmlformats.org/officeDocument/2006/relationships/hyperlink" Target="https://africanmarketingconfederation.org/smoke-archive/page-45" TargetMode="External" Id="rId43"/><Relationship Type="http://schemas.openxmlformats.org/officeDocument/2006/relationships/hyperlink" Target="https://africanmarketingconfederation.org/smoke-archive/page-46" TargetMode="External" Id="rId44"/><Relationship Type="http://schemas.openxmlformats.org/officeDocument/2006/relationships/hyperlink" Target="https://africanmarketingconfederation.org/smoke-archive/page-47" TargetMode="External" Id="rId45"/><Relationship Type="http://schemas.openxmlformats.org/officeDocument/2006/relationships/hyperlink" Target="https://africanmarketingconfederation.org/smoke-archive/page-48" TargetMode="External" Id="rId46"/><Relationship Type="http://schemas.openxmlformats.org/officeDocument/2006/relationships/hyperlink" Target="https://africanmarketingconfederation.org/smoke-archive/page-49" TargetMode="External" Id="rId47"/><Relationship Type="http://schemas.openxmlformats.org/officeDocument/2006/relationships/hyperlink" Target="https://africanmarketingconfederation.org/smoke-archive/page-50" TargetMode="External" Id="rId48"/><Relationship Type="http://schemas.openxmlformats.org/officeDocument/2006/relationships/hyperlink" Target="https://africanmarketingconfederation.org/smoke-archive/page-51" TargetMode="External" Id="rId49"/><Relationship Type="http://schemas.openxmlformats.org/officeDocument/2006/relationships/hyperlink" Target="https://africanmarketingconfederation.org/smoke-archive/page-52" TargetMode="External" Id="rId50"/><Relationship Type="http://schemas.openxmlformats.org/officeDocument/2006/relationships/hyperlink" Target="https://africanmarketingconfederation.org/smoke-archive/page-53" TargetMode="External" Id="rId51"/><Relationship Type="http://schemas.openxmlformats.org/officeDocument/2006/relationships/hyperlink" Target="https://africanmarketingconfederation.org/smoke-archive/page-54" TargetMode="External" Id="rId52"/><Relationship Type="http://schemas.openxmlformats.org/officeDocument/2006/relationships/hyperlink" Target="https://africanmarketingconfederation.org/smoke-archive/page-56" TargetMode="External" Id="rId53"/><Relationship Type="http://schemas.openxmlformats.org/officeDocument/2006/relationships/hyperlink" Target="https://africanmarketingconfederation.org/smoke-archive/page-57" TargetMode="External" Id="rId54"/><Relationship Type="http://schemas.openxmlformats.org/officeDocument/2006/relationships/hyperlink" Target="https://africanmarketingconfederation.org/smoke-archive/page-58" TargetMode="External" Id="rId55"/><Relationship Type="http://schemas.openxmlformats.org/officeDocument/2006/relationships/hyperlink" Target="https://africanmarketingconfederation.org/smoke-archive/page-59" TargetMode="External" Id="rId56"/><Relationship Type="http://schemas.openxmlformats.org/officeDocument/2006/relationships/hyperlink" Target="https://africanmarketingconfederation.org/smoke-archive/page-60" TargetMode="External" Id="rId57"/><Relationship Type="http://schemas.openxmlformats.org/officeDocument/2006/relationships/hyperlink" Target="https://africanmarketingconfederation.org/smoke-archive/page-61" TargetMode="External" Id="rId58"/><Relationship Type="http://schemas.openxmlformats.org/officeDocument/2006/relationships/hyperlink" Target="https://africanmarketingconfederation.org/smoke-archive/page-62" TargetMode="External" Id="rId59"/><Relationship Type="http://schemas.openxmlformats.org/officeDocument/2006/relationships/hyperlink" Target="https://africanmarketingconfederation.org/smoke-archive/page-63" TargetMode="External" Id="rId60"/><Relationship Type="http://schemas.openxmlformats.org/officeDocument/2006/relationships/hyperlink" Target="https://africanmarketingconfederation.org/smoke-archive/page-64" TargetMode="External" Id="rId61"/><Relationship Type="http://schemas.openxmlformats.org/officeDocument/2006/relationships/hyperlink" Target="https://africanmarketingconfederation.org/smoke-archive/page-65" TargetMode="External" Id="rId62"/><Relationship Type="http://schemas.openxmlformats.org/officeDocument/2006/relationships/hyperlink" Target="https://africanmarketingconfederation.org/smoke-archive/page-67" TargetMode="External" Id="rId63"/><Relationship Type="http://schemas.openxmlformats.org/officeDocument/2006/relationships/hyperlink" Target="https://africanmarketingconfederation.org/smoke-archive/page-68" TargetMode="External" Id="rId64"/><Relationship Type="http://schemas.openxmlformats.org/officeDocument/2006/relationships/hyperlink" Target="https://africanmarketingconfederation.org/smoke-archive/page-69" TargetMode="External" Id="rId65"/><Relationship Type="http://schemas.openxmlformats.org/officeDocument/2006/relationships/hyperlink" Target="https://africanmarketingconfederation.org/smoke-archive/page-70" TargetMode="External" Id="rId66"/><Relationship Type="http://schemas.openxmlformats.org/officeDocument/2006/relationships/hyperlink" Target="https://africanmarketingconfederation.org/smoke-archive/page-71" TargetMode="External" Id="rId67"/><Relationship Type="http://schemas.openxmlformats.org/officeDocument/2006/relationships/hyperlink" Target="https://africanmarketingconfederation.org/smoke-archive/page-72" TargetMode="External" Id="rId68"/><Relationship Type="http://schemas.openxmlformats.org/officeDocument/2006/relationships/hyperlink" Target="https://africanmarketingconfederation.org/smoke-archive/page-73" TargetMode="External" Id="rId69"/><Relationship Type="http://schemas.openxmlformats.org/officeDocument/2006/relationships/hyperlink" Target="https://africanmarketingconfederation.org/smoke-archive/page-74" TargetMode="External" Id="rId70"/><Relationship Type="http://schemas.openxmlformats.org/officeDocument/2006/relationships/hyperlink" Target="https://africanmarketingconfederation.org/smoke-archive/page-75" TargetMode="External" Id="rId71"/><Relationship Type="http://schemas.openxmlformats.org/officeDocument/2006/relationships/hyperlink" Target="https://africanmarketingconfederation.org/smoke-archive/page-76" TargetMode="External" Id="rId72"/><Relationship Type="http://schemas.openxmlformats.org/officeDocument/2006/relationships/hyperlink" Target="https://africanmarketingconfederation.org/smoke-archive/page-78" TargetMode="External" Id="rId73"/><Relationship Type="http://schemas.openxmlformats.org/officeDocument/2006/relationships/hyperlink" Target="https://africanmarketingconfederation.org/smoke-archive/page-79" TargetMode="External" Id="rId74"/><Relationship Type="http://schemas.openxmlformats.org/officeDocument/2006/relationships/hyperlink" Target="https://africanmarketingconfederation.org/discovered-via-bfs-1" TargetMode="External" Id="rId75"/><Relationship Type="http://schemas.openxmlformats.org/officeDocument/2006/relationships/hyperlink" Target="https://africanmarketingconfederation.org/discovered-via-bfs-2" TargetMode="External" Id="rId76"/><Relationship Type="http://schemas.openxmlformats.org/officeDocument/2006/relationships/hyperlink" Target="https://africanmarketingconfederation.org/discovered-via-bfs-3" TargetMode="External" Id="rId77"/><Relationship Type="http://schemas.openxmlformats.org/officeDocument/2006/relationships/hyperlink" Target="https://africanmarketingconfederation.org/smoke-archive/page-11" TargetMode="External" Id="rId78"/><Relationship Type="http://schemas.openxmlformats.org/officeDocument/2006/relationships/hyperlink" Target="https://africanmarketingconfederation.org/smoke-archive/page-22" TargetMode="External" Id="rId79"/><Relationship Type="http://schemas.openxmlformats.org/officeDocument/2006/relationships/hyperlink" Target="https://africanmarketingconfederation.org/smoke-archive/page-33" TargetMode="External" Id="rId80"/><Relationship Type="http://schemas.openxmlformats.org/officeDocument/2006/relationships/hyperlink" Target="https://africanmarketingconfederation.org/smoke-archive/page-44" TargetMode="External" Id="rId81"/><Relationship Type="http://schemas.openxmlformats.org/officeDocument/2006/relationships/hyperlink" Target="https://africanmarketingconfederation.org/smoke-archive/page-55" TargetMode="External" Id="rId82"/><Relationship Type="http://schemas.openxmlformats.org/officeDocument/2006/relationships/hyperlink" Target="https://africanmarketingconfederation.org/smoke-archive/page-66" TargetMode="External" Id="rId83"/><Relationship Type="http://schemas.openxmlformats.org/officeDocument/2006/relationships/hyperlink" Target="https://africanmarketingconfederation.org/smoke-archive/page-77" TargetMode="External" Id="rId84"/><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7.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8.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9.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0.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1.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2.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hyperlink" Target="https://africanmarketingconfederation.org/" TargetMode="External" Id="rId2"/><Relationship Type="http://schemas.openxmlformats.org/officeDocument/2006/relationships/hyperlink" Target="https://africanmarketingconfederation.org/discovered-via-bfs-1" TargetMode="External" Id="rId3"/><Relationship Type="http://schemas.openxmlformats.org/officeDocument/2006/relationships/hyperlink" Target="https://africanmarketingconfederation.org/discovered-via-bfs-2" TargetMode="External" Id="rId4"/><Relationship Type="http://schemas.openxmlformats.org/officeDocument/2006/relationships/hyperlink" Target="https://africanmarketingconfederation.org/discovered-via-bfs-3" TargetMode="External" Id="rId5"/><Relationship Type="http://schemas.openxmlformats.org/officeDocument/2006/relationships/hyperlink" Target="https://africanmarketingconfederation.org/smoke-archive/page-1" TargetMode="External" Id="rId6"/><Relationship Type="http://schemas.openxmlformats.org/officeDocument/2006/relationships/hyperlink" Target="https://africanmarketingconfederation.org/smoke-archive/page-10" TargetMode="External" Id="rId7"/><Relationship Type="http://schemas.openxmlformats.org/officeDocument/2006/relationships/hyperlink" Target="https://africanmarketingconfederation.org/smoke-archive/page-11" TargetMode="External" Id="rId8"/><Relationship Type="http://schemas.openxmlformats.org/officeDocument/2006/relationships/hyperlink" Target="https://africanmarketingconfederation.org/smoke-archive/page-12" TargetMode="External" Id="rId9"/><Relationship Type="http://schemas.openxmlformats.org/officeDocument/2006/relationships/hyperlink" Target="https://africanmarketingconfederation.org/smoke-archive/page-13" TargetMode="External" Id="rId10"/><Relationship Type="http://schemas.openxmlformats.org/officeDocument/2006/relationships/hyperlink" Target="https://africanmarketingconfederation.org/smoke-archive/page-14" TargetMode="External" Id="rId11"/><Relationship Type="http://schemas.openxmlformats.org/officeDocument/2006/relationships/hyperlink" Target="https://africanmarketingconfederation.org/smoke-archive/page-15" TargetMode="External" Id="rId12"/><Relationship Type="http://schemas.openxmlformats.org/officeDocument/2006/relationships/hyperlink" Target="https://africanmarketingconfederation.org/smoke-archive/page-16" TargetMode="External" Id="rId13"/><Relationship Type="http://schemas.openxmlformats.org/officeDocument/2006/relationships/hyperlink" Target="https://africanmarketingconfederation.org/smoke-archive/page-17" TargetMode="External" Id="rId14"/><Relationship Type="http://schemas.openxmlformats.org/officeDocument/2006/relationships/hyperlink" Target="https://africanmarketingconfederation.org/smoke-archive/page-18" TargetMode="External" Id="rId15"/><Relationship Type="http://schemas.openxmlformats.org/officeDocument/2006/relationships/hyperlink" Target="https://africanmarketingconfederation.org/smoke-archive/page-19" TargetMode="External" Id="rId16"/><Relationship Type="http://schemas.openxmlformats.org/officeDocument/2006/relationships/hyperlink" Target="https://africanmarketingconfederation.org/smoke-archive/page-2" TargetMode="External" Id="rId17"/><Relationship Type="http://schemas.openxmlformats.org/officeDocument/2006/relationships/hyperlink" Target="https://africanmarketingconfederation.org/smoke-archive/page-20" TargetMode="External" Id="rId18"/><Relationship Type="http://schemas.openxmlformats.org/officeDocument/2006/relationships/hyperlink" Target="https://africanmarketingconfederation.org/smoke-archive/page-21" TargetMode="External" Id="rId19"/><Relationship Type="http://schemas.openxmlformats.org/officeDocument/2006/relationships/hyperlink" Target="https://africanmarketingconfederation.org/smoke-archive/page-22" TargetMode="External" Id="rId20"/><Relationship Type="http://schemas.openxmlformats.org/officeDocument/2006/relationships/hyperlink" Target="https://africanmarketingconfederation.org/smoke-archive/page-23" TargetMode="External" Id="rId21"/><Relationship Type="http://schemas.openxmlformats.org/officeDocument/2006/relationships/hyperlink" Target="https://africanmarketingconfederation.org/smoke-archive/page-24" TargetMode="External" Id="rId22"/><Relationship Type="http://schemas.openxmlformats.org/officeDocument/2006/relationships/hyperlink" Target="https://africanmarketingconfederation.org/smoke-archive/page-25" TargetMode="External" Id="rId23"/><Relationship Type="http://schemas.openxmlformats.org/officeDocument/2006/relationships/hyperlink" Target="https://africanmarketingconfederation.org/smoke-archive/page-26" TargetMode="External" Id="rId24"/><Relationship Type="http://schemas.openxmlformats.org/officeDocument/2006/relationships/hyperlink" Target="https://africanmarketingconfederation.org/smoke-archive/page-27" TargetMode="External" Id="rId25"/><Relationship Type="http://schemas.openxmlformats.org/officeDocument/2006/relationships/hyperlink" Target="https://africanmarketingconfederation.org/smoke-archive/page-28" TargetMode="External" Id="rId26"/><Relationship Type="http://schemas.openxmlformats.org/officeDocument/2006/relationships/hyperlink" Target="https://africanmarketingconfederation.org/smoke-archive/page-29" TargetMode="External" Id="rId27"/><Relationship Type="http://schemas.openxmlformats.org/officeDocument/2006/relationships/hyperlink" Target="https://africanmarketingconfederation.org/smoke-archive/page-3" TargetMode="External" Id="rId28"/><Relationship Type="http://schemas.openxmlformats.org/officeDocument/2006/relationships/hyperlink" Target="https://africanmarketingconfederation.org/smoke-archive/page-30" TargetMode="External" Id="rId29"/><Relationship Type="http://schemas.openxmlformats.org/officeDocument/2006/relationships/hyperlink" Target="https://africanmarketingconfederation.org/smoke-archive/page-31" TargetMode="External" Id="rId30"/><Relationship Type="http://schemas.openxmlformats.org/officeDocument/2006/relationships/hyperlink" Target="https://africanmarketingconfederation.org/smoke-archive/page-32" TargetMode="External" Id="rId31"/><Relationship Type="http://schemas.openxmlformats.org/officeDocument/2006/relationships/hyperlink" Target="https://africanmarketingconfederation.org/smoke-archive/page-33" TargetMode="External" Id="rId32"/><Relationship Type="http://schemas.openxmlformats.org/officeDocument/2006/relationships/hyperlink" Target="https://africanmarketingconfederation.org/smoke-archive/page-34" TargetMode="External" Id="rId33"/><Relationship Type="http://schemas.openxmlformats.org/officeDocument/2006/relationships/hyperlink" Target="https://africanmarketingconfederation.org/smoke-archive/page-35" TargetMode="External" Id="rId34"/><Relationship Type="http://schemas.openxmlformats.org/officeDocument/2006/relationships/hyperlink" Target="https://africanmarketingconfederation.org/smoke-archive/page-36" TargetMode="External" Id="rId35"/><Relationship Type="http://schemas.openxmlformats.org/officeDocument/2006/relationships/hyperlink" Target="https://africanmarketingconfederation.org/smoke-archive/page-37" TargetMode="External" Id="rId36"/><Relationship Type="http://schemas.openxmlformats.org/officeDocument/2006/relationships/hyperlink" Target="https://africanmarketingconfederation.org/smoke-archive/page-38" TargetMode="External" Id="rId37"/><Relationship Type="http://schemas.openxmlformats.org/officeDocument/2006/relationships/hyperlink" Target="https://africanmarketingconfederation.org/smoke-archive/page-39" TargetMode="External" Id="rId38"/><Relationship Type="http://schemas.openxmlformats.org/officeDocument/2006/relationships/hyperlink" Target="https://africanmarketingconfederation.org/smoke-archive/page-4" TargetMode="External" Id="rId39"/><Relationship Type="http://schemas.openxmlformats.org/officeDocument/2006/relationships/hyperlink" Target="https://africanmarketingconfederation.org/smoke-archive/page-40" TargetMode="External" Id="rId40"/><Relationship Type="http://schemas.openxmlformats.org/officeDocument/2006/relationships/hyperlink" Target="https://africanmarketingconfederation.org/smoke-archive/page-41" TargetMode="External" Id="rId41"/><Relationship Type="http://schemas.openxmlformats.org/officeDocument/2006/relationships/hyperlink" Target="https://africanmarketingconfederation.org/smoke-archive/page-42" TargetMode="External" Id="rId42"/><Relationship Type="http://schemas.openxmlformats.org/officeDocument/2006/relationships/hyperlink" Target="https://africanmarketingconfederation.org/smoke-archive/page-43" TargetMode="External" Id="rId43"/><Relationship Type="http://schemas.openxmlformats.org/officeDocument/2006/relationships/hyperlink" Target="https://africanmarketingconfederation.org/smoke-archive/page-44" TargetMode="External" Id="rId44"/><Relationship Type="http://schemas.openxmlformats.org/officeDocument/2006/relationships/hyperlink" Target="https://africanmarketingconfederation.org/smoke-archive/page-45" TargetMode="External" Id="rId45"/><Relationship Type="http://schemas.openxmlformats.org/officeDocument/2006/relationships/hyperlink" Target="https://africanmarketingconfederation.org/smoke-archive/page-46" TargetMode="External" Id="rId46"/><Relationship Type="http://schemas.openxmlformats.org/officeDocument/2006/relationships/hyperlink" Target="https://africanmarketingconfederation.org/smoke-archive/page-47" TargetMode="External" Id="rId47"/><Relationship Type="http://schemas.openxmlformats.org/officeDocument/2006/relationships/hyperlink" Target="https://africanmarketingconfederation.org/smoke-archive/page-48" TargetMode="External" Id="rId48"/><Relationship Type="http://schemas.openxmlformats.org/officeDocument/2006/relationships/hyperlink" Target="https://africanmarketingconfederation.org/smoke-archive/page-49" TargetMode="External" Id="rId49"/><Relationship Type="http://schemas.openxmlformats.org/officeDocument/2006/relationships/hyperlink" Target="https://africanmarketingconfederation.org/smoke-archive/page-5" TargetMode="External" Id="rId50"/><Relationship Type="http://schemas.openxmlformats.org/officeDocument/2006/relationships/hyperlink" Target="https://africanmarketingconfederation.org/smoke-archive/page-50" TargetMode="External" Id="rId51"/><Relationship Type="http://schemas.openxmlformats.org/officeDocument/2006/relationships/hyperlink" Target="https://africanmarketingconfederation.org/smoke-archive/page-51" TargetMode="External" Id="rId52"/><Relationship Type="http://schemas.openxmlformats.org/officeDocument/2006/relationships/hyperlink" Target="https://africanmarketingconfederation.org/smoke-archive/page-52" TargetMode="External" Id="rId53"/><Relationship Type="http://schemas.openxmlformats.org/officeDocument/2006/relationships/hyperlink" Target="https://africanmarketingconfederation.org/smoke-archive/page-53" TargetMode="External" Id="rId54"/><Relationship Type="http://schemas.openxmlformats.org/officeDocument/2006/relationships/hyperlink" Target="https://africanmarketingconfederation.org/smoke-archive/page-54" TargetMode="External" Id="rId55"/><Relationship Type="http://schemas.openxmlformats.org/officeDocument/2006/relationships/hyperlink" Target="https://africanmarketingconfederation.org/smoke-archive/page-55" TargetMode="External" Id="rId56"/><Relationship Type="http://schemas.openxmlformats.org/officeDocument/2006/relationships/hyperlink" Target="https://africanmarketingconfederation.org/smoke-archive/page-56" TargetMode="External" Id="rId57"/><Relationship Type="http://schemas.openxmlformats.org/officeDocument/2006/relationships/hyperlink" Target="https://africanmarketingconfederation.org/smoke-archive/page-57" TargetMode="External" Id="rId58"/><Relationship Type="http://schemas.openxmlformats.org/officeDocument/2006/relationships/hyperlink" Target="https://africanmarketingconfederation.org/smoke-archive/page-58" TargetMode="External" Id="rId59"/><Relationship Type="http://schemas.openxmlformats.org/officeDocument/2006/relationships/hyperlink" Target="https://africanmarketingconfederation.org/smoke-archive/page-59" TargetMode="External" Id="rId60"/><Relationship Type="http://schemas.openxmlformats.org/officeDocument/2006/relationships/hyperlink" Target="https://africanmarketingconfederation.org/smoke-archive/page-6" TargetMode="External" Id="rId61"/><Relationship Type="http://schemas.openxmlformats.org/officeDocument/2006/relationships/hyperlink" Target="https://africanmarketingconfederation.org/smoke-archive/page-60" TargetMode="External" Id="rId62"/><Relationship Type="http://schemas.openxmlformats.org/officeDocument/2006/relationships/hyperlink" Target="https://africanmarketingconfederation.org/smoke-archive/page-61" TargetMode="External" Id="rId63"/><Relationship Type="http://schemas.openxmlformats.org/officeDocument/2006/relationships/hyperlink" Target="https://africanmarketingconfederation.org/smoke-archive/page-62" TargetMode="External" Id="rId64"/><Relationship Type="http://schemas.openxmlformats.org/officeDocument/2006/relationships/hyperlink" Target="https://africanmarketingconfederation.org/smoke-archive/page-63" TargetMode="External" Id="rId65"/><Relationship Type="http://schemas.openxmlformats.org/officeDocument/2006/relationships/hyperlink" Target="https://africanmarketingconfederation.org/smoke-archive/page-64" TargetMode="External" Id="rId66"/><Relationship Type="http://schemas.openxmlformats.org/officeDocument/2006/relationships/hyperlink" Target="https://africanmarketingconfederation.org/smoke-archive/page-65" TargetMode="External" Id="rId67"/><Relationship Type="http://schemas.openxmlformats.org/officeDocument/2006/relationships/hyperlink" Target="https://africanmarketingconfederation.org/smoke-archive/page-66" TargetMode="External" Id="rId68"/><Relationship Type="http://schemas.openxmlformats.org/officeDocument/2006/relationships/hyperlink" Target="https://africanmarketingconfederation.org/smoke-archive/page-67" TargetMode="External" Id="rId69"/><Relationship Type="http://schemas.openxmlformats.org/officeDocument/2006/relationships/hyperlink" Target="https://africanmarketingconfederation.org/smoke-archive/page-68" TargetMode="External" Id="rId70"/><Relationship Type="http://schemas.openxmlformats.org/officeDocument/2006/relationships/hyperlink" Target="https://africanmarketingconfederation.org/smoke-archive/page-69" TargetMode="External" Id="rId71"/><Relationship Type="http://schemas.openxmlformats.org/officeDocument/2006/relationships/hyperlink" Target="https://africanmarketingconfederation.org/smoke-archive/page-7" TargetMode="External" Id="rId72"/><Relationship Type="http://schemas.openxmlformats.org/officeDocument/2006/relationships/hyperlink" Target="https://africanmarketingconfederation.org/smoke-archive/page-70" TargetMode="External" Id="rId73"/><Relationship Type="http://schemas.openxmlformats.org/officeDocument/2006/relationships/hyperlink" Target="https://africanmarketingconfederation.org/smoke-archive/page-71" TargetMode="External" Id="rId74"/><Relationship Type="http://schemas.openxmlformats.org/officeDocument/2006/relationships/hyperlink" Target="https://africanmarketingconfederation.org/smoke-archive/page-72" TargetMode="External" Id="rId75"/><Relationship Type="http://schemas.openxmlformats.org/officeDocument/2006/relationships/hyperlink" Target="https://africanmarketingconfederation.org/smoke-archive/page-73" TargetMode="External" Id="rId76"/><Relationship Type="http://schemas.openxmlformats.org/officeDocument/2006/relationships/hyperlink" Target="https://africanmarketingconfederation.org/smoke-archive/page-74" TargetMode="External" Id="rId77"/><Relationship Type="http://schemas.openxmlformats.org/officeDocument/2006/relationships/hyperlink" Target="https://africanmarketingconfederation.org/smoke-archive/page-75" TargetMode="External" Id="rId78"/><Relationship Type="http://schemas.openxmlformats.org/officeDocument/2006/relationships/hyperlink" Target="https://africanmarketingconfederation.org/smoke-archive/page-76" TargetMode="External" Id="rId79"/><Relationship Type="http://schemas.openxmlformats.org/officeDocument/2006/relationships/hyperlink" Target="https://africanmarketingconfederation.org/smoke-archive/page-77" TargetMode="External" Id="rId80"/><Relationship Type="http://schemas.openxmlformats.org/officeDocument/2006/relationships/hyperlink" Target="https://africanmarketingconfederation.org/smoke-archive/page-78" TargetMode="External" Id="rId81"/><Relationship Type="http://schemas.openxmlformats.org/officeDocument/2006/relationships/hyperlink" Target="https://africanmarketingconfederation.org/smoke-archive/page-79" TargetMode="External" Id="rId82"/><Relationship Type="http://schemas.openxmlformats.org/officeDocument/2006/relationships/hyperlink" Target="https://africanmarketingconfederation.org/smoke-archive/page-8" TargetMode="External" Id="rId83"/><Relationship Type="http://schemas.openxmlformats.org/officeDocument/2006/relationships/hyperlink" Target="https://africanmarketingconfederation.org/smoke-archive/page-9" TargetMode="External" Id="rId84"/><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3.xml.rels><Relationships xmlns="http://schemas.openxmlformats.org/package/2006/relationships"><Relationship Type="http://schemas.openxmlformats.org/officeDocument/2006/relationships/hyperlink" Target="#'Executive Briefing'!A1" TargetMode="External" Id="rId1"/><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sheet1.xml><?xml version="1.0" encoding="utf-8"?>
<worksheet xmlns="http://schemas.openxmlformats.org/spreadsheetml/2006/main">
  <sheetPr>
    <outlinePr summaryBelow="1" summaryRight="1"/>
    <pageSetUpPr/>
  </sheetPr>
  <dimension ref="A1:C36"/>
  <sheetViews>
    <sheetView showGridLines="0" tabSelected="0" workbookViewId="0">
      <pane ySplit="2" topLeftCell="A3" activePane="bottomLeft" state="frozen"/>
      <selection pane="bottomLeft" activeCell="A1" sqref="A1"/>
    </sheetView>
  </sheetViews>
  <sheetFormatPr baseColWidth="8" defaultRowHeight="15"/>
  <cols>
    <col width="40" customWidth="1" min="1" max="1"/>
    <col width="12" customWidth="1" min="2" max="2"/>
    <col width="70" customWidth="1" min="3" max="3"/>
  </cols>
  <sheetData>
    <row r="1">
      <c r="A1" s="1" t="inlineStr">
        <is>
          <t>Table of Contents</t>
        </is>
      </c>
    </row>
    <row r="2">
      <c r="A2" s="2" t="inlineStr">
        <is>
          <t>Section</t>
        </is>
      </c>
      <c r="B2" s="2" t="inlineStr">
        <is>
          <t>Open</t>
        </is>
      </c>
      <c r="C2" s="2" t="inlineStr">
        <is>
          <t>Description</t>
        </is>
      </c>
    </row>
    <row r="3">
      <c r="A3" s="3" t="inlineStr">
        <is>
          <t>Primary workflow</t>
        </is>
      </c>
    </row>
    <row r="4">
      <c r="A4" s="4">
        <f>HYPERLINK("#'Executive Briefing'!A1","Executive Briefing")</f>
        <v/>
      </c>
      <c r="B4" s="4">
        <f>HYPERLINK("#'Executive Briefing'!A1","Open")</f>
        <v/>
      </c>
      <c r="C4" t="inlineStr">
        <is>
          <t>Primary executive landing: KPI cards, charts, owner triage, and navigation.</t>
        </is>
      </c>
    </row>
    <row r="5">
      <c r="A5" s="4">
        <f>HYPERLINK("#'Summary'!A1","Summary")</f>
        <v/>
      </c>
      <c r="B5" s="4">
        <f>HYPERLINK("#'Summary'!A1","Open")</f>
        <v/>
      </c>
      <c r="C5" t="inlineStr">
        <is>
          <t>Aggregated issue counts, AEO opportunities, and top critical URLs from the run.</t>
        </is>
      </c>
    </row>
    <row r="6">
      <c r="A6" s="4">
        <f>HYPERLINK("#'Priority URLs'!A1","Priority URLs")</f>
        <v/>
      </c>
      <c r="B6" s="4">
        <f>HYPERLINK("#'Priority URLs'!A1","Open")</f>
        <v/>
      </c>
      <c r="C6" t="inlineStr">
        <is>
          <t>High-value pages requiring immediate attention based on business risk.</t>
        </is>
      </c>
    </row>
    <row r="7">
      <c r="A7" s="4">
        <f>HYPERLINK("#'FixPlan'!A1","FixPlan")</f>
        <v/>
      </c>
      <c r="B7" s="4">
        <f>HYPERLINK("#'FixPlan'!A1","Open")</f>
        <v/>
      </c>
      <c r="C7" t="inlineStr">
        <is>
          <t>Prioritized list of technical and content fixes with estimated effort.</t>
        </is>
      </c>
    </row>
    <row r="8">
      <c r="A8" s="4">
        <f>HYPERLINK("#'Quick Wins'!A1","Quick Wins")</f>
        <v/>
      </c>
      <c r="B8" s="4">
        <f>HYPERLINK("#'Quick Wins'!A1","Open")</f>
        <v/>
      </c>
      <c r="C8" t="inlineStr">
        <is>
          <t>Top 15 high-impact, low-effort fixes ranked by traffic and business risk.</t>
        </is>
      </c>
    </row>
    <row r="9">
      <c r="A9" s="4">
        <f>HYPERLINK("#'Content Optimisation Hub'!A1","Content Optimisation Hub")</f>
        <v/>
      </c>
      <c r="B9" s="4">
        <f>HYPERLINK("#'Content Optimisation Hub'!A1","Open")</f>
        <v/>
      </c>
      <c r="C9" t="inlineStr">
        <is>
          <t>Diagnostic command center: live title, meta, and H1–H6 health plus on-page score.</t>
        </is>
      </c>
    </row>
    <row r="10">
      <c r="A10" s="4">
        <f>HYPERLINK("#'Content Planner'!A1","Content Planner")</f>
        <v/>
      </c>
      <c r="B10" s="4">
        <f>HYPERLINK("#'Content Planner'!A1","Open")</f>
        <v/>
      </c>
      <c r="C10" t="inlineStr">
        <is>
          <t>Page-level workflow tracker: nav/footer site structure with copywriting, design, and client sign-off status columns.</t>
        </is>
      </c>
    </row>
    <row r="11">
      <c r="A11" s="4">
        <f>HYPERLINK("#'Content Hub Metrics'!A1","Content Hub Metrics")</f>
        <v/>
      </c>
      <c r="B11" s="4">
        <f>HYPERLINK("#'Content Hub Metrics'!A1","Open")</f>
        <v/>
      </c>
      <c r="C11" t="inlineStr">
        <is>
          <t>Per-URL crawl metrics (JS/rendered words, field CWV), anchor diversity, and executive ROI estimates aligned with the Content Hub URL set.</t>
        </is>
      </c>
    </row>
    <row r="12">
      <c r="A12" s="4">
        <f>HYPERLINK("#'Main'!A1","Main")</f>
        <v/>
      </c>
      <c r="B12" s="4">
        <f>HYPERLINK("#'Main'!A1","Open")</f>
        <v/>
      </c>
      <c r="C12" t="inlineStr">
        <is>
          <t>Primary URL inventory with titles, meta descriptions, and crawl signals.</t>
        </is>
      </c>
    </row>
    <row r="13">
      <c r="A13" s="4">
        <f>HYPERLINK("#'AIOSEO Recommendations'!A1","AIOSEO Recommendations")</f>
        <v/>
      </c>
      <c r="B13" s="4">
        <f>HYPERLINK("#'AIOSEO Recommendations'!A1","Open")</f>
        <v/>
      </c>
      <c r="C13" t="inlineStr">
        <is>
          <t>Plugin-aligned recommendations and edit links for AIOSEO users.</t>
        </is>
      </c>
    </row>
    <row r="14">
      <c r="A14" s="4">
        <f>HYPERLINK("#'Link Inventory'!A1","Link Inventory")</f>
        <v/>
      </c>
      <c r="B14" s="4">
        <f>HYPERLINK("#'Link Inventory'!A1","Open")</f>
        <v/>
      </c>
      <c r="C14" t="inlineStr">
        <is>
          <t>Every anchor-level outbound link with type, rel attributes, status codes, and generic-anchor flags.</t>
        </is>
      </c>
    </row>
    <row r="15">
      <c r="A15" s="4">
        <f>HYPERLINK("#'Broken Link Impact'!A1","Broken Link Impact")</f>
        <v/>
      </c>
      <c r="B15" s="4">
        <f>HYPERLINK("#'Broken Link Impact'!A1","Open")</f>
        <v/>
      </c>
      <c r="C15" t="inlineStr">
        <is>
          <t>Broken destinations ranked by inbound link count and source-page GSC clicks.</t>
        </is>
      </c>
    </row>
    <row r="16">
      <c r="A16" s="4">
        <f>HYPERLINK("#'SitemapQA'!A1","SitemapQA")</f>
        <v/>
      </c>
      <c r="B16" s="4">
        <f>HYPERLINK("#'SitemapQA'!A1","Open")</f>
        <v/>
      </c>
      <c r="C16" t="inlineStr">
        <is>
          <t>Sitemap coverage, URL membership checks, and sitemap metadata QA.</t>
        </is>
      </c>
    </row>
    <row r="17">
      <c r="A17" s="4">
        <f>HYPERLINK("#'Template &amp; Duplication Risks'!A1","Template &amp; Duplication Risks")</f>
        <v/>
      </c>
      <c r="B17" s="4">
        <f>HYPERLINK("#'Template &amp; Duplication Risks'!A1","Open")</f>
        <v/>
      </c>
      <c r="C17" t="inlineStr">
        <is>
          <t>Duplicate titles/meta, draft/copy pages, and folder-level template pattern risks.</t>
        </is>
      </c>
    </row>
    <row r="18">
      <c r="A18" s="4">
        <f>HYPERLINK("#'Playbook'!A1","Playbook")</f>
        <v/>
      </c>
      <c r="B18" s="4">
        <f>HYPERLINK("#'Playbook'!A1","Open")</f>
        <v/>
      </c>
      <c r="C18" t="inlineStr">
        <is>
          <t>Client education reference: editorial standards plus per-issue playbooks with what/why/fix/verify guidance.</t>
        </is>
      </c>
    </row>
    <row r="19">
      <c r="A19" s="3" t="inlineStr">
        <is>
          <t>Technical &amp; Historical (Advanced) — tabs hidden; use Open links or right-click tab bar → Unhide Sheet</t>
        </is>
      </c>
    </row>
    <row r="20">
      <c r="A20" s="4">
        <f>HYPERLINK("#'Issue Register'!A1","Issue Register")</f>
        <v/>
      </c>
      <c r="B20" s="4">
        <f>HYPERLINK("#'Issue Register'!A1","Open")</f>
        <v/>
      </c>
      <c r="C20" t="inlineStr">
        <is>
          <t>Tracked issue backlog with first-seen dates, days open, assignment fields, and client notes. Unified rollups from Summary plus per-URL issue rows.</t>
        </is>
      </c>
    </row>
    <row r="21">
      <c r="A21" s="4">
        <f>HYPERLINK("#'Technical Diagnostics'!A1","Technical Diagnostics")</f>
        <v/>
      </c>
      <c r="B21" s="4">
        <f>HYPERLINK("#'Technical Diagnostics'!A1","Open")</f>
        <v/>
      </c>
      <c r="C21" t="inlineStr">
        <is>
          <t>Per-URL technical, indexability, redirect, security, PSI, and Search Console signals.</t>
        </is>
      </c>
    </row>
    <row r="22">
      <c r="A22" s="4">
        <f>HYPERLINK("#'Content &amp; AI Readiness'!A1","Content &amp; AI Readiness")</f>
        <v/>
      </c>
      <c r="B22" s="4">
        <f>HYPERLINK("#'Content &amp; AI Readiness'!A1","Open")</f>
        <v/>
      </c>
      <c r="C22" t="inlineStr">
        <is>
          <t>Per-URL content depth, schema, media, and answer-engine readiness metrics.</t>
        </is>
      </c>
    </row>
    <row r="23">
      <c r="A23" s="4">
        <f>HYPERLINK("#'Link Intelligence'!A1","Link Intelligence")</f>
        <v/>
      </c>
      <c r="B23" s="4">
        <f>HYPERLINK("#'Link Intelligence'!A1","Open")</f>
        <v/>
      </c>
      <c r="C23" t="inlineStr">
        <is>
          <t>Per-URL internal link summary rows plus anchor-level detail for broken-link triage.</t>
        </is>
      </c>
    </row>
    <row r="24">
      <c r="A24" s="4">
        <f>HYPERLINK("#'CMS Action URLs'!A1","CMS Action URLs")</f>
        <v/>
      </c>
      <c r="B24" s="4">
        <f>HYPERLINK("#'CMS Action URLs'!A1","Open")</f>
        <v/>
      </c>
      <c r="C24" t="inlineStr">
        <is>
          <t>WooCommerce and other CMS action-parameter URLs discovered during the crawl (for example add-to-cart) that were withheld from the crawl queue.</t>
        </is>
      </c>
    </row>
    <row r="25">
      <c r="A25" s="4">
        <f>HYPERLINK("#'Redirects'!A1","Redirects")</f>
        <v/>
      </c>
      <c r="B25" s="4">
        <f>HYPERLINK("#'Redirects'!A1","Open")</f>
        <v/>
      </c>
      <c r="C25" t="inlineStr">
        <is>
          <t>Redirect chains, hop lists, HTTPS upgrades, and loop detection.</t>
        </is>
      </c>
    </row>
    <row r="26">
      <c r="A26" s="4">
        <f>HYPERLINK("#'Redirect Map'!A1","Redirect Map")</f>
        <v/>
      </c>
      <c r="B26" s="4">
        <f>HYPERLINK("#'Redirect Map'!A1","Open")</f>
        <v/>
      </c>
      <c r="C26" t="inlineStr">
        <is>
          <t>Per-source redirect chains with hop status codes, 302 flags, and SEO risk notes.</t>
        </is>
      </c>
    </row>
    <row r="27">
      <c r="A27" s="4">
        <f>HYPERLINK("#'Robots.txt Analysis'!A1","Robots.txt Analysis")</f>
        <v/>
      </c>
      <c r="B27" s="4">
        <f>HYPERLINK("#'Robots.txt Analysis'!A1","Open")</f>
        <v/>
      </c>
      <c r="C27" t="inlineStr">
        <is>
          <t>Parsed robots.txt content, user-agent rules, blocked URLs, and sitemap conflicts.</t>
        </is>
      </c>
    </row>
    <row r="28">
      <c r="A28" s="4">
        <f>HYPERLINK("#'Crawl Log'!A1","Crawl Log")</f>
        <v/>
      </c>
      <c r="B28" s="4">
        <f>HYPERLINK("#'Crawl Log'!A1","Open")</f>
        <v/>
      </c>
      <c r="C28" t="inlineStr">
        <is>
          <t>Errors and warnings from fetch, render, PSI, and GSC phases for this audit run.</t>
        </is>
      </c>
    </row>
    <row r="29">
      <c r="A29" s="4">
        <f>HYPERLINK("#'Link Equity Map'!A1","Link Equity Map")</f>
        <v/>
      </c>
      <c r="B29" s="4">
        <f>HYPERLINK("#'Link Equity Map'!A1","Open")</f>
        <v/>
      </c>
      <c r="C29" t="inlineStr">
        <is>
          <t>Internal PageRank distribution: inlink/outlink counts and equity flow per URL.</t>
        </is>
      </c>
    </row>
    <row r="30">
      <c r="A30" s="4">
        <f>HYPERLINK("#'Anchor Text Audit'!A1","Anchor Text Audit")</f>
        <v/>
      </c>
      <c r="B30" s="4">
        <f>HYPERLINK("#'Anchor Text Audit'!A1","Open")</f>
        <v/>
      </c>
      <c r="C30" t="inlineStr">
        <is>
          <t>Anchor-text profile per destination: distribution, generic-anchor share, and diversity.</t>
        </is>
      </c>
    </row>
    <row r="31">
      <c r="A31" s="4">
        <f>HYPERLINK("#'Snippet Opportunities'!A1","Snippet Opportunities")</f>
        <v/>
      </c>
      <c r="B31" s="4">
        <f>HYPERLINK("#'Snippet Opportunities'!A1","Open")</f>
        <v/>
      </c>
      <c r="C31" t="inlineStr">
        <is>
          <t>Pages with answer-block potential for featured snippets and AI answer extraction.</t>
        </is>
      </c>
    </row>
    <row r="32">
      <c r="A32" s="4">
        <f>HYPERLINK("#'Script Inventory'!A1","Script Inventory")</f>
        <v/>
      </c>
      <c r="B32" s="4">
        <f>HYPERLINK("#'Script Inventory'!A1","Open")</f>
        <v/>
      </c>
      <c r="C32" t="inlineStr">
        <is>
          <t>Third-party and first-party scripts per URL with blocking and privacy implications.</t>
        </is>
      </c>
    </row>
    <row r="33">
      <c r="A33" s="4">
        <f>HYPERLINK("#'Image Inventory'!A1","Image Inventory")</f>
        <v/>
      </c>
      <c r="B33" s="4">
        <f>HYPERLINK("#'Image Inventory'!A1","Open")</f>
        <v/>
      </c>
      <c r="C33" t="inlineStr">
        <is>
          <t>Every image with alt-text coverage, filename quality, dimensions, and mixed-content flags.</t>
        </is>
      </c>
    </row>
    <row r="34">
      <c r="A34" s="4">
        <f>HYPERLINK("#'ResolvedIssues'!A1","ResolvedIssues")</f>
        <v/>
      </c>
      <c r="B34" s="4">
        <f>HYPERLINK("#'ResolvedIssues'!A1","Open")</f>
        <v/>
      </c>
      <c r="C34" t="inlineStr">
        <is>
          <t>Issues marked resolved when compared to the previous export. First runs show a baseline note when no previous export was supplied.</t>
        </is>
      </c>
    </row>
    <row r="35">
      <c r="A35" s="4">
        <f>HYPERLINK("#'DeltaFromPreviousRun'!A1","DeltaFromPreviousRun")</f>
        <v/>
      </c>
      <c r="B35" s="4">
        <f>HYPERLINK("#'DeltaFromPreviousRun'!A1","Open")</f>
        <v/>
      </c>
      <c r="C35" t="inlineStr">
        <is>
          <t>New, resolved, and persistent issues compared to a prior audit workbook or delta JSON. Sections: summary counts, new issues, resolved issues, metric changes, and SEO health trend. First runs show a baseline note when no previous export was supplied.</t>
        </is>
      </c>
    </row>
    <row r="36">
      <c r="A36" s="4">
        <f>HYPERLINK("#'Audit Run Details'!A1","Audit Run Details")</f>
        <v/>
      </c>
      <c r="B36" s="4">
        <f>HYPERLINK("#'Audit Run Details'!A1","Open")</f>
        <v/>
      </c>
      <c r="C36" t="inlineStr">
        <is>
          <t>Run configuration, timestamps, and environment notes.</t>
        </is>
      </c>
    </row>
  </sheetData>
  <mergeCells count="2">
    <mergeCell ref="A19:C19"/>
    <mergeCell ref="A3:C3"/>
  </mergeCells>
  <pageMargins left="0.75" right="0.75" top="1" bottom="1" header="0.5" footer="0.5"/>
</worksheet>
</file>

<file path=xl/worksheets/sheet2.xml><?xml version="1.0" encoding="utf-8"?>
<worksheet xmlns="http://schemas.openxmlformats.org/spreadsheetml/2006/main">
  <sheetPr>
    <tabColor rgb="002C3E50"/>
    <outlinePr summaryBelow="1" summaryRight="1"/>
    <pageSetUpPr fitToPage="1"/>
  </sheetPr>
  <dimension ref="A1:N173"/>
  <sheetViews>
    <sheetView showGridLines="0" tabSelected="1" zoomScale="85" workbookViewId="0">
      <pane ySplit="9" topLeftCell="A10"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5" customWidth="1" min="7" max="7"/>
    <col width="14" customWidth="1" min="8" max="8"/>
    <col width="16" customWidth="1" min="9" max="9"/>
    <col width="12" customWidth="1" min="10" max="10"/>
    <col width="12" customWidth="1" min="11" max="11"/>
    <col width="12" customWidth="1" min="12" max="12"/>
    <col width="28" customWidth="1" min="13" max="13"/>
    <col width="10" customWidth="1" min="14" max="14"/>
  </cols>
  <sheetData>
    <row r="1" ht="45" customHeight="1">
      <c r="A1" s="5" t="inlineStr">
        <is>
          <t>🐸 HYPE FROG: SEO &amp; AEO Intelligence Report</t>
        </is>
      </c>
    </row>
    <row r="2" ht="52" customHeight="1">
      <c r="A2" s="6" t="inlineStr">
        <is>
          <t>SEO health is 61% across 83 crawled URLs. 80 URL(s) (96%) carry Critical or Warning badges. If those were cleared, blended SEO health could reach ~95% (+34 pts) — an illustrative ceiling from the export model (90% of remaining headroom × open-issue share). Technical, PSI, and AEO components use the same conservative formula in the chart below; they are not guaranteed to move in lockstep. Source tables: row 114+.</t>
        </is>
      </c>
    </row>
    <row r="3">
      <c r="A3" s="7">
        <f>IFERROR(INDEX('Audit Run Details'!$B:$B,MATCH("Total URLs",'Audit Run Details'!$A:$A,0)),"") &amp; " URLs crawled"</f>
        <v/>
      </c>
    </row>
    <row r="4">
      <c r="A4" s="8" t="inlineStr">
        <is>
          <t>Audit Run Details</t>
        </is>
      </c>
      <c r="B4" s="8" t="inlineStr">
        <is>
          <t>Value</t>
        </is>
      </c>
    </row>
    <row r="5">
      <c r="A5" s="9" t="inlineStr">
        <is>
          <t>Run Date</t>
        </is>
      </c>
      <c r="B5" s="9">
        <f>IFERROR(INDEX('Audit Run Details'!$B:$B,MATCH("Run Timestamp",'Audit Run Details'!$A:$A,0)),"")</f>
        <v/>
      </c>
    </row>
    <row r="7" ht="22" customHeight="1">
      <c r="A7" s="10" t="inlineStr">
        <is>
          <t>SEO Health (now)</t>
        </is>
      </c>
      <c r="C7" s="10" t="inlineStr">
        <is>
          <t>SEO Health (illustrative projected)</t>
        </is>
      </c>
      <c r="E7" s="10" t="inlineStr">
        <is>
          <t>AEO Readiness</t>
        </is>
      </c>
      <c r="G7" s="10" t="inlineStr">
        <is>
          <t>Critical URLs</t>
        </is>
      </c>
      <c r="I7" s="10" t="inlineStr">
        <is>
          <t>Traffic Lift (est.)</t>
        </is>
      </c>
      <c r="K7" s="10" t="inlineStr">
        <is>
          <t>Performance (PSI)</t>
        </is>
      </c>
    </row>
    <row r="8" ht="30" customHeight="1">
      <c r="A8" s="11" t="inlineStr">
        <is>
          <t>61%</t>
        </is>
      </c>
      <c r="C8" s="11" t="inlineStr">
        <is>
          <t>95%</t>
        </is>
      </c>
      <c r="E8" s="11" t="inlineStr">
        <is>
          <t>92%</t>
        </is>
      </c>
      <c r="G8" s="11" t="inlineStr">
        <is>
          <t>17</t>
        </is>
      </c>
      <c r="I8" s="11" t="inlineStr">
        <is>
          <t>0</t>
        </is>
      </c>
      <c r="K8" s="11" t="inlineStr">
        <is>
          <t>88</t>
        </is>
      </c>
    </row>
    <row r="9" ht="36" customHeight="1">
      <c r="A9" s="12" t="inlineStr">
        <is>
          <t>Key insights: 17 URL(s) carry a Critical badge and need urgent attention. | 63 URL(s) are in Warning state — schedule fixes before they escalate. | Largest theme: "Render Blocking Resources" touches 83 URL(s) (see Fix Plan). | 6 URL(s) returned 4xx/5xx during the crawl.</t>
        </is>
      </c>
    </row>
    <row r="10" ht="24" customHeight="1">
      <c r="A10" s="13" t="inlineStr">
        <is>
          <t>Health &amp; illustrative projection</t>
        </is>
      </c>
    </row>
    <row r="11" ht="24" customHeight="1"/>
    <row r="12" ht="24" customHeight="1"/>
    <row r="29" ht="24" customHeight="1">
      <c r="A29" s="13" t="inlineStr">
        <is>
          <t>Issue distribution — unique URLs vs issue instances (see source row 60+)</t>
        </is>
      </c>
    </row>
    <row r="30" ht="24" customHeight="1"/>
    <row r="31" ht="24" customHeight="1"/>
    <row r="48" ht="24" customHeight="1">
      <c r="A48" s="13" t="inlineStr">
        <is>
          <t>Priority pages &amp; content readiness</t>
        </is>
      </c>
    </row>
    <row r="49" ht="24" customHeight="1"/>
    <row r="50" ht="24" customHeight="1"/>
    <row r="67" ht="24" customHeight="1">
      <c r="A67" s="13" t="inlineStr">
        <is>
          <t>Top issues to fix first (by affected URLs)</t>
        </is>
      </c>
    </row>
    <row r="68" ht="24" customHeight="1"/>
    <row r="69" ht="24" customHeight="1"/>
    <row r="88">
      <c r="G88" s="14" t="inlineStr">
        <is>
          <t>OWNER ISSUE SUMMARY</t>
        </is>
      </c>
      <c r="M88" s="15" t="inlineStr">
        <is>
          <t>Quick Navigation</t>
        </is>
      </c>
      <c r="N88" s="15" t="inlineStr">
        <is>
          <t>Open</t>
        </is>
      </c>
    </row>
    <row r="89">
      <c r="G89" s="16" t="inlineStr">
        <is>
          <t>Owner</t>
        </is>
      </c>
      <c r="H89" s="16" t="inlineStr">
        <is>
          <t>Issue Rows</t>
        </is>
      </c>
      <c r="I89" s="16" t="inlineStr">
        <is>
          <t>Affected URLs</t>
        </is>
      </c>
      <c r="J89" s="16" t="inlineStr">
        <is>
          <t>Critical</t>
        </is>
      </c>
      <c r="K89" s="16" t="inlineStr">
        <is>
          <t>Warning</t>
        </is>
      </c>
      <c r="M89" s="17" t="inlineStr">
        <is>
          <t>Issue Summary</t>
        </is>
      </c>
      <c r="N89" s="18">
        <f>HYPERLINK("#Summary!A1","Open")</f>
        <v/>
      </c>
    </row>
    <row r="90">
      <c r="G90" s="9">
        <f>HYPERLINK("#'FixPlan'!A1","Copy Writer")</f>
        <v/>
      </c>
      <c r="H90" s="9">
        <f>COUNTIF(OFFSET('FixPlan'!$A$1,2,MATCH("Owner",'FixPlan'!$2:$2,0)-1,99998,1),"Copy Writer")</f>
        <v/>
      </c>
      <c r="I90" s="9">
        <f>SUMIF(OFFSET('FixPlan'!$A$1,2,MATCH("Owner",'FixPlan'!$2:$2,0)-1,99998,1),"Copy Writer",OFFSET('FixPlan'!$A$1,2,MATCH("Affected Count",'FixPlan'!$2:$2,0)-1,99998,1))</f>
        <v/>
      </c>
      <c r="J90" s="9">
        <f>COUNTIFS(OFFSET('FixPlan'!$A$1,2,MATCH("Owner",'FixPlan'!$2:$2,0)-1,99998,1),"Copy Writer",OFFSET('FixPlan'!$A$1,2,MATCH("Severity",'FixPlan'!$2:$2,0)-1,99998,1),"Critical")</f>
        <v/>
      </c>
      <c r="K90" s="9">
        <f>COUNTIFS(OFFSET('FixPlan'!$A$1,2,MATCH("Owner",'FixPlan'!$2:$2,0)-1,99998,1),"Copy Writer",OFFSET('FixPlan'!$A$1,2,MATCH("Severity",'FixPlan'!$2:$2,0)-1,99998,1),"Warning")+COUNTIFS(OFFSET('FixPlan'!$A$1,2,MATCH("Owner",'FixPlan'!$2:$2,0)-1,99998,1),"Copy Writer",OFFSET('FixPlan'!$A$1,2,MATCH("Severity",'FixPlan'!$2:$2,0)-1,99998,1),"Needs Work")</f>
        <v/>
      </c>
      <c r="M90" s="17" t="inlineStr">
        <is>
          <t>Fix Plan</t>
        </is>
      </c>
      <c r="N90" s="18">
        <f>HYPERLINK("#FixPlan!A1","Open")</f>
        <v/>
      </c>
    </row>
    <row r="91">
      <c r="G91" s="9">
        <f>HYPERLINK("#'FixPlan'!A1","Dev")</f>
        <v/>
      </c>
      <c r="H91" s="9">
        <f>COUNTIF(OFFSET('FixPlan'!$A$1,2,MATCH("Owner",'FixPlan'!$2:$2,0)-1,99998,1),"Dev")</f>
        <v/>
      </c>
      <c r="I91" s="9">
        <f>SUMIF(OFFSET('FixPlan'!$A$1,2,MATCH("Owner",'FixPlan'!$2:$2,0)-1,99998,1),"Dev",OFFSET('FixPlan'!$A$1,2,MATCH("Affected Count",'FixPlan'!$2:$2,0)-1,99998,1))</f>
        <v/>
      </c>
      <c r="J91" s="9">
        <f>COUNTIFS(OFFSET('FixPlan'!$A$1,2,MATCH("Owner",'FixPlan'!$2:$2,0)-1,99998,1),"Dev",OFFSET('FixPlan'!$A$1,2,MATCH("Severity",'FixPlan'!$2:$2,0)-1,99998,1),"Critical")</f>
        <v/>
      </c>
      <c r="K91" s="9">
        <f>COUNTIFS(OFFSET('FixPlan'!$A$1,2,MATCH("Owner",'FixPlan'!$2:$2,0)-1,99998,1),"Dev",OFFSET('FixPlan'!$A$1,2,MATCH("Severity",'FixPlan'!$2:$2,0)-1,99998,1),"Warning")+COUNTIFS(OFFSET('FixPlan'!$A$1,2,MATCH("Owner",'FixPlan'!$2:$2,0)-1,99998,1),"Dev",OFFSET('FixPlan'!$A$1,2,MATCH("Severity",'FixPlan'!$2:$2,0)-1,99998,1),"Needs Work")</f>
        <v/>
      </c>
      <c r="M91" s="17" t="inlineStr">
        <is>
          <t>Main URL Data</t>
        </is>
      </c>
      <c r="N91" s="18">
        <f>HYPERLINK("#Main!A1","Open")</f>
        <v/>
      </c>
    </row>
    <row r="92">
      <c r="G92" s="9">
        <f>HYPERLINK("#'FixPlan'!A1","Server/Host")</f>
        <v/>
      </c>
      <c r="H92" s="9">
        <f>COUNTIF(OFFSET('FixPlan'!$A$1,2,MATCH("Owner",'FixPlan'!$2:$2,0)-1,99998,1),"Server/Host")</f>
        <v/>
      </c>
      <c r="I92" s="9">
        <f>SUMIF(OFFSET('FixPlan'!$A$1,2,MATCH("Owner",'FixPlan'!$2:$2,0)-1,99998,1),"Server/Host",OFFSET('FixPlan'!$A$1,2,MATCH("Affected Count",'FixPlan'!$2:$2,0)-1,99998,1))</f>
        <v/>
      </c>
      <c r="J92" s="9">
        <f>COUNTIFS(OFFSET('FixPlan'!$A$1,2,MATCH("Owner",'FixPlan'!$2:$2,0)-1,99998,1),"Server/Host",OFFSET('FixPlan'!$A$1,2,MATCH("Severity",'FixPlan'!$2:$2,0)-1,99998,1),"Critical")</f>
        <v/>
      </c>
      <c r="K92" s="9">
        <f>COUNTIFS(OFFSET('FixPlan'!$A$1,2,MATCH("Owner",'FixPlan'!$2:$2,0)-1,99998,1),"Server/Host",OFFSET('FixPlan'!$A$1,2,MATCH("Severity",'FixPlan'!$2:$2,0)-1,99998,1),"Warning")+COUNTIFS(OFFSET('FixPlan'!$A$1,2,MATCH("Owner",'FixPlan'!$2:$2,0)-1,99998,1),"Server/Host",OFFSET('FixPlan'!$A$1,2,MATCH("Severity",'FixPlan'!$2:$2,0)-1,99998,1),"Needs Work")</f>
        <v/>
      </c>
      <c r="M92" s="17" t="inlineStr">
        <is>
          <t>Technical Diagnostics</t>
        </is>
      </c>
      <c r="N92" s="18">
        <f>HYPERLINK("#'Technical Diagnostics'!A1","Open")</f>
        <v/>
      </c>
    </row>
    <row r="93">
      <c r="M93" s="17" t="inlineStr">
        <is>
          <t>Indexability</t>
        </is>
      </c>
      <c r="N93" s="18">
        <f>HYPERLINK("#'Technical Diagnostics'!A1","Open")</f>
        <v/>
      </c>
    </row>
    <row r="94">
      <c r="M94" s="17" t="inlineStr">
        <is>
          <t>AEO Opportunities</t>
        </is>
      </c>
      <c r="N94" s="18">
        <f>HYPERLINK("#'Content &amp; AI Readiness'!A1","Open")</f>
        <v/>
      </c>
    </row>
    <row r="95">
      <c r="M95" s="17" t="inlineStr">
        <is>
          <t>AIOSEO Recommendations</t>
        </is>
      </c>
      <c r="N95" s="18">
        <f>HYPERLINK("#'AIOSEO Recommendations'!A1","Open")</f>
        <v/>
      </c>
    </row>
    <row r="96">
      <c r="M96" s="9" t="inlineStr">
        <is>
          <t>Content Hub</t>
        </is>
      </c>
      <c r="N96" s="19">
        <f>HYPERLINK("#'Content Optimisation Hub'!A1","Open")</f>
        <v/>
      </c>
    </row>
    <row r="98">
      <c r="M98" s="3" t="inlineStr">
        <is>
          <t>Advanced Sheets</t>
        </is>
      </c>
    </row>
    <row r="99">
      <c r="M99" s="20" t="inlineStr">
        <is>
          <t>Technical &amp; historical tabs are hidden to reduce clutter. Use the links below or Home → Format → Hide &amp; Unhide → Unhide Sheet.</t>
        </is>
      </c>
    </row>
    <row r="100"/>
    <row r="101">
      <c r="M101" s="21" t="inlineStr">
        <is>
          <t>Issue Register (canonical backlog)</t>
        </is>
      </c>
      <c r="N101" s="19">
        <f>HYPERLINK("#'Issue Register'!A1","Open")</f>
        <v/>
      </c>
    </row>
    <row r="102">
      <c r="M102" s="21" t="inlineStr">
        <is>
          <t>Technical Diagnostics</t>
        </is>
      </c>
      <c r="N102" s="19">
        <f>HYPERLINK("#'Technical Diagnostics'!A1","Open")</f>
        <v/>
      </c>
    </row>
    <row r="103">
      <c r="M103" s="21" t="inlineStr">
        <is>
          <t>Content &amp; AI Readiness</t>
        </is>
      </c>
      <c r="N103" s="19">
        <f>HYPERLINK("#'Content &amp; AI Readiness'!A1","Open")</f>
        <v/>
      </c>
    </row>
    <row r="104">
      <c r="M104" s="21" t="inlineStr">
        <is>
          <t>Link Intelligence</t>
        </is>
      </c>
      <c r="N104" s="19">
        <f>HYPERLINK("#'Link Intelligence'!A1","Open")</f>
        <v/>
      </c>
    </row>
    <row r="105">
      <c r="M105" s="21" t="inlineStr">
        <is>
          <t>CMS Action URLs</t>
        </is>
      </c>
      <c r="N105" s="19">
        <f>HYPERLINK("#'CMS Action URLs'!A1","Open")</f>
        <v/>
      </c>
    </row>
    <row r="106">
      <c r="M106" s="21" t="inlineStr">
        <is>
          <t>Redirects</t>
        </is>
      </c>
      <c r="N106" s="19">
        <f>HYPERLINK("#'Redirects'!A1","Open")</f>
        <v/>
      </c>
    </row>
    <row r="107">
      <c r="M107" s="21" t="inlineStr">
        <is>
          <t>Redirect Map</t>
        </is>
      </c>
      <c r="N107" s="19">
        <f>HYPERLINK("#'Redirect Map'!A1","Open")</f>
        <v/>
      </c>
    </row>
    <row r="108">
      <c r="M108" s="21" t="inlineStr">
        <is>
          <t>Robots.txt Analysis</t>
        </is>
      </c>
      <c r="N108" s="19">
        <f>HYPERLINK("#'Robots.txt Analysis'!A1","Open")</f>
        <v/>
      </c>
    </row>
    <row r="109">
      <c r="M109" s="21" t="inlineStr">
        <is>
          <t>Crawl Log</t>
        </is>
      </c>
      <c r="N109" s="19">
        <f>HYPERLINK("#'Crawl Log'!A1","Open")</f>
        <v/>
      </c>
    </row>
    <row r="110">
      <c r="M110" s="21" t="inlineStr">
        <is>
          <t>Audit Run Details</t>
        </is>
      </c>
      <c r="N110" s="19">
        <f>HYPERLINK("#'Audit Run Details'!A1","Open")</f>
        <v/>
      </c>
    </row>
    <row r="111">
      <c r="M111" s="21" t="inlineStr">
        <is>
          <t>Resolved Issues</t>
        </is>
      </c>
      <c r="N111" s="19">
        <f>HYPERLINK("#'ResolvedIssues'!A1","Open")</f>
        <v/>
      </c>
    </row>
    <row r="112" ht="18" customHeight="1">
      <c r="A112" s="22" t="inlineStr">
        <is>
          <t>▼ Chart source data begins row 114 (columns A–C)</t>
        </is>
      </c>
      <c r="M112" s="21" t="inlineStr">
        <is>
          <t>Delta From Previous Run</t>
        </is>
      </c>
      <c r="N112" s="19">
        <f>HYPERLINK("#'DeltaFromPreviousRun'!A1","Open")</f>
        <v/>
      </c>
    </row>
    <row r="114">
      <c r="A114" s="23" t="inlineStr">
        <is>
          <t>Chart source data (scroll down — used by charts above)</t>
        </is>
      </c>
    </row>
    <row r="115">
      <c r="A115" t="inlineStr">
        <is>
          <t>Health comparison</t>
        </is>
      </c>
    </row>
    <row r="116">
      <c r="A116" t="inlineStr">
        <is>
          <t>Metric</t>
        </is>
      </c>
      <c r="B116" t="inlineStr">
        <is>
          <t>Current</t>
        </is>
      </c>
      <c r="C116" t="inlineStr">
        <is>
          <t>Illustrative projected</t>
        </is>
      </c>
    </row>
    <row r="117">
      <c r="A117" t="inlineStr">
        <is>
          <t>SEO Health</t>
        </is>
      </c>
      <c r="B117" t="n">
        <v>61.3</v>
      </c>
      <c r="C117" t="n">
        <v>94.90000000000001</v>
      </c>
    </row>
    <row r="118">
      <c r="A118" t="inlineStr">
        <is>
          <t>Technical Health</t>
        </is>
      </c>
      <c r="B118" t="n">
        <v>61.3</v>
      </c>
      <c r="C118" t="n">
        <v>94.90000000000001</v>
      </c>
    </row>
    <row r="119">
      <c r="A119" t="inlineStr">
        <is>
          <t>Performance (PSI)</t>
        </is>
      </c>
      <c r="B119" t="n">
        <v>88</v>
      </c>
      <c r="C119" t="n">
        <v>98.40000000000001</v>
      </c>
    </row>
    <row r="120">
      <c r="A120" t="inlineStr">
        <is>
          <t>LCP (Lab Mobile avg)</t>
        </is>
      </c>
      <c r="B120" t="n">
        <v>2.4</v>
      </c>
      <c r="C120" t="n">
        <v>2.5</v>
      </c>
    </row>
    <row r="121">
      <c r="A121" t="inlineStr">
        <is>
          <t>Accessibility (avg)</t>
        </is>
      </c>
      <c r="B121" t="n">
        <v>85</v>
      </c>
      <c r="C121" t="n">
        <v>90</v>
      </c>
    </row>
    <row r="122">
      <c r="A122" t="inlineStr">
        <is>
          <t>AEO Readiness</t>
        </is>
      </c>
      <c r="B122" t="n">
        <v>92.40000000000001</v>
      </c>
      <c r="C122" t="n">
        <v>99</v>
      </c>
    </row>
    <row r="123">
      <c r="A123" t="inlineStr">
        <is>
          <t>Severity — unique URLs vs issue instances</t>
        </is>
      </c>
    </row>
    <row r="124">
      <c r="A124" t="inlineStr">
        <is>
          <t>Severity</t>
        </is>
      </c>
      <c r="B124" t="inlineStr">
        <is>
          <t>Unique URLs</t>
        </is>
      </c>
      <c r="C124" t="inlineStr">
        <is>
          <t>Issue instances</t>
        </is>
      </c>
    </row>
    <row r="125">
      <c r="A125" t="inlineStr">
        <is>
          <t>Critical</t>
        </is>
      </c>
      <c r="B125" t="n">
        <v>17</v>
      </c>
      <c r="C125" t="n">
        <v>17</v>
      </c>
    </row>
    <row r="126">
      <c r="A126" t="inlineStr">
        <is>
          <t>Warning</t>
        </is>
      </c>
      <c r="B126" t="n">
        <v>63</v>
      </c>
      <c r="C126" t="n">
        <v>135</v>
      </c>
    </row>
    <row r="127">
      <c r="A127" t="inlineStr">
        <is>
          <t>Observation</t>
        </is>
      </c>
      <c r="B127" t="n">
        <v>3</v>
      </c>
      <c r="C127" t="n">
        <v>370</v>
      </c>
    </row>
    <row r="130">
      <c r="A130" t="inlineStr">
        <is>
          <t>Owner workload — unique URLs vs issue instances</t>
        </is>
      </c>
    </row>
    <row r="131">
      <c r="A131" t="inlineStr">
        <is>
          <t>Owner</t>
        </is>
      </c>
      <c r="B131" t="inlineStr">
        <is>
          <t>Unique URLs</t>
        </is>
      </c>
      <c r="C131" t="inlineStr">
        <is>
          <t>Issue instances</t>
        </is>
      </c>
    </row>
    <row r="132">
      <c r="A132" t="inlineStr">
        <is>
          <t>Copy Writer</t>
        </is>
      </c>
      <c r="B132" t="n">
        <v>66</v>
      </c>
      <c r="C132" t="n">
        <v>256</v>
      </c>
    </row>
    <row r="133">
      <c r="A133" t="inlineStr">
        <is>
          <t>Server/Host</t>
        </is>
      </c>
      <c r="B133" t="n">
        <v>11</v>
      </c>
      <c r="C133" t="n">
        <v>11</v>
      </c>
    </row>
    <row r="134">
      <c r="A134" t="inlineStr">
        <is>
          <t>Dev</t>
        </is>
      </c>
      <c r="B134" t="n">
        <v>6</v>
      </c>
      <c r="C134" t="n">
        <v>255</v>
      </c>
    </row>
    <row r="139">
      <c r="A139" t="inlineStr">
        <is>
          <t>Top business risk URLs (chart excludes cart/checkout/thank-you pages)</t>
        </is>
      </c>
    </row>
    <row r="140">
      <c r="A140" t="inlineStr">
        <is>
          <t>Page</t>
        </is>
      </c>
      <c r="B140" t="inlineStr">
        <is>
          <t>Business Risk Score</t>
        </is>
      </c>
    </row>
    <row r="141">
      <c r="A141" t="inlineStr">
        <is>
          <t>africanmarketingconfederation.org</t>
        </is>
      </c>
      <c r="B141" t="n">
        <v>130</v>
      </c>
    </row>
    <row r="142">
      <c r="A142" t="inlineStr">
        <is>
          <t>smoke-archive/page-13</t>
        </is>
      </c>
      <c r="B142" t="n">
        <v>130</v>
      </c>
    </row>
    <row r="143">
      <c r="A143" t="inlineStr">
        <is>
          <t>smoke-archive/page-17</t>
        </is>
      </c>
      <c r="B143" t="n">
        <v>130</v>
      </c>
    </row>
    <row r="144">
      <c r="A144" t="inlineStr">
        <is>
          <t>smoke-archive/page-26</t>
        </is>
      </c>
      <c r="B144" t="n">
        <v>130</v>
      </c>
    </row>
    <row r="145">
      <c r="A145" t="inlineStr">
        <is>
          <t>smoke-archive/page-34</t>
        </is>
      </c>
      <c r="B145" t="n">
        <v>130</v>
      </c>
    </row>
    <row r="146">
      <c r="A146" t="inlineStr">
        <is>
          <t>smoke-archive/page-39</t>
        </is>
      </c>
      <c r="B146" t="n">
        <v>130</v>
      </c>
    </row>
    <row r="147">
      <c r="A147" t="inlineStr">
        <is>
          <t>smoke-archive/page-51</t>
        </is>
      </c>
      <c r="B147" t="n">
        <v>130</v>
      </c>
    </row>
    <row r="148">
      <c r="A148" t="inlineStr">
        <is>
          <t>smoke-archive/page-52</t>
        </is>
      </c>
      <c r="B148" t="n">
        <v>130</v>
      </c>
    </row>
    <row r="151">
      <c r="A151" t="inlineStr">
        <is>
          <t>Content readiness</t>
        </is>
      </c>
    </row>
    <row r="152">
      <c r="A152" t="inlineStr">
        <is>
          <t>Metric</t>
        </is>
      </c>
      <c r="B152" t="inlineStr">
        <is>
          <t>Percent</t>
        </is>
      </c>
    </row>
    <row r="153">
      <c r="A153" t="inlineStr">
        <is>
          <t>Good H1</t>
        </is>
      </c>
      <c r="B153" t="n">
        <v>100</v>
      </c>
    </row>
    <row r="154">
      <c r="A154" t="inlineStr">
        <is>
          <t>Meta description</t>
        </is>
      </c>
      <c r="B154" t="n">
        <v>81.90000000000001</v>
      </c>
    </row>
    <row r="155">
      <c r="A155" t="inlineStr">
        <is>
          <t>Answer paragraphs</t>
        </is>
      </c>
      <c r="B155" t="n">
        <v>89.2</v>
      </c>
    </row>
    <row r="156">
      <c r="A156" t="inlineStr">
        <is>
          <t>Schema present</t>
        </is>
      </c>
      <c r="B156" t="n">
        <v>0</v>
      </c>
    </row>
    <row r="157">
      <c r="A157" t="inlineStr">
        <is>
          <t>Image alt ≥80%</t>
        </is>
      </c>
      <c r="B157" t="n">
        <v>84.3</v>
      </c>
    </row>
    <row r="158">
      <c r="A158" t="inlineStr">
        <is>
          <t>Question headings</t>
        </is>
      </c>
      <c r="B158" t="n">
        <v>89.2</v>
      </c>
    </row>
    <row r="159">
      <c r="A159" t="inlineStr">
        <is>
          <t>SEO health — export projection model</t>
        </is>
      </c>
    </row>
    <row r="160">
      <c r="A160" t="inlineStr">
        <is>
          <t>Metric</t>
        </is>
      </c>
      <c r="B160" t="inlineStr">
        <is>
          <t>Percent</t>
        </is>
      </c>
    </row>
    <row r="161">
      <c r="A161" t="inlineStr">
        <is>
          <t>Current SEO Health</t>
        </is>
      </c>
      <c r="B161" t="n">
        <v>61.3</v>
      </c>
    </row>
    <row r="162">
      <c r="A162" t="inlineStr">
        <is>
          <t>Illustrative projected SEO Health</t>
        </is>
      </c>
      <c r="B162" t="n">
        <v>94.90000000000001</v>
      </c>
    </row>
    <row r="163">
      <c r="A163" t="inlineStr">
        <is>
          <t>Model: current + (100-current) × open-issue share × 0.9 (matches export_flow)</t>
        </is>
      </c>
    </row>
    <row r="164">
      <c r="A164" t="inlineStr">
        <is>
          <t>Top issues by URL impact</t>
        </is>
      </c>
    </row>
    <row r="165">
      <c r="A165" t="inlineStr">
        <is>
          <t>Issue</t>
        </is>
      </c>
      <c r="B165" t="inlineStr">
        <is>
          <t>Affected URLs</t>
        </is>
      </c>
    </row>
    <row r="166">
      <c r="A166" t="inlineStr">
        <is>
          <t>No Consent Manager Detected</t>
        </is>
      </c>
      <c r="B166" t="n">
        <v>83</v>
      </c>
    </row>
    <row r="167">
      <c r="A167" t="inlineStr">
        <is>
          <t>Lab TBT 150ms–300ms (Mobile)</t>
        </is>
      </c>
      <c r="B167" t="n">
        <v>83</v>
      </c>
    </row>
    <row r="168">
      <c r="A168" t="inlineStr">
        <is>
          <t>Moderate Lighthouse Performance Mobile …</t>
        </is>
      </c>
      <c r="B168" t="n">
        <v>83</v>
      </c>
    </row>
    <row r="169">
      <c r="A169" t="inlineStr">
        <is>
          <t>Render Blocking Resources</t>
        </is>
      </c>
      <c r="B169" t="n">
        <v>83</v>
      </c>
    </row>
    <row r="170">
      <c r="A170" t="inlineStr">
        <is>
          <t>Missing OG Image</t>
        </is>
      </c>
      <c r="B170" t="n">
        <v>63</v>
      </c>
    </row>
    <row r="171">
      <c r="A171" t="inlineStr">
        <is>
          <t>Missing Meta Description</t>
        </is>
      </c>
      <c r="B171" t="n">
        <v>15</v>
      </c>
    </row>
    <row r="172">
      <c r="A172" t="inlineStr">
        <is>
          <t>Missing OG Description</t>
        </is>
      </c>
      <c r="B172" t="n">
        <v>15</v>
      </c>
    </row>
    <row r="173">
      <c r="A173" t="inlineStr">
        <is>
          <t>Low Image Alt Coverage</t>
        </is>
      </c>
      <c r="B173" t="n">
        <v>13</v>
      </c>
    </row>
  </sheetData>
  <mergeCells count="25">
    <mergeCell ref="M99:N100"/>
    <mergeCell ref="M98:N98"/>
    <mergeCell ref="G8:H8"/>
    <mergeCell ref="A3:L3"/>
    <mergeCell ref="E8:F8"/>
    <mergeCell ref="A2:L2"/>
    <mergeCell ref="A7:B7"/>
    <mergeCell ref="G7:H7"/>
    <mergeCell ref="I7:J7"/>
    <mergeCell ref="A29:L29"/>
    <mergeCell ref="A10:L10"/>
    <mergeCell ref="A112:L112"/>
    <mergeCell ref="K8:L8"/>
    <mergeCell ref="A114:C114"/>
    <mergeCell ref="I8:J8"/>
    <mergeCell ref="A9:L9"/>
    <mergeCell ref="A67:L67"/>
    <mergeCell ref="A8:B8"/>
    <mergeCell ref="C8:D8"/>
    <mergeCell ref="G88:K88"/>
    <mergeCell ref="A48:L48"/>
    <mergeCell ref="K7:L7"/>
    <mergeCell ref="C7:D7"/>
    <mergeCell ref="E7:F7"/>
    <mergeCell ref="A1:L1"/>
  </mergeCells>
  <pageMargins left="0.75" right="0.75"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tabColor rgb="002C3E50"/>
    <outlinePr summaryBelow="1" summaryRight="1"/>
    <pageSetUpPr fitToPage="1"/>
  </sheetPr>
  <dimension ref="A1:F140"/>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24" customWidth="1" min="1" max="1"/>
    <col width="13" customWidth="1" min="2" max="2"/>
    <col width="48" customWidth="1" min="3" max="3"/>
    <col width="20" customWidth="1" min="4" max="4"/>
    <col width="30" customWidth="1" min="5" max="5"/>
    <col width="55" customWidth="1" min="6" max="6"/>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Section</t>
        </is>
      </c>
      <c r="B2" s="26" t="inlineStr">
        <is>
          <t>Severity</t>
        </is>
      </c>
      <c r="C2" s="26" t="inlineStr">
        <is>
          <t>Issue</t>
        </is>
      </c>
      <c r="D2" s="27" t="inlineStr">
        <is>
          <t>Affected URL Count</t>
        </is>
      </c>
      <c r="E2" s="26" t="inlineStr">
        <is>
          <t>Reference Tab</t>
        </is>
      </c>
      <c r="F2" s="26" t="inlineStr">
        <is>
          <t>Affected URLs (sample)</t>
        </is>
      </c>
    </row>
    <row r="3" ht="120" customHeight="1">
      <c r="A3" s="28" t="inlineStr">
        <is>
          <t>AEO Opportunities</t>
        </is>
      </c>
      <c r="B3" s="29" t="inlineStr">
        <is>
          <t>Warning</t>
        </is>
      </c>
      <c r="C3" s="28" t="inlineStr">
        <is>
          <t>Low AEO Readiness Score</t>
        </is>
      </c>
      <c r="D3" s="20" t="n">
        <v>9</v>
      </c>
      <c r="E3" s="28" t="inlineStr">
        <is>
          <t>Content &amp; AI Readiness</t>
        </is>
      </c>
      <c r="F3"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row>
    <row r="4" ht="18" customHeight="1">
      <c r="A4" s="30" t="inlineStr">
        <is>
          <t>AEO Opportunities</t>
        </is>
      </c>
      <c r="B4" s="29" t="inlineStr">
        <is>
          <t>Warning</t>
        </is>
      </c>
      <c r="C4" s="30" t="inlineStr">
        <is>
          <t>Missing FAQ/QA Schema</t>
        </is>
      </c>
      <c r="D4" s="31" t="n">
        <v>0</v>
      </c>
      <c r="E4" s="30" t="inlineStr">
        <is>
          <t>Content &amp; AI Readiness</t>
        </is>
      </c>
      <c r="F4" s="31" t="inlineStr">
        <is>
          <t xml:space="preserve"> || Full list: see Content &amp; AI Readiness tab</t>
        </is>
      </c>
    </row>
    <row r="5" ht="120" customHeight="1">
      <c r="A5" s="32" t="inlineStr">
        <is>
          <t>AEO Opportunities</t>
        </is>
      </c>
      <c r="B5" s="33" t="inlineStr">
        <is>
          <t>Observation</t>
        </is>
      </c>
      <c r="C5" s="28" t="inlineStr">
        <is>
          <t>No 40-60 Word Answer Paragraphs</t>
        </is>
      </c>
      <c r="D5" s="20" t="n">
        <v>9</v>
      </c>
      <c r="E5" s="28" t="inlineStr">
        <is>
          <t>Content &amp; AI Readiness</t>
        </is>
      </c>
      <c r="F5"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row>
    <row r="6" ht="120" customHeight="1">
      <c r="A6" s="32" t="inlineStr">
        <is>
          <t>AEO Opportunities</t>
        </is>
      </c>
      <c r="B6" s="33" t="inlineStr">
        <is>
          <t>Observation</t>
        </is>
      </c>
      <c r="C6" s="30" t="inlineStr">
        <is>
          <t>No Answer-Friendly Structure</t>
        </is>
      </c>
      <c r="D6" s="31" t="n">
        <v>9</v>
      </c>
      <c r="E6" s="30" t="inlineStr">
        <is>
          <t>Content &amp; AI Readiness</t>
        </is>
      </c>
      <c r="F6" s="31"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row>
    <row r="7" ht="120" customHeight="1">
      <c r="A7" s="32" t="inlineStr">
        <is>
          <t>AEO Opportunities</t>
        </is>
      </c>
      <c r="B7" s="33" t="inlineStr">
        <is>
          <t>Observation</t>
        </is>
      </c>
      <c r="C7" s="28" t="inlineStr">
        <is>
          <t>No Question Headings</t>
        </is>
      </c>
      <c r="D7" s="20" t="n">
        <v>9</v>
      </c>
      <c r="E7" s="28" t="inlineStr">
        <is>
          <t>Content &amp; AI Readiness</t>
        </is>
      </c>
      <c r="F7"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row>
    <row r="8" ht="18" customHeight="1">
      <c r="A8" s="32" t="inlineStr">
        <is>
          <t>AEO Opportunities</t>
        </is>
      </c>
      <c r="B8" s="30" t="inlineStr"/>
      <c r="C8" s="30" t="inlineStr"/>
      <c r="D8" s="31" t="inlineStr"/>
      <c r="E8" s="30" t="inlineStr"/>
      <c r="F8" s="31" t="inlineStr">
        <is>
          <t>Detailed rows: see Content &amp; AI Readiness tab</t>
        </is>
      </c>
    </row>
    <row r="9" ht="120" customHeight="1">
      <c r="A9" s="28" t="inlineStr">
        <is>
          <t>Issue Counts</t>
        </is>
      </c>
      <c r="B9" s="34" t="inlineStr">
        <is>
          <t>Critical</t>
        </is>
      </c>
      <c r="C9" s="28" t="inlineStr">
        <is>
          <t>Non-200 Status</t>
        </is>
      </c>
      <c r="D9" s="20" t="n">
        <v>11</v>
      </c>
      <c r="E9" s="28" t="inlineStr">
        <is>
          <t>Technical Diagnostics</t>
        </is>
      </c>
      <c r="F9" s="20" t="inlineStr">
        <is>
          <t>https://africanmarketingconfederation.org/ | https://africanmarketingconfederation.org/smoke-archive/page-13 | https://africanmarketingconfederation.org/smoke-archive/page-17 | https://africanmarketingconfederation.org/smoke-archive/page-26 | https://africanmarketingconfederation.org/smoke-archive/page-34 | https://africanmarketingconfederation.org/smoke-archive/page-39 | https://africanmarketingconfederation.org/smoke-archive/page-51 | https://africanmarketingconfederation.org/smoke-archive/page-52 | https://africanmarketingconfederation.org/smoke-archive/page-65 | https://africanmarketingconfederation.org/smoke-archive/page-68 | https://africanmarketingconfederation.org/smoke-archive/page-78 || Full list: see Technical Diagnostics / Link Intelligence tabs</t>
        </is>
      </c>
    </row>
    <row r="10" ht="120" customHeight="1">
      <c r="A10" s="30" t="inlineStr">
        <is>
          <t>Issue Counts</t>
        </is>
      </c>
      <c r="B10" s="34" t="inlineStr">
        <is>
          <t>Critical</t>
        </is>
      </c>
      <c r="C10" s="30" t="inlineStr">
        <is>
          <t>No Schema Markup</t>
        </is>
      </c>
      <c r="D10" s="31" t="n">
        <v>6</v>
      </c>
      <c r="E10" s="30" t="inlineStr">
        <is>
          <t>Technical Diagnostics</t>
        </is>
      </c>
      <c r="F10" s="31" t="inlineStr">
        <is>
          <t>https://africanmarketingconfederation.org/smoke-archive/page-12 | https://africanmarketingconfederation.org/smoke-archive/page-24 | https://africanmarketingconfederation.org/smoke-archive/page-36 | https://africanmarketingconfederation.org/smoke-archive/page-48 | https://africanmarketingconfederation.org/smoke-archive/page-60 | https://africanmarketingconfederation.org/smoke-archive/page-72 || Full list: see Technical Diagnostics / Link Intelligence tabs</t>
        </is>
      </c>
    </row>
    <row r="11" ht="30" customHeight="1">
      <c r="A11" s="28" t="inlineStr">
        <is>
          <t>Issue Counts</t>
        </is>
      </c>
      <c r="B11" s="34" t="inlineStr">
        <is>
          <t>Critical</t>
        </is>
      </c>
      <c r="C11" s="28" t="inlineStr">
        <is>
          <t>Blocked by Googlebot</t>
        </is>
      </c>
      <c r="D11" s="20" t="n">
        <v>0</v>
      </c>
      <c r="E11" s="28" t="inlineStr">
        <is>
          <t>Technical Diagnostics</t>
        </is>
      </c>
      <c r="F11" s="20" t="inlineStr">
        <is>
          <t xml:space="preserve"> || Full list: see Technical Diagnostics / Link Intelligence tabs</t>
        </is>
      </c>
    </row>
    <row r="12" ht="30" customHeight="1">
      <c r="A12" s="30" t="inlineStr">
        <is>
          <t>Issue Counts</t>
        </is>
      </c>
      <c r="B12" s="34" t="inlineStr">
        <is>
          <t>Critical</t>
        </is>
      </c>
      <c r="C12" s="30" t="inlineStr">
        <is>
          <t>Broken Internal Links</t>
        </is>
      </c>
      <c r="D12" s="31" t="n">
        <v>0</v>
      </c>
      <c r="E12" s="30" t="inlineStr">
        <is>
          <t>Link Intelligence</t>
        </is>
      </c>
      <c r="F12" s="31" t="inlineStr">
        <is>
          <t xml:space="preserve"> || Full list: see Technical Diagnostics / Link Intelligence tabs</t>
        </is>
      </c>
    </row>
    <row r="13" ht="30" customHeight="1">
      <c r="A13" s="28" t="inlineStr">
        <is>
          <t>Issue Counts</t>
        </is>
      </c>
      <c r="B13" s="34" t="inlineStr">
        <is>
          <t>Critical</t>
        </is>
      </c>
      <c r="C13" s="28" t="inlineStr">
        <is>
          <t>CWV LCP Above 4.0s (Field Data)</t>
        </is>
      </c>
      <c r="D13" s="20" t="n">
        <v>0</v>
      </c>
      <c r="E13" s="28" t="inlineStr">
        <is>
          <t>Technical Diagnostics</t>
        </is>
      </c>
      <c r="F13" s="20" t="inlineStr">
        <is>
          <t xml:space="preserve"> || Full list: see Technical Diagnostics / Link Intelligence tabs</t>
        </is>
      </c>
    </row>
    <row r="14" ht="30" customHeight="1">
      <c r="A14" s="30" t="inlineStr">
        <is>
          <t>Issue Counts</t>
        </is>
      </c>
      <c r="B14" s="34" t="inlineStr">
        <is>
          <t>Critical</t>
        </is>
      </c>
      <c r="C14" s="30" t="inlineStr">
        <is>
          <t>Canonical Loop</t>
        </is>
      </c>
      <c r="D14" s="31" t="n">
        <v>0</v>
      </c>
      <c r="E14" s="30" t="inlineStr">
        <is>
          <t>Technical Diagnostics</t>
        </is>
      </c>
      <c r="F14" s="31" t="inlineStr">
        <is>
          <t xml:space="preserve"> || Full list: see Technical Diagnostics / Link Intelligence tabs</t>
        </is>
      </c>
    </row>
    <row r="15" ht="30" customHeight="1">
      <c r="A15" s="28" t="inlineStr">
        <is>
          <t>Issue Counts</t>
        </is>
      </c>
      <c r="B15" s="34" t="inlineStr">
        <is>
          <t>Critical</t>
        </is>
      </c>
      <c r="C15" s="28" t="inlineStr">
        <is>
          <t>Canonical Points Elsewhere</t>
        </is>
      </c>
      <c r="D15" s="20" t="n">
        <v>0</v>
      </c>
      <c r="E15" s="28" t="inlineStr">
        <is>
          <t>Technical Diagnostics</t>
        </is>
      </c>
      <c r="F15" s="20" t="inlineStr">
        <is>
          <t xml:space="preserve"> || Full list: see Technical Diagnostics / Link Intelligence tabs</t>
        </is>
      </c>
    </row>
    <row r="16" ht="30" customHeight="1">
      <c r="A16" s="30" t="inlineStr">
        <is>
          <t>Issue Counts</t>
        </is>
      </c>
      <c r="B16" s="34" t="inlineStr">
        <is>
          <t>Critical</t>
        </is>
      </c>
      <c r="C16" s="30" t="inlineStr">
        <is>
          <t>Canonical Points to Broken URL</t>
        </is>
      </c>
      <c r="D16" s="31" t="n">
        <v>0</v>
      </c>
      <c r="E16" s="30" t="inlineStr">
        <is>
          <t>Technical Diagnostics</t>
        </is>
      </c>
      <c r="F16" s="31" t="inlineStr">
        <is>
          <t xml:space="preserve"> || Full list: see Technical Diagnostics / Link Intelligence tabs</t>
        </is>
      </c>
    </row>
    <row r="17" ht="30" customHeight="1">
      <c r="A17" s="28" t="inlineStr">
        <is>
          <t>Issue Counts</t>
        </is>
      </c>
      <c r="B17" s="34" t="inlineStr">
        <is>
          <t>Critical</t>
        </is>
      </c>
      <c r="C17" s="28" t="inlineStr">
        <is>
          <t>High Broken Image Count (&gt;3)</t>
        </is>
      </c>
      <c r="D17" s="20" t="n">
        <v>0</v>
      </c>
      <c r="E17" s="28" t="inlineStr">
        <is>
          <t>Technical Diagnostics</t>
        </is>
      </c>
      <c r="F17" s="20" t="inlineStr">
        <is>
          <t xml:space="preserve"> || Full list: see Technical Diagnostics / Link Intelligence tabs</t>
        </is>
      </c>
    </row>
    <row r="18" ht="30" customHeight="1">
      <c r="A18" s="30" t="inlineStr">
        <is>
          <t>Issue Counts</t>
        </is>
      </c>
      <c r="B18" s="34" t="inlineStr">
        <is>
          <t>Critical</t>
        </is>
      </c>
      <c r="C18" s="30" t="inlineStr">
        <is>
          <t>In Sitemap but Blocked by Googlebot</t>
        </is>
      </c>
      <c r="D18" s="31" t="n">
        <v>0</v>
      </c>
      <c r="E18" s="30" t="inlineStr">
        <is>
          <t>Technical Diagnostics</t>
        </is>
      </c>
      <c r="F18" s="31" t="inlineStr">
        <is>
          <t xml:space="preserve"> || Full list: see Technical Diagnostics / Link Intelligence tabs</t>
        </is>
      </c>
    </row>
    <row r="19" ht="30" customHeight="1">
      <c r="A19" s="28" t="inlineStr">
        <is>
          <t>Issue Counts</t>
        </is>
      </c>
      <c r="B19" s="34" t="inlineStr">
        <is>
          <t>Critical</t>
        </is>
      </c>
      <c r="C19" s="28" t="inlineStr">
        <is>
          <t>Lab LCP Above 4.0s (Mobile)</t>
        </is>
      </c>
      <c r="D19" s="20" t="n">
        <v>0</v>
      </c>
      <c r="E19" s="28" t="inlineStr">
        <is>
          <t>Technical Diagnostics</t>
        </is>
      </c>
      <c r="F19" s="20" t="inlineStr">
        <is>
          <t xml:space="preserve"> || Full list: see Technical Diagnostics / Link Intelligence tabs</t>
        </is>
      </c>
    </row>
    <row r="20" ht="30" customHeight="1">
      <c r="A20" s="30" t="inlineStr">
        <is>
          <t>Issue Counts</t>
        </is>
      </c>
      <c r="B20" s="34" t="inlineStr">
        <is>
          <t>Critical</t>
        </is>
      </c>
      <c r="C20" s="30" t="inlineStr">
        <is>
          <t>Missing Title</t>
        </is>
      </c>
      <c r="D20" s="31" t="n">
        <v>0</v>
      </c>
      <c r="E20" s="30" t="inlineStr">
        <is>
          <t>Technical Diagnostics</t>
        </is>
      </c>
      <c r="F20" s="31" t="inlineStr">
        <is>
          <t xml:space="preserve"> || Full list: see Technical Diagnostics / Link Intelligence tabs</t>
        </is>
      </c>
    </row>
    <row r="21" ht="30" customHeight="1">
      <c r="A21" s="28" t="inlineStr">
        <is>
          <t>Issue Counts</t>
        </is>
      </c>
      <c r="B21" s="34" t="inlineStr">
        <is>
          <t>Critical</t>
        </is>
      </c>
      <c r="C21" s="28" t="inlineStr">
        <is>
          <t>Near-Duplicate Content</t>
        </is>
      </c>
      <c r="D21" s="20" t="n">
        <v>0</v>
      </c>
      <c r="E21" s="28" t="inlineStr">
        <is>
          <t>Technical Diagnostics</t>
        </is>
      </c>
      <c r="F21" s="20" t="inlineStr">
        <is>
          <t xml:space="preserve"> || Full list: see Technical Diagnostics / Link Intelligence tabs</t>
        </is>
      </c>
    </row>
    <row r="22" ht="30" customHeight="1">
      <c r="A22" s="30" t="inlineStr">
        <is>
          <t>Issue Counts</t>
        </is>
      </c>
      <c r="B22" s="34" t="inlineStr">
        <is>
          <t>Critical</t>
        </is>
      </c>
      <c r="C22" s="30" t="inlineStr">
        <is>
          <t>Noindex Directive</t>
        </is>
      </c>
      <c r="D22" s="31" t="n">
        <v>0</v>
      </c>
      <c r="E22" s="30" t="inlineStr">
        <is>
          <t>Technical Diagnostics</t>
        </is>
      </c>
      <c r="F22" s="31" t="inlineStr">
        <is>
          <t xml:space="preserve"> || Full list: see Technical Diagnostics / Link Intelligence tabs</t>
        </is>
      </c>
    </row>
    <row r="23" ht="30" customHeight="1">
      <c r="A23" s="28" t="inlineStr">
        <is>
          <t>Issue Counts</t>
        </is>
      </c>
      <c r="B23" s="34" t="inlineStr">
        <is>
          <t>Critical</t>
        </is>
      </c>
      <c r="C23" s="28" t="inlineStr">
        <is>
          <t>Not Indexed by Google</t>
        </is>
      </c>
      <c r="D23" s="20" t="n">
        <v>0</v>
      </c>
      <c r="E23" s="28" t="inlineStr">
        <is>
          <t>Technical Diagnostics</t>
        </is>
      </c>
      <c r="F23" s="20" t="inlineStr">
        <is>
          <t xml:space="preserve"> || Full list: see Technical Diagnostics / Link Intelligence tabs</t>
        </is>
      </c>
    </row>
    <row r="24" ht="30" customHeight="1">
      <c r="A24" s="30" t="inlineStr">
        <is>
          <t>Issue Counts</t>
        </is>
      </c>
      <c r="B24" s="34" t="inlineStr">
        <is>
          <t>Critical</t>
        </is>
      </c>
      <c r="C24" s="30" t="inlineStr">
        <is>
          <t>OG Image Broken (non-200)</t>
        </is>
      </c>
      <c r="D24" s="31" t="n">
        <v>0</v>
      </c>
      <c r="E24" s="30" t="inlineStr">
        <is>
          <t>Technical Diagnostics</t>
        </is>
      </c>
      <c r="F24" s="31" t="inlineStr">
        <is>
          <t xml:space="preserve"> || Full list: see Technical Diagnostics / Link Intelligence tabs</t>
        </is>
      </c>
    </row>
    <row r="25" ht="30" customHeight="1">
      <c r="A25" s="28" t="inlineStr">
        <is>
          <t>Issue Counts</t>
        </is>
      </c>
      <c r="B25" s="34" t="inlineStr">
        <is>
          <t>Critical</t>
        </is>
      </c>
      <c r="C25" s="28" t="inlineStr">
        <is>
          <t>Redirect Loop</t>
        </is>
      </c>
      <c r="D25" s="20" t="n">
        <v>0</v>
      </c>
      <c r="E25" s="28" t="inlineStr">
        <is>
          <t>Technical Diagnostics</t>
        </is>
      </c>
      <c r="F25" s="20" t="inlineStr">
        <is>
          <t xml:space="preserve"> || Full list: see Technical Diagnostics / Link Intelligence tabs</t>
        </is>
      </c>
    </row>
    <row r="26" ht="30" customHeight="1">
      <c r="A26" s="30" t="inlineStr">
        <is>
          <t>Issue Counts</t>
        </is>
      </c>
      <c r="B26" s="34" t="inlineStr">
        <is>
          <t>Critical</t>
        </is>
      </c>
      <c r="C26" s="30" t="inlineStr">
        <is>
          <t>Robots.txt Disallow Root</t>
        </is>
      </c>
      <c r="D26" s="31" t="n">
        <v>0</v>
      </c>
      <c r="E26" s="30" t="inlineStr">
        <is>
          <t>Technical Diagnostics</t>
        </is>
      </c>
      <c r="F26" s="31" t="inlineStr">
        <is>
          <t xml:space="preserve"> || Full list: see Technical Diagnostics / Link Intelligence tabs</t>
        </is>
      </c>
    </row>
    <row r="27" ht="30" customHeight="1">
      <c r="A27" s="28" t="inlineStr">
        <is>
          <t>Issue Counts</t>
        </is>
      </c>
      <c r="B27" s="34" t="inlineStr">
        <is>
          <t>Critical</t>
        </is>
      </c>
      <c r="C27" s="28" t="inlineStr">
        <is>
          <t>Schema Parse Error</t>
        </is>
      </c>
      <c r="D27" s="20" t="n">
        <v>0</v>
      </c>
      <c r="E27" s="28" t="inlineStr">
        <is>
          <t>Technical Diagnostics</t>
        </is>
      </c>
      <c r="F27" s="20" t="inlineStr">
        <is>
          <t xml:space="preserve"> || Full list: see Technical Diagnostics / Link Intelligence tabs</t>
        </is>
      </c>
    </row>
    <row r="28" ht="120" customHeight="1">
      <c r="A28" s="30" t="inlineStr">
        <is>
          <t>Issue Counts</t>
        </is>
      </c>
      <c r="B28" s="29" t="inlineStr">
        <is>
          <t>Warning</t>
        </is>
      </c>
      <c r="C28" s="30" t="inlineStr">
        <is>
          <t>Missing OG Image</t>
        </is>
      </c>
      <c r="D28" s="31" t="n">
        <v>63</v>
      </c>
      <c r="E28" s="30" t="inlineStr">
        <is>
          <t>Technical Diagnostics</t>
        </is>
      </c>
      <c r="F28" s="31" t="inlineStr">
        <is>
          <t>https://africanmarketingconfederation.org/smoke-archive/page-1 | https://africanmarketingconfederation.org/smoke-archive/page-2 | https://africanmarketingconfederation.org/smoke-archive/page-3 | https://africanmarketingconfederation.org/smoke-archive/page-5 | https://africanmarketingconfederation.org/smoke-archive/page-6 | https://africanmarketingconfederation.org/smoke-archive/page-7 | https://africanmarketingconfederation.org/smoke-archive/page-9 | https://africanmarketingconfederation.org/smoke-archive/page-10 | https://africanmarketingconfederation.org/smoke-archive/page-11 | https://africanmarketingconfederation.org/smoke-archive/page-13 | https://africanmarketingconfederation.org/smoke-archive/page-14 | https://africanmarketingconfederation.org/smoke-archive/page-15 | https://africanmarketingconfederation.org/smoke-archive/page-17 | https://africanmarketingconfederation.org/smoke-archive/page-18 | https://africanmarketingconfederation.org/smoke-archive/page-19 | https://africanmarketingconfederation.org/smoke-archive/page-21 | https://africanmarketingconfederation.org/smoke-archive/page-22 | https://africanmarketingconfederation.org/smoke-archive/page-23 | https://africanmarketingconfederation.org/smoke-archive/page-25 | https://africanmarketingconfederation.org/smoke-archive/page-26 | https://africanmarketingconfederation.org/smoke-archive/page-27 | https://africanmarketingconfederation.org/smoke-archive/page-29 | https://africanmarketingconfederation.org/smoke-archive/page-30 | https://africanmarketingconfederation.org/smoke-archive/page-31 | https://africanmarketingconfederation.org/smoke-archive/page-33 || Full list: see Technical Diagnostics / Link Intelligence tabs</t>
        </is>
      </c>
    </row>
    <row r="29" ht="120" customHeight="1">
      <c r="A29" s="28" t="inlineStr">
        <is>
          <t>Issue Counts</t>
        </is>
      </c>
      <c r="B29" s="29" t="inlineStr">
        <is>
          <t>Warning</t>
        </is>
      </c>
      <c r="C29" s="28" t="inlineStr">
        <is>
          <t>Missing Meta Description</t>
        </is>
      </c>
      <c r="D29" s="20" t="n">
        <v>15</v>
      </c>
      <c r="E29" s="28" t="inlineStr">
        <is>
          <t>Technical Diagnostics</t>
        </is>
      </c>
      <c r="F29" s="20" t="inlineStr">
        <is>
          <t>https://africanmarketingconfederation.org/smoke-archive/page-5 | https://africanmarketingconfederation.org/smoke-archive/page-10 | https://africanmarketingconfederation.org/smoke-archive/page-15 | https://africanmarketingconfederation.org/smoke-archive/page-20 | https://africanmarketingconfederation.org/smoke-archive/page-25 | https://africanmarketingconfederation.org/smoke-archive/page-30 | https://africanmarketingconfederation.org/smoke-archive/page-35 | https://africanmarketingconfederation.org/smoke-archive/page-40 | https://africanmarketingconfederation.org/smoke-archive/page-45 | https://africanmarketingconfederation.org/smoke-archive/page-50 | https://africanmarketingconfederation.org/smoke-archive/page-55 | https://africanmarketingconfederation.org/smoke-archive/page-60 | https://africanmarketingconfederation.org/smoke-archive/page-65 | https://africanmarketingconfederation.org/smoke-archive/page-70 | https://africanmarketingconfederation.org/smoke-archive/page-75 || Full list: see Technical Diagnostics / Link Intelligence tabs</t>
        </is>
      </c>
    </row>
    <row r="30" ht="120" customHeight="1">
      <c r="A30" s="30" t="inlineStr">
        <is>
          <t>Issue Counts</t>
        </is>
      </c>
      <c r="B30" s="29" t="inlineStr">
        <is>
          <t>Warning</t>
        </is>
      </c>
      <c r="C30" s="30" t="inlineStr">
        <is>
          <t>Missing OG Description</t>
        </is>
      </c>
      <c r="D30" s="31" t="n">
        <v>15</v>
      </c>
      <c r="E30" s="30" t="inlineStr">
        <is>
          <t>Technical Diagnostics</t>
        </is>
      </c>
      <c r="F30" s="31" t="inlineStr">
        <is>
          <t>https://africanmarketingconfederation.org/smoke-archive/page-5 | https://africanmarketingconfederation.org/smoke-archive/page-10 | https://africanmarketingconfederation.org/smoke-archive/page-15 | https://africanmarketingconfederation.org/smoke-archive/page-20 | https://africanmarketingconfederation.org/smoke-archive/page-25 | https://africanmarketingconfederation.org/smoke-archive/page-30 | https://africanmarketingconfederation.org/smoke-archive/page-35 | https://africanmarketingconfederation.org/smoke-archive/page-40 | https://africanmarketingconfederation.org/smoke-archive/page-45 | https://africanmarketingconfederation.org/smoke-archive/page-50 | https://africanmarketingconfederation.org/smoke-archive/page-55 | https://africanmarketingconfederation.org/smoke-archive/page-60 | https://africanmarketingconfederation.org/smoke-archive/page-65 | https://africanmarketingconfederation.org/smoke-archive/page-70 | https://africanmarketingconfederation.org/smoke-archive/page-75 || Full list: see Technical Diagnostics / Link Intelligence tabs</t>
        </is>
      </c>
    </row>
    <row r="31" ht="120" customHeight="1">
      <c r="A31" s="28" t="inlineStr">
        <is>
          <t>Issue Counts</t>
        </is>
      </c>
      <c r="B31" s="29" t="inlineStr">
        <is>
          <t>Warning</t>
        </is>
      </c>
      <c r="C31" s="28" t="inlineStr">
        <is>
          <t>Low Image Alt Coverage</t>
        </is>
      </c>
      <c r="D31" s="20" t="n">
        <v>13</v>
      </c>
      <c r="E31" s="28" t="inlineStr">
        <is>
          <t>Technical Diagnostics</t>
        </is>
      </c>
      <c r="F31" s="20" t="inlineStr">
        <is>
          <t>https://africanmarketingconfederation.org/smoke-archive/page-6 | https://africanmarketingconfederation.org/smoke-archive/page-12 | https://africanmarketingconfederation.org/smoke-archive/page-18 | https://africanmarketingconfederation.org/smoke-archive/page-24 | https://africanmarketingconfederation.org/smoke-archive/page-30 | https://africanmarketingconfederation.org/smoke-archive/page-36 | https://africanmarketingconfederation.org/smoke-archive/page-42 | https://africanmarketingconfederation.org/smoke-archive/page-48 | https://africanmarketingconfederation.org/smoke-archive/page-54 | https://africanmarketingconfederation.org/smoke-archive/page-60 | https://africanmarketingconfederation.org/smoke-archive/page-66 | https://africanmarketingconfederation.org/smoke-archive/page-72 | https://africanmarketingconfederation.org/smoke-archive/page-78 || Full list: see Technical Diagnostics / Link Intelligence tabs</t>
        </is>
      </c>
    </row>
    <row r="32" ht="120" customHeight="1">
      <c r="A32" s="30" t="inlineStr">
        <is>
          <t>Issue Counts</t>
        </is>
      </c>
      <c r="B32" s="29" t="inlineStr">
        <is>
          <t>Warning</t>
        </is>
      </c>
      <c r="C32" s="30" t="inlineStr">
        <is>
          <t>Low E-E-A-T Signal Score (&lt;3)</t>
        </is>
      </c>
      <c r="D32" s="31" t="n">
        <v>11</v>
      </c>
      <c r="E32" s="30" t="inlineStr">
        <is>
          <t>Technical Diagnostics</t>
        </is>
      </c>
      <c r="F32" s="31" t="inlineStr">
        <is>
          <t>https://africanmarketingconfederation.org/smoke-archive/page-7 | https://africanmarketingconfederation.org/smoke-archive/page-14 | https://africanmarketingconfederation.org/smoke-archive/page-21 | https://africanmarketingconfederation.org/smoke-archive/page-28 | https://africanmarketingconfederation.org/smoke-archive/page-35 | https://africanmarketingconfederation.org/smoke-archive/page-42 | https://africanmarketingconfederation.org/smoke-archive/page-49 | https://africanmarketingconfederation.org/smoke-archive/page-56 | https://africanmarketingconfederation.org/smoke-archive/page-63 | https://africanmarketingconfederation.org/smoke-archive/page-70 | https://africanmarketingconfederation.org/smoke-archive/page-77 || Full list: see Technical Diagnostics / Link Intelligence tabs</t>
        </is>
      </c>
    </row>
    <row r="33" ht="120" customHeight="1">
      <c r="A33" s="28" t="inlineStr">
        <is>
          <t>Issue Counts</t>
        </is>
      </c>
      <c r="B33" s="29" t="inlineStr">
        <is>
          <t>Warning</t>
        </is>
      </c>
      <c r="C33" s="28" t="inlineStr">
        <is>
          <t>Low AEO Readiness Score</t>
        </is>
      </c>
      <c r="D33" s="20" t="n">
        <v>9</v>
      </c>
      <c r="E33" s="28" t="inlineStr">
        <is>
          <t>Content &amp; AI Readiness</t>
        </is>
      </c>
      <c r="F33"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row>
    <row r="34" ht="120" customHeight="1">
      <c r="A34" s="30" t="inlineStr">
        <is>
          <t>Issue Counts</t>
        </is>
      </c>
      <c r="B34" s="29" t="inlineStr">
        <is>
          <t>Warning</t>
        </is>
      </c>
      <c r="C34" s="30" t="inlineStr">
        <is>
          <t>Missing OG Title</t>
        </is>
      </c>
      <c r="D34" s="31" t="n">
        <v>9</v>
      </c>
      <c r="E34" s="30" t="inlineStr">
        <is>
          <t>Technical Diagnostics</t>
        </is>
      </c>
      <c r="F34" s="31" t="inlineStr">
        <is>
          <t>https://africanmarketingconfederation.org/smoke-archive/page-8 | https://africanmarketingconfederation.org/smoke-archive/page-16 | https://africanmarketingconfederation.org/smoke-archive/page-24 | https://africanmarketingconfederation.org/smoke-archive/page-32 | https://africanmarketingconfederation.org/smoke-archive/page-40 | https://africanmarketingconfederation.org/smoke-archive/page-48 | https://africanmarketingconfederation.org/smoke-archive/page-56 | https://africanmarketingconfederation.org/smoke-archive/page-64 | https://africanmarketingconfederation.org/smoke-archive/page-72 || Full list: see Technical Diagnostics / Link Intelligence tabs</t>
        </is>
      </c>
    </row>
    <row r="35" ht="30" customHeight="1">
      <c r="A35" s="28" t="inlineStr">
        <is>
          <t>Issue Counts</t>
        </is>
      </c>
      <c r="B35" s="29" t="inlineStr">
        <is>
          <t>Warning</t>
        </is>
      </c>
      <c r="C35" s="28" t="inlineStr">
        <is>
          <t>302 Redirect (Temporary)</t>
        </is>
      </c>
      <c r="D35" s="20" t="n">
        <v>0</v>
      </c>
      <c r="E35" s="28" t="inlineStr">
        <is>
          <t>Technical Diagnostics</t>
        </is>
      </c>
      <c r="F35" s="20" t="inlineStr">
        <is>
          <t xml:space="preserve"> || Full list: see Technical Diagnostics / Link Intelligence tabs</t>
        </is>
      </c>
    </row>
    <row r="36" ht="30" customHeight="1">
      <c r="A36" s="30" t="inlineStr">
        <is>
          <t>Issue Counts</t>
        </is>
      </c>
      <c r="B36" s="29" t="inlineStr">
        <is>
          <t>Warning</t>
        </is>
      </c>
      <c r="C36" s="30" t="inlineStr">
        <is>
          <t>Blocked by Bingbot</t>
        </is>
      </c>
      <c r="D36" s="31" t="n">
        <v>0</v>
      </c>
      <c r="E36" s="30" t="inlineStr">
        <is>
          <t>Technical Diagnostics</t>
        </is>
      </c>
      <c r="F36" s="31" t="inlineStr">
        <is>
          <t xml:space="preserve"> || Full list: see Technical Diagnostics / Link Intelligence tabs</t>
        </is>
      </c>
    </row>
    <row r="37" ht="30" customHeight="1">
      <c r="A37" s="28" t="inlineStr">
        <is>
          <t>Issue Counts</t>
        </is>
      </c>
      <c r="B37" s="29" t="inlineStr">
        <is>
          <t>Warning</t>
        </is>
      </c>
      <c r="C37" s="28" t="inlineStr">
        <is>
          <t>Broken Images</t>
        </is>
      </c>
      <c r="D37" s="20" t="n">
        <v>0</v>
      </c>
      <c r="E37" s="28" t="inlineStr">
        <is>
          <t>Technical Diagnostics</t>
        </is>
      </c>
      <c r="F37" s="20" t="inlineStr">
        <is>
          <t xml:space="preserve"> || Full list: see Technical Diagnostics / Link Intelligence tabs</t>
        </is>
      </c>
    </row>
    <row r="38" ht="30" customHeight="1">
      <c r="A38" s="30" t="inlineStr">
        <is>
          <t>Issue Counts</t>
        </is>
      </c>
      <c r="B38" s="29" t="inlineStr">
        <is>
          <t>Warning</t>
        </is>
      </c>
      <c r="C38" s="30" t="inlineStr">
        <is>
          <t>CWV CLS Above 0.1 (Field Data)</t>
        </is>
      </c>
      <c r="D38" s="31" t="n">
        <v>0</v>
      </c>
      <c r="E38" s="30" t="inlineStr">
        <is>
          <t>Technical Diagnostics</t>
        </is>
      </c>
      <c r="F38" s="31" t="inlineStr">
        <is>
          <t xml:space="preserve"> || Full list: see Technical Diagnostics / Link Intelligence tabs</t>
        </is>
      </c>
    </row>
    <row r="39" ht="30" customHeight="1">
      <c r="A39" s="28" t="inlineStr">
        <is>
          <t>Issue Counts</t>
        </is>
      </c>
      <c r="B39" s="29" t="inlineStr">
        <is>
          <t>Warning</t>
        </is>
      </c>
      <c r="C39" s="28" t="inlineStr">
        <is>
          <t>CWV INP Above 200ms (Field Data)</t>
        </is>
      </c>
      <c r="D39" s="20" t="n">
        <v>0</v>
      </c>
      <c r="E39" s="28" t="inlineStr">
        <is>
          <t>Technical Diagnostics</t>
        </is>
      </c>
      <c r="F39" s="20" t="inlineStr">
        <is>
          <t xml:space="preserve"> || Full list: see Technical Diagnostics / Link Intelligence tabs</t>
        </is>
      </c>
    </row>
    <row r="40" ht="30" customHeight="1">
      <c r="A40" s="30" t="inlineStr">
        <is>
          <t>Issue Counts</t>
        </is>
      </c>
      <c r="B40" s="29" t="inlineStr">
        <is>
          <t>Warning</t>
        </is>
      </c>
      <c r="C40" s="30" t="inlineStr">
        <is>
          <t>Canonical Chain (&gt;1 hop)</t>
        </is>
      </c>
      <c r="D40" s="31" t="n">
        <v>0</v>
      </c>
      <c r="E40" s="30" t="inlineStr">
        <is>
          <t>Technical Diagnostics</t>
        </is>
      </c>
      <c r="F40" s="31" t="inlineStr">
        <is>
          <t xml:space="preserve"> || Full list: see Technical Diagnostics / Link Intelligence tabs</t>
        </is>
      </c>
    </row>
    <row r="41" ht="30" customHeight="1">
      <c r="A41" s="28" t="inlineStr">
        <is>
          <t>Issue Counts</t>
        </is>
      </c>
      <c r="B41" s="29" t="inlineStr">
        <is>
          <t>Warning</t>
        </is>
      </c>
      <c r="C41" s="28" t="inlineStr">
        <is>
          <t>Canonical Missing</t>
        </is>
      </c>
      <c r="D41" s="20" t="n">
        <v>0</v>
      </c>
      <c r="E41" s="28" t="inlineStr">
        <is>
          <t>Technical Diagnostics</t>
        </is>
      </c>
      <c r="F41" s="20" t="inlineStr">
        <is>
          <t xml:space="preserve"> || Full list: see Technical Diagnostics / Link Intelligence tabs</t>
        </is>
      </c>
    </row>
    <row r="42" ht="30" customHeight="1">
      <c r="A42" s="30" t="inlineStr">
        <is>
          <t>Issue Counts</t>
        </is>
      </c>
      <c r="B42" s="29" t="inlineStr">
        <is>
          <t>Warning</t>
        </is>
      </c>
      <c r="C42" s="30" t="inlineStr">
        <is>
          <t>Canonical Points to Redirect</t>
        </is>
      </c>
      <c r="D42" s="31" t="n">
        <v>0</v>
      </c>
      <c r="E42" s="30" t="inlineStr">
        <is>
          <t>Technical Diagnostics</t>
        </is>
      </c>
      <c r="F42" s="31" t="inlineStr">
        <is>
          <t xml:space="preserve"> || Full list: see Technical Diagnostics / Link Intelligence tabs</t>
        </is>
      </c>
    </row>
    <row r="43" ht="30" customHeight="1">
      <c r="A43" s="28" t="inlineStr">
        <is>
          <t>Issue Counts</t>
        </is>
      </c>
      <c r="B43" s="29" t="inlineStr">
        <is>
          <t>Warning</t>
        </is>
      </c>
      <c r="C43" s="28" t="inlineStr">
        <is>
          <t>Deep URL (&gt;3 clicks)</t>
        </is>
      </c>
      <c r="D43" s="20" t="n">
        <v>0</v>
      </c>
      <c r="E43" s="28" t="inlineStr">
        <is>
          <t>Technical Diagnostics</t>
        </is>
      </c>
      <c r="F43" s="20" t="inlineStr">
        <is>
          <t xml:space="preserve"> || Full list: see Technical Diagnostics / Link Intelligence tabs</t>
        </is>
      </c>
    </row>
    <row r="44" ht="30" customHeight="1">
      <c r="A44" s="30" t="inlineStr">
        <is>
          <t>Issue Counts</t>
        </is>
      </c>
      <c r="B44" s="29" t="inlineStr">
        <is>
          <t>Warning</t>
        </is>
      </c>
      <c r="C44" s="30" t="inlineStr">
        <is>
          <t>Draft or Test Page (URL pattern)</t>
        </is>
      </c>
      <c r="D44" s="31" t="n">
        <v>0</v>
      </c>
      <c r="E44" s="30" t="inlineStr">
        <is>
          <t>Technical Diagnostics</t>
        </is>
      </c>
      <c r="F44" s="31" t="inlineStr">
        <is>
          <t xml:space="preserve"> || Full list: see Technical Diagnostics / Link Intelligence tabs</t>
        </is>
      </c>
    </row>
    <row r="45" ht="30" customHeight="1">
      <c r="A45" s="28" t="inlineStr">
        <is>
          <t>Issue Counts</t>
        </is>
      </c>
      <c r="B45" s="29" t="inlineStr">
        <is>
          <t>Warning</t>
        </is>
      </c>
      <c r="C45" s="28" t="inlineStr">
        <is>
          <t>GSC Mobile Usability Issue</t>
        </is>
      </c>
      <c r="D45" s="20" t="n">
        <v>0</v>
      </c>
      <c r="E45" s="28" t="inlineStr">
        <is>
          <t>Technical Diagnostics</t>
        </is>
      </c>
      <c r="F45" s="20" t="inlineStr">
        <is>
          <t xml:space="preserve"> || Full list: see Technical Diagnostics / Link Intelligence tabs</t>
        </is>
      </c>
    </row>
    <row r="46" ht="30" customHeight="1">
      <c r="A46" s="30" t="inlineStr">
        <is>
          <t>Issue Counts</t>
        </is>
      </c>
      <c r="B46" s="29" t="inlineStr">
        <is>
          <t>Warning</t>
        </is>
      </c>
      <c r="C46" s="30" t="inlineStr">
        <is>
          <t>GSC Rich Result Error</t>
        </is>
      </c>
      <c r="D46" s="31" t="n">
        <v>0</v>
      </c>
      <c r="E46" s="30" t="inlineStr">
        <is>
          <t>Technical Diagnostics</t>
        </is>
      </c>
      <c r="F46" s="31" t="inlineStr">
        <is>
          <t xml:space="preserve"> || Full list: see Technical Diagnostics / Link Intelligence tabs</t>
        </is>
      </c>
    </row>
    <row r="47" ht="30" customHeight="1">
      <c r="A47" s="28" t="inlineStr">
        <is>
          <t>Issue Counts</t>
        </is>
      </c>
      <c r="B47" s="29" t="inlineStr">
        <is>
          <t>Warning</t>
        </is>
      </c>
      <c r="C47" s="28" t="inlineStr">
        <is>
          <t>High Third-Party Script Count (&gt;10)</t>
        </is>
      </c>
      <c r="D47" s="20" t="n">
        <v>0</v>
      </c>
      <c r="E47" s="28" t="inlineStr">
        <is>
          <t>Technical Diagnostics</t>
        </is>
      </c>
      <c r="F47" s="20" t="inlineStr">
        <is>
          <t xml:space="preserve"> || Full list: see Technical Diagnostics / Link Intelligence tabs</t>
        </is>
      </c>
    </row>
    <row r="48" ht="30" customHeight="1">
      <c r="A48" s="30" t="inlineStr">
        <is>
          <t>Issue Counts</t>
        </is>
      </c>
      <c r="B48" s="29" t="inlineStr">
        <is>
          <t>Warning</t>
        </is>
      </c>
      <c r="C48" s="30" t="inlineStr">
        <is>
          <t>Hreflang Without Reciprocity</t>
        </is>
      </c>
      <c r="D48" s="31" t="n">
        <v>0</v>
      </c>
      <c r="E48" s="30" t="inlineStr">
        <is>
          <t>Technical Diagnostics</t>
        </is>
      </c>
      <c r="F48" s="31" t="inlineStr">
        <is>
          <t xml:space="preserve"> || Full list: see Technical Diagnostics / Link Intelligence tabs</t>
        </is>
      </c>
    </row>
    <row r="49" ht="30" customHeight="1">
      <c r="A49" s="28" t="inlineStr">
        <is>
          <t>Issue Counts</t>
        </is>
      </c>
      <c r="B49" s="29" t="inlineStr">
        <is>
          <t>Warning</t>
        </is>
      </c>
      <c r="C49" s="28" t="inlineStr">
        <is>
          <t>Invalid Hreflang Language Code</t>
        </is>
      </c>
      <c r="D49" s="20" t="n">
        <v>0</v>
      </c>
      <c r="E49" s="28" t="inlineStr">
        <is>
          <t>Technical Diagnostics</t>
        </is>
      </c>
      <c r="F49" s="20" t="inlineStr">
        <is>
          <t xml:space="preserve"> || Full list: see Technical Diagnostics / Link Intelligence tabs</t>
        </is>
      </c>
    </row>
    <row r="50" ht="30" customHeight="1">
      <c r="A50" s="30" t="inlineStr">
        <is>
          <t>Issue Counts</t>
        </is>
      </c>
      <c r="B50" s="29" t="inlineStr">
        <is>
          <t>Warning</t>
        </is>
      </c>
      <c r="C50" s="30" t="inlineStr">
        <is>
          <t>Lab CLS Above 0.1 (Mobile)</t>
        </is>
      </c>
      <c r="D50" s="31" t="n">
        <v>0</v>
      </c>
      <c r="E50" s="30" t="inlineStr">
        <is>
          <t>Technical Diagnostics</t>
        </is>
      </c>
      <c r="F50" s="31" t="inlineStr">
        <is>
          <t xml:space="preserve"> || Full list: see Technical Diagnostics / Link Intelligence tabs</t>
        </is>
      </c>
    </row>
    <row r="51" ht="30" customHeight="1">
      <c r="A51" s="28" t="inlineStr">
        <is>
          <t>Issue Counts</t>
        </is>
      </c>
      <c r="B51" s="29" t="inlineStr">
        <is>
          <t>Warning</t>
        </is>
      </c>
      <c r="C51" s="28" t="inlineStr">
        <is>
          <t>Lab LCP 2.5s–4.0s (Mobile)</t>
        </is>
      </c>
      <c r="D51" s="20" t="n">
        <v>0</v>
      </c>
      <c r="E51" s="28" t="inlineStr">
        <is>
          <t>Technical Diagnostics</t>
        </is>
      </c>
      <c r="F51" s="20" t="inlineStr">
        <is>
          <t xml:space="preserve"> || Full list: see Technical Diagnostics / Link Intelligence tabs</t>
        </is>
      </c>
    </row>
    <row r="52" ht="30" customHeight="1">
      <c r="A52" s="30" t="inlineStr">
        <is>
          <t>Issue Counts</t>
        </is>
      </c>
      <c r="B52" s="29" t="inlineStr">
        <is>
          <t>Warning</t>
        </is>
      </c>
      <c r="C52" s="30" t="inlineStr">
        <is>
          <t>Lab TBT Above 300ms (Mobile)</t>
        </is>
      </c>
      <c r="D52" s="31" t="n">
        <v>0</v>
      </c>
      <c r="E52" s="30" t="inlineStr">
        <is>
          <t>Technical Diagnostics</t>
        </is>
      </c>
      <c r="F52" s="31" t="inlineStr">
        <is>
          <t xml:space="preserve"> || Full list: see Technical Diagnostics / Link Intelligence tabs</t>
        </is>
      </c>
    </row>
    <row r="53" ht="30" customHeight="1">
      <c r="A53" s="28" t="inlineStr">
        <is>
          <t>Issue Counts</t>
        </is>
      </c>
      <c r="B53" s="29" t="inlineStr">
        <is>
          <t>Warning</t>
        </is>
      </c>
      <c r="C53" s="28" t="inlineStr">
        <is>
          <t>Lab TTFB Above 600ms</t>
        </is>
      </c>
      <c r="D53" s="20" t="n">
        <v>0</v>
      </c>
      <c r="E53" s="28" t="inlineStr">
        <is>
          <t>Technical Diagnostics</t>
        </is>
      </c>
      <c r="F53" s="20" t="inlineStr">
        <is>
          <t xml:space="preserve"> || Full list: see Technical Diagnostics / Link Intelligence tabs</t>
        </is>
      </c>
    </row>
    <row r="54" ht="30" customHeight="1">
      <c r="A54" s="30" t="inlineStr">
        <is>
          <t>Issue Counts</t>
        </is>
      </c>
      <c r="B54" s="29" t="inlineStr">
        <is>
          <t>Warning</t>
        </is>
      </c>
      <c r="C54" s="30" t="inlineStr">
        <is>
          <t>Low Lighthouse Accessibility (&lt;80)</t>
        </is>
      </c>
      <c r="D54" s="31" t="n">
        <v>0</v>
      </c>
      <c r="E54" s="30" t="inlineStr">
        <is>
          <t>Technical Diagnostics</t>
        </is>
      </c>
      <c r="F54" s="31" t="inlineStr">
        <is>
          <t xml:space="preserve"> || Full list: see Technical Diagnostics / Link Intelligence tabs</t>
        </is>
      </c>
    </row>
    <row r="55" ht="30" customHeight="1">
      <c r="A55" s="28" t="inlineStr">
        <is>
          <t>Issue Counts</t>
        </is>
      </c>
      <c r="B55" s="29" t="inlineStr">
        <is>
          <t>Warning</t>
        </is>
      </c>
      <c r="C55" s="28" t="inlineStr">
        <is>
          <t>Low Lighthouse Performance Mobile (&lt;50)</t>
        </is>
      </c>
      <c r="D55" s="20" t="n">
        <v>0</v>
      </c>
      <c r="E55" s="28" t="inlineStr">
        <is>
          <t>Technical Diagnostics</t>
        </is>
      </c>
      <c r="F55" s="20" t="inlineStr">
        <is>
          <t xml:space="preserve"> || Full list: see Technical Diagnostics / Link Intelligence tabs</t>
        </is>
      </c>
    </row>
    <row r="56" ht="30" customHeight="1">
      <c r="A56" s="30" t="inlineStr">
        <is>
          <t>Issue Counts</t>
        </is>
      </c>
      <c r="B56" s="29" t="inlineStr">
        <is>
          <t>Warning</t>
        </is>
      </c>
      <c r="C56" s="30" t="inlineStr">
        <is>
          <t>Missing Article Schema</t>
        </is>
      </c>
      <c r="D56" s="31" t="n">
        <v>0</v>
      </c>
      <c r="E56" s="30" t="inlineStr">
        <is>
          <t>Technical Diagnostics</t>
        </is>
      </c>
      <c r="F56" s="31" t="inlineStr">
        <is>
          <t xml:space="preserve"> || Full list: see Technical Diagnostics / Link Intelligence tabs</t>
        </is>
      </c>
    </row>
    <row r="57" ht="30" customHeight="1">
      <c r="A57" s="28" t="inlineStr">
        <is>
          <t>Issue Counts</t>
        </is>
      </c>
      <c r="B57" s="29" t="inlineStr">
        <is>
          <t>Warning</t>
        </is>
      </c>
      <c r="C57" s="28" t="inlineStr">
        <is>
          <t>Missing Event Schema</t>
        </is>
      </c>
      <c r="D57" s="20" t="n">
        <v>0</v>
      </c>
      <c r="E57" s="28" t="inlineStr">
        <is>
          <t>Technical Diagnostics</t>
        </is>
      </c>
      <c r="F57" s="20" t="inlineStr">
        <is>
          <t xml:space="preserve"> || Full list: see Technical Diagnostics / Link Intelligence tabs</t>
        </is>
      </c>
    </row>
    <row r="58" ht="30" customHeight="1">
      <c r="A58" s="30" t="inlineStr">
        <is>
          <t>Issue Counts</t>
        </is>
      </c>
      <c r="B58" s="29" t="inlineStr">
        <is>
          <t>Warning</t>
        </is>
      </c>
      <c r="C58" s="30" t="inlineStr">
        <is>
          <t>Missing FAQ/QA Schema</t>
        </is>
      </c>
      <c r="D58" s="31" t="n">
        <v>0</v>
      </c>
      <c r="E58" s="30" t="inlineStr">
        <is>
          <t>Content &amp; AI Readiness</t>
        </is>
      </c>
      <c r="F58" s="31" t="inlineStr">
        <is>
          <t xml:space="preserve"> || Full list: see Technical Diagnostics / Link Intelligence tabs</t>
        </is>
      </c>
    </row>
    <row r="59" ht="30" customHeight="1">
      <c r="A59" s="28" t="inlineStr">
        <is>
          <t>Issue Counts</t>
        </is>
      </c>
      <c r="B59" s="29" t="inlineStr">
        <is>
          <t>Warning</t>
        </is>
      </c>
      <c r="C59" s="28" t="inlineStr">
        <is>
          <t>Missing H1</t>
        </is>
      </c>
      <c r="D59" s="20" t="n">
        <v>0</v>
      </c>
      <c r="E59" s="28" t="inlineStr">
        <is>
          <t>Technical Diagnostics</t>
        </is>
      </c>
      <c r="F59" s="20" t="inlineStr">
        <is>
          <t xml:space="preserve"> || Full list: see Technical Diagnostics / Link Intelligence tabs</t>
        </is>
      </c>
    </row>
    <row r="60" ht="30" customHeight="1">
      <c r="A60" s="30" t="inlineStr">
        <is>
          <t>Issue Counts</t>
        </is>
      </c>
      <c r="B60" s="29" t="inlineStr">
        <is>
          <t>Warning</t>
        </is>
      </c>
      <c r="C60" s="30" t="inlineStr">
        <is>
          <t>Mixed 301/302 Chain</t>
        </is>
      </c>
      <c r="D60" s="31" t="n">
        <v>0</v>
      </c>
      <c r="E60" s="30" t="inlineStr">
        <is>
          <t>Technical Diagnostics</t>
        </is>
      </c>
      <c r="F60" s="31" t="inlineStr">
        <is>
          <t xml:space="preserve"> || Full list: see Technical Diagnostics / Link Intelligence tabs</t>
        </is>
      </c>
    </row>
    <row r="61" ht="30" customHeight="1">
      <c r="A61" s="28" t="inlineStr">
        <is>
          <t>Issue Counts</t>
        </is>
      </c>
      <c r="B61" s="29" t="inlineStr">
        <is>
          <t>Warning</t>
        </is>
      </c>
      <c r="C61" s="28" t="inlineStr">
        <is>
          <t>Mixed Content</t>
        </is>
      </c>
      <c r="D61" s="20" t="n">
        <v>0</v>
      </c>
      <c r="E61" s="28" t="inlineStr">
        <is>
          <t>Technical Diagnostics</t>
        </is>
      </c>
      <c r="F61" s="20" t="inlineStr">
        <is>
          <t xml:space="preserve"> || Full list: see Technical Diagnostics / Link Intelligence tabs</t>
        </is>
      </c>
    </row>
    <row r="62" ht="30" customHeight="1">
      <c r="A62" s="30" t="inlineStr">
        <is>
          <t>Issue Counts</t>
        </is>
      </c>
      <c r="B62" s="29" t="inlineStr">
        <is>
          <t>Warning</t>
        </is>
      </c>
      <c r="C62" s="30" t="inlineStr">
        <is>
          <t>Multiple H1</t>
        </is>
      </c>
      <c r="D62" s="31" t="n">
        <v>0</v>
      </c>
      <c r="E62" s="30" t="inlineStr">
        <is>
          <t>Technical Diagnostics</t>
        </is>
      </c>
      <c r="F62" s="31" t="inlineStr">
        <is>
          <t xml:space="preserve"> || Full list: see Technical Diagnostics / Link Intelligence tabs</t>
        </is>
      </c>
    </row>
    <row r="63" ht="30" customHeight="1">
      <c r="A63" s="28" t="inlineStr">
        <is>
          <t>Issue Counts</t>
        </is>
      </c>
      <c r="B63" s="29" t="inlineStr">
        <is>
          <t>Warning</t>
        </is>
      </c>
      <c r="C63" s="28" t="inlineStr">
        <is>
          <t>No Privacy Policy Link</t>
        </is>
      </c>
      <c r="D63" s="20" t="n">
        <v>0</v>
      </c>
      <c r="E63" s="28" t="inlineStr">
        <is>
          <t>Technical Diagnostics</t>
        </is>
      </c>
      <c r="F63" s="20" t="inlineStr">
        <is>
          <t xml:space="preserve"> || Full list: see Technical Diagnostics / Link Intelligence tabs</t>
        </is>
      </c>
    </row>
    <row r="64" ht="30" customHeight="1">
      <c r="A64" s="30" t="inlineStr">
        <is>
          <t>Issue Counts</t>
        </is>
      </c>
      <c r="B64" s="29" t="inlineStr">
        <is>
          <t>Warning</t>
        </is>
      </c>
      <c r="C64" s="30" t="inlineStr">
        <is>
          <t>No Terms Link</t>
        </is>
      </c>
      <c r="D64" s="31" t="n">
        <v>0</v>
      </c>
      <c r="E64" s="30" t="inlineStr">
        <is>
          <t>Technical Diagnostics</t>
        </is>
      </c>
      <c r="F64" s="31" t="inlineStr">
        <is>
          <t xml:space="preserve"> || Full list: see Technical Diagnostics / Link Intelligence tabs</t>
        </is>
      </c>
    </row>
    <row r="65" ht="30" customHeight="1">
      <c r="A65" s="28" t="inlineStr">
        <is>
          <t>Issue Counts</t>
        </is>
      </c>
      <c r="B65" s="29" t="inlineStr">
        <is>
          <t>Warning</t>
        </is>
      </c>
      <c r="C65" s="28" t="inlineStr">
        <is>
          <t>Not Crawled in &gt;30 Days</t>
        </is>
      </c>
      <c r="D65" s="20" t="n">
        <v>0</v>
      </c>
      <c r="E65" s="28" t="inlineStr">
        <is>
          <t>Technical Diagnostics</t>
        </is>
      </c>
      <c r="F65" s="20" t="inlineStr">
        <is>
          <t xml:space="preserve"> || Full list: see Technical Diagnostics / Link Intelligence tabs</t>
        </is>
      </c>
    </row>
    <row r="66" ht="30" customHeight="1">
      <c r="A66" s="30" t="inlineStr">
        <is>
          <t>Issue Counts</t>
        </is>
      </c>
      <c r="B66" s="29" t="inlineStr">
        <is>
          <t>Warning</t>
        </is>
      </c>
      <c r="C66" s="30" t="inlineStr">
        <is>
          <t>OG URL Mismatch</t>
        </is>
      </c>
      <c r="D66" s="31" t="n">
        <v>0</v>
      </c>
      <c r="E66" s="30" t="inlineStr">
        <is>
          <t>Technical Diagnostics</t>
        </is>
      </c>
      <c r="F66" s="31" t="inlineStr">
        <is>
          <t xml:space="preserve"> || Full list: see Technical Diagnostics / Link Intelligence tabs</t>
        </is>
      </c>
    </row>
    <row r="67" ht="30" customHeight="1">
      <c r="A67" s="28" t="inlineStr">
        <is>
          <t>Issue Counts</t>
        </is>
      </c>
      <c r="B67" s="29" t="inlineStr">
        <is>
          <t>Warning</t>
        </is>
      </c>
      <c r="C67" s="28" t="inlineStr">
        <is>
          <t>Redirect Chains</t>
        </is>
      </c>
      <c r="D67" s="20" t="n">
        <v>0</v>
      </c>
      <c r="E67" s="28" t="inlineStr">
        <is>
          <t>Technical Diagnostics</t>
        </is>
      </c>
      <c r="F67" s="20" t="inlineStr">
        <is>
          <t xml:space="preserve"> || Full list: see Technical Diagnostics / Link Intelligence tabs</t>
        </is>
      </c>
    </row>
    <row r="68" ht="30" customHeight="1">
      <c r="A68" s="30" t="inlineStr">
        <is>
          <t>Issue Counts</t>
        </is>
      </c>
      <c r="B68" s="29" t="inlineStr">
        <is>
          <t>Warning</t>
        </is>
      </c>
      <c r="C68" s="30" t="inlineStr">
        <is>
          <t>Render Fallback (raw HTTP)</t>
        </is>
      </c>
      <c r="D68" s="31" t="n">
        <v>0</v>
      </c>
      <c r="E68" s="30" t="inlineStr">
        <is>
          <t>Technical Diagnostics</t>
        </is>
      </c>
      <c r="F68" s="31" t="inlineStr">
        <is>
          <t xml:space="preserve"> || Full list: see Technical Diagnostics / Link Intelligence tabs</t>
        </is>
      </c>
    </row>
    <row r="69" ht="30" customHeight="1">
      <c r="A69" s="28" t="inlineStr">
        <is>
          <t>Issue Counts</t>
        </is>
      </c>
      <c r="B69" s="29" t="inlineStr">
        <is>
          <t>Warning</t>
        </is>
      </c>
      <c r="C69" s="28" t="inlineStr">
        <is>
          <t>Schema Validation Errors</t>
        </is>
      </c>
      <c r="D69" s="20" t="n">
        <v>0</v>
      </c>
      <c r="E69" s="28" t="inlineStr">
        <is>
          <t>Technical Diagnostics</t>
        </is>
      </c>
      <c r="F69" s="20" t="inlineStr">
        <is>
          <t xml:space="preserve"> || Full list: see Technical Diagnostics / Link Intelligence tabs</t>
        </is>
      </c>
    </row>
    <row r="70" ht="30" customHeight="1">
      <c r="A70" s="30" t="inlineStr">
        <is>
          <t>Issue Counts</t>
        </is>
      </c>
      <c r="B70" s="29" t="inlineStr">
        <is>
          <t>Warning</t>
        </is>
      </c>
      <c r="C70" s="30" t="inlineStr">
        <is>
          <t>Thin Content (&lt;200 words)</t>
        </is>
      </c>
      <c r="D70" s="31" t="n">
        <v>0</v>
      </c>
      <c r="E70" s="30" t="inlineStr">
        <is>
          <t>Technical Diagnostics</t>
        </is>
      </c>
      <c r="F70" s="31" t="inlineStr">
        <is>
          <t xml:space="preserve"> || Full list: see Technical Diagnostics / Link Intelligence tabs</t>
        </is>
      </c>
    </row>
    <row r="71" ht="30" customHeight="1">
      <c r="A71" s="28" t="inlineStr">
        <is>
          <t>Issue Counts</t>
        </is>
      </c>
      <c r="B71" s="29" t="inlineStr">
        <is>
          <t>Warning</t>
        </is>
      </c>
      <c r="C71" s="28" t="inlineStr">
        <is>
          <t>Third-Party Scripts Blocking Render</t>
        </is>
      </c>
      <c r="D71" s="20" t="n">
        <v>0</v>
      </c>
      <c r="E71" s="28" t="inlineStr">
        <is>
          <t>Technical Diagnostics</t>
        </is>
      </c>
      <c r="F71" s="20" t="inlineStr">
        <is>
          <t xml:space="preserve"> || Full list: see Technical Diagnostics / Link Intelligence tabs</t>
        </is>
      </c>
    </row>
    <row r="72" ht="30" customHeight="1">
      <c r="A72" s="30" t="inlineStr">
        <is>
          <t>Issue Counts</t>
        </is>
      </c>
      <c r="B72" s="29" t="inlineStr">
        <is>
          <t>Warning</t>
        </is>
      </c>
      <c r="C72" s="30" t="inlineStr">
        <is>
          <t>Under-Linked Priority Page</t>
        </is>
      </c>
      <c r="D72" s="31" t="n">
        <v>0</v>
      </c>
      <c r="E72" s="30" t="inlineStr">
        <is>
          <t>Technical Diagnostics</t>
        </is>
      </c>
      <c r="F72" s="31" t="inlineStr">
        <is>
          <t xml:space="preserve"> || Full list: see Technical Diagnostics / Link Intelligence tabs</t>
        </is>
      </c>
    </row>
    <row r="73" ht="120" customHeight="1">
      <c r="A73" s="32" t="inlineStr">
        <is>
          <t>Issue Counts</t>
        </is>
      </c>
      <c r="B73" s="33" t="inlineStr">
        <is>
          <t>Observation</t>
        </is>
      </c>
      <c r="C73" s="28" t="inlineStr">
        <is>
          <t>Lab TBT 150ms–300ms (Mobile)</t>
        </is>
      </c>
      <c r="D73" s="20" t="n">
        <v>83</v>
      </c>
      <c r="E73" s="28" t="inlineStr">
        <is>
          <t>Technical Diagnostics</t>
        </is>
      </c>
      <c r="F73" s="20"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row>
    <row r="74" ht="120" customHeight="1">
      <c r="A74" s="32" t="inlineStr">
        <is>
          <t>Issue Counts</t>
        </is>
      </c>
      <c r="B74" s="33" t="inlineStr">
        <is>
          <t>Observation</t>
        </is>
      </c>
      <c r="C74" s="30" t="inlineStr">
        <is>
          <t>Moderate Lighthouse Performance Mobile (50–89)</t>
        </is>
      </c>
      <c r="D74" s="31" t="n">
        <v>83</v>
      </c>
      <c r="E74" s="30" t="inlineStr">
        <is>
          <t>Technical Diagnostics</t>
        </is>
      </c>
      <c r="F74" s="31"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row>
    <row r="75" ht="120" customHeight="1">
      <c r="A75" s="32" t="inlineStr">
        <is>
          <t>Issue Counts</t>
        </is>
      </c>
      <c r="B75" s="33" t="inlineStr">
        <is>
          <t>Observation</t>
        </is>
      </c>
      <c r="C75" s="28" t="inlineStr">
        <is>
          <t>No Consent Manager Detected</t>
        </is>
      </c>
      <c r="D75" s="20" t="n">
        <v>83</v>
      </c>
      <c r="E75" s="28" t="inlineStr">
        <is>
          <t>Technical Diagnostics</t>
        </is>
      </c>
      <c r="F75" s="20"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row>
    <row r="76" ht="120" customHeight="1">
      <c r="A76" s="32" t="inlineStr">
        <is>
          <t>Issue Counts</t>
        </is>
      </c>
      <c r="B76" s="33" t="inlineStr">
        <is>
          <t>Observation</t>
        </is>
      </c>
      <c r="C76" s="30" t="inlineStr">
        <is>
          <t>Render Blocking Resources</t>
        </is>
      </c>
      <c r="D76" s="31" t="n">
        <v>83</v>
      </c>
      <c r="E76" s="30" t="inlineStr">
        <is>
          <t>Technical Diagnostics</t>
        </is>
      </c>
      <c r="F76" s="31"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row>
    <row r="77" ht="120" customHeight="1">
      <c r="A77" s="32" t="inlineStr">
        <is>
          <t>Issue Counts</t>
        </is>
      </c>
      <c r="B77" s="33" t="inlineStr">
        <is>
          <t>Observation</t>
        </is>
      </c>
      <c r="C77" s="28" t="inlineStr">
        <is>
          <t>No Author Attribution</t>
        </is>
      </c>
      <c r="D77" s="20" t="n">
        <v>11</v>
      </c>
      <c r="E77" s="28" t="inlineStr">
        <is>
          <t>Technical Diagnostics</t>
        </is>
      </c>
      <c r="F77" s="20" t="inlineStr">
        <is>
          <t>https://africanmarketingconfederation.org/smoke-archive/page-7 | https://africanmarketingconfederation.org/smoke-archive/page-14 | https://africanmarketingconfederation.org/smoke-archive/page-21 | https://africanmarketingconfederation.org/smoke-archive/page-28 | https://africanmarketingconfederation.org/smoke-archive/page-35 | https://africanmarketingconfederation.org/smoke-archive/page-42 | https://africanmarketingconfederation.org/smoke-archive/page-49 | https://africanmarketingconfederation.org/smoke-archive/page-56 | https://africanmarketingconfederation.org/smoke-archive/page-63 | https://africanmarketingconfederation.org/smoke-archive/page-70 | https://africanmarketingconfederation.org/smoke-archive/page-77 || Full list: see Technical Diagnostics / Link Intelligence tabs</t>
        </is>
      </c>
    </row>
    <row r="78" ht="120" customHeight="1">
      <c r="A78" s="32" t="inlineStr">
        <is>
          <t>Issue Counts</t>
        </is>
      </c>
      <c r="B78" s="33" t="inlineStr">
        <is>
          <t>Observation</t>
        </is>
      </c>
      <c r="C78" s="30" t="inlineStr">
        <is>
          <t>No 40-60 Word Answer Paragraphs</t>
        </is>
      </c>
      <c r="D78" s="31" t="n">
        <v>9</v>
      </c>
      <c r="E78" s="30" t="inlineStr">
        <is>
          <t>Technical Diagnostics</t>
        </is>
      </c>
      <c r="F78" s="31"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row>
    <row r="79" ht="120" customHeight="1">
      <c r="A79" s="32" t="inlineStr">
        <is>
          <t>Issue Counts</t>
        </is>
      </c>
      <c r="B79" s="33" t="inlineStr">
        <is>
          <t>Observation</t>
        </is>
      </c>
      <c r="C79" s="28" t="inlineStr">
        <is>
          <t>No Answer-Friendly Structure</t>
        </is>
      </c>
      <c r="D79" s="20" t="n">
        <v>9</v>
      </c>
      <c r="E79" s="28" t="inlineStr">
        <is>
          <t>Technical Diagnostics</t>
        </is>
      </c>
      <c r="F79"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row>
    <row r="80" ht="120" customHeight="1">
      <c r="A80" s="32" t="inlineStr">
        <is>
          <t>Issue Counts</t>
        </is>
      </c>
      <c r="B80" s="33" t="inlineStr">
        <is>
          <t>Observation</t>
        </is>
      </c>
      <c r="C80" s="30" t="inlineStr">
        <is>
          <t>No Question Headings</t>
        </is>
      </c>
      <c r="D80" s="31" t="n">
        <v>9</v>
      </c>
      <c r="E80" s="30" t="inlineStr">
        <is>
          <t>Content &amp; AI Readiness</t>
        </is>
      </c>
      <c r="F80" s="31"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row>
    <row r="81" ht="30" customHeight="1">
      <c r="A81" s="32" t="inlineStr">
        <is>
          <t>Issue Counts</t>
        </is>
      </c>
      <c r="B81" s="33" t="inlineStr">
        <is>
          <t>Observation</t>
        </is>
      </c>
      <c r="C81" s="28" t="inlineStr">
        <is>
          <t>AI Crawlers Not Explicitly Allowed</t>
        </is>
      </c>
      <c r="D81" s="20" t="n">
        <v>0</v>
      </c>
      <c r="E81" s="28" t="inlineStr">
        <is>
          <t>Technical Diagnostics</t>
        </is>
      </c>
      <c r="F81" s="20" t="inlineStr">
        <is>
          <t xml:space="preserve"> || Full list: see Technical Diagnostics / Link Intelligence tabs</t>
        </is>
      </c>
    </row>
    <row r="82" ht="30" customHeight="1">
      <c r="A82" s="32" t="inlineStr">
        <is>
          <t>Issue Counts</t>
        </is>
      </c>
      <c r="B82" s="33" t="inlineStr">
        <is>
          <t>Observation</t>
        </is>
      </c>
      <c r="C82" s="30" t="inlineStr">
        <is>
          <t>AI Crawlers: ClaudeBot Blocked</t>
        </is>
      </c>
      <c r="D82" s="31" t="n">
        <v>0</v>
      </c>
      <c r="E82" s="30" t="inlineStr">
        <is>
          <t>Technical Diagnostics</t>
        </is>
      </c>
      <c r="F82" s="31" t="inlineStr">
        <is>
          <t xml:space="preserve"> || Full list: see Technical Diagnostics / Link Intelligence tabs</t>
        </is>
      </c>
    </row>
    <row r="83" ht="30" customHeight="1">
      <c r="A83" s="32" t="inlineStr">
        <is>
          <t>Issue Counts</t>
        </is>
      </c>
      <c r="B83" s="33" t="inlineStr">
        <is>
          <t>Observation</t>
        </is>
      </c>
      <c r="C83" s="28" t="inlineStr">
        <is>
          <t>AI Crawlers: GPTBot Blocked</t>
        </is>
      </c>
      <c r="D83" s="20" t="n">
        <v>0</v>
      </c>
      <c r="E83" s="28" t="inlineStr">
        <is>
          <t>Technical Diagnostics</t>
        </is>
      </c>
      <c r="F83" s="20" t="inlineStr">
        <is>
          <t xml:space="preserve"> || Full list: see Technical Diagnostics / Link Intelligence tabs</t>
        </is>
      </c>
    </row>
    <row r="84" ht="30" customHeight="1">
      <c r="A84" s="32" t="inlineStr">
        <is>
          <t>Issue Counts</t>
        </is>
      </c>
      <c r="B84" s="33" t="inlineStr">
        <is>
          <t>Observation</t>
        </is>
      </c>
      <c r="C84" s="30" t="inlineStr">
        <is>
          <t>Ageing Content (1-2 years)</t>
        </is>
      </c>
      <c r="D84" s="31" t="n">
        <v>0</v>
      </c>
      <c r="E84" s="30" t="inlineStr">
        <is>
          <t>Technical Diagnostics</t>
        </is>
      </c>
      <c r="F84" s="31" t="inlineStr">
        <is>
          <t xml:space="preserve"> || Full list: see Technical Diagnostics / Link Intelligence tabs</t>
        </is>
      </c>
    </row>
    <row r="85" ht="30" customHeight="1">
      <c r="A85" s="32" t="inlineStr">
        <is>
          <t>Issue Counts</t>
        </is>
      </c>
      <c r="B85" s="33" t="inlineStr">
        <is>
          <t>Observation</t>
        </is>
      </c>
      <c r="C85" s="28" t="inlineStr">
        <is>
          <t>Generic Anchor Dominance</t>
        </is>
      </c>
      <c r="D85" s="20" t="n">
        <v>0</v>
      </c>
      <c r="E85" s="28" t="inlineStr">
        <is>
          <t>Technical Diagnostics</t>
        </is>
      </c>
      <c r="F85" s="20" t="inlineStr">
        <is>
          <t xml:space="preserve"> || Full list: see Technical Diagnostics / Link Intelligence tabs</t>
        </is>
      </c>
    </row>
    <row r="86" ht="30" customHeight="1">
      <c r="A86" s="32" t="inlineStr">
        <is>
          <t>Issue Counts</t>
        </is>
      </c>
      <c r="B86" s="33" t="inlineStr">
        <is>
          <t>Observation</t>
        </is>
      </c>
      <c r="C86" s="30" t="inlineStr">
        <is>
          <t>Generic Anchor Text Present</t>
        </is>
      </c>
      <c r="D86" s="31" t="n">
        <v>0</v>
      </c>
      <c r="E86" s="30" t="inlineStr">
        <is>
          <t>Technical Diagnostics</t>
        </is>
      </c>
      <c r="F86" s="31" t="inlineStr">
        <is>
          <t xml:space="preserve"> || Full list: see Technical Diagnostics / Link Intelligence tabs</t>
        </is>
      </c>
    </row>
    <row r="87" ht="30" customHeight="1">
      <c r="A87" s="32" t="inlineStr">
        <is>
          <t>Issue Counts</t>
        </is>
      </c>
      <c r="B87" s="33" t="inlineStr">
        <is>
          <t>Observation</t>
        </is>
      </c>
      <c r="C87" s="28" t="inlineStr">
        <is>
          <t>High JS Execution Time (&gt;2000ms)</t>
        </is>
      </c>
      <c r="D87" s="20" t="n">
        <v>0</v>
      </c>
      <c r="E87" s="28" t="inlineStr">
        <is>
          <t>Technical Diagnostics</t>
        </is>
      </c>
      <c r="F87" s="20" t="inlineStr">
        <is>
          <t xml:space="preserve"> || Full list: see Technical Diagnostics / Link Intelligence tabs</t>
        </is>
      </c>
    </row>
    <row r="88" ht="30" customHeight="1">
      <c r="A88" s="32" t="inlineStr">
        <is>
          <t>Issue Counts</t>
        </is>
      </c>
      <c r="B88" s="33" t="inlineStr">
        <is>
          <t>Observation</t>
        </is>
      </c>
      <c r="C88" s="30" t="inlineStr">
        <is>
          <t>Image Filename Quality Issues</t>
        </is>
      </c>
      <c r="D88" s="31" t="n">
        <v>0</v>
      </c>
      <c r="E88" s="30" t="inlineStr">
        <is>
          <t>Technical Diagnostics</t>
        </is>
      </c>
      <c r="F88" s="31" t="inlineStr">
        <is>
          <t xml:space="preserve"> || Full list: see Technical Diagnostics / Link Intelligence tabs</t>
        </is>
      </c>
    </row>
    <row r="89" ht="30" customHeight="1">
      <c r="A89" s="32" t="inlineStr">
        <is>
          <t>Issue Counts</t>
        </is>
      </c>
      <c r="B89" s="33" t="inlineStr">
        <is>
          <t>Observation</t>
        </is>
      </c>
      <c r="C89" s="28" t="inlineStr">
        <is>
          <t>Large DOM Size (&gt;1500 nodes)</t>
        </is>
      </c>
      <c r="D89" s="20" t="n">
        <v>0</v>
      </c>
      <c r="E89" s="28" t="inlineStr">
        <is>
          <t>Technical Diagnostics</t>
        </is>
      </c>
      <c r="F89" s="20" t="inlineStr">
        <is>
          <t xml:space="preserve"> || Full list: see Technical Diagnostics / Link Intelligence tabs</t>
        </is>
      </c>
    </row>
    <row r="90" ht="30" customHeight="1">
      <c r="A90" s="32" t="inlineStr">
        <is>
          <t>Issue Counts</t>
        </is>
      </c>
      <c r="B90" s="33" t="inlineStr">
        <is>
          <t>Observation</t>
        </is>
      </c>
      <c r="C90" s="30" t="inlineStr">
        <is>
          <t>Large Page Size (&gt;1MB)</t>
        </is>
      </c>
      <c r="D90" s="31" t="n">
        <v>0</v>
      </c>
      <c r="E90" s="30" t="inlineStr">
        <is>
          <t>Technical Diagnostics</t>
        </is>
      </c>
      <c r="F90" s="31" t="inlineStr">
        <is>
          <t xml:space="preserve"> || Full list: see Technical Diagnostics / Link Intelligence tabs</t>
        </is>
      </c>
    </row>
    <row r="91" ht="30" customHeight="1">
      <c r="A91" s="32" t="inlineStr">
        <is>
          <t>Issue Counts</t>
        </is>
      </c>
      <c r="B91" s="33" t="inlineStr">
        <is>
          <t>Observation</t>
        </is>
      </c>
      <c r="C91" s="28" t="inlineStr">
        <is>
          <t>Low Lighthouse Best Practices (&lt;80)</t>
        </is>
      </c>
      <c r="D91" s="20" t="n">
        <v>0</v>
      </c>
      <c r="E91" s="28" t="inlineStr">
        <is>
          <t>Technical Diagnostics</t>
        </is>
      </c>
      <c r="F91" s="20" t="inlineStr">
        <is>
          <t xml:space="preserve"> || Full list: see Technical Diagnostics / Link Intelligence tabs</t>
        </is>
      </c>
    </row>
    <row r="92" ht="30" customHeight="1">
      <c r="A92" s="32" t="inlineStr">
        <is>
          <t>Issue Counts</t>
        </is>
      </c>
      <c r="B92" s="33" t="inlineStr">
        <is>
          <t>Observation</t>
        </is>
      </c>
      <c r="C92" s="30" t="inlineStr">
        <is>
          <t>Low Regional Authority</t>
        </is>
      </c>
      <c r="D92" s="31" t="n">
        <v>0</v>
      </c>
      <c r="E92" s="30" t="inlineStr">
        <is>
          <t>Technical Diagnostics</t>
        </is>
      </c>
      <c r="F92" s="31" t="inlineStr">
        <is>
          <t xml:space="preserve"> || Full list: see Technical Diagnostics / Link Intelligence tabs</t>
        </is>
      </c>
    </row>
    <row r="93" ht="30" customHeight="1">
      <c r="A93" s="32" t="inlineStr">
        <is>
          <t>Issue Counts</t>
        </is>
      </c>
      <c r="B93" s="33" t="inlineStr">
        <is>
          <t>Observation</t>
        </is>
      </c>
      <c r="C93" s="28" t="inlineStr">
        <is>
          <t>Missing Twitter Card</t>
        </is>
      </c>
      <c r="D93" s="20" t="n">
        <v>0</v>
      </c>
      <c r="E93" s="28" t="inlineStr">
        <is>
          <t>Technical Diagnostics</t>
        </is>
      </c>
      <c r="F93" s="20" t="inlineStr">
        <is>
          <t xml:space="preserve"> || Full list: see Technical Diagnostics / Link Intelligence tabs</t>
        </is>
      </c>
    </row>
    <row r="94" ht="30" customHeight="1">
      <c r="A94" s="32" t="inlineStr">
        <is>
          <t>Issue Counts</t>
        </is>
      </c>
      <c r="B94" s="33" t="inlineStr">
        <is>
          <t>Observation</t>
        </is>
      </c>
      <c r="C94" s="30" t="inlineStr">
        <is>
          <t>No Cache-Control Header</t>
        </is>
      </c>
      <c r="D94" s="31" t="n">
        <v>0</v>
      </c>
      <c r="E94" s="30" t="inlineStr">
        <is>
          <t>Technical Diagnostics</t>
        </is>
      </c>
      <c r="F94" s="31" t="inlineStr">
        <is>
          <t xml:space="preserve"> || Full list: see Technical Diagnostics / Link Intelligence tabs</t>
        </is>
      </c>
    </row>
    <row r="95" ht="30" customHeight="1">
      <c r="A95" s="32" t="inlineStr">
        <is>
          <t>Issue Counts</t>
        </is>
      </c>
      <c r="B95" s="33" t="inlineStr">
        <is>
          <t>Observation</t>
        </is>
      </c>
      <c r="C95" s="28" t="inlineStr">
        <is>
          <t>No Compression Header</t>
        </is>
      </c>
      <c r="D95" s="20" t="n">
        <v>0</v>
      </c>
      <c r="E95" s="28" t="inlineStr">
        <is>
          <t>Technical Diagnostics</t>
        </is>
      </c>
      <c r="F95" s="20" t="inlineStr">
        <is>
          <t xml:space="preserve"> || Full list: see Technical Diagnostics / Link Intelligence tabs</t>
        </is>
      </c>
    </row>
    <row r="96" ht="30" customHeight="1">
      <c r="A96" s="32" t="inlineStr">
        <is>
          <t>Issue Counts</t>
        </is>
      </c>
      <c r="B96" s="33" t="inlineStr">
        <is>
          <t>Observation</t>
        </is>
      </c>
      <c r="C96" s="30" t="inlineStr">
        <is>
          <t>No ETag Header</t>
        </is>
      </c>
      <c r="D96" s="31" t="n">
        <v>0</v>
      </c>
      <c r="E96" s="30" t="inlineStr">
        <is>
          <t>Technical Diagnostics</t>
        </is>
      </c>
      <c r="F96" s="31" t="inlineStr">
        <is>
          <t xml:space="preserve"> || Full list: see Technical Diagnostics / Link Intelligence tabs</t>
        </is>
      </c>
    </row>
    <row r="97" ht="30" customHeight="1">
      <c r="A97" s="32" t="inlineStr">
        <is>
          <t>Issue Counts</t>
        </is>
      </c>
      <c r="B97" s="33" t="inlineStr">
        <is>
          <t>Observation</t>
        </is>
      </c>
      <c r="C97" s="28" t="inlineStr">
        <is>
          <t>No Publication Date</t>
        </is>
      </c>
      <c r="D97" s="20" t="n">
        <v>0</v>
      </c>
      <c r="E97" s="28" t="inlineStr">
        <is>
          <t>Technical Diagnostics</t>
        </is>
      </c>
      <c r="F97" s="20" t="inlineStr">
        <is>
          <t xml:space="preserve"> || Full list: see Technical Diagnostics / Link Intelligence tabs</t>
        </is>
      </c>
    </row>
    <row r="98" ht="30" customHeight="1">
      <c r="A98" s="32" t="inlineStr">
        <is>
          <t>Issue Counts</t>
        </is>
      </c>
      <c r="B98" s="33" t="inlineStr">
        <is>
          <t>Observation</t>
        </is>
      </c>
      <c r="C98" s="30" t="inlineStr">
        <is>
          <t>No Publication or Modification Date</t>
        </is>
      </c>
      <c r="D98" s="31" t="n">
        <v>0</v>
      </c>
      <c r="E98" s="30" t="inlineStr">
        <is>
          <t>Technical Diagnostics</t>
        </is>
      </c>
      <c r="F98" s="31" t="inlineStr">
        <is>
          <t xml:space="preserve"> || Full list: see Technical Diagnostics / Link Intelligence tabs</t>
        </is>
      </c>
    </row>
    <row r="99" ht="30" customHeight="1">
      <c r="A99" s="32" t="inlineStr">
        <is>
          <t>Issue Counts</t>
        </is>
      </c>
      <c r="B99" s="33" t="inlineStr">
        <is>
          <t>Observation</t>
        </is>
      </c>
      <c r="C99" s="28" t="inlineStr">
        <is>
          <t>OG Image Wrong Dimensions</t>
        </is>
      </c>
      <c r="D99" s="20" t="n">
        <v>0</v>
      </c>
      <c r="E99" s="28" t="inlineStr">
        <is>
          <t>Technical Diagnostics</t>
        </is>
      </c>
      <c r="F99" s="20" t="inlineStr">
        <is>
          <t xml:space="preserve"> || Full list: see Technical Diagnostics / Link Intelligence tabs</t>
        </is>
      </c>
    </row>
    <row r="100" ht="30" customHeight="1">
      <c r="A100" s="32" t="inlineStr">
        <is>
          <t>Issue Counts</t>
        </is>
      </c>
      <c r="B100" s="33" t="inlineStr">
        <is>
          <t>Observation</t>
        </is>
      </c>
      <c r="C100" s="30" t="inlineStr">
        <is>
          <t>OG Type Not Set</t>
        </is>
      </c>
      <c r="D100" s="31" t="n">
        <v>0</v>
      </c>
      <c r="E100" s="30" t="inlineStr">
        <is>
          <t>Technical Diagnostics</t>
        </is>
      </c>
      <c r="F100" s="31" t="inlineStr">
        <is>
          <t xml:space="preserve"> || Full list: see Technical Diagnostics / Link Intelligence tabs</t>
        </is>
      </c>
    </row>
    <row r="101" ht="30" customHeight="1">
      <c r="A101" s="32" t="inlineStr">
        <is>
          <t>Issue Counts</t>
        </is>
      </c>
      <c r="B101" s="33" t="inlineStr">
        <is>
          <t>Observation</t>
        </is>
      </c>
      <c r="C101" s="28" t="inlineStr">
        <is>
          <t>Origin CrUX INP Above 200ms (per-URL data unavailable)</t>
        </is>
      </c>
      <c r="D101" s="20" t="n">
        <v>0</v>
      </c>
      <c r="E101" s="28" t="inlineStr">
        <is>
          <t>Technical Diagnostics</t>
        </is>
      </c>
      <c r="F101" s="20" t="inlineStr">
        <is>
          <t xml:space="preserve"> || Full list: see Technical Diagnostics / Link Intelligence tabs</t>
        </is>
      </c>
    </row>
    <row r="102" ht="30" customHeight="1">
      <c r="A102" s="32" t="inlineStr">
        <is>
          <t>Issue Counts</t>
        </is>
      </c>
      <c r="B102" s="33" t="inlineStr">
        <is>
          <t>Observation</t>
        </is>
      </c>
      <c r="C102" s="30" t="inlineStr">
        <is>
          <t>Origin CrUX LCP Above 4.0s (per-URL data unavailable — re-run with PSI key for URL-level data)</t>
        </is>
      </c>
      <c r="D102" s="31" t="n">
        <v>0</v>
      </c>
      <c r="E102" s="30" t="inlineStr">
        <is>
          <t>Technical Diagnostics</t>
        </is>
      </c>
      <c r="F102" s="31" t="inlineStr">
        <is>
          <t xml:space="preserve"> || Full list: see Technical Diagnostics / Link Intelligence tabs</t>
        </is>
      </c>
    </row>
    <row r="103" ht="30" customHeight="1">
      <c r="A103" s="32" t="inlineStr">
        <is>
          <t>Issue Counts</t>
        </is>
      </c>
      <c r="B103" s="33" t="inlineStr">
        <is>
          <t>Observation</t>
        </is>
      </c>
      <c r="C103" s="28" t="inlineStr">
        <is>
          <t>Schema Validation Warnings</t>
        </is>
      </c>
      <c r="D103" s="20" t="n">
        <v>0</v>
      </c>
      <c r="E103" s="28" t="inlineStr">
        <is>
          <t>Technical Diagnostics</t>
        </is>
      </c>
      <c r="F103" s="20" t="inlineStr">
        <is>
          <t xml:space="preserve"> || Full list: see Technical Diagnostics / Link Intelligence tabs</t>
        </is>
      </c>
    </row>
    <row r="104" ht="30" customHeight="1">
      <c r="A104" s="32" t="inlineStr">
        <is>
          <t>Issue Counts</t>
        </is>
      </c>
      <c r="B104" s="33" t="inlineStr">
        <is>
          <t>Observation</t>
        </is>
      </c>
      <c r="C104" s="30" t="inlineStr">
        <is>
          <t>Stale Content (&gt;2 years)</t>
        </is>
      </c>
      <c r="D104" s="31" t="n">
        <v>0</v>
      </c>
      <c r="E104" s="30" t="inlineStr">
        <is>
          <t>Technical Diagnostics</t>
        </is>
      </c>
      <c r="F104" s="31" t="inlineStr">
        <is>
          <t xml:space="preserve"> || Full list: see Technical Diagnostics / Link Intelligence tabs</t>
        </is>
      </c>
    </row>
    <row r="105" ht="30" customHeight="1">
      <c r="A105" s="32" t="inlineStr">
        <is>
          <t>Issue Counts</t>
        </is>
      </c>
      <c r="B105" s="33" t="inlineStr">
        <is>
          <t>Observation</t>
        </is>
      </c>
      <c r="C105" s="28" t="inlineStr">
        <is>
          <t>Thin Content</t>
        </is>
      </c>
      <c r="D105" s="20" t="n">
        <v>0</v>
      </c>
      <c r="E105" s="28" t="inlineStr">
        <is>
          <t>Technical Diagnostics</t>
        </is>
      </c>
      <c r="F105" s="20" t="inlineStr">
        <is>
          <t xml:space="preserve"> || Full list: see Technical Diagnostics / Link Intelligence tabs</t>
        </is>
      </c>
    </row>
    <row r="106" ht="30" customHeight="1">
      <c r="A106" s="32" t="inlineStr">
        <is>
          <t>Issue Counts</t>
        </is>
      </c>
      <c r="B106" s="33" t="inlineStr">
        <is>
          <t>Observation</t>
        </is>
      </c>
      <c r="C106" s="30" t="inlineStr">
        <is>
          <t>Uses URL Parameters</t>
        </is>
      </c>
      <c r="D106" s="31" t="n">
        <v>0</v>
      </c>
      <c r="E106" s="30" t="inlineStr">
        <is>
          <t>Technical Diagnostics</t>
        </is>
      </c>
      <c r="F106" s="31" t="inlineStr">
        <is>
          <t xml:space="preserve"> || Full list: see Technical Diagnostics / Link Intelligence tabs</t>
        </is>
      </c>
    </row>
    <row r="107" ht="30" customHeight="1">
      <c r="A107" s="32" t="inlineStr">
        <is>
          <t>Issue Counts</t>
        </is>
      </c>
      <c r="B107" s="33" t="inlineStr">
        <is>
          <t>Observation</t>
        </is>
      </c>
      <c r="C107" s="28" t="inlineStr">
        <is>
          <t>llms.txt Missing</t>
        </is>
      </c>
      <c r="D107" s="20" t="n">
        <v>0</v>
      </c>
      <c r="E107" s="28" t="inlineStr">
        <is>
          <t>Technical Diagnostics</t>
        </is>
      </c>
      <c r="F107" s="20" t="inlineStr">
        <is>
          <t xml:space="preserve"> || Full list: see Technical Diagnostics / Link Intelligence tabs</t>
        </is>
      </c>
    </row>
    <row r="108" ht="18" customHeight="1">
      <c r="A108" s="32" t="inlineStr">
        <is>
          <t>Issue Counts</t>
        </is>
      </c>
      <c r="B108" s="30" t="inlineStr"/>
      <c r="C108" s="30" t="inlineStr"/>
      <c r="D108" s="31" t="inlineStr"/>
      <c r="E108" s="30" t="inlineStr"/>
      <c r="F108" s="31" t="inlineStr"/>
    </row>
    <row r="109" ht="18" customHeight="1">
      <c r="A109" s="32" t="inlineStr">
        <is>
          <t>Top 10 Critical URLs</t>
        </is>
      </c>
      <c r="B109" s="28" t="inlineStr"/>
      <c r="C109" s="28" t="inlineStr"/>
      <c r="D109" s="20" t="inlineStr"/>
      <c r="E109" s="28" t="inlineStr"/>
      <c r="F109" s="20" t="inlineStr"/>
    </row>
    <row r="110" ht="18" customHeight="1">
      <c r="A110" s="30" t="inlineStr">
        <is>
          <t>Top 10 Critical URLs</t>
        </is>
      </c>
      <c r="B110" s="34" t="inlineStr">
        <is>
          <t>Critical</t>
        </is>
      </c>
      <c r="C110" s="30" t="inlineStr">
        <is>
          <t>#1 https://africanmarketingconfederation.org/</t>
        </is>
      </c>
      <c r="D110" s="31" t="n">
        <v>1</v>
      </c>
      <c r="E110" s="30" t="inlineStr">
        <is>
          <t>Priority URLs</t>
        </is>
      </c>
      <c r="F110" s="31" t="inlineStr">
        <is>
          <t>Non-200 Status</t>
        </is>
      </c>
    </row>
    <row r="111" ht="18" customHeight="1">
      <c r="A111" s="28" t="inlineStr">
        <is>
          <t>Top 10 Critical URLs</t>
        </is>
      </c>
      <c r="B111" s="34" t="inlineStr">
        <is>
          <t>Critical</t>
        </is>
      </c>
      <c r="C111" s="28" t="inlineStr">
        <is>
          <t>#2 https://africanmarketingconfederation.org/smoke-archive/page-13</t>
        </is>
      </c>
      <c r="D111" s="20" t="n">
        <v>1</v>
      </c>
      <c r="E111" s="28" t="inlineStr">
        <is>
          <t>Priority URLs</t>
        </is>
      </c>
      <c r="F111" s="20" t="inlineStr">
        <is>
          <t>Non-200 Status</t>
        </is>
      </c>
    </row>
    <row r="112" ht="18" customHeight="1">
      <c r="A112" s="30" t="inlineStr">
        <is>
          <t>Top 10 Critical URLs</t>
        </is>
      </c>
      <c r="B112" s="34" t="inlineStr">
        <is>
          <t>Critical</t>
        </is>
      </c>
      <c r="C112" s="30" t="inlineStr">
        <is>
          <t>#3 https://africanmarketingconfederation.org/smoke-archive/page-17</t>
        </is>
      </c>
      <c r="D112" s="31" t="n">
        <v>1</v>
      </c>
      <c r="E112" s="30" t="inlineStr">
        <is>
          <t>Priority URLs</t>
        </is>
      </c>
      <c r="F112" s="31" t="inlineStr">
        <is>
          <t>Non-200 Status</t>
        </is>
      </c>
    </row>
    <row r="113" ht="18" customHeight="1">
      <c r="A113" s="28" t="inlineStr">
        <is>
          <t>Top 10 Critical URLs</t>
        </is>
      </c>
      <c r="B113" s="34" t="inlineStr">
        <is>
          <t>Critical</t>
        </is>
      </c>
      <c r="C113" s="28" t="inlineStr">
        <is>
          <t>#4 https://africanmarketingconfederation.org/smoke-archive/page-26</t>
        </is>
      </c>
      <c r="D113" s="20" t="n">
        <v>1</v>
      </c>
      <c r="E113" s="28" t="inlineStr">
        <is>
          <t>Priority URLs</t>
        </is>
      </c>
      <c r="F113" s="20" t="inlineStr">
        <is>
          <t>Non-200 Status</t>
        </is>
      </c>
    </row>
    <row r="114" ht="18" customHeight="1">
      <c r="A114" s="30" t="inlineStr">
        <is>
          <t>Top 10 Critical URLs</t>
        </is>
      </c>
      <c r="B114" s="34" t="inlineStr">
        <is>
          <t>Critical</t>
        </is>
      </c>
      <c r="C114" s="30" t="inlineStr">
        <is>
          <t>#5 https://africanmarketingconfederation.org/smoke-archive/page-34</t>
        </is>
      </c>
      <c r="D114" s="31" t="n">
        <v>1</v>
      </c>
      <c r="E114" s="30" t="inlineStr">
        <is>
          <t>Priority URLs</t>
        </is>
      </c>
      <c r="F114" s="31" t="inlineStr">
        <is>
          <t>Non-200 Status</t>
        </is>
      </c>
    </row>
    <row r="115" ht="18" customHeight="1">
      <c r="A115" s="28" t="inlineStr">
        <is>
          <t>Top 10 Critical URLs</t>
        </is>
      </c>
      <c r="B115" s="34" t="inlineStr">
        <is>
          <t>Critical</t>
        </is>
      </c>
      <c r="C115" s="28" t="inlineStr">
        <is>
          <t>#6 https://africanmarketingconfederation.org/smoke-archive/page-39</t>
        </is>
      </c>
      <c r="D115" s="20" t="n">
        <v>1</v>
      </c>
      <c r="E115" s="28" t="inlineStr">
        <is>
          <t>Priority URLs</t>
        </is>
      </c>
      <c r="F115" s="20" t="inlineStr">
        <is>
          <t>Non-200 Status</t>
        </is>
      </c>
    </row>
    <row r="116" ht="18" customHeight="1">
      <c r="A116" s="30" t="inlineStr">
        <is>
          <t>Top 10 Critical URLs</t>
        </is>
      </c>
      <c r="B116" s="34" t="inlineStr">
        <is>
          <t>Critical</t>
        </is>
      </c>
      <c r="C116" s="30" t="inlineStr">
        <is>
          <t>#7 https://africanmarketingconfederation.org/smoke-archive/page-51</t>
        </is>
      </c>
      <c r="D116" s="31" t="n">
        <v>1</v>
      </c>
      <c r="E116" s="30" t="inlineStr">
        <is>
          <t>Priority URLs</t>
        </is>
      </c>
      <c r="F116" s="31" t="inlineStr">
        <is>
          <t>Non-200 Status</t>
        </is>
      </c>
    </row>
    <row r="117" ht="18" customHeight="1">
      <c r="A117" s="28" t="inlineStr">
        <is>
          <t>Top 10 Critical URLs</t>
        </is>
      </c>
      <c r="B117" s="34" t="inlineStr">
        <is>
          <t>Critical</t>
        </is>
      </c>
      <c r="C117" s="28" t="inlineStr">
        <is>
          <t>#8 https://africanmarketingconfederation.org/smoke-archive/page-52</t>
        </is>
      </c>
      <c r="D117" s="20" t="n">
        <v>1</v>
      </c>
      <c r="E117" s="28" t="inlineStr">
        <is>
          <t>Priority URLs</t>
        </is>
      </c>
      <c r="F117" s="20" t="inlineStr">
        <is>
          <t>Non-200 Status</t>
        </is>
      </c>
    </row>
    <row r="118" ht="18" customHeight="1">
      <c r="A118" s="30" t="inlineStr">
        <is>
          <t>Top 10 Critical URLs</t>
        </is>
      </c>
      <c r="B118" s="34" t="inlineStr">
        <is>
          <t>Critical</t>
        </is>
      </c>
      <c r="C118" s="30" t="inlineStr">
        <is>
          <t>#9 https://africanmarketingconfederation.org/smoke-archive/page-65</t>
        </is>
      </c>
      <c r="D118" s="31" t="n">
        <v>1</v>
      </c>
      <c r="E118" s="30" t="inlineStr">
        <is>
          <t>Priority URLs</t>
        </is>
      </c>
      <c r="F118" s="31" t="inlineStr">
        <is>
          <t>Non-200 Status</t>
        </is>
      </c>
    </row>
    <row r="119" ht="18" customHeight="1">
      <c r="A119" s="28" t="inlineStr">
        <is>
          <t>Top 10 Critical URLs</t>
        </is>
      </c>
      <c r="B119" s="34" t="inlineStr">
        <is>
          <t>Critical</t>
        </is>
      </c>
      <c r="C119" s="28" t="inlineStr">
        <is>
          <t>#10 https://africanmarketingconfederation.org/smoke-archive/page-68</t>
        </is>
      </c>
      <c r="D119" s="20" t="n">
        <v>1</v>
      </c>
      <c r="E119" s="28" t="inlineStr">
        <is>
          <t>Priority URLs</t>
        </is>
      </c>
      <c r="F119" s="20" t="inlineStr">
        <is>
          <t>Non-200 Status</t>
        </is>
      </c>
    </row>
    <row r="120" ht="18" customHeight="1">
      <c r="A120" s="32" t="inlineStr">
        <is>
          <t>Top Issues by Template</t>
        </is>
      </c>
      <c r="B120" s="30" t="inlineStr"/>
      <c r="C120" s="30" t="inlineStr"/>
      <c r="D120" s="31" t="inlineStr"/>
      <c r="E120" s="30" t="inlineStr"/>
      <c r="F120" s="31" t="inlineStr"/>
    </row>
    <row r="121" ht="18" customHeight="1">
      <c r="A121" s="32" t="inlineStr">
        <is>
          <t>Top Issues by Template</t>
        </is>
      </c>
      <c r="B121" s="33" t="inlineStr">
        <is>
          <t>Observation</t>
        </is>
      </c>
      <c r="C121" s="28" t="inlineStr">
        <is>
          <t>/smoke-archive/ -&gt; No Consent Manager Detected</t>
        </is>
      </c>
      <c r="D121" s="20" t="n">
        <v>69</v>
      </c>
      <c r="E121" s="28" t="inlineStr">
        <is>
          <t>Template &amp; Duplication Risks</t>
        </is>
      </c>
      <c r="F121" s="20" t="inlineStr"/>
    </row>
    <row r="122" ht="18" customHeight="1">
      <c r="A122" s="32" t="inlineStr">
        <is>
          <t>Top Issues by Template</t>
        </is>
      </c>
      <c r="B122" s="33" t="inlineStr">
        <is>
          <t>Observation</t>
        </is>
      </c>
      <c r="C122" s="30" t="inlineStr">
        <is>
          <t>/smoke-archive/ -&gt; Lab TBT 150ms–300ms (Mobile)</t>
        </is>
      </c>
      <c r="D122" s="31" t="n">
        <v>69</v>
      </c>
      <c r="E122" s="30" t="inlineStr">
        <is>
          <t>Template &amp; Duplication Risks</t>
        </is>
      </c>
      <c r="F122" s="31" t="inlineStr"/>
    </row>
    <row r="123" ht="18" customHeight="1">
      <c r="A123" s="32" t="inlineStr">
        <is>
          <t>Top Issues by Template</t>
        </is>
      </c>
      <c r="B123" s="33" t="inlineStr">
        <is>
          <t>Observation</t>
        </is>
      </c>
      <c r="C123" s="28" t="inlineStr">
        <is>
          <t>/smoke-archive/ -&gt; Moderate Lighthouse Performance Mobile (50–89)</t>
        </is>
      </c>
      <c r="D123" s="20" t="n">
        <v>69</v>
      </c>
      <c r="E123" s="28" t="inlineStr">
        <is>
          <t>Template &amp; Duplication Risks</t>
        </is>
      </c>
      <c r="F123" s="20" t="inlineStr"/>
    </row>
    <row r="124" ht="18" customHeight="1">
      <c r="A124" s="32" t="inlineStr">
        <is>
          <t>Top Issues by Template</t>
        </is>
      </c>
      <c r="B124" s="33" t="inlineStr">
        <is>
          <t>Observation</t>
        </is>
      </c>
      <c r="C124" s="30" t="inlineStr">
        <is>
          <t>/smoke-archive/ -&gt; Render Blocking Resources</t>
        </is>
      </c>
      <c r="D124" s="31" t="n">
        <v>69</v>
      </c>
      <c r="E124" s="30" t="inlineStr">
        <is>
          <t>Template &amp; Duplication Risks</t>
        </is>
      </c>
      <c r="F124" s="31" t="inlineStr"/>
    </row>
    <row r="125" ht="18" customHeight="1">
      <c r="A125" s="32" t="inlineStr">
        <is>
          <t>Top Issues by Template</t>
        </is>
      </c>
      <c r="B125" s="33" t="inlineStr">
        <is>
          <t>Observation</t>
        </is>
      </c>
      <c r="C125" s="28" t="inlineStr">
        <is>
          <t>/smoke-archive/ -&gt; Missing OG Image</t>
        </is>
      </c>
      <c r="D125" s="20" t="n">
        <v>52</v>
      </c>
      <c r="E125" s="28" t="inlineStr">
        <is>
          <t>Template &amp; Duplication Risks</t>
        </is>
      </c>
      <c r="F125" s="20" t="inlineStr"/>
    </row>
    <row r="126" ht="18" customHeight="1">
      <c r="A126" s="32" t="inlineStr">
        <is>
          <t>Top Issues by Template</t>
        </is>
      </c>
      <c r="B126" s="33" t="inlineStr">
        <is>
          <t>Observation</t>
        </is>
      </c>
      <c r="C126" s="30" t="inlineStr">
        <is>
          <t>/smoke-archive/ -&gt; Missing Meta Description</t>
        </is>
      </c>
      <c r="D126" s="31" t="n">
        <v>14</v>
      </c>
      <c r="E126" s="30" t="inlineStr">
        <is>
          <t>Template &amp; Duplication Risks</t>
        </is>
      </c>
      <c r="F126" s="31" t="inlineStr"/>
    </row>
    <row r="127" ht="18" customHeight="1">
      <c r="A127" s="32" t="inlineStr">
        <is>
          <t>Top Issues by Template</t>
        </is>
      </c>
      <c r="B127" s="33" t="inlineStr">
        <is>
          <t>Observation</t>
        </is>
      </c>
      <c r="C127" s="28" t="inlineStr">
        <is>
          <t>/smoke-archive/ -&gt; Missing OG Description</t>
        </is>
      </c>
      <c r="D127" s="20" t="n">
        <v>14</v>
      </c>
      <c r="E127" s="28" t="inlineStr">
        <is>
          <t>Template &amp; Duplication Risks</t>
        </is>
      </c>
      <c r="F127" s="20" t="inlineStr"/>
    </row>
    <row r="128" ht="18" customHeight="1">
      <c r="A128" s="32" t="inlineStr">
        <is>
          <t>Top Issues by Template</t>
        </is>
      </c>
      <c r="B128" s="33" t="inlineStr">
        <is>
          <t>Observation</t>
        </is>
      </c>
      <c r="C128" s="30" t="inlineStr">
        <is>
          <t>/smoke-archive/ -&gt; Low Image Alt Coverage</t>
        </is>
      </c>
      <c r="D128" s="31" t="n">
        <v>12</v>
      </c>
      <c r="E128" s="30" t="inlineStr">
        <is>
          <t>Template &amp; Duplication Risks</t>
        </is>
      </c>
      <c r="F128" s="31" t="inlineStr"/>
    </row>
    <row r="129" ht="18" customHeight="1">
      <c r="A129" s="32" t="inlineStr">
        <is>
          <t>Top Issues by Template</t>
        </is>
      </c>
      <c r="B129" s="33" t="inlineStr">
        <is>
          <t>Observation</t>
        </is>
      </c>
      <c r="C129" s="28" t="inlineStr">
        <is>
          <t>/smoke-archive/ -&gt; Low E-E-A-T Signal Score (&lt;3)</t>
        </is>
      </c>
      <c r="D129" s="20" t="n">
        <v>11</v>
      </c>
      <c r="E129" s="28" t="inlineStr">
        <is>
          <t>Template &amp; Duplication Risks</t>
        </is>
      </c>
      <c r="F129" s="20" t="inlineStr"/>
    </row>
    <row r="130" ht="18" customHeight="1">
      <c r="A130" s="32" t="inlineStr">
        <is>
          <t>Top Issues by Template</t>
        </is>
      </c>
      <c r="B130" s="33" t="inlineStr">
        <is>
          <t>Observation</t>
        </is>
      </c>
      <c r="C130" s="30" t="inlineStr">
        <is>
          <t>/smoke-archive/ -&gt; No Author Attribution</t>
        </is>
      </c>
      <c r="D130" s="31" t="n">
        <v>11</v>
      </c>
      <c r="E130" s="30" t="inlineStr">
        <is>
          <t>Template &amp; Duplication Risks</t>
        </is>
      </c>
      <c r="F130" s="31" t="inlineStr"/>
    </row>
    <row r="131" ht="18" customHeight="1">
      <c r="A131" s="32" t="inlineStr">
        <is>
          <t>Top Issues by Template</t>
        </is>
      </c>
      <c r="B131" s="33" t="inlineStr">
        <is>
          <t>Observation</t>
        </is>
      </c>
      <c r="C131" s="28" t="inlineStr">
        <is>
          <t>/smoke-archive/ -&gt; Non-200 Status</t>
        </is>
      </c>
      <c r="D131" s="20" t="n">
        <v>10</v>
      </c>
      <c r="E131" s="28" t="inlineStr">
        <is>
          <t>Template &amp; Duplication Risks</t>
        </is>
      </c>
      <c r="F131" s="20" t="inlineStr"/>
    </row>
    <row r="132" ht="18" customHeight="1">
      <c r="A132" s="32" t="inlineStr">
        <is>
          <t>Top Issues by Template</t>
        </is>
      </c>
      <c r="B132" s="33" t="inlineStr">
        <is>
          <t>Observation</t>
        </is>
      </c>
      <c r="C132" s="30" t="inlineStr">
        <is>
          <t>/smoke-archive/ -&gt; Missing OG Title</t>
        </is>
      </c>
      <c r="D132" s="31" t="n">
        <v>9</v>
      </c>
      <c r="E132" s="30" t="inlineStr">
        <is>
          <t>Template &amp; Duplication Risks</t>
        </is>
      </c>
      <c r="F132" s="31" t="inlineStr"/>
    </row>
    <row r="133" ht="18" customHeight="1">
      <c r="A133" s="32" t="inlineStr">
        <is>
          <t>Top Issues by Template</t>
        </is>
      </c>
      <c r="B133" s="33" t="inlineStr">
        <is>
          <t>Observation</t>
        </is>
      </c>
      <c r="C133" s="28" t="inlineStr">
        <is>
          <t>/smoke-archive/ -&gt; Low AEO Readiness Score</t>
        </is>
      </c>
      <c r="D133" s="20" t="n">
        <v>8</v>
      </c>
      <c r="E133" s="28" t="inlineStr">
        <is>
          <t>Template &amp; Duplication Risks</t>
        </is>
      </c>
      <c r="F133" s="20" t="inlineStr"/>
    </row>
    <row r="134" ht="18" customHeight="1">
      <c r="A134" s="32" t="inlineStr">
        <is>
          <t>Top Issues by Template</t>
        </is>
      </c>
      <c r="B134" s="33" t="inlineStr">
        <is>
          <t>Observation</t>
        </is>
      </c>
      <c r="C134" s="30" t="inlineStr">
        <is>
          <t>/smoke-archive/ -&gt; No Question Headings</t>
        </is>
      </c>
      <c r="D134" s="31" t="n">
        <v>8</v>
      </c>
      <c r="E134" s="30" t="inlineStr">
        <is>
          <t>Template &amp; Duplication Risks</t>
        </is>
      </c>
      <c r="F134" s="31" t="inlineStr"/>
    </row>
    <row r="135" ht="18" customHeight="1">
      <c r="A135" s="32" t="inlineStr">
        <is>
          <t>Top Issues by Template</t>
        </is>
      </c>
      <c r="B135" s="33" t="inlineStr">
        <is>
          <t>Observation</t>
        </is>
      </c>
      <c r="C135" s="28" t="inlineStr">
        <is>
          <t>/smoke-archive/ -&gt; No Answer-Friendly Structure</t>
        </is>
      </c>
      <c r="D135" s="20" t="n">
        <v>8</v>
      </c>
      <c r="E135" s="28" t="inlineStr">
        <is>
          <t>Template &amp; Duplication Risks</t>
        </is>
      </c>
      <c r="F135" s="20" t="inlineStr"/>
    </row>
    <row r="136" ht="18" customHeight="1">
      <c r="A136" s="32" t="inlineStr">
        <is>
          <t>Top Issues by Template</t>
        </is>
      </c>
      <c r="B136" s="33" t="inlineStr">
        <is>
          <t>Observation</t>
        </is>
      </c>
      <c r="C136" s="30" t="inlineStr">
        <is>
          <t>/smoke-archive/ -&gt; No 40-60 Word Answer Paragraphs</t>
        </is>
      </c>
      <c r="D136" s="31" t="n">
        <v>8</v>
      </c>
      <c r="E136" s="30" t="inlineStr">
        <is>
          <t>Template &amp; Duplication Risks</t>
        </is>
      </c>
      <c r="F136" s="31" t="inlineStr"/>
    </row>
    <row r="137" ht="18" customHeight="1">
      <c r="A137" s="32" t="inlineStr">
        <is>
          <t>Top Issues by Template</t>
        </is>
      </c>
      <c r="B137" s="33" t="inlineStr">
        <is>
          <t>Observation</t>
        </is>
      </c>
      <c r="C137" s="28" t="inlineStr">
        <is>
          <t>/smoke-archive/ -&gt; No Schema Markup</t>
        </is>
      </c>
      <c r="D137" s="20" t="n">
        <v>6</v>
      </c>
      <c r="E137" s="28" t="inlineStr">
        <is>
          <t>Template &amp; Duplication Risks</t>
        </is>
      </c>
      <c r="F137" s="20" t="inlineStr"/>
    </row>
    <row r="138" ht="18" customHeight="1">
      <c r="A138" s="32" t="inlineStr">
        <is>
          <t>Top Issues by Template</t>
        </is>
      </c>
      <c r="B138" s="33" t="inlineStr">
        <is>
          <t>Observation</t>
        </is>
      </c>
      <c r="C138" s="30" t="inlineStr">
        <is>
          <t>/ -&gt; Non-200 Status</t>
        </is>
      </c>
      <c r="D138" s="31" t="n">
        <v>1</v>
      </c>
      <c r="E138" s="30" t="inlineStr">
        <is>
          <t>Template &amp; Duplication Risks</t>
        </is>
      </c>
      <c r="F138" s="31" t="inlineStr"/>
    </row>
    <row r="139" ht="18" customHeight="1">
      <c r="A139" s="32" t="inlineStr">
        <is>
          <t>Top Issues by Template</t>
        </is>
      </c>
      <c r="B139" s="33" t="inlineStr">
        <is>
          <t>Observation</t>
        </is>
      </c>
      <c r="C139" s="28" t="inlineStr">
        <is>
          <t>/discovered-via-bfs-1/ -&gt; Missing OG Image</t>
        </is>
      </c>
      <c r="D139" s="20" t="n">
        <v>1</v>
      </c>
      <c r="E139" s="28" t="inlineStr">
        <is>
          <t>Template &amp; Duplication Risks</t>
        </is>
      </c>
      <c r="F139" s="20" t="inlineStr"/>
    </row>
    <row r="140" ht="18" customHeight="1">
      <c r="A140" s="32" t="inlineStr">
        <is>
          <t>Top Issues by Template</t>
        </is>
      </c>
      <c r="B140" s="33" t="inlineStr">
        <is>
          <t>Observation</t>
        </is>
      </c>
      <c r="C140" s="30" t="inlineStr">
        <is>
          <t>/discovered-via-bfs-1/ -&gt; Low AEO Readiness Score</t>
        </is>
      </c>
      <c r="D140" s="31" t="n">
        <v>1</v>
      </c>
      <c r="E140" s="30" t="inlineStr">
        <is>
          <t>Template &amp; Duplication Risks</t>
        </is>
      </c>
      <c r="F140" s="31" t="inlineStr"/>
    </row>
  </sheetData>
  <autoFilter ref="A2:F140"/>
  <mergeCells count="2">
    <mergeCell ref="C1:F1"/>
    <mergeCell ref="A1:B1"/>
  </mergeCells>
  <conditionalFormatting sqref="B3:B140">
    <cfRule type="expression" priority="1" dxfId="0" stopIfTrue="1">
      <formula>LOWER(B2)="critical"</formula>
    </cfRule>
    <cfRule type="expression" priority="2" dxfId="1" stopIfTrue="1">
      <formula>LOWER(B2)="warning"</formula>
    </cfRule>
    <cfRule type="expression" priority="3" dxfId="2" stopIfTrue="1">
      <formula>OR(LOWER(B2)="pass",LOWER(B2)="observation")</formula>
    </cfRule>
  </conditionalFormatting>
  <conditionalFormatting sqref="A3:F140">
    <cfRule type="expression" priority="4"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2980B9"/>
    <outlinePr summaryBelow="1" summaryRight="1"/>
    <pageSetUpPr fitToPage="1"/>
  </sheetPr>
  <dimension ref="A1:U85"/>
  <sheetViews>
    <sheetView showGridLines="0" tabSelected="0" zoomScale="9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21" customWidth="1" min="2" max="2"/>
    <col width="16" customWidth="1" min="3" max="3"/>
    <col width="18" customWidth="1" min="4" max="4"/>
    <col width="17" customWidth="1" min="5" max="5"/>
    <col width="10" customWidth="1" min="6" max="6"/>
    <col width="48" customWidth="1" min="7" max="7"/>
    <col width="55" customWidth="1" min="8" max="8"/>
    <col width="16" customWidth="1" min="9" max="9"/>
    <col width="22" customWidth="1" min="10" max="10"/>
    <col width="22" customWidth="1" min="11" max="11"/>
    <col width="15" customWidth="1" min="12" max="12"/>
    <col width="55" customWidth="1" min="13" max="13"/>
    <col width="13" customWidth="1" min="14" max="14"/>
    <col width="10" customWidth="1" min="15" max="15"/>
    <col width="10" customWidth="1" min="16" max="16"/>
    <col width="21" customWidth="1" min="17" max="17"/>
    <col width="22" customWidth="1" min="18" max="18"/>
    <col width="16" customWidth="1" min="19" max="19"/>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7" t="inlineStr">
        <is>
          <t>Business Risk Score</t>
        </is>
      </c>
      <c r="C2" s="26" t="inlineStr">
        <is>
          <t>Severity Badge</t>
        </is>
      </c>
      <c r="D2" s="27" t="inlineStr">
        <is>
          <t>SEO Health Score</t>
        </is>
      </c>
      <c r="E2" s="27" t="inlineStr">
        <is>
          <t>GSC Impressions</t>
        </is>
      </c>
      <c r="F2" s="27" t="inlineStr">
        <is>
          <t>GSC CTR</t>
        </is>
      </c>
      <c r="G2" s="26" t="inlineStr">
        <is>
          <t>GSC Data Freshness</t>
        </is>
      </c>
      <c r="H2" s="26" t="inlineStr">
        <is>
          <t>GSC Coverage Note</t>
        </is>
      </c>
      <c r="I2" s="26" t="inlineStr">
        <is>
          <t>Revenue Intent</t>
        </is>
      </c>
      <c r="J2" s="27" t="inlineStr">
        <is>
          <t>Critical Issues Count</t>
        </is>
      </c>
      <c r="K2" s="27" t="inlineStr">
        <is>
          <t>Warning Issues Count</t>
        </is>
      </c>
      <c r="L2" s="26" t="inlineStr">
        <is>
          <t>Action Needed</t>
        </is>
      </c>
      <c r="M2" s="26" t="inlineStr">
        <is>
          <t>Why Prioritized</t>
        </is>
      </c>
      <c r="N2" s="26" t="inlineStr">
        <is>
          <t>Owner</t>
        </is>
      </c>
      <c r="O2" s="26" t="inlineStr">
        <is>
          <t>Status</t>
        </is>
      </c>
      <c r="P2" s="26" t="inlineStr">
        <is>
          <t>Sprint</t>
        </is>
      </c>
      <c r="Q2" s="26" t="inlineStr">
        <is>
          <t>Indexability Reason</t>
        </is>
      </c>
      <c r="R2" s="27" t="inlineStr">
        <is>
          <t>Broken Internal Links Count</t>
        </is>
      </c>
      <c r="S2" s="26" t="inlineStr">
        <is>
          <t>Canonical Type</t>
        </is>
      </c>
      <c r="T2" s="26" t="inlineStr">
        <is>
          <t>Open in Main</t>
        </is>
      </c>
      <c r="U2" s="26" t="inlineStr">
        <is>
          <t>Open in Technical</t>
        </is>
      </c>
    </row>
    <row r="3" ht="18" customHeight="1">
      <c r="A3" s="35" t="inlineStr">
        <is>
          <t>https://africanmarketingconfederation.org/</t>
        </is>
      </c>
      <c r="B3" s="28" t="n">
        <v>130</v>
      </c>
      <c r="C3" s="34" t="inlineStr">
        <is>
          <t>Critical</t>
        </is>
      </c>
      <c r="D3" s="28" t="n">
        <v>0</v>
      </c>
      <c r="E3" s="28" t="n">
        <v>1524</v>
      </c>
      <c r="F3" s="28" t="n">
        <v>0.0341</v>
      </c>
      <c r="G3" s="28" t="inlineStr">
        <is>
          <t>2026-06-01 to 2026-06-30 (30-day window; excludes today; typical GSC lag ~48h)</t>
        </is>
      </c>
      <c r="H3" s="28" t="inlineStr">
        <is>
          <t>Matched in GSC — Search Analytics (30-day window)</t>
        </is>
      </c>
      <c r="I3" s="28" t="inlineStr">
        <is>
          <t>Standard</t>
        </is>
      </c>
      <c r="J3" s="28" t="n">
        <v>1</v>
      </c>
      <c r="K3" s="28" t="n">
        <v>0</v>
      </c>
      <c r="L3" s="28" t="inlineStr">
        <is>
          <t>Yes</t>
        </is>
      </c>
      <c r="M3" s="28" t="inlineStr">
        <is>
          <t>Has critical issues</t>
        </is>
      </c>
      <c r="N3" s="28" t="inlineStr">
        <is>
          <t>Dev</t>
        </is>
      </c>
      <c r="O3" s="36" t="inlineStr">
        <is>
          <t>Open</t>
        </is>
      </c>
      <c r="P3" s="28" t="inlineStr"/>
      <c r="Q3" s="34" t="inlineStr"/>
      <c r="R3" s="32" t="n">
        <v>0</v>
      </c>
      <c r="S3" s="28" t="inlineStr"/>
      <c r="T3">
        <f>IFERROR(HYPERLINK("#'Main'!B"&amp;MATCH(TRIM(A3),'Main'!B:B,0),"Open"),HYPERLINK("#'Main'!B1","Open"))</f>
        <v/>
      </c>
      <c r="U3">
        <f>IFERROR(HYPERLINK("#'Technical Diagnostics'!A"&amp;MATCH(A3,'Technical Diagnostics'!A:A,0),"Open"),HYPERLINK("#'Technical Diagnostics'!A1","Open"))</f>
        <v/>
      </c>
    </row>
    <row r="4" ht="18" customHeight="1">
      <c r="A4" s="37" t="inlineStr">
        <is>
          <t>https://africanmarketingconfederation.org/smoke-archive/page-13</t>
        </is>
      </c>
      <c r="B4" s="30" t="n">
        <v>130</v>
      </c>
      <c r="C4" s="34" t="inlineStr">
        <is>
          <t>Critical</t>
        </is>
      </c>
      <c r="D4" s="30" t="n">
        <v>0</v>
      </c>
      <c r="E4" s="30" t="inlineStr"/>
      <c r="F4" s="30" t="n">
        <v>0</v>
      </c>
      <c r="G4" s="30" t="inlineStr">
        <is>
          <t>2026-06-01 to 2026-06-30 (30-day window; excludes today; typical GSC lag ~48h)</t>
        </is>
      </c>
      <c r="H4" s="30" t="inlineStr">
        <is>
          <t>No Search Analytics row matched this URL in the 30-day export (compare Final URL with the page URL shown in GSC)</t>
        </is>
      </c>
      <c r="I4" s="30" t="inlineStr">
        <is>
          <t>Standard</t>
        </is>
      </c>
      <c r="J4" s="30" t="n">
        <v>1</v>
      </c>
      <c r="K4" s="30" t="n">
        <v>0</v>
      </c>
      <c r="L4" s="30" t="inlineStr">
        <is>
          <t>Yes</t>
        </is>
      </c>
      <c r="M4" s="30" t="inlineStr">
        <is>
          <t>Has critical issues</t>
        </is>
      </c>
      <c r="N4" s="30" t="inlineStr">
        <is>
          <t>Dev</t>
        </is>
      </c>
      <c r="O4" s="36" t="inlineStr">
        <is>
          <t>Open</t>
        </is>
      </c>
      <c r="P4" s="30" t="inlineStr"/>
      <c r="Q4" s="34" t="inlineStr"/>
      <c r="R4" s="32" t="n">
        <v>0</v>
      </c>
      <c r="S4" s="30" t="inlineStr"/>
      <c r="T4" s="38">
        <f>IFERROR(HYPERLINK("#'Main'!B"&amp;MATCH(TRIM(A4),'Main'!B:B,0),"Open"),HYPERLINK("#'Main'!B1","Open"))</f>
        <v/>
      </c>
      <c r="U4" s="38">
        <f>IFERROR(HYPERLINK("#'Technical Diagnostics'!A"&amp;MATCH(A4,'Technical Diagnostics'!A:A,0),"Open"),HYPERLINK("#'Technical Diagnostics'!A1","Open"))</f>
        <v/>
      </c>
    </row>
    <row r="5" ht="18" customHeight="1">
      <c r="A5" s="35" t="inlineStr">
        <is>
          <t>https://africanmarketingconfederation.org/smoke-archive/page-17</t>
        </is>
      </c>
      <c r="B5" s="28" t="n">
        <v>130</v>
      </c>
      <c r="C5" s="34" t="inlineStr">
        <is>
          <t>Critical</t>
        </is>
      </c>
      <c r="D5" s="28" t="n">
        <v>0</v>
      </c>
      <c r="E5" s="28" t="inlineStr"/>
      <c r="F5" s="28" t="n">
        <v>0</v>
      </c>
      <c r="G5" s="28" t="inlineStr">
        <is>
          <t>2026-06-01 to 2026-06-30 (30-day window; excludes today; typical GSC lag ~48h)</t>
        </is>
      </c>
      <c r="H5" s="28" t="inlineStr">
        <is>
          <t>No Search Analytics row matched this URL in the 30-day export (compare Final URL with the page URL shown in GSC)</t>
        </is>
      </c>
      <c r="I5" s="28" t="inlineStr">
        <is>
          <t>Standard</t>
        </is>
      </c>
      <c r="J5" s="28" t="n">
        <v>1</v>
      </c>
      <c r="K5" s="28" t="n">
        <v>0</v>
      </c>
      <c r="L5" s="28" t="inlineStr">
        <is>
          <t>Yes</t>
        </is>
      </c>
      <c r="M5" s="28" t="inlineStr">
        <is>
          <t>Has critical issues</t>
        </is>
      </c>
      <c r="N5" s="28" t="inlineStr">
        <is>
          <t>Dev</t>
        </is>
      </c>
      <c r="O5" s="36" t="inlineStr">
        <is>
          <t>Open</t>
        </is>
      </c>
      <c r="P5" s="28" t="inlineStr"/>
      <c r="Q5" s="34" t="inlineStr"/>
      <c r="R5" s="32" t="n">
        <v>0</v>
      </c>
      <c r="S5" s="28" t="inlineStr"/>
      <c r="T5">
        <f>IFERROR(HYPERLINK("#'Main'!B"&amp;MATCH(TRIM(A5),'Main'!B:B,0),"Open"),HYPERLINK("#'Main'!B1","Open"))</f>
        <v/>
      </c>
      <c r="U5">
        <f>IFERROR(HYPERLINK("#'Technical Diagnostics'!A"&amp;MATCH(A5,'Technical Diagnostics'!A:A,0),"Open"),HYPERLINK("#'Technical Diagnostics'!A1","Open"))</f>
        <v/>
      </c>
    </row>
    <row r="6" ht="18" customHeight="1">
      <c r="A6" s="37" t="inlineStr">
        <is>
          <t>https://africanmarketingconfederation.org/smoke-archive/page-26</t>
        </is>
      </c>
      <c r="B6" s="30" t="n">
        <v>130</v>
      </c>
      <c r="C6" s="34" t="inlineStr">
        <is>
          <t>Critical</t>
        </is>
      </c>
      <c r="D6" s="30" t="n">
        <v>0</v>
      </c>
      <c r="E6" s="30" t="inlineStr"/>
      <c r="F6" s="30" t="n">
        <v>0</v>
      </c>
      <c r="G6" s="30" t="inlineStr">
        <is>
          <t>2026-06-01 to 2026-06-30 (30-day window; excludes today; typical GSC lag ~48h)</t>
        </is>
      </c>
      <c r="H6" s="30" t="inlineStr">
        <is>
          <t>No Search Analytics row matched this URL in the 30-day export (compare Final URL with the page URL shown in GSC)</t>
        </is>
      </c>
      <c r="I6" s="30" t="inlineStr">
        <is>
          <t>Standard</t>
        </is>
      </c>
      <c r="J6" s="30" t="n">
        <v>1</v>
      </c>
      <c r="K6" s="30" t="n">
        <v>0</v>
      </c>
      <c r="L6" s="30" t="inlineStr">
        <is>
          <t>Yes</t>
        </is>
      </c>
      <c r="M6" s="30" t="inlineStr">
        <is>
          <t>Has critical issues</t>
        </is>
      </c>
      <c r="N6" s="30" t="inlineStr">
        <is>
          <t>Dev</t>
        </is>
      </c>
      <c r="O6" s="36" t="inlineStr">
        <is>
          <t>Open</t>
        </is>
      </c>
      <c r="P6" s="30" t="inlineStr"/>
      <c r="Q6" s="34" t="inlineStr"/>
      <c r="R6" s="32" t="n">
        <v>0</v>
      </c>
      <c r="S6" s="30" t="inlineStr"/>
      <c r="T6" s="38">
        <f>IFERROR(HYPERLINK("#'Main'!B"&amp;MATCH(TRIM(A6),'Main'!B:B,0),"Open"),HYPERLINK("#'Main'!B1","Open"))</f>
        <v/>
      </c>
      <c r="U6" s="38">
        <f>IFERROR(HYPERLINK("#'Technical Diagnostics'!A"&amp;MATCH(A6,'Technical Diagnostics'!A:A,0),"Open"),HYPERLINK("#'Technical Diagnostics'!A1","Open"))</f>
        <v/>
      </c>
    </row>
    <row r="7" ht="18" customHeight="1">
      <c r="A7" s="35" t="inlineStr">
        <is>
          <t>https://africanmarketingconfederation.org/smoke-archive/page-34</t>
        </is>
      </c>
      <c r="B7" s="28" t="n">
        <v>130</v>
      </c>
      <c r="C7" s="34" t="inlineStr">
        <is>
          <t>Critical</t>
        </is>
      </c>
      <c r="D7" s="28" t="n">
        <v>0</v>
      </c>
      <c r="E7" s="28" t="inlineStr"/>
      <c r="F7" s="28" t="n">
        <v>0</v>
      </c>
      <c r="G7" s="28" t="inlineStr">
        <is>
          <t>2026-06-01 to 2026-06-30 (30-day window; excludes today; typical GSC lag ~48h)</t>
        </is>
      </c>
      <c r="H7" s="28" t="inlineStr">
        <is>
          <t>No Search Analytics row matched this URL in the 30-day export (compare Final URL with the page URL shown in GSC)</t>
        </is>
      </c>
      <c r="I7" s="28" t="inlineStr">
        <is>
          <t>Standard</t>
        </is>
      </c>
      <c r="J7" s="28" t="n">
        <v>1</v>
      </c>
      <c r="K7" s="28" t="n">
        <v>0</v>
      </c>
      <c r="L7" s="28" t="inlineStr">
        <is>
          <t>Yes</t>
        </is>
      </c>
      <c r="M7" s="28" t="inlineStr">
        <is>
          <t>Has critical issues</t>
        </is>
      </c>
      <c r="N7" s="28" t="inlineStr">
        <is>
          <t>Dev</t>
        </is>
      </c>
      <c r="O7" s="36" t="inlineStr">
        <is>
          <t>Open</t>
        </is>
      </c>
      <c r="P7" s="28" t="inlineStr"/>
      <c r="Q7" s="34" t="inlineStr"/>
      <c r="R7" s="32" t="n">
        <v>0</v>
      </c>
      <c r="S7" s="28" t="inlineStr"/>
      <c r="T7">
        <f>IFERROR(HYPERLINK("#'Main'!B"&amp;MATCH(TRIM(A7),'Main'!B:B,0),"Open"),HYPERLINK("#'Main'!B1","Open"))</f>
        <v/>
      </c>
      <c r="U7">
        <f>IFERROR(HYPERLINK("#'Technical Diagnostics'!A"&amp;MATCH(A7,'Technical Diagnostics'!A:A,0),"Open"),HYPERLINK("#'Technical Diagnostics'!A1","Open"))</f>
        <v/>
      </c>
    </row>
    <row r="8" ht="18" customHeight="1">
      <c r="A8" s="37" t="inlineStr">
        <is>
          <t>https://africanmarketingconfederation.org/smoke-archive/page-39</t>
        </is>
      </c>
      <c r="B8" s="30" t="n">
        <v>130</v>
      </c>
      <c r="C8" s="34" t="inlineStr">
        <is>
          <t>Critical</t>
        </is>
      </c>
      <c r="D8" s="30" t="n">
        <v>0</v>
      </c>
      <c r="E8" s="30" t="inlineStr"/>
      <c r="F8" s="30" t="n">
        <v>0</v>
      </c>
      <c r="G8" s="30" t="inlineStr">
        <is>
          <t>2026-06-01 to 2026-06-30 (30-day window; excludes today; typical GSC lag ~48h)</t>
        </is>
      </c>
      <c r="H8" s="30" t="inlineStr">
        <is>
          <t>No Search Analytics row matched this URL in the 30-day export (compare Final URL with the page URL shown in GSC)</t>
        </is>
      </c>
      <c r="I8" s="30" t="inlineStr">
        <is>
          <t>Standard</t>
        </is>
      </c>
      <c r="J8" s="30" t="n">
        <v>1</v>
      </c>
      <c r="K8" s="30" t="n">
        <v>0</v>
      </c>
      <c r="L8" s="30" t="inlineStr">
        <is>
          <t>Yes</t>
        </is>
      </c>
      <c r="M8" s="30" t="inlineStr">
        <is>
          <t>Has critical issues</t>
        </is>
      </c>
      <c r="N8" s="30" t="inlineStr">
        <is>
          <t>Dev</t>
        </is>
      </c>
      <c r="O8" s="36" t="inlineStr">
        <is>
          <t>Open</t>
        </is>
      </c>
      <c r="P8" s="30" t="inlineStr"/>
      <c r="Q8" s="34" t="inlineStr"/>
      <c r="R8" s="32" t="n">
        <v>0</v>
      </c>
      <c r="S8" s="30" t="inlineStr"/>
      <c r="T8" s="38">
        <f>IFERROR(HYPERLINK("#'Main'!B"&amp;MATCH(TRIM(A8),'Main'!B:B,0),"Open"),HYPERLINK("#'Main'!B1","Open"))</f>
        <v/>
      </c>
      <c r="U8" s="38">
        <f>IFERROR(HYPERLINK("#'Technical Diagnostics'!A"&amp;MATCH(A8,'Technical Diagnostics'!A:A,0),"Open"),HYPERLINK("#'Technical Diagnostics'!A1","Open"))</f>
        <v/>
      </c>
    </row>
    <row r="9" ht="18" customHeight="1">
      <c r="A9" s="35" t="inlineStr">
        <is>
          <t>https://africanmarketingconfederation.org/smoke-archive/page-51</t>
        </is>
      </c>
      <c r="B9" s="28" t="n">
        <v>130</v>
      </c>
      <c r="C9" s="34" t="inlineStr">
        <is>
          <t>Critical</t>
        </is>
      </c>
      <c r="D9" s="28" t="n">
        <v>0</v>
      </c>
      <c r="E9" s="28" t="inlineStr"/>
      <c r="F9" s="28" t="n">
        <v>0</v>
      </c>
      <c r="G9" s="28" t="inlineStr">
        <is>
          <t>2026-06-01 to 2026-06-30 (30-day window; excludes today; typical GSC lag ~48h)</t>
        </is>
      </c>
      <c r="H9" s="28" t="inlineStr">
        <is>
          <t>No Search Analytics row matched this URL in the 30-day export (compare Final URL with the page URL shown in GSC)</t>
        </is>
      </c>
      <c r="I9" s="28" t="inlineStr">
        <is>
          <t>Standard</t>
        </is>
      </c>
      <c r="J9" s="28" t="n">
        <v>1</v>
      </c>
      <c r="K9" s="28" t="n">
        <v>0</v>
      </c>
      <c r="L9" s="28" t="inlineStr">
        <is>
          <t>Yes</t>
        </is>
      </c>
      <c r="M9" s="28" t="inlineStr">
        <is>
          <t>Has critical issues</t>
        </is>
      </c>
      <c r="N9" s="28" t="inlineStr">
        <is>
          <t>Dev</t>
        </is>
      </c>
      <c r="O9" s="36" t="inlineStr">
        <is>
          <t>Open</t>
        </is>
      </c>
      <c r="P9" s="28" t="inlineStr"/>
      <c r="Q9" s="34" t="inlineStr"/>
      <c r="R9" s="32" t="n">
        <v>0</v>
      </c>
      <c r="S9" s="28" t="inlineStr"/>
      <c r="T9">
        <f>IFERROR(HYPERLINK("#'Main'!B"&amp;MATCH(TRIM(A9),'Main'!B:B,0),"Open"),HYPERLINK("#'Main'!B1","Open"))</f>
        <v/>
      </c>
      <c r="U9">
        <f>IFERROR(HYPERLINK("#'Technical Diagnostics'!A"&amp;MATCH(A9,'Technical Diagnostics'!A:A,0),"Open"),HYPERLINK("#'Technical Diagnostics'!A1","Open"))</f>
        <v/>
      </c>
    </row>
    <row r="10" ht="18" customHeight="1">
      <c r="A10" s="37" t="inlineStr">
        <is>
          <t>https://africanmarketingconfederation.org/smoke-archive/page-52</t>
        </is>
      </c>
      <c r="B10" s="30" t="n">
        <v>130</v>
      </c>
      <c r="C10" s="34" t="inlineStr">
        <is>
          <t>Critical</t>
        </is>
      </c>
      <c r="D10" s="30" t="n">
        <v>0</v>
      </c>
      <c r="E10" s="30" t="inlineStr"/>
      <c r="F10" s="30" t="n">
        <v>0</v>
      </c>
      <c r="G10" s="30" t="inlineStr">
        <is>
          <t>2026-06-01 to 2026-06-30 (30-day window; excludes today; typical GSC lag ~48h)</t>
        </is>
      </c>
      <c r="H10" s="30" t="inlineStr">
        <is>
          <t>No Search Analytics row matched this URL in the 30-day export (compare Final URL with the page URL shown in GSC)</t>
        </is>
      </c>
      <c r="I10" s="30" t="inlineStr">
        <is>
          <t>Standard</t>
        </is>
      </c>
      <c r="J10" s="30" t="n">
        <v>1</v>
      </c>
      <c r="K10" s="30" t="n">
        <v>0</v>
      </c>
      <c r="L10" s="30" t="inlineStr">
        <is>
          <t>Yes</t>
        </is>
      </c>
      <c r="M10" s="30" t="inlineStr">
        <is>
          <t>Has critical issues</t>
        </is>
      </c>
      <c r="N10" s="30" t="inlineStr">
        <is>
          <t>Dev</t>
        </is>
      </c>
      <c r="O10" s="36" t="inlineStr">
        <is>
          <t>Open</t>
        </is>
      </c>
      <c r="P10" s="30" t="inlineStr"/>
      <c r="Q10" s="34" t="inlineStr"/>
      <c r="R10" s="32" t="n">
        <v>0</v>
      </c>
      <c r="S10" s="30" t="inlineStr"/>
      <c r="T10" s="38">
        <f>IFERROR(HYPERLINK("#'Main'!B"&amp;MATCH(TRIM(A10),'Main'!B:B,0),"Open"),HYPERLINK("#'Main'!B1","Open"))</f>
        <v/>
      </c>
      <c r="U10" s="38">
        <f>IFERROR(HYPERLINK("#'Technical Diagnostics'!A"&amp;MATCH(A10,'Technical Diagnostics'!A:A,0),"Open"),HYPERLINK("#'Technical Diagnostics'!A1","Open"))</f>
        <v/>
      </c>
    </row>
    <row r="11" ht="18" customHeight="1">
      <c r="A11" s="35" t="inlineStr">
        <is>
          <t>https://africanmarketingconfederation.org/smoke-archive/page-65</t>
        </is>
      </c>
      <c r="B11" s="28" t="n">
        <v>130</v>
      </c>
      <c r="C11" s="34" t="inlineStr">
        <is>
          <t>Critical</t>
        </is>
      </c>
      <c r="D11" s="28" t="n">
        <v>0</v>
      </c>
      <c r="E11" s="28" t="inlineStr"/>
      <c r="F11" s="28" t="n">
        <v>0</v>
      </c>
      <c r="G11" s="28" t="inlineStr">
        <is>
          <t>2026-06-01 to 2026-06-30 (30-day window; excludes today; typical GSC lag ~48h)</t>
        </is>
      </c>
      <c r="H11" s="28" t="inlineStr">
        <is>
          <t>No Search Analytics row matched this URL in the 30-day export (compare Final URL with the page URL shown in GSC)</t>
        </is>
      </c>
      <c r="I11" s="28" t="inlineStr">
        <is>
          <t>Standard</t>
        </is>
      </c>
      <c r="J11" s="28" t="n">
        <v>1</v>
      </c>
      <c r="K11" s="28" t="n">
        <v>0</v>
      </c>
      <c r="L11" s="28" t="inlineStr">
        <is>
          <t>Yes</t>
        </is>
      </c>
      <c r="M11" s="28" t="inlineStr">
        <is>
          <t>Has critical issues</t>
        </is>
      </c>
      <c r="N11" s="28" t="inlineStr">
        <is>
          <t>Dev</t>
        </is>
      </c>
      <c r="O11" s="36" t="inlineStr">
        <is>
          <t>Open</t>
        </is>
      </c>
      <c r="P11" s="28" t="inlineStr"/>
      <c r="Q11" s="34" t="inlineStr"/>
      <c r="R11" s="32" t="n">
        <v>0</v>
      </c>
      <c r="S11" s="28" t="inlineStr"/>
      <c r="T11">
        <f>IFERROR(HYPERLINK("#'Main'!B"&amp;MATCH(TRIM(A11),'Main'!B:B,0),"Open"),HYPERLINK("#'Main'!B1","Open"))</f>
        <v/>
      </c>
      <c r="U11">
        <f>IFERROR(HYPERLINK("#'Technical Diagnostics'!A"&amp;MATCH(A11,'Technical Diagnostics'!A:A,0),"Open"),HYPERLINK("#'Technical Diagnostics'!A1","Open"))</f>
        <v/>
      </c>
    </row>
    <row r="12" ht="18" customHeight="1">
      <c r="A12" s="37" t="inlineStr">
        <is>
          <t>https://africanmarketingconfederation.org/smoke-archive/page-68</t>
        </is>
      </c>
      <c r="B12" s="30" t="n">
        <v>130</v>
      </c>
      <c r="C12" s="34" t="inlineStr">
        <is>
          <t>Critical</t>
        </is>
      </c>
      <c r="D12" s="30" t="n">
        <v>0</v>
      </c>
      <c r="E12" s="30" t="inlineStr"/>
      <c r="F12" s="30" t="n">
        <v>0</v>
      </c>
      <c r="G12" s="30" t="inlineStr">
        <is>
          <t>2026-06-01 to 2026-06-30 (30-day window; excludes today; typical GSC lag ~48h)</t>
        </is>
      </c>
      <c r="H12" s="30" t="inlineStr">
        <is>
          <t>No Search Analytics row matched this URL in the 30-day export (compare Final URL with the page URL shown in GSC)</t>
        </is>
      </c>
      <c r="I12" s="30" t="inlineStr">
        <is>
          <t>Standard</t>
        </is>
      </c>
      <c r="J12" s="30" t="n">
        <v>1</v>
      </c>
      <c r="K12" s="30" t="n">
        <v>0</v>
      </c>
      <c r="L12" s="30" t="inlineStr">
        <is>
          <t>Yes</t>
        </is>
      </c>
      <c r="M12" s="30" t="inlineStr">
        <is>
          <t>Has critical issues</t>
        </is>
      </c>
      <c r="N12" s="30" t="inlineStr">
        <is>
          <t>Dev</t>
        </is>
      </c>
      <c r="O12" s="36" t="inlineStr">
        <is>
          <t>Open</t>
        </is>
      </c>
      <c r="P12" s="30" t="inlineStr"/>
      <c r="Q12" s="34" t="inlineStr"/>
      <c r="R12" s="32" t="n">
        <v>0</v>
      </c>
      <c r="S12" s="30" t="inlineStr"/>
      <c r="T12" s="38">
        <f>IFERROR(HYPERLINK("#'Main'!B"&amp;MATCH(TRIM(A12),'Main'!B:B,0),"Open"),HYPERLINK("#'Main'!B1","Open"))</f>
        <v/>
      </c>
      <c r="U12" s="38">
        <f>IFERROR(HYPERLINK("#'Technical Diagnostics'!A"&amp;MATCH(A12,'Technical Diagnostics'!A:A,0),"Open"),HYPERLINK("#'Technical Diagnostics'!A1","Open"))</f>
        <v/>
      </c>
    </row>
    <row r="13" ht="18" customHeight="1">
      <c r="A13" s="35" t="inlineStr">
        <is>
          <t>https://africanmarketingconfederation.org/smoke-archive/page-78</t>
        </is>
      </c>
      <c r="B13" s="28" t="n">
        <v>130</v>
      </c>
      <c r="C13" s="34" t="inlineStr">
        <is>
          <t>Critical</t>
        </is>
      </c>
      <c r="D13" s="28" t="n">
        <v>0</v>
      </c>
      <c r="E13" s="28" t="inlineStr"/>
      <c r="F13" s="28" t="n">
        <v>0</v>
      </c>
      <c r="G13" s="28" t="inlineStr">
        <is>
          <t>2026-06-01 to 2026-06-30 (30-day window; excludes today; typical GSC lag ~48h)</t>
        </is>
      </c>
      <c r="H13" s="28" t="inlineStr">
        <is>
          <t>No Search Analytics row matched this URL in the 30-day export (compare Final URL with the page URL shown in GSC)</t>
        </is>
      </c>
      <c r="I13" s="28" t="inlineStr">
        <is>
          <t>Standard</t>
        </is>
      </c>
      <c r="J13" s="28" t="n">
        <v>1</v>
      </c>
      <c r="K13" s="28" t="n">
        <v>0</v>
      </c>
      <c r="L13" s="28" t="inlineStr">
        <is>
          <t>Yes</t>
        </is>
      </c>
      <c r="M13" s="28" t="inlineStr">
        <is>
          <t>Has critical issues</t>
        </is>
      </c>
      <c r="N13" s="28" t="inlineStr">
        <is>
          <t>Dev</t>
        </is>
      </c>
      <c r="O13" s="36" t="inlineStr">
        <is>
          <t>Open</t>
        </is>
      </c>
      <c r="P13" s="28" t="inlineStr"/>
      <c r="Q13" s="34" t="inlineStr"/>
      <c r="R13" s="32" t="n">
        <v>0</v>
      </c>
      <c r="S13" s="28" t="inlineStr"/>
      <c r="T13">
        <f>IFERROR(HYPERLINK("#'Main'!B"&amp;MATCH(TRIM(A13),'Main'!B:B,0),"Open"),HYPERLINK("#'Main'!B1","Open"))</f>
        <v/>
      </c>
      <c r="U13">
        <f>IFERROR(HYPERLINK("#'Technical Diagnostics'!A"&amp;MATCH(A13,'Technical Diagnostics'!A:A,0),"Open"),HYPERLINK("#'Technical Diagnostics'!A1","Open"))</f>
        <v/>
      </c>
    </row>
    <row r="14" ht="18" customHeight="1">
      <c r="A14" s="37" t="inlineStr">
        <is>
          <t>https://africanmarketingconfederation.org/smoke-archive/page-60</t>
        </is>
      </c>
      <c r="B14" s="30" t="n">
        <v>125</v>
      </c>
      <c r="C14" s="34" t="inlineStr">
        <is>
          <t>Critical</t>
        </is>
      </c>
      <c r="D14" s="30" t="n">
        <v>35</v>
      </c>
      <c r="E14" s="30" t="inlineStr"/>
      <c r="F14" s="30" t="n">
        <v>0</v>
      </c>
      <c r="G14" s="30" t="inlineStr">
        <is>
          <t>2026-06-01 to 2026-06-30 (30-day window; excludes today; typical GSC lag ~48h)</t>
        </is>
      </c>
      <c r="H14" s="30" t="inlineStr">
        <is>
          <t>No Search Analytics row matched this URL in the 30-day export (compare Final URL with the page URL shown in GSC)</t>
        </is>
      </c>
      <c r="I14" s="30" t="inlineStr">
        <is>
          <t>Standard</t>
        </is>
      </c>
      <c r="J14" s="30" t="n">
        <v>1</v>
      </c>
      <c r="K14" s="30" t="n">
        <v>3</v>
      </c>
      <c r="L14" s="30" t="inlineStr">
        <is>
          <t>Yes</t>
        </is>
      </c>
      <c r="M14" s="30" t="inlineStr">
        <is>
          <t>Has critical issues</t>
        </is>
      </c>
      <c r="N14" s="30" t="inlineStr">
        <is>
          <t>Dev</t>
        </is>
      </c>
      <c r="O14" s="36" t="inlineStr">
        <is>
          <t>Open</t>
        </is>
      </c>
      <c r="P14" s="30" t="inlineStr"/>
      <c r="Q14" s="34" t="inlineStr"/>
      <c r="R14" s="32" t="n">
        <v>0</v>
      </c>
      <c r="S14" s="30" t="inlineStr">
        <is>
          <t>self</t>
        </is>
      </c>
      <c r="T14" s="38">
        <f>IFERROR(HYPERLINK("#'Main'!B"&amp;MATCH(TRIM(A14),'Main'!B:B,0),"Open"),HYPERLINK("#'Main'!B1","Open"))</f>
        <v/>
      </c>
      <c r="U14" s="38">
        <f>IFERROR(HYPERLINK("#'Technical Diagnostics'!A"&amp;MATCH(A14,'Technical Diagnostics'!A:A,0),"Open"),HYPERLINK("#'Technical Diagnostics'!A1","Open"))</f>
        <v/>
      </c>
    </row>
    <row r="15" ht="18" customHeight="1">
      <c r="A15" s="35" t="inlineStr">
        <is>
          <t>https://africanmarketingconfederation.org/smoke-archive/page-72</t>
        </is>
      </c>
      <c r="B15" s="28" t="n">
        <v>125</v>
      </c>
      <c r="C15" s="34" t="inlineStr">
        <is>
          <t>Critical</t>
        </is>
      </c>
      <c r="D15" s="28" t="n">
        <v>35</v>
      </c>
      <c r="E15" s="28" t="inlineStr"/>
      <c r="F15" s="28" t="n">
        <v>0</v>
      </c>
      <c r="G15" s="28" t="inlineStr">
        <is>
          <t>2026-06-01 to 2026-06-30 (30-day window; excludes today; typical GSC lag ~48h)</t>
        </is>
      </c>
      <c r="H15" s="28" t="inlineStr">
        <is>
          <t>No Search Analytics row matched this URL in the 30-day export (compare Final URL with the page URL shown in GSC)</t>
        </is>
      </c>
      <c r="I15" s="28" t="inlineStr">
        <is>
          <t>Standard</t>
        </is>
      </c>
      <c r="J15" s="28" t="n">
        <v>1</v>
      </c>
      <c r="K15" s="28" t="n">
        <v>3</v>
      </c>
      <c r="L15" s="28" t="inlineStr">
        <is>
          <t>Yes</t>
        </is>
      </c>
      <c r="M15" s="28" t="inlineStr">
        <is>
          <t>Has critical issues</t>
        </is>
      </c>
      <c r="N15" s="28" t="inlineStr">
        <is>
          <t>Dev</t>
        </is>
      </c>
      <c r="O15" s="36" t="inlineStr">
        <is>
          <t>Open</t>
        </is>
      </c>
      <c r="P15" s="28" t="inlineStr"/>
      <c r="Q15" s="34" t="inlineStr"/>
      <c r="R15" s="32" t="n">
        <v>0</v>
      </c>
      <c r="S15" s="28" t="inlineStr">
        <is>
          <t>self</t>
        </is>
      </c>
      <c r="T15">
        <f>IFERROR(HYPERLINK("#'Main'!B"&amp;MATCH(TRIM(A15),'Main'!B:B,0),"Open"),HYPERLINK("#'Main'!B1","Open"))</f>
        <v/>
      </c>
      <c r="U15">
        <f>IFERROR(HYPERLINK("#'Technical Diagnostics'!A"&amp;MATCH(A15,'Technical Diagnostics'!A:A,0),"Open"),HYPERLINK("#'Technical Diagnostics'!A1","Open"))</f>
        <v/>
      </c>
    </row>
    <row r="16" ht="18" customHeight="1">
      <c r="A16" s="37" t="inlineStr">
        <is>
          <t>https://africanmarketingconfederation.org/smoke-archive/page-24</t>
        </is>
      </c>
      <c r="B16" s="30" t="n">
        <v>105</v>
      </c>
      <c r="C16" s="34" t="inlineStr">
        <is>
          <t>Critical</t>
        </is>
      </c>
      <c r="D16" s="30" t="n">
        <v>45</v>
      </c>
      <c r="E16" s="30" t="inlineStr"/>
      <c r="F16" s="30" t="n">
        <v>0</v>
      </c>
      <c r="G16" s="30" t="inlineStr">
        <is>
          <t>2026-06-01 to 2026-06-30 (30-day window; excludes today; typical GSC lag ~48h)</t>
        </is>
      </c>
      <c r="H16" s="30" t="inlineStr">
        <is>
          <t>No Search Analytics row matched this URL in the 30-day export (compare Final URL with the page URL shown in GSC)</t>
        </is>
      </c>
      <c r="I16" s="30" t="inlineStr">
        <is>
          <t>Standard</t>
        </is>
      </c>
      <c r="J16" s="30" t="n">
        <v>1</v>
      </c>
      <c r="K16" s="30" t="n">
        <v>2</v>
      </c>
      <c r="L16" s="30" t="inlineStr">
        <is>
          <t>Yes</t>
        </is>
      </c>
      <c r="M16" s="30" t="inlineStr">
        <is>
          <t>Has critical issues</t>
        </is>
      </c>
      <c r="N16" s="30" t="inlineStr">
        <is>
          <t>Dev</t>
        </is>
      </c>
      <c r="O16" s="36" t="inlineStr">
        <is>
          <t>Open</t>
        </is>
      </c>
      <c r="P16" s="30" t="inlineStr"/>
      <c r="Q16" s="34" t="inlineStr"/>
      <c r="R16" s="32" t="n">
        <v>0</v>
      </c>
      <c r="S16" s="30" t="inlineStr">
        <is>
          <t>self</t>
        </is>
      </c>
      <c r="T16" s="38">
        <f>IFERROR(HYPERLINK("#'Main'!B"&amp;MATCH(TRIM(A16),'Main'!B:B,0),"Open"),HYPERLINK("#'Main'!B1","Open"))</f>
        <v/>
      </c>
      <c r="U16" s="38">
        <f>IFERROR(HYPERLINK("#'Technical Diagnostics'!A"&amp;MATCH(A16,'Technical Diagnostics'!A:A,0),"Open"),HYPERLINK("#'Technical Diagnostics'!A1","Open"))</f>
        <v/>
      </c>
    </row>
    <row r="17" ht="18" customHeight="1">
      <c r="A17" s="35" t="inlineStr">
        <is>
          <t>https://africanmarketingconfederation.org/smoke-archive/page-36</t>
        </is>
      </c>
      <c r="B17" s="28" t="n">
        <v>105</v>
      </c>
      <c r="C17" s="34" t="inlineStr">
        <is>
          <t>Critical</t>
        </is>
      </c>
      <c r="D17" s="28" t="n">
        <v>45</v>
      </c>
      <c r="E17" s="28" t="inlineStr"/>
      <c r="F17" s="28" t="n">
        <v>0</v>
      </c>
      <c r="G17" s="28" t="inlineStr">
        <is>
          <t>2026-06-01 to 2026-06-30 (30-day window; excludes today; typical GSC lag ~48h)</t>
        </is>
      </c>
      <c r="H17" s="28" t="inlineStr">
        <is>
          <t>No Search Analytics row matched this URL in the 30-day export (compare Final URL with the page URL shown in GSC)</t>
        </is>
      </c>
      <c r="I17" s="28" t="inlineStr">
        <is>
          <t>Standard</t>
        </is>
      </c>
      <c r="J17" s="28" t="n">
        <v>1</v>
      </c>
      <c r="K17" s="28" t="n">
        <v>2</v>
      </c>
      <c r="L17" s="28" t="inlineStr">
        <is>
          <t>Yes</t>
        </is>
      </c>
      <c r="M17" s="28" t="inlineStr">
        <is>
          <t>Has critical issues</t>
        </is>
      </c>
      <c r="N17" s="28" t="inlineStr">
        <is>
          <t>Dev</t>
        </is>
      </c>
      <c r="O17" s="36" t="inlineStr">
        <is>
          <t>Open</t>
        </is>
      </c>
      <c r="P17" s="28" t="inlineStr"/>
      <c r="Q17" s="34" t="inlineStr"/>
      <c r="R17" s="32" t="n">
        <v>0</v>
      </c>
      <c r="S17" s="28" t="inlineStr">
        <is>
          <t>self</t>
        </is>
      </c>
      <c r="T17">
        <f>IFERROR(HYPERLINK("#'Main'!B"&amp;MATCH(TRIM(A17),'Main'!B:B,0),"Open"),HYPERLINK("#'Main'!B1","Open"))</f>
        <v/>
      </c>
      <c r="U17">
        <f>IFERROR(HYPERLINK("#'Technical Diagnostics'!A"&amp;MATCH(A17,'Technical Diagnostics'!A:A,0),"Open"),HYPERLINK("#'Technical Diagnostics'!A1","Open"))</f>
        <v/>
      </c>
    </row>
    <row r="18" ht="18" customHeight="1">
      <c r="A18" s="37" t="inlineStr">
        <is>
          <t>https://africanmarketingconfederation.org/smoke-archive/page-48</t>
        </is>
      </c>
      <c r="B18" s="30" t="n">
        <v>105</v>
      </c>
      <c r="C18" s="34" t="inlineStr">
        <is>
          <t>Critical</t>
        </is>
      </c>
      <c r="D18" s="30" t="n">
        <v>45</v>
      </c>
      <c r="E18" s="30" t="inlineStr"/>
      <c r="F18" s="30" t="n">
        <v>0</v>
      </c>
      <c r="G18" s="30" t="inlineStr">
        <is>
          <t>2026-06-01 to 2026-06-30 (30-day window; excludes today; typical GSC lag ~48h)</t>
        </is>
      </c>
      <c r="H18" s="30" t="inlineStr">
        <is>
          <t>No Search Analytics row matched this URL in the 30-day export (compare Final URL with the page URL shown in GSC)</t>
        </is>
      </c>
      <c r="I18" s="30" t="inlineStr">
        <is>
          <t>Standard</t>
        </is>
      </c>
      <c r="J18" s="30" t="n">
        <v>1</v>
      </c>
      <c r="K18" s="30" t="n">
        <v>2</v>
      </c>
      <c r="L18" s="30" t="inlineStr">
        <is>
          <t>Yes</t>
        </is>
      </c>
      <c r="M18" s="30" t="inlineStr">
        <is>
          <t>Has critical issues</t>
        </is>
      </c>
      <c r="N18" s="30" t="inlineStr">
        <is>
          <t>Dev</t>
        </is>
      </c>
      <c r="O18" s="36" t="inlineStr">
        <is>
          <t>Open</t>
        </is>
      </c>
      <c r="P18" s="30" t="inlineStr"/>
      <c r="Q18" s="34" t="inlineStr"/>
      <c r="R18" s="32" t="n">
        <v>0</v>
      </c>
      <c r="S18" s="30" t="inlineStr">
        <is>
          <t>self</t>
        </is>
      </c>
      <c r="T18" s="38">
        <f>IFERROR(HYPERLINK("#'Main'!B"&amp;MATCH(TRIM(A18),'Main'!B:B,0),"Open"),HYPERLINK("#'Main'!B1","Open"))</f>
        <v/>
      </c>
      <c r="U18" s="38">
        <f>IFERROR(HYPERLINK("#'Technical Diagnostics'!A"&amp;MATCH(A18,'Technical Diagnostics'!A:A,0),"Open"),HYPERLINK("#'Technical Diagnostics'!A1","Open"))</f>
        <v/>
      </c>
    </row>
    <row r="19" ht="18" customHeight="1">
      <c r="A19" s="35" t="inlineStr">
        <is>
          <t>https://africanmarketingconfederation.org/smoke-archive/page-30</t>
        </is>
      </c>
      <c r="B19" s="28" t="n">
        <v>90</v>
      </c>
      <c r="C19" s="29" t="inlineStr">
        <is>
          <t>Warning</t>
        </is>
      </c>
      <c r="D19" s="28" t="n">
        <v>50</v>
      </c>
      <c r="E19" s="28" t="inlineStr"/>
      <c r="F19" s="28" t="n">
        <v>0</v>
      </c>
      <c r="G19" s="28" t="inlineStr">
        <is>
          <t>2026-06-01 to 2026-06-30 (30-day window; excludes today; typical GSC lag ~48h)</t>
        </is>
      </c>
      <c r="H19" s="28" t="inlineStr">
        <is>
          <t>No Search Analytics row matched this URL in the 30-day export (compare Final URL with the page URL shown in GSC)</t>
        </is>
      </c>
      <c r="I19" s="28" t="inlineStr">
        <is>
          <t>Standard</t>
        </is>
      </c>
      <c r="J19" s="28" t="n">
        <v>0</v>
      </c>
      <c r="K19" s="28" t="n">
        <v>4</v>
      </c>
      <c r="L19" s="28" t="inlineStr">
        <is>
          <t>Yes</t>
        </is>
      </c>
      <c r="M19" s="28" t="inlineStr">
        <is>
          <t>Monitor</t>
        </is>
      </c>
      <c r="N19" s="28" t="inlineStr">
        <is>
          <t>Copy Writer</t>
        </is>
      </c>
      <c r="O19" s="36" t="inlineStr">
        <is>
          <t>Open</t>
        </is>
      </c>
      <c r="P19" s="28" t="inlineStr"/>
      <c r="Q19" s="34" t="inlineStr"/>
      <c r="R19" s="32" t="n">
        <v>0</v>
      </c>
      <c r="S19" s="28" t="inlineStr">
        <is>
          <t>self</t>
        </is>
      </c>
      <c r="T19">
        <f>IFERROR(HYPERLINK("#'Main'!B"&amp;MATCH(TRIM(A19),'Main'!B:B,0),"Open"),HYPERLINK("#'Main'!B1","Open"))</f>
        <v/>
      </c>
      <c r="U19">
        <f>IFERROR(HYPERLINK("#'Technical Diagnostics'!A"&amp;MATCH(A19,'Technical Diagnostics'!A:A,0),"Open"),HYPERLINK("#'Technical Diagnostics'!A1","Open"))</f>
        <v/>
      </c>
    </row>
    <row r="20" ht="18" customHeight="1">
      <c r="A20" s="37" t="inlineStr">
        <is>
          <t>https://africanmarketingconfederation.org/smoke-archive/page-35</t>
        </is>
      </c>
      <c r="B20" s="30" t="n">
        <v>90</v>
      </c>
      <c r="C20" s="29" t="inlineStr">
        <is>
          <t>Warning</t>
        </is>
      </c>
      <c r="D20" s="30" t="n">
        <v>50</v>
      </c>
      <c r="E20" s="30" t="inlineStr"/>
      <c r="F20" s="30" t="n">
        <v>0</v>
      </c>
      <c r="G20" s="30" t="inlineStr">
        <is>
          <t>2026-06-01 to 2026-06-30 (30-day window; excludes today; typical GSC lag ~48h)</t>
        </is>
      </c>
      <c r="H20" s="30" t="inlineStr">
        <is>
          <t>No Search Analytics row matched this URL in the 30-day export (compare Final URL with the page URL shown in GSC)</t>
        </is>
      </c>
      <c r="I20" s="30" t="inlineStr">
        <is>
          <t>Standard</t>
        </is>
      </c>
      <c r="J20" s="30" t="n">
        <v>0</v>
      </c>
      <c r="K20" s="30" t="n">
        <v>4</v>
      </c>
      <c r="L20" s="30" t="inlineStr">
        <is>
          <t>Yes</t>
        </is>
      </c>
      <c r="M20" s="30" t="inlineStr">
        <is>
          <t>Monitor</t>
        </is>
      </c>
      <c r="N20" s="30" t="inlineStr">
        <is>
          <t>Copy Writer</t>
        </is>
      </c>
      <c r="O20" s="36" t="inlineStr">
        <is>
          <t>Open</t>
        </is>
      </c>
      <c r="P20" s="30" t="inlineStr"/>
      <c r="Q20" s="34" t="inlineStr"/>
      <c r="R20" s="32" t="n">
        <v>0</v>
      </c>
      <c r="S20" s="30" t="inlineStr">
        <is>
          <t>self</t>
        </is>
      </c>
      <c r="T20" s="38">
        <f>IFERROR(HYPERLINK("#'Main'!B"&amp;MATCH(TRIM(A20),'Main'!B:B,0),"Open"),HYPERLINK("#'Main'!B1","Open"))</f>
        <v/>
      </c>
      <c r="U20" s="38">
        <f>IFERROR(HYPERLINK("#'Technical Diagnostics'!A"&amp;MATCH(A20,'Technical Diagnostics'!A:A,0),"Open"),HYPERLINK("#'Technical Diagnostics'!A1","Open"))</f>
        <v/>
      </c>
    </row>
    <row r="21" ht="18" customHeight="1">
      <c r="A21" s="35" t="inlineStr">
        <is>
          <t>https://africanmarketingconfederation.org/smoke-archive/page-45</t>
        </is>
      </c>
      <c r="B21" s="28" t="n">
        <v>90</v>
      </c>
      <c r="C21" s="29" t="inlineStr">
        <is>
          <t>Warning</t>
        </is>
      </c>
      <c r="D21" s="28" t="n">
        <v>50</v>
      </c>
      <c r="E21" s="28" t="inlineStr"/>
      <c r="F21" s="28" t="n">
        <v>0</v>
      </c>
      <c r="G21" s="28" t="inlineStr">
        <is>
          <t>2026-06-01 to 2026-06-30 (30-day window; excludes today; typical GSC lag ~48h)</t>
        </is>
      </c>
      <c r="H21" s="28" t="inlineStr">
        <is>
          <t>No Search Analytics row matched this URL in the 30-day export (compare Final URL with the page URL shown in GSC)</t>
        </is>
      </c>
      <c r="I21" s="28" t="inlineStr">
        <is>
          <t>Standard</t>
        </is>
      </c>
      <c r="J21" s="28" t="n">
        <v>0</v>
      </c>
      <c r="K21" s="28" t="n">
        <v>4</v>
      </c>
      <c r="L21" s="28" t="inlineStr">
        <is>
          <t>Yes</t>
        </is>
      </c>
      <c r="M21" s="28" t="inlineStr">
        <is>
          <t>Monitor</t>
        </is>
      </c>
      <c r="N21" s="28" t="inlineStr">
        <is>
          <t>Copy Writer</t>
        </is>
      </c>
      <c r="O21" s="36" t="inlineStr">
        <is>
          <t>Open</t>
        </is>
      </c>
      <c r="P21" s="28" t="inlineStr"/>
      <c r="Q21" s="34" t="inlineStr"/>
      <c r="R21" s="32" t="n">
        <v>0</v>
      </c>
      <c r="S21" s="28" t="inlineStr">
        <is>
          <t>self</t>
        </is>
      </c>
      <c r="T21">
        <f>IFERROR(HYPERLINK("#'Main'!B"&amp;MATCH(TRIM(A21),'Main'!B:B,0),"Open"),HYPERLINK("#'Main'!B1","Open"))</f>
        <v/>
      </c>
      <c r="U21">
        <f>IFERROR(HYPERLINK("#'Technical Diagnostics'!A"&amp;MATCH(A21,'Technical Diagnostics'!A:A,0),"Open"),HYPERLINK("#'Technical Diagnostics'!A1","Open"))</f>
        <v/>
      </c>
    </row>
    <row r="22" ht="18" customHeight="1">
      <c r="A22" s="37" t="inlineStr">
        <is>
          <t>https://africanmarketingconfederation.org/smoke-archive/page-70</t>
        </is>
      </c>
      <c r="B22" s="30" t="n">
        <v>90</v>
      </c>
      <c r="C22" s="29" t="inlineStr">
        <is>
          <t>Warning</t>
        </is>
      </c>
      <c r="D22" s="30" t="n">
        <v>50</v>
      </c>
      <c r="E22" s="30" t="inlineStr"/>
      <c r="F22" s="30" t="n">
        <v>0</v>
      </c>
      <c r="G22" s="30" t="inlineStr">
        <is>
          <t>2026-06-01 to 2026-06-30 (30-day window; excludes today; typical GSC lag ~48h)</t>
        </is>
      </c>
      <c r="H22" s="30" t="inlineStr">
        <is>
          <t>No Search Analytics row matched this URL in the 30-day export (compare Final URL with the page URL shown in GSC)</t>
        </is>
      </c>
      <c r="I22" s="30" t="inlineStr">
        <is>
          <t>Standard</t>
        </is>
      </c>
      <c r="J22" s="30" t="n">
        <v>0</v>
      </c>
      <c r="K22" s="30" t="n">
        <v>4</v>
      </c>
      <c r="L22" s="30" t="inlineStr">
        <is>
          <t>Yes</t>
        </is>
      </c>
      <c r="M22" s="30" t="inlineStr">
        <is>
          <t>Monitor</t>
        </is>
      </c>
      <c r="N22" s="30" t="inlineStr">
        <is>
          <t>Copy Writer</t>
        </is>
      </c>
      <c r="O22" s="36" t="inlineStr">
        <is>
          <t>Open</t>
        </is>
      </c>
      <c r="P22" s="30" t="inlineStr"/>
      <c r="Q22" s="34" t="inlineStr"/>
      <c r="R22" s="32" t="n">
        <v>0</v>
      </c>
      <c r="S22" s="30" t="inlineStr">
        <is>
          <t>self</t>
        </is>
      </c>
      <c r="T22" s="38">
        <f>IFERROR(HYPERLINK("#'Main'!B"&amp;MATCH(TRIM(A22),'Main'!B:B,0),"Open"),HYPERLINK("#'Main'!B1","Open"))</f>
        <v/>
      </c>
      <c r="U22" s="38">
        <f>IFERROR(HYPERLINK("#'Technical Diagnostics'!A"&amp;MATCH(A22,'Technical Diagnostics'!A:A,0),"Open"),HYPERLINK("#'Technical Diagnostics'!A1","Open"))</f>
        <v/>
      </c>
    </row>
    <row r="23" ht="18" customHeight="1">
      <c r="A23" s="35" t="inlineStr">
        <is>
          <t>https://africanmarketingconfederation.org/smoke-archive/page-12</t>
        </is>
      </c>
      <c r="B23" s="28" t="n">
        <v>85</v>
      </c>
      <c r="C23" s="34" t="inlineStr">
        <is>
          <t>Critical</t>
        </is>
      </c>
      <c r="D23" s="28" t="n">
        <v>55</v>
      </c>
      <c r="E23" s="28" t="inlineStr"/>
      <c r="F23" s="28" t="n">
        <v>0</v>
      </c>
      <c r="G23" s="28" t="inlineStr">
        <is>
          <t>2026-06-01 to 2026-06-30 (30-day window; excludes today; typical GSC lag ~48h)</t>
        </is>
      </c>
      <c r="H23" s="28" t="inlineStr">
        <is>
          <t>No Search Analytics row matched this URL in the 30-day export (compare Final URL with the page URL shown in GSC)</t>
        </is>
      </c>
      <c r="I23" s="28" t="inlineStr">
        <is>
          <t>Standard</t>
        </is>
      </c>
      <c r="J23" s="28" t="n">
        <v>1</v>
      </c>
      <c r="K23" s="28" t="n">
        <v>1</v>
      </c>
      <c r="L23" s="28" t="inlineStr">
        <is>
          <t>Yes</t>
        </is>
      </c>
      <c r="M23" s="28" t="inlineStr">
        <is>
          <t>Has critical issues</t>
        </is>
      </c>
      <c r="N23" s="28" t="inlineStr">
        <is>
          <t>Dev</t>
        </is>
      </c>
      <c r="O23" s="36" t="inlineStr">
        <is>
          <t>Open</t>
        </is>
      </c>
      <c r="P23" s="28" t="inlineStr"/>
      <c r="Q23" s="34" t="inlineStr"/>
      <c r="R23" s="32" t="n">
        <v>0</v>
      </c>
      <c r="S23" s="28" t="inlineStr">
        <is>
          <t>self</t>
        </is>
      </c>
      <c r="T23">
        <f>IFERROR(HYPERLINK("#'Main'!B"&amp;MATCH(TRIM(A23),'Main'!B:B,0),"Open"),HYPERLINK("#'Main'!B1","Open"))</f>
        <v/>
      </c>
      <c r="U23">
        <f>IFERROR(HYPERLINK("#'Technical Diagnostics'!A"&amp;MATCH(A23,'Technical Diagnostics'!A:A,0),"Open"),HYPERLINK("#'Technical Diagnostics'!A1","Open"))</f>
        <v/>
      </c>
    </row>
    <row r="24" ht="18" customHeight="1">
      <c r="A24" s="37" t="inlineStr">
        <is>
          <t>https://africanmarketingconfederation.org/smoke-archive/page-5</t>
        </is>
      </c>
      <c r="B24" s="30" t="n">
        <v>70</v>
      </c>
      <c r="C24" s="29" t="inlineStr">
        <is>
          <t>Warning</t>
        </is>
      </c>
      <c r="D24" s="30" t="n">
        <v>60</v>
      </c>
      <c r="E24" s="30" t="inlineStr"/>
      <c r="F24" s="30" t="n">
        <v>0</v>
      </c>
      <c r="G24" s="30" t="inlineStr">
        <is>
          <t>2026-06-01 to 2026-06-30 (30-day window; excludes today; typical GSC lag ~48h)</t>
        </is>
      </c>
      <c r="H24" s="30" t="inlineStr">
        <is>
          <t>No Search Analytics row matched this URL in the 30-day export (compare Final URL with the page URL shown in GSC)</t>
        </is>
      </c>
      <c r="I24" s="30" t="inlineStr">
        <is>
          <t>Standard</t>
        </is>
      </c>
      <c r="J24" s="30" t="n">
        <v>0</v>
      </c>
      <c r="K24" s="30" t="n">
        <v>3</v>
      </c>
      <c r="L24" s="30" t="inlineStr">
        <is>
          <t>Yes</t>
        </is>
      </c>
      <c r="M24" s="30" t="inlineStr">
        <is>
          <t>Monitor</t>
        </is>
      </c>
      <c r="N24" s="30" t="inlineStr">
        <is>
          <t>Copy Writer</t>
        </is>
      </c>
      <c r="O24" s="36" t="inlineStr">
        <is>
          <t>Open</t>
        </is>
      </c>
      <c r="P24" s="30" t="inlineStr"/>
      <c r="Q24" s="34" t="inlineStr"/>
      <c r="R24" s="32" t="n">
        <v>0</v>
      </c>
      <c r="S24" s="30" t="inlineStr">
        <is>
          <t>self</t>
        </is>
      </c>
      <c r="T24" s="38">
        <f>IFERROR(HYPERLINK("#'Main'!B"&amp;MATCH(TRIM(A24),'Main'!B:B,0),"Open"),HYPERLINK("#'Main'!B1","Open"))</f>
        <v/>
      </c>
      <c r="U24" s="38">
        <f>IFERROR(HYPERLINK("#'Technical Diagnostics'!A"&amp;MATCH(A24,'Technical Diagnostics'!A:A,0),"Open"),HYPERLINK("#'Technical Diagnostics'!A1","Open"))</f>
        <v/>
      </c>
    </row>
    <row r="25" ht="18" customHeight="1">
      <c r="A25" s="35" t="inlineStr">
        <is>
          <t>https://africanmarketingconfederation.org/smoke-archive/page-10</t>
        </is>
      </c>
      <c r="B25" s="28" t="n">
        <v>70</v>
      </c>
      <c r="C25" s="29" t="inlineStr">
        <is>
          <t>Warning</t>
        </is>
      </c>
      <c r="D25" s="28" t="n">
        <v>60</v>
      </c>
      <c r="E25" s="28" t="inlineStr"/>
      <c r="F25" s="28" t="n">
        <v>0</v>
      </c>
      <c r="G25" s="28" t="inlineStr">
        <is>
          <t>2026-06-01 to 2026-06-30 (30-day window; excludes today; typical GSC lag ~48h)</t>
        </is>
      </c>
      <c r="H25" s="28" t="inlineStr">
        <is>
          <t>No Search Analytics row matched this URL in the 30-day export (compare Final URL with the page URL shown in GSC)</t>
        </is>
      </c>
      <c r="I25" s="28" t="inlineStr">
        <is>
          <t>Standard</t>
        </is>
      </c>
      <c r="J25" s="28" t="n">
        <v>0</v>
      </c>
      <c r="K25" s="28" t="n">
        <v>3</v>
      </c>
      <c r="L25" s="28" t="inlineStr">
        <is>
          <t>Yes</t>
        </is>
      </c>
      <c r="M25" s="28" t="inlineStr">
        <is>
          <t>Monitor</t>
        </is>
      </c>
      <c r="N25" s="28" t="inlineStr">
        <is>
          <t>Copy Writer</t>
        </is>
      </c>
      <c r="O25" s="36" t="inlineStr">
        <is>
          <t>Open</t>
        </is>
      </c>
      <c r="P25" s="28" t="inlineStr"/>
      <c r="Q25" s="34" t="inlineStr"/>
      <c r="R25" s="32" t="n">
        <v>0</v>
      </c>
      <c r="S25" s="28" t="inlineStr">
        <is>
          <t>self</t>
        </is>
      </c>
      <c r="T25">
        <f>IFERROR(HYPERLINK("#'Main'!B"&amp;MATCH(TRIM(A25),'Main'!B:B,0),"Open"),HYPERLINK("#'Main'!B1","Open"))</f>
        <v/>
      </c>
      <c r="U25">
        <f>IFERROR(HYPERLINK("#'Technical Diagnostics'!A"&amp;MATCH(A25,'Technical Diagnostics'!A:A,0),"Open"),HYPERLINK("#'Technical Diagnostics'!A1","Open"))</f>
        <v/>
      </c>
    </row>
    <row r="26" ht="18" customHeight="1">
      <c r="A26" s="37" t="inlineStr">
        <is>
          <t>https://africanmarketingconfederation.org/smoke-archive/page-15</t>
        </is>
      </c>
      <c r="B26" s="30" t="n">
        <v>70</v>
      </c>
      <c r="C26" s="29" t="inlineStr">
        <is>
          <t>Warning</t>
        </is>
      </c>
      <c r="D26" s="30" t="n">
        <v>60</v>
      </c>
      <c r="E26" s="30" t="inlineStr"/>
      <c r="F26" s="30" t="n">
        <v>0</v>
      </c>
      <c r="G26" s="30" t="inlineStr">
        <is>
          <t>2026-06-01 to 2026-06-30 (30-day window; excludes today; typical GSC lag ~48h)</t>
        </is>
      </c>
      <c r="H26" s="30" t="inlineStr">
        <is>
          <t>No Search Analytics row matched this URL in the 30-day export (compare Final URL with the page URL shown in GSC)</t>
        </is>
      </c>
      <c r="I26" s="30" t="inlineStr">
        <is>
          <t>Standard</t>
        </is>
      </c>
      <c r="J26" s="30" t="n">
        <v>0</v>
      </c>
      <c r="K26" s="30" t="n">
        <v>3</v>
      </c>
      <c r="L26" s="30" t="inlineStr">
        <is>
          <t>Yes</t>
        </is>
      </c>
      <c r="M26" s="30" t="inlineStr">
        <is>
          <t>Monitor</t>
        </is>
      </c>
      <c r="N26" s="30" t="inlineStr">
        <is>
          <t>Copy Writer</t>
        </is>
      </c>
      <c r="O26" s="36" t="inlineStr">
        <is>
          <t>Open</t>
        </is>
      </c>
      <c r="P26" s="30" t="inlineStr"/>
      <c r="Q26" s="34" t="inlineStr"/>
      <c r="R26" s="32" t="n">
        <v>0</v>
      </c>
      <c r="S26" s="30" t="inlineStr">
        <is>
          <t>self</t>
        </is>
      </c>
      <c r="T26" s="38">
        <f>IFERROR(HYPERLINK("#'Main'!B"&amp;MATCH(TRIM(A26),'Main'!B:B,0),"Open"),HYPERLINK("#'Main'!B1","Open"))</f>
        <v/>
      </c>
      <c r="U26" s="38">
        <f>IFERROR(HYPERLINK("#'Technical Diagnostics'!A"&amp;MATCH(A26,'Technical Diagnostics'!A:A,0),"Open"),HYPERLINK("#'Technical Diagnostics'!A1","Open"))</f>
        <v/>
      </c>
    </row>
    <row r="27" ht="18" customHeight="1">
      <c r="A27" s="35" t="inlineStr">
        <is>
          <t>https://africanmarketingconfederation.org/smoke-archive/page-18</t>
        </is>
      </c>
      <c r="B27" s="28" t="n">
        <v>70</v>
      </c>
      <c r="C27" s="29" t="inlineStr">
        <is>
          <t>Warning</t>
        </is>
      </c>
      <c r="D27" s="28" t="n">
        <v>60</v>
      </c>
      <c r="E27" s="28" t="inlineStr"/>
      <c r="F27" s="28" t="n">
        <v>0</v>
      </c>
      <c r="G27" s="28" t="inlineStr">
        <is>
          <t>2026-06-01 to 2026-06-30 (30-day window; excludes today; typical GSC lag ~48h)</t>
        </is>
      </c>
      <c r="H27" s="28" t="inlineStr">
        <is>
          <t>No Search Analytics row matched this URL in the 30-day export (compare Final URL with the page URL shown in GSC)</t>
        </is>
      </c>
      <c r="I27" s="28" t="inlineStr">
        <is>
          <t>Standard</t>
        </is>
      </c>
      <c r="J27" s="28" t="n">
        <v>0</v>
      </c>
      <c r="K27" s="28" t="n">
        <v>3</v>
      </c>
      <c r="L27" s="28" t="inlineStr">
        <is>
          <t>Yes</t>
        </is>
      </c>
      <c r="M27" s="28" t="inlineStr">
        <is>
          <t>Monitor</t>
        </is>
      </c>
      <c r="N27" s="28" t="inlineStr">
        <is>
          <t>Copy Writer</t>
        </is>
      </c>
      <c r="O27" s="36" t="inlineStr">
        <is>
          <t>Open</t>
        </is>
      </c>
      <c r="P27" s="28" t="inlineStr"/>
      <c r="Q27" s="34" t="inlineStr"/>
      <c r="R27" s="32" t="n">
        <v>0</v>
      </c>
      <c r="S27" s="28" t="inlineStr">
        <is>
          <t>self</t>
        </is>
      </c>
      <c r="T27">
        <f>IFERROR(HYPERLINK("#'Main'!B"&amp;MATCH(TRIM(A27),'Main'!B:B,0),"Open"),HYPERLINK("#'Main'!B1","Open"))</f>
        <v/>
      </c>
      <c r="U27">
        <f>IFERROR(HYPERLINK("#'Technical Diagnostics'!A"&amp;MATCH(A27,'Technical Diagnostics'!A:A,0),"Open"),HYPERLINK("#'Technical Diagnostics'!A1","Open"))</f>
        <v/>
      </c>
    </row>
    <row r="28" ht="18" customHeight="1">
      <c r="A28" s="37" t="inlineStr">
        <is>
          <t>https://africanmarketingconfederation.org/smoke-archive/page-25</t>
        </is>
      </c>
      <c r="B28" s="30" t="n">
        <v>70</v>
      </c>
      <c r="C28" s="29" t="inlineStr">
        <is>
          <t>Warning</t>
        </is>
      </c>
      <c r="D28" s="30" t="n">
        <v>60</v>
      </c>
      <c r="E28" s="30" t="inlineStr"/>
      <c r="F28" s="30" t="n">
        <v>0</v>
      </c>
      <c r="G28" s="30" t="inlineStr">
        <is>
          <t>2026-06-01 to 2026-06-30 (30-day window; excludes today; typical GSC lag ~48h)</t>
        </is>
      </c>
      <c r="H28" s="30" t="inlineStr">
        <is>
          <t>No Search Analytics row matched this URL in the 30-day export (compare Final URL with the page URL shown in GSC)</t>
        </is>
      </c>
      <c r="I28" s="30" t="inlineStr">
        <is>
          <t>Standard</t>
        </is>
      </c>
      <c r="J28" s="30" t="n">
        <v>0</v>
      </c>
      <c r="K28" s="30" t="n">
        <v>3</v>
      </c>
      <c r="L28" s="30" t="inlineStr">
        <is>
          <t>Yes</t>
        </is>
      </c>
      <c r="M28" s="30" t="inlineStr">
        <is>
          <t>Monitor</t>
        </is>
      </c>
      <c r="N28" s="30" t="inlineStr">
        <is>
          <t>Copy Writer</t>
        </is>
      </c>
      <c r="O28" s="36" t="inlineStr">
        <is>
          <t>Open</t>
        </is>
      </c>
      <c r="P28" s="30" t="inlineStr"/>
      <c r="Q28" s="34" t="inlineStr"/>
      <c r="R28" s="32" t="n">
        <v>0</v>
      </c>
      <c r="S28" s="30" t="inlineStr">
        <is>
          <t>self</t>
        </is>
      </c>
      <c r="T28" s="38">
        <f>IFERROR(HYPERLINK("#'Main'!B"&amp;MATCH(TRIM(A28),'Main'!B:B,0),"Open"),HYPERLINK("#'Main'!B1","Open"))</f>
        <v/>
      </c>
      <c r="U28" s="38">
        <f>IFERROR(HYPERLINK("#'Technical Diagnostics'!A"&amp;MATCH(A28,'Technical Diagnostics'!A:A,0),"Open"),HYPERLINK("#'Technical Diagnostics'!A1","Open"))</f>
        <v/>
      </c>
    </row>
    <row r="29" ht="18" customHeight="1">
      <c r="A29" s="35" t="inlineStr">
        <is>
          <t>https://africanmarketingconfederation.org/smoke-archive/page-40</t>
        </is>
      </c>
      <c r="B29" s="28" t="n">
        <v>70</v>
      </c>
      <c r="C29" s="29" t="inlineStr">
        <is>
          <t>Warning</t>
        </is>
      </c>
      <c r="D29" s="28" t="n">
        <v>60</v>
      </c>
      <c r="E29" s="28" t="inlineStr"/>
      <c r="F29" s="28" t="n">
        <v>0</v>
      </c>
      <c r="G29" s="28" t="inlineStr">
        <is>
          <t>2026-06-01 to 2026-06-30 (30-day window; excludes today; typical GSC lag ~48h)</t>
        </is>
      </c>
      <c r="H29" s="28" t="inlineStr">
        <is>
          <t>No Search Analytics row matched this URL in the 30-day export (compare Final URL with the page URL shown in GSC)</t>
        </is>
      </c>
      <c r="I29" s="28" t="inlineStr">
        <is>
          <t>Standard</t>
        </is>
      </c>
      <c r="J29" s="28" t="n">
        <v>0</v>
      </c>
      <c r="K29" s="28" t="n">
        <v>3</v>
      </c>
      <c r="L29" s="28" t="inlineStr">
        <is>
          <t>Yes</t>
        </is>
      </c>
      <c r="M29" s="28" t="inlineStr">
        <is>
          <t>Monitor</t>
        </is>
      </c>
      <c r="N29" s="28" t="inlineStr">
        <is>
          <t>Copy Writer</t>
        </is>
      </c>
      <c r="O29" s="36" t="inlineStr">
        <is>
          <t>Open</t>
        </is>
      </c>
      <c r="P29" s="28" t="inlineStr"/>
      <c r="Q29" s="34" t="inlineStr"/>
      <c r="R29" s="32" t="n">
        <v>0</v>
      </c>
      <c r="S29" s="28" t="inlineStr">
        <is>
          <t>self</t>
        </is>
      </c>
      <c r="T29">
        <f>IFERROR(HYPERLINK("#'Main'!B"&amp;MATCH(TRIM(A29),'Main'!B:B,0),"Open"),HYPERLINK("#'Main'!B1","Open"))</f>
        <v/>
      </c>
      <c r="U29">
        <f>IFERROR(HYPERLINK("#'Technical Diagnostics'!A"&amp;MATCH(A29,'Technical Diagnostics'!A:A,0),"Open"),HYPERLINK("#'Technical Diagnostics'!A1","Open"))</f>
        <v/>
      </c>
    </row>
    <row r="30" ht="18" customHeight="1">
      <c r="A30" s="37" t="inlineStr">
        <is>
          <t>https://africanmarketingconfederation.org/smoke-archive/page-42</t>
        </is>
      </c>
      <c r="B30" s="30" t="n">
        <v>70</v>
      </c>
      <c r="C30" s="29" t="inlineStr">
        <is>
          <t>Warning</t>
        </is>
      </c>
      <c r="D30" s="30" t="n">
        <v>60</v>
      </c>
      <c r="E30" s="30" t="inlineStr"/>
      <c r="F30" s="30" t="n">
        <v>0</v>
      </c>
      <c r="G30" s="30" t="inlineStr">
        <is>
          <t>2026-06-01 to 2026-06-30 (30-day window; excludes today; typical GSC lag ~48h)</t>
        </is>
      </c>
      <c r="H30" s="30" t="inlineStr">
        <is>
          <t>No Search Analytics row matched this URL in the 30-day export (compare Final URL with the page URL shown in GSC)</t>
        </is>
      </c>
      <c r="I30" s="30" t="inlineStr">
        <is>
          <t>Standard</t>
        </is>
      </c>
      <c r="J30" s="30" t="n">
        <v>0</v>
      </c>
      <c r="K30" s="30" t="n">
        <v>3</v>
      </c>
      <c r="L30" s="30" t="inlineStr">
        <is>
          <t>Yes</t>
        </is>
      </c>
      <c r="M30" s="30" t="inlineStr">
        <is>
          <t>Monitor</t>
        </is>
      </c>
      <c r="N30" s="30" t="inlineStr">
        <is>
          <t>Copy Writer</t>
        </is>
      </c>
      <c r="O30" s="36" t="inlineStr">
        <is>
          <t>Open</t>
        </is>
      </c>
      <c r="P30" s="30" t="inlineStr"/>
      <c r="Q30" s="34" t="inlineStr"/>
      <c r="R30" s="32" t="n">
        <v>0</v>
      </c>
      <c r="S30" s="30" t="inlineStr">
        <is>
          <t>self</t>
        </is>
      </c>
      <c r="T30" s="38">
        <f>IFERROR(HYPERLINK("#'Main'!B"&amp;MATCH(TRIM(A30),'Main'!B:B,0),"Open"),HYPERLINK("#'Main'!B1","Open"))</f>
        <v/>
      </c>
      <c r="U30" s="38">
        <f>IFERROR(HYPERLINK("#'Technical Diagnostics'!A"&amp;MATCH(A30,'Technical Diagnostics'!A:A,0),"Open"),HYPERLINK("#'Technical Diagnostics'!A1","Open"))</f>
        <v/>
      </c>
    </row>
    <row r="31" ht="18" customHeight="1">
      <c r="A31" s="35" t="inlineStr">
        <is>
          <t>https://africanmarketingconfederation.org/smoke-archive/page-50</t>
        </is>
      </c>
      <c r="B31" s="28" t="n">
        <v>70</v>
      </c>
      <c r="C31" s="29" t="inlineStr">
        <is>
          <t>Warning</t>
        </is>
      </c>
      <c r="D31" s="28" t="n">
        <v>60</v>
      </c>
      <c r="E31" s="28" t="inlineStr"/>
      <c r="F31" s="28" t="n">
        <v>0</v>
      </c>
      <c r="G31" s="28" t="inlineStr">
        <is>
          <t>2026-06-01 to 2026-06-30 (30-day window; excludes today; typical GSC lag ~48h)</t>
        </is>
      </c>
      <c r="H31" s="28" t="inlineStr">
        <is>
          <t>No Search Analytics row matched this URL in the 30-day export (compare Final URL with the page URL shown in GSC)</t>
        </is>
      </c>
      <c r="I31" s="28" t="inlineStr">
        <is>
          <t>Standard</t>
        </is>
      </c>
      <c r="J31" s="28" t="n">
        <v>0</v>
      </c>
      <c r="K31" s="28" t="n">
        <v>3</v>
      </c>
      <c r="L31" s="28" t="inlineStr">
        <is>
          <t>Yes</t>
        </is>
      </c>
      <c r="M31" s="28" t="inlineStr">
        <is>
          <t>Monitor</t>
        </is>
      </c>
      <c r="N31" s="28" t="inlineStr">
        <is>
          <t>Copy Writer</t>
        </is>
      </c>
      <c r="O31" s="36" t="inlineStr">
        <is>
          <t>Open</t>
        </is>
      </c>
      <c r="P31" s="28" t="inlineStr"/>
      <c r="Q31" s="34" t="inlineStr"/>
      <c r="R31" s="32" t="n">
        <v>0</v>
      </c>
      <c r="S31" s="28" t="inlineStr">
        <is>
          <t>self</t>
        </is>
      </c>
      <c r="T31">
        <f>IFERROR(HYPERLINK("#'Main'!B"&amp;MATCH(TRIM(A31),'Main'!B:B,0),"Open"),HYPERLINK("#'Main'!B1","Open"))</f>
        <v/>
      </c>
      <c r="U31">
        <f>IFERROR(HYPERLINK("#'Technical Diagnostics'!A"&amp;MATCH(A31,'Technical Diagnostics'!A:A,0),"Open"),HYPERLINK("#'Technical Diagnostics'!A1","Open"))</f>
        <v/>
      </c>
    </row>
    <row r="32" ht="18" customHeight="1">
      <c r="A32" s="37" t="inlineStr">
        <is>
          <t>https://africanmarketingconfederation.org/smoke-archive/page-54</t>
        </is>
      </c>
      <c r="B32" s="30" t="n">
        <v>70</v>
      </c>
      <c r="C32" s="29" t="inlineStr">
        <is>
          <t>Warning</t>
        </is>
      </c>
      <c r="D32" s="30" t="n">
        <v>60</v>
      </c>
      <c r="E32" s="30" t="inlineStr"/>
      <c r="F32" s="30" t="n">
        <v>0</v>
      </c>
      <c r="G32" s="30" t="inlineStr">
        <is>
          <t>2026-06-01 to 2026-06-30 (30-day window; excludes today; typical GSC lag ~48h)</t>
        </is>
      </c>
      <c r="H32" s="30" t="inlineStr">
        <is>
          <t>No Search Analytics row matched this URL in the 30-day export (compare Final URL with the page URL shown in GSC)</t>
        </is>
      </c>
      <c r="I32" s="30" t="inlineStr">
        <is>
          <t>Standard</t>
        </is>
      </c>
      <c r="J32" s="30" t="n">
        <v>0</v>
      </c>
      <c r="K32" s="30" t="n">
        <v>3</v>
      </c>
      <c r="L32" s="30" t="inlineStr">
        <is>
          <t>Yes</t>
        </is>
      </c>
      <c r="M32" s="30" t="inlineStr">
        <is>
          <t>Monitor</t>
        </is>
      </c>
      <c r="N32" s="30" t="inlineStr">
        <is>
          <t>Copy Writer</t>
        </is>
      </c>
      <c r="O32" s="36" t="inlineStr">
        <is>
          <t>Open</t>
        </is>
      </c>
      <c r="P32" s="30" t="inlineStr"/>
      <c r="Q32" s="34" t="inlineStr"/>
      <c r="R32" s="32" t="n">
        <v>0</v>
      </c>
      <c r="S32" s="30" t="inlineStr">
        <is>
          <t>self</t>
        </is>
      </c>
      <c r="T32" s="38">
        <f>IFERROR(HYPERLINK("#'Main'!B"&amp;MATCH(TRIM(A32),'Main'!B:B,0),"Open"),HYPERLINK("#'Main'!B1","Open"))</f>
        <v/>
      </c>
      <c r="U32" s="38">
        <f>IFERROR(HYPERLINK("#'Technical Diagnostics'!A"&amp;MATCH(A32,'Technical Diagnostics'!A:A,0),"Open"),HYPERLINK("#'Technical Diagnostics'!A1","Open"))</f>
        <v/>
      </c>
    </row>
    <row r="33" ht="18" customHeight="1">
      <c r="A33" s="35" t="inlineStr">
        <is>
          <t>https://africanmarketingconfederation.org/smoke-archive/page-55</t>
        </is>
      </c>
      <c r="B33" s="28" t="n">
        <v>70</v>
      </c>
      <c r="C33" s="29" t="inlineStr">
        <is>
          <t>Warning</t>
        </is>
      </c>
      <c r="D33" s="28" t="n">
        <v>60</v>
      </c>
      <c r="E33" s="28" t="inlineStr"/>
      <c r="F33" s="28" t="n">
        <v>0</v>
      </c>
      <c r="G33" s="28" t="inlineStr">
        <is>
          <t>2026-06-01 to 2026-06-30 (30-day window; excludes today; typical GSC lag ~48h)</t>
        </is>
      </c>
      <c r="H33" s="28" t="inlineStr">
        <is>
          <t>No Search Analytics row matched this URL in the 30-day export (compare Final URL with the page URL shown in GSC)</t>
        </is>
      </c>
      <c r="I33" s="28" t="inlineStr">
        <is>
          <t>Standard</t>
        </is>
      </c>
      <c r="J33" s="28" t="n">
        <v>0</v>
      </c>
      <c r="K33" s="28" t="n">
        <v>3</v>
      </c>
      <c r="L33" s="28" t="inlineStr">
        <is>
          <t>Yes</t>
        </is>
      </c>
      <c r="M33" s="28" t="inlineStr">
        <is>
          <t>Monitor</t>
        </is>
      </c>
      <c r="N33" s="28" t="inlineStr">
        <is>
          <t>Copy Writer</t>
        </is>
      </c>
      <c r="O33" s="36" t="inlineStr">
        <is>
          <t>Open</t>
        </is>
      </c>
      <c r="P33" s="28" t="inlineStr"/>
      <c r="Q33" s="34" t="inlineStr"/>
      <c r="R33" s="32" t="n">
        <v>0</v>
      </c>
      <c r="S33" s="28" t="inlineStr"/>
      <c r="T33">
        <f>IFERROR(HYPERLINK("#'Main'!B"&amp;MATCH(TRIM(A33),'Main'!B:B,0),"Open"),HYPERLINK("#'Main'!B1","Open"))</f>
        <v/>
      </c>
      <c r="U33">
        <f>IFERROR(HYPERLINK("#'Technical Diagnostics'!A"&amp;MATCH(A33,'Technical Diagnostics'!A:A,0),"Open"),HYPERLINK("#'Technical Diagnostics'!A1","Open"))</f>
        <v/>
      </c>
    </row>
    <row r="34" ht="18" customHeight="1">
      <c r="A34" s="37" t="inlineStr">
        <is>
          <t>https://africanmarketingconfederation.org/smoke-archive/page-63</t>
        </is>
      </c>
      <c r="B34" s="30" t="n">
        <v>70</v>
      </c>
      <c r="C34" s="29" t="inlineStr">
        <is>
          <t>Warning</t>
        </is>
      </c>
      <c r="D34" s="30" t="n">
        <v>60</v>
      </c>
      <c r="E34" s="30" t="inlineStr"/>
      <c r="F34" s="30" t="n">
        <v>0</v>
      </c>
      <c r="G34" s="30" t="inlineStr">
        <is>
          <t>2026-06-01 to 2026-06-30 (30-day window; excludes today; typical GSC lag ~48h)</t>
        </is>
      </c>
      <c r="H34" s="30" t="inlineStr">
        <is>
          <t>No Search Analytics row matched this URL in the 30-day export (compare Final URL with the page URL shown in GSC)</t>
        </is>
      </c>
      <c r="I34" s="30" t="inlineStr">
        <is>
          <t>Standard</t>
        </is>
      </c>
      <c r="J34" s="30" t="n">
        <v>0</v>
      </c>
      <c r="K34" s="30" t="n">
        <v>3</v>
      </c>
      <c r="L34" s="30" t="inlineStr">
        <is>
          <t>Yes</t>
        </is>
      </c>
      <c r="M34" s="30" t="inlineStr">
        <is>
          <t>Monitor</t>
        </is>
      </c>
      <c r="N34" s="30" t="inlineStr">
        <is>
          <t>Copy Writer</t>
        </is>
      </c>
      <c r="O34" s="36" t="inlineStr">
        <is>
          <t>Open</t>
        </is>
      </c>
      <c r="P34" s="30" t="inlineStr"/>
      <c r="Q34" s="34" t="inlineStr"/>
      <c r="R34" s="32" t="n">
        <v>0</v>
      </c>
      <c r="S34" s="30" t="inlineStr">
        <is>
          <t>self</t>
        </is>
      </c>
      <c r="T34" s="38">
        <f>IFERROR(HYPERLINK("#'Main'!B"&amp;MATCH(TRIM(A34),'Main'!B:B,0),"Open"),HYPERLINK("#'Main'!B1","Open"))</f>
        <v/>
      </c>
      <c r="U34" s="38">
        <f>IFERROR(HYPERLINK("#'Technical Diagnostics'!A"&amp;MATCH(A34,'Technical Diagnostics'!A:A,0),"Open"),HYPERLINK("#'Technical Diagnostics'!A1","Open"))</f>
        <v/>
      </c>
    </row>
    <row r="35" ht="18" customHeight="1">
      <c r="A35" s="35" t="inlineStr">
        <is>
          <t>https://africanmarketingconfederation.org/smoke-archive/page-75</t>
        </is>
      </c>
      <c r="B35" s="28" t="n">
        <v>70</v>
      </c>
      <c r="C35" s="29" t="inlineStr">
        <is>
          <t>Warning</t>
        </is>
      </c>
      <c r="D35" s="28" t="n">
        <v>60</v>
      </c>
      <c r="E35" s="28" t="inlineStr"/>
      <c r="F35" s="28" t="n">
        <v>0</v>
      </c>
      <c r="G35" s="28" t="inlineStr">
        <is>
          <t>2026-06-01 to 2026-06-30 (30-day window; excludes today; typical GSC lag ~48h)</t>
        </is>
      </c>
      <c r="H35" s="28" t="inlineStr">
        <is>
          <t>No Search Analytics row matched this URL in the 30-day export (compare Final URL with the page URL shown in GSC)</t>
        </is>
      </c>
      <c r="I35" s="28" t="inlineStr">
        <is>
          <t>Standard</t>
        </is>
      </c>
      <c r="J35" s="28" t="n">
        <v>0</v>
      </c>
      <c r="K35" s="28" t="n">
        <v>3</v>
      </c>
      <c r="L35" s="28" t="inlineStr">
        <is>
          <t>Yes</t>
        </is>
      </c>
      <c r="M35" s="28" t="inlineStr">
        <is>
          <t>Monitor</t>
        </is>
      </c>
      <c r="N35" s="28" t="inlineStr">
        <is>
          <t>Copy Writer</t>
        </is>
      </c>
      <c r="O35" s="36" t="inlineStr">
        <is>
          <t>Open</t>
        </is>
      </c>
      <c r="P35" s="28" t="inlineStr"/>
      <c r="Q35" s="34" t="inlineStr"/>
      <c r="R35" s="32" t="n">
        <v>0</v>
      </c>
      <c r="S35" s="28" t="inlineStr">
        <is>
          <t>self</t>
        </is>
      </c>
      <c r="T35">
        <f>IFERROR(HYPERLINK("#'Main'!B"&amp;MATCH(TRIM(A35),'Main'!B:B,0),"Open"),HYPERLINK("#'Main'!B1","Open"))</f>
        <v/>
      </c>
      <c r="U35">
        <f>IFERROR(HYPERLINK("#'Technical Diagnostics'!A"&amp;MATCH(A35,'Technical Diagnostics'!A:A,0),"Open"),HYPERLINK("#'Technical Diagnostics'!A1","Open"))</f>
        <v/>
      </c>
    </row>
    <row r="36" ht="18" customHeight="1">
      <c r="A36" s="37" t="inlineStr">
        <is>
          <t>https://africanmarketingconfederation.org/smoke-archive/page-6</t>
        </is>
      </c>
      <c r="B36" s="30" t="n">
        <v>50</v>
      </c>
      <c r="C36" s="29" t="inlineStr">
        <is>
          <t>Warning</t>
        </is>
      </c>
      <c r="D36" s="30" t="n">
        <v>70</v>
      </c>
      <c r="E36" s="30" t="inlineStr"/>
      <c r="F36" s="30" t="n">
        <v>0</v>
      </c>
      <c r="G36" s="30" t="inlineStr">
        <is>
          <t>2026-06-01 to 2026-06-30 (30-day window; excludes today; typical GSC lag ~48h)</t>
        </is>
      </c>
      <c r="H36" s="30" t="inlineStr">
        <is>
          <t>No Search Analytics row matched this URL in the 30-day export (compare Final URL with the page URL shown in GSC)</t>
        </is>
      </c>
      <c r="I36" s="30" t="inlineStr">
        <is>
          <t>Standard</t>
        </is>
      </c>
      <c r="J36" s="30" t="n">
        <v>0</v>
      </c>
      <c r="K36" s="30" t="n">
        <v>2</v>
      </c>
      <c r="L36" s="30" t="inlineStr">
        <is>
          <t>Yes</t>
        </is>
      </c>
      <c r="M36" s="30" t="inlineStr">
        <is>
          <t>Monitor</t>
        </is>
      </c>
      <c r="N36" s="30" t="inlineStr">
        <is>
          <t>Copy Writer</t>
        </is>
      </c>
      <c r="O36" s="36" t="inlineStr">
        <is>
          <t>Open</t>
        </is>
      </c>
      <c r="P36" s="30" t="inlineStr"/>
      <c r="Q36" s="34" t="inlineStr"/>
      <c r="R36" s="32" t="n">
        <v>0</v>
      </c>
      <c r="S36" s="30" t="inlineStr">
        <is>
          <t>self</t>
        </is>
      </c>
      <c r="T36" s="38">
        <f>IFERROR(HYPERLINK("#'Main'!B"&amp;MATCH(TRIM(A36),'Main'!B:B,0),"Open"),HYPERLINK("#'Main'!B1","Open"))</f>
        <v/>
      </c>
      <c r="U36" s="38">
        <f>IFERROR(HYPERLINK("#'Technical Diagnostics'!A"&amp;MATCH(A36,'Technical Diagnostics'!A:A,0),"Open"),HYPERLINK("#'Technical Diagnostics'!A1","Open"))</f>
        <v/>
      </c>
    </row>
    <row r="37" ht="18" customHeight="1">
      <c r="A37" s="35" t="inlineStr">
        <is>
          <t>https://africanmarketingconfederation.org/smoke-archive/page-7</t>
        </is>
      </c>
      <c r="B37" s="28" t="n">
        <v>50</v>
      </c>
      <c r="C37" s="29" t="inlineStr">
        <is>
          <t>Warning</t>
        </is>
      </c>
      <c r="D37" s="28" t="n">
        <v>70</v>
      </c>
      <c r="E37" s="28" t="inlineStr"/>
      <c r="F37" s="28" t="n">
        <v>0</v>
      </c>
      <c r="G37" s="28" t="inlineStr">
        <is>
          <t>2026-06-01 to 2026-06-30 (30-day window; excludes today; typical GSC lag ~48h)</t>
        </is>
      </c>
      <c r="H37" s="28" t="inlineStr">
        <is>
          <t>No Search Analytics row matched this URL in the 30-day export (compare Final URL with the page URL shown in GSC)</t>
        </is>
      </c>
      <c r="I37" s="28" t="inlineStr">
        <is>
          <t>Standard</t>
        </is>
      </c>
      <c r="J37" s="28" t="n">
        <v>0</v>
      </c>
      <c r="K37" s="28" t="n">
        <v>2</v>
      </c>
      <c r="L37" s="28" t="inlineStr">
        <is>
          <t>Yes</t>
        </is>
      </c>
      <c r="M37" s="28" t="inlineStr">
        <is>
          <t>Monitor</t>
        </is>
      </c>
      <c r="N37" s="28" t="inlineStr">
        <is>
          <t>Copy Writer</t>
        </is>
      </c>
      <c r="O37" s="36" t="inlineStr">
        <is>
          <t>Open</t>
        </is>
      </c>
      <c r="P37" s="28" t="inlineStr"/>
      <c r="Q37" s="34" t="inlineStr"/>
      <c r="R37" s="32" t="n">
        <v>0</v>
      </c>
      <c r="S37" s="28" t="inlineStr">
        <is>
          <t>self</t>
        </is>
      </c>
      <c r="T37">
        <f>IFERROR(HYPERLINK("#'Main'!B"&amp;MATCH(TRIM(A37),'Main'!B:B,0),"Open"),HYPERLINK("#'Main'!B1","Open"))</f>
        <v/>
      </c>
      <c r="U37">
        <f>IFERROR(HYPERLINK("#'Technical Diagnostics'!A"&amp;MATCH(A37,'Technical Diagnostics'!A:A,0),"Open"),HYPERLINK("#'Technical Diagnostics'!A1","Open"))</f>
        <v/>
      </c>
    </row>
    <row r="38" ht="18" customHeight="1">
      <c r="A38" s="37" t="inlineStr">
        <is>
          <t>https://africanmarketingconfederation.org/smoke-archive/page-9</t>
        </is>
      </c>
      <c r="B38" s="30" t="n">
        <v>50</v>
      </c>
      <c r="C38" s="29" t="inlineStr">
        <is>
          <t>Warning</t>
        </is>
      </c>
      <c r="D38" s="30" t="n">
        <v>70</v>
      </c>
      <c r="E38" s="30" t="inlineStr"/>
      <c r="F38" s="30" t="n">
        <v>0</v>
      </c>
      <c r="G38" s="30" t="inlineStr">
        <is>
          <t>2026-06-01 to 2026-06-30 (30-day window; excludes today; typical GSC lag ~48h)</t>
        </is>
      </c>
      <c r="H38" s="30" t="inlineStr">
        <is>
          <t>No Search Analytics row matched this URL in the 30-day export (compare Final URL with the page URL shown in GSC)</t>
        </is>
      </c>
      <c r="I38" s="30" t="inlineStr">
        <is>
          <t>Standard</t>
        </is>
      </c>
      <c r="J38" s="30" t="n">
        <v>0</v>
      </c>
      <c r="K38" s="30" t="n">
        <v>2</v>
      </c>
      <c r="L38" s="30" t="inlineStr">
        <is>
          <t>Yes</t>
        </is>
      </c>
      <c r="M38" s="30" t="inlineStr">
        <is>
          <t>Monitor</t>
        </is>
      </c>
      <c r="N38" s="30" t="inlineStr">
        <is>
          <t>Copy Writer</t>
        </is>
      </c>
      <c r="O38" s="36" t="inlineStr">
        <is>
          <t>Open</t>
        </is>
      </c>
      <c r="P38" s="30" t="inlineStr"/>
      <c r="Q38" s="34" t="inlineStr"/>
      <c r="R38" s="32" t="n">
        <v>0</v>
      </c>
      <c r="S38" s="30" t="inlineStr">
        <is>
          <t>self</t>
        </is>
      </c>
      <c r="T38" s="38">
        <f>IFERROR(HYPERLINK("#'Main'!B"&amp;MATCH(TRIM(A38),'Main'!B:B,0),"Open"),HYPERLINK("#'Main'!B1","Open"))</f>
        <v/>
      </c>
      <c r="U38" s="38">
        <f>IFERROR(HYPERLINK("#'Technical Diagnostics'!A"&amp;MATCH(A38,'Technical Diagnostics'!A:A,0),"Open"),HYPERLINK("#'Technical Diagnostics'!A1","Open"))</f>
        <v/>
      </c>
    </row>
    <row r="39" ht="18" customHeight="1">
      <c r="A39" s="35" t="inlineStr">
        <is>
          <t>https://africanmarketingconfederation.org/smoke-archive/page-14</t>
        </is>
      </c>
      <c r="B39" s="28" t="n">
        <v>50</v>
      </c>
      <c r="C39" s="29" t="inlineStr">
        <is>
          <t>Warning</t>
        </is>
      </c>
      <c r="D39" s="28" t="n">
        <v>70</v>
      </c>
      <c r="E39" s="28" t="inlineStr"/>
      <c r="F39" s="28" t="n">
        <v>0</v>
      </c>
      <c r="G39" s="28" t="inlineStr">
        <is>
          <t>2026-06-01 to 2026-06-30 (30-day window; excludes today; typical GSC lag ~48h)</t>
        </is>
      </c>
      <c r="H39" s="28" t="inlineStr">
        <is>
          <t>No Search Analytics row matched this URL in the 30-day export (compare Final URL with the page URL shown in GSC)</t>
        </is>
      </c>
      <c r="I39" s="28" t="inlineStr">
        <is>
          <t>Standard</t>
        </is>
      </c>
      <c r="J39" s="28" t="n">
        <v>0</v>
      </c>
      <c r="K39" s="28" t="n">
        <v>2</v>
      </c>
      <c r="L39" s="28" t="inlineStr">
        <is>
          <t>Yes</t>
        </is>
      </c>
      <c r="M39" s="28" t="inlineStr">
        <is>
          <t>Monitor</t>
        </is>
      </c>
      <c r="N39" s="28" t="inlineStr">
        <is>
          <t>Copy Writer</t>
        </is>
      </c>
      <c r="O39" s="36" t="inlineStr">
        <is>
          <t>Open</t>
        </is>
      </c>
      <c r="P39" s="28" t="inlineStr"/>
      <c r="Q39" s="34" t="inlineStr"/>
      <c r="R39" s="32" t="n">
        <v>0</v>
      </c>
      <c r="S39" s="28" t="inlineStr">
        <is>
          <t>self</t>
        </is>
      </c>
      <c r="T39">
        <f>IFERROR(HYPERLINK("#'Main'!B"&amp;MATCH(TRIM(A39),'Main'!B:B,0),"Open"),HYPERLINK("#'Main'!B1","Open"))</f>
        <v/>
      </c>
      <c r="U39">
        <f>IFERROR(HYPERLINK("#'Technical Diagnostics'!A"&amp;MATCH(A39,'Technical Diagnostics'!A:A,0),"Open"),HYPERLINK("#'Technical Diagnostics'!A1","Open"))</f>
        <v/>
      </c>
    </row>
    <row r="40" ht="18" customHeight="1">
      <c r="A40" s="37" t="inlineStr">
        <is>
          <t>https://africanmarketingconfederation.org/smoke-archive/page-20</t>
        </is>
      </c>
      <c r="B40" s="30" t="n">
        <v>50</v>
      </c>
      <c r="C40" s="29" t="inlineStr">
        <is>
          <t>Warning</t>
        </is>
      </c>
      <c r="D40" s="30" t="n">
        <v>70</v>
      </c>
      <c r="E40" s="30" t="inlineStr"/>
      <c r="F40" s="30" t="n">
        <v>0</v>
      </c>
      <c r="G40" s="30" t="inlineStr">
        <is>
          <t>2026-06-01 to 2026-06-30 (30-day window; excludes today; typical GSC lag ~48h)</t>
        </is>
      </c>
      <c r="H40" s="30" t="inlineStr">
        <is>
          <t>No Search Analytics row matched this URL in the 30-day export (compare Final URL with the page URL shown in GSC)</t>
        </is>
      </c>
      <c r="I40" s="30" t="inlineStr">
        <is>
          <t>Standard</t>
        </is>
      </c>
      <c r="J40" s="30" t="n">
        <v>0</v>
      </c>
      <c r="K40" s="30" t="n">
        <v>2</v>
      </c>
      <c r="L40" s="30" t="inlineStr">
        <is>
          <t>Yes</t>
        </is>
      </c>
      <c r="M40" s="30" t="inlineStr">
        <is>
          <t>Monitor</t>
        </is>
      </c>
      <c r="N40" s="30" t="inlineStr">
        <is>
          <t>Copy Writer</t>
        </is>
      </c>
      <c r="O40" s="36" t="inlineStr">
        <is>
          <t>Open</t>
        </is>
      </c>
      <c r="P40" s="30" t="inlineStr"/>
      <c r="Q40" s="34" t="inlineStr"/>
      <c r="R40" s="32" t="n">
        <v>0</v>
      </c>
      <c r="S40" s="30" t="inlineStr">
        <is>
          <t>self</t>
        </is>
      </c>
      <c r="T40" s="38">
        <f>IFERROR(HYPERLINK("#'Main'!B"&amp;MATCH(TRIM(A40),'Main'!B:B,0),"Open"),HYPERLINK("#'Main'!B1","Open"))</f>
        <v/>
      </c>
      <c r="U40" s="38">
        <f>IFERROR(HYPERLINK("#'Technical Diagnostics'!A"&amp;MATCH(A40,'Technical Diagnostics'!A:A,0),"Open"),HYPERLINK("#'Technical Diagnostics'!A1","Open"))</f>
        <v/>
      </c>
    </row>
    <row r="41" ht="18" customHeight="1">
      <c r="A41" s="35" t="inlineStr">
        <is>
          <t>https://africanmarketingconfederation.org/smoke-archive/page-21</t>
        </is>
      </c>
      <c r="B41" s="28" t="n">
        <v>50</v>
      </c>
      <c r="C41" s="29" t="inlineStr">
        <is>
          <t>Warning</t>
        </is>
      </c>
      <c r="D41" s="28" t="n">
        <v>70</v>
      </c>
      <c r="E41" s="28" t="inlineStr"/>
      <c r="F41" s="28" t="n">
        <v>0</v>
      </c>
      <c r="G41" s="28" t="inlineStr">
        <is>
          <t>2026-06-01 to 2026-06-30 (30-day window; excludes today; typical GSC lag ~48h)</t>
        </is>
      </c>
      <c r="H41" s="28" t="inlineStr">
        <is>
          <t>No Search Analytics row matched this URL in the 30-day export (compare Final URL with the page URL shown in GSC)</t>
        </is>
      </c>
      <c r="I41" s="28" t="inlineStr">
        <is>
          <t>Standard</t>
        </is>
      </c>
      <c r="J41" s="28" t="n">
        <v>0</v>
      </c>
      <c r="K41" s="28" t="n">
        <v>2</v>
      </c>
      <c r="L41" s="28" t="inlineStr">
        <is>
          <t>Yes</t>
        </is>
      </c>
      <c r="M41" s="28" t="inlineStr">
        <is>
          <t>Monitor</t>
        </is>
      </c>
      <c r="N41" s="28" t="inlineStr">
        <is>
          <t>Copy Writer</t>
        </is>
      </c>
      <c r="O41" s="36" t="inlineStr">
        <is>
          <t>Open</t>
        </is>
      </c>
      <c r="P41" s="28" t="inlineStr"/>
      <c r="Q41" s="34" t="inlineStr"/>
      <c r="R41" s="32" t="n">
        <v>0</v>
      </c>
      <c r="S41" s="28" t="inlineStr">
        <is>
          <t>self</t>
        </is>
      </c>
      <c r="T41">
        <f>IFERROR(HYPERLINK("#'Main'!B"&amp;MATCH(TRIM(A41),'Main'!B:B,0),"Open"),HYPERLINK("#'Main'!B1","Open"))</f>
        <v/>
      </c>
      <c r="U41">
        <f>IFERROR(HYPERLINK("#'Technical Diagnostics'!A"&amp;MATCH(A41,'Technical Diagnostics'!A:A,0),"Open"),HYPERLINK("#'Technical Diagnostics'!A1","Open"))</f>
        <v/>
      </c>
    </row>
    <row r="42" ht="18" customHeight="1">
      <c r="A42" s="37" t="inlineStr">
        <is>
          <t>https://africanmarketingconfederation.org/smoke-archive/page-27</t>
        </is>
      </c>
      <c r="B42" s="30" t="n">
        <v>50</v>
      </c>
      <c r="C42" s="29" t="inlineStr">
        <is>
          <t>Warning</t>
        </is>
      </c>
      <c r="D42" s="30" t="n">
        <v>70</v>
      </c>
      <c r="E42" s="30" t="inlineStr"/>
      <c r="F42" s="30" t="n">
        <v>0</v>
      </c>
      <c r="G42" s="30" t="inlineStr">
        <is>
          <t>2026-06-01 to 2026-06-30 (30-day window; excludes today; typical GSC lag ~48h)</t>
        </is>
      </c>
      <c r="H42" s="30" t="inlineStr">
        <is>
          <t>No Search Analytics row matched this URL in the 30-day export (compare Final URL with the page URL shown in GSC)</t>
        </is>
      </c>
      <c r="I42" s="30" t="inlineStr">
        <is>
          <t>Standard</t>
        </is>
      </c>
      <c r="J42" s="30" t="n">
        <v>0</v>
      </c>
      <c r="K42" s="30" t="n">
        <v>2</v>
      </c>
      <c r="L42" s="30" t="inlineStr">
        <is>
          <t>Yes</t>
        </is>
      </c>
      <c r="M42" s="30" t="inlineStr">
        <is>
          <t>Monitor</t>
        </is>
      </c>
      <c r="N42" s="30" t="inlineStr">
        <is>
          <t>Copy Writer</t>
        </is>
      </c>
      <c r="O42" s="36" t="inlineStr">
        <is>
          <t>Open</t>
        </is>
      </c>
      <c r="P42" s="30" t="inlineStr"/>
      <c r="Q42" s="34" t="inlineStr"/>
      <c r="R42" s="32" t="n">
        <v>0</v>
      </c>
      <c r="S42" s="30" t="inlineStr">
        <is>
          <t>self</t>
        </is>
      </c>
      <c r="T42" s="38">
        <f>IFERROR(HYPERLINK("#'Main'!B"&amp;MATCH(TRIM(A42),'Main'!B:B,0),"Open"),HYPERLINK("#'Main'!B1","Open"))</f>
        <v/>
      </c>
      <c r="U42" s="38">
        <f>IFERROR(HYPERLINK("#'Technical Diagnostics'!A"&amp;MATCH(A42,'Technical Diagnostics'!A:A,0),"Open"),HYPERLINK("#'Technical Diagnostics'!A1","Open"))</f>
        <v/>
      </c>
    </row>
    <row r="43" ht="18" customHeight="1">
      <c r="A43" s="35" t="inlineStr">
        <is>
          <t>https://africanmarketingconfederation.org/smoke-archive/page-49</t>
        </is>
      </c>
      <c r="B43" s="28" t="n">
        <v>50</v>
      </c>
      <c r="C43" s="29" t="inlineStr">
        <is>
          <t>Warning</t>
        </is>
      </c>
      <c r="D43" s="28" t="n">
        <v>70</v>
      </c>
      <c r="E43" s="28" t="inlineStr"/>
      <c r="F43" s="28" t="n">
        <v>0</v>
      </c>
      <c r="G43" s="28" t="inlineStr">
        <is>
          <t>2026-06-01 to 2026-06-30 (30-day window; excludes today; typical GSC lag ~48h)</t>
        </is>
      </c>
      <c r="H43" s="28" t="inlineStr">
        <is>
          <t>No Search Analytics row matched this URL in the 30-day export (compare Final URL with the page URL shown in GSC)</t>
        </is>
      </c>
      <c r="I43" s="28" t="inlineStr">
        <is>
          <t>Standard</t>
        </is>
      </c>
      <c r="J43" s="28" t="n">
        <v>0</v>
      </c>
      <c r="K43" s="28" t="n">
        <v>2</v>
      </c>
      <c r="L43" s="28" t="inlineStr">
        <is>
          <t>Yes</t>
        </is>
      </c>
      <c r="M43" s="28" t="inlineStr">
        <is>
          <t>Monitor</t>
        </is>
      </c>
      <c r="N43" s="28" t="inlineStr">
        <is>
          <t>Copy Writer</t>
        </is>
      </c>
      <c r="O43" s="36" t="inlineStr">
        <is>
          <t>Open</t>
        </is>
      </c>
      <c r="P43" s="28" t="inlineStr"/>
      <c r="Q43" s="34" t="inlineStr"/>
      <c r="R43" s="32" t="n">
        <v>0</v>
      </c>
      <c r="S43" s="28" t="inlineStr">
        <is>
          <t>self</t>
        </is>
      </c>
      <c r="T43">
        <f>IFERROR(HYPERLINK("#'Main'!B"&amp;MATCH(TRIM(A43),'Main'!B:B,0),"Open"),HYPERLINK("#'Main'!B1","Open"))</f>
        <v/>
      </c>
      <c r="U43">
        <f>IFERROR(HYPERLINK("#'Technical Diagnostics'!A"&amp;MATCH(A43,'Technical Diagnostics'!A:A,0),"Open"),HYPERLINK("#'Technical Diagnostics'!A1","Open"))</f>
        <v/>
      </c>
    </row>
    <row r="44" ht="18" customHeight="1">
      <c r="A44" s="37" t="inlineStr">
        <is>
          <t>https://africanmarketingconfederation.org/smoke-archive/page-56</t>
        </is>
      </c>
      <c r="B44" s="30" t="n">
        <v>50</v>
      </c>
      <c r="C44" s="29" t="inlineStr">
        <is>
          <t>Warning</t>
        </is>
      </c>
      <c r="D44" s="30" t="n">
        <v>70</v>
      </c>
      <c r="E44" s="30" t="inlineStr"/>
      <c r="F44" s="30" t="n">
        <v>0</v>
      </c>
      <c r="G44" s="30" t="inlineStr">
        <is>
          <t>2026-06-01 to 2026-06-30 (30-day window; excludes today; typical GSC lag ~48h)</t>
        </is>
      </c>
      <c r="H44" s="30" t="inlineStr">
        <is>
          <t>No Search Analytics row matched this URL in the 30-day export (compare Final URL with the page URL shown in GSC)</t>
        </is>
      </c>
      <c r="I44" s="30" t="inlineStr">
        <is>
          <t>Standard</t>
        </is>
      </c>
      <c r="J44" s="30" t="n">
        <v>0</v>
      </c>
      <c r="K44" s="30" t="n">
        <v>2</v>
      </c>
      <c r="L44" s="30" t="inlineStr">
        <is>
          <t>Yes</t>
        </is>
      </c>
      <c r="M44" s="30" t="inlineStr">
        <is>
          <t>Monitor</t>
        </is>
      </c>
      <c r="N44" s="30" t="inlineStr">
        <is>
          <t>Copy Writer</t>
        </is>
      </c>
      <c r="O44" s="36" t="inlineStr">
        <is>
          <t>Open</t>
        </is>
      </c>
      <c r="P44" s="30" t="inlineStr"/>
      <c r="Q44" s="34" t="inlineStr"/>
      <c r="R44" s="32" t="n">
        <v>0</v>
      </c>
      <c r="S44" s="30" t="inlineStr">
        <is>
          <t>self</t>
        </is>
      </c>
      <c r="T44" s="38">
        <f>IFERROR(HYPERLINK("#'Main'!B"&amp;MATCH(TRIM(A44),'Main'!B:B,0),"Open"),HYPERLINK("#'Main'!B1","Open"))</f>
        <v/>
      </c>
      <c r="U44" s="38">
        <f>IFERROR(HYPERLINK("#'Technical Diagnostics'!A"&amp;MATCH(A44,'Technical Diagnostics'!A:A,0),"Open"),HYPERLINK("#'Technical Diagnostics'!A1","Open"))</f>
        <v/>
      </c>
    </row>
    <row r="45" ht="18" customHeight="1">
      <c r="A45" s="35" t="inlineStr">
        <is>
          <t>https://africanmarketingconfederation.org/smoke-archive/page-66</t>
        </is>
      </c>
      <c r="B45" s="28" t="n">
        <v>50</v>
      </c>
      <c r="C45" s="29" t="inlineStr">
        <is>
          <t>Warning</t>
        </is>
      </c>
      <c r="D45" s="28" t="n">
        <v>70</v>
      </c>
      <c r="E45" s="28" t="inlineStr"/>
      <c r="F45" s="28" t="n">
        <v>0</v>
      </c>
      <c r="G45" s="28" t="inlineStr">
        <is>
          <t>2026-06-01 to 2026-06-30 (30-day window; excludes today; typical GSC lag ~48h)</t>
        </is>
      </c>
      <c r="H45" s="28" t="inlineStr">
        <is>
          <t>No Search Analytics row matched this URL in the 30-day export (compare Final URL with the page URL shown in GSC)</t>
        </is>
      </c>
      <c r="I45" s="28" t="inlineStr">
        <is>
          <t>Standard</t>
        </is>
      </c>
      <c r="J45" s="28" t="n">
        <v>0</v>
      </c>
      <c r="K45" s="28" t="n">
        <v>2</v>
      </c>
      <c r="L45" s="28" t="inlineStr">
        <is>
          <t>Yes</t>
        </is>
      </c>
      <c r="M45" s="28" t="inlineStr">
        <is>
          <t>Monitor</t>
        </is>
      </c>
      <c r="N45" s="28" t="inlineStr">
        <is>
          <t>Copy Writer</t>
        </is>
      </c>
      <c r="O45" s="36" t="inlineStr">
        <is>
          <t>Open</t>
        </is>
      </c>
      <c r="P45" s="28" t="inlineStr"/>
      <c r="Q45" s="34" t="inlineStr"/>
      <c r="R45" s="32" t="n">
        <v>0</v>
      </c>
      <c r="S45" s="28" t="inlineStr"/>
      <c r="T45">
        <f>IFERROR(HYPERLINK("#'Main'!B"&amp;MATCH(TRIM(A45),'Main'!B:B,0),"Open"),HYPERLINK("#'Main'!B1","Open"))</f>
        <v/>
      </c>
      <c r="U45">
        <f>IFERROR(HYPERLINK("#'Technical Diagnostics'!A"&amp;MATCH(A45,'Technical Diagnostics'!A:A,0),"Open"),HYPERLINK("#'Technical Diagnostics'!A1","Open"))</f>
        <v/>
      </c>
    </row>
    <row r="46" ht="18" customHeight="1">
      <c r="A46" s="37" t="inlineStr">
        <is>
          <t>https://africanmarketingconfederation.org/smoke-archive/page-77</t>
        </is>
      </c>
      <c r="B46" s="30" t="n">
        <v>50</v>
      </c>
      <c r="C46" s="29" t="inlineStr">
        <is>
          <t>Warning</t>
        </is>
      </c>
      <c r="D46" s="30" t="n">
        <v>70</v>
      </c>
      <c r="E46" s="30" t="inlineStr"/>
      <c r="F46" s="30" t="n">
        <v>0</v>
      </c>
      <c r="G46" s="30" t="inlineStr">
        <is>
          <t>2026-06-01 to 2026-06-30 (30-day window; excludes today; typical GSC lag ~48h)</t>
        </is>
      </c>
      <c r="H46" s="30" t="inlineStr">
        <is>
          <t>No Search Analytics row matched this URL in the 30-day export (compare Final URL with the page URL shown in GSC)</t>
        </is>
      </c>
      <c r="I46" s="30" t="inlineStr">
        <is>
          <t>Standard</t>
        </is>
      </c>
      <c r="J46" s="30" t="n">
        <v>0</v>
      </c>
      <c r="K46" s="30" t="n">
        <v>2</v>
      </c>
      <c r="L46" s="30" t="inlineStr">
        <is>
          <t>Yes</t>
        </is>
      </c>
      <c r="M46" s="30" t="inlineStr">
        <is>
          <t>Monitor</t>
        </is>
      </c>
      <c r="N46" s="30" t="inlineStr">
        <is>
          <t>Copy Writer</t>
        </is>
      </c>
      <c r="O46" s="36" t="inlineStr">
        <is>
          <t>Open</t>
        </is>
      </c>
      <c r="P46" s="30" t="inlineStr"/>
      <c r="Q46" s="34" t="inlineStr"/>
      <c r="R46" s="32" t="n">
        <v>0</v>
      </c>
      <c r="S46" s="30" t="inlineStr"/>
      <c r="T46" s="38">
        <f>IFERROR(HYPERLINK("#'Main'!B"&amp;MATCH(TRIM(A46),'Main'!B:B,0),"Open"),HYPERLINK("#'Main'!B1","Open"))</f>
        <v/>
      </c>
      <c r="U46" s="38">
        <f>IFERROR(HYPERLINK("#'Technical Diagnostics'!A"&amp;MATCH(A46,'Technical Diagnostics'!A:A,0),"Open"),HYPERLINK("#'Technical Diagnostics'!A1","Open"))</f>
        <v/>
      </c>
    </row>
    <row r="47" ht="18" customHeight="1">
      <c r="A47" s="35" t="inlineStr">
        <is>
          <t>https://africanmarketingconfederation.org/discovered-via-bfs-1</t>
        </is>
      </c>
      <c r="B47" s="28" t="n">
        <v>50</v>
      </c>
      <c r="C47" s="29" t="inlineStr">
        <is>
          <t>Warning</t>
        </is>
      </c>
      <c r="D47" s="28" t="n">
        <v>70</v>
      </c>
      <c r="E47" s="28" t="inlineStr"/>
      <c r="F47" s="28" t="n">
        <v>0</v>
      </c>
      <c r="G47" s="28" t="inlineStr">
        <is>
          <t>2026-06-01 to 2026-06-30 (30-day window; excludes today; typical GSC lag ~48h)</t>
        </is>
      </c>
      <c r="H47" s="28" t="inlineStr">
        <is>
          <t>No Search Analytics row matched this URL in the 30-day export (compare Final URL with the page URL shown in GSC)</t>
        </is>
      </c>
      <c r="I47" s="28" t="inlineStr">
        <is>
          <t>Standard</t>
        </is>
      </c>
      <c r="J47" s="28" t="n">
        <v>0</v>
      </c>
      <c r="K47" s="28" t="n">
        <v>2</v>
      </c>
      <c r="L47" s="28" t="inlineStr">
        <is>
          <t>Yes</t>
        </is>
      </c>
      <c r="M47" s="28" t="inlineStr">
        <is>
          <t>Monitor</t>
        </is>
      </c>
      <c r="N47" s="28" t="inlineStr">
        <is>
          <t>Copy Writer</t>
        </is>
      </c>
      <c r="O47" s="36" t="inlineStr">
        <is>
          <t>Open</t>
        </is>
      </c>
      <c r="P47" s="28" t="inlineStr"/>
      <c r="Q47" s="34" t="inlineStr"/>
      <c r="R47" s="32" t="n">
        <v>0</v>
      </c>
      <c r="S47" s="28" t="inlineStr">
        <is>
          <t>self</t>
        </is>
      </c>
      <c r="T47">
        <f>IFERROR(HYPERLINK("#'Main'!B"&amp;MATCH(TRIM(A47),'Main'!B:B,0),"Open"),HYPERLINK("#'Main'!B1","Open"))</f>
        <v/>
      </c>
      <c r="U47">
        <f>IFERROR(HYPERLINK("#'Technical Diagnostics'!A"&amp;MATCH(A47,'Technical Diagnostics'!A:A,0),"Open"),HYPERLINK("#'Technical Diagnostics'!A1","Open"))</f>
        <v/>
      </c>
    </row>
    <row r="48" ht="18" customHeight="1">
      <c r="A48" s="37" t="inlineStr">
        <is>
          <t>https://africanmarketingconfederation.org/smoke-archive/page-1</t>
        </is>
      </c>
      <c r="B48" s="30" t="n">
        <v>30</v>
      </c>
      <c r="C48" s="29" t="inlineStr">
        <is>
          <t>Warning</t>
        </is>
      </c>
      <c r="D48" s="30" t="n">
        <v>80</v>
      </c>
      <c r="E48" s="30" t="inlineStr"/>
      <c r="F48" s="30" t="n">
        <v>0</v>
      </c>
      <c r="G48" s="30" t="inlineStr">
        <is>
          <t>2026-06-01 to 2026-06-30 (30-day window; excludes today; typical GSC lag ~48h)</t>
        </is>
      </c>
      <c r="H48" s="30" t="inlineStr">
        <is>
          <t>No Search Analytics row matched this URL in the 30-day export (compare Final URL with the page URL shown in GSC)</t>
        </is>
      </c>
      <c r="I48" s="30" t="inlineStr">
        <is>
          <t>Standard</t>
        </is>
      </c>
      <c r="J48" s="30" t="n">
        <v>0</v>
      </c>
      <c r="K48" s="30" t="n">
        <v>1</v>
      </c>
      <c r="L48" s="30" t="inlineStr">
        <is>
          <t>Yes</t>
        </is>
      </c>
      <c r="M48" s="30" t="inlineStr">
        <is>
          <t>Monitor</t>
        </is>
      </c>
      <c r="N48" s="30" t="inlineStr">
        <is>
          <t>Copy Writer</t>
        </is>
      </c>
      <c r="O48" s="36" t="inlineStr">
        <is>
          <t>Open</t>
        </is>
      </c>
      <c r="P48" s="30" t="inlineStr"/>
      <c r="Q48" s="34" t="inlineStr"/>
      <c r="R48" s="32" t="n">
        <v>0</v>
      </c>
      <c r="S48" s="30" t="inlineStr">
        <is>
          <t>self</t>
        </is>
      </c>
      <c r="T48" s="38">
        <f>IFERROR(HYPERLINK("#'Main'!B"&amp;MATCH(TRIM(A48),'Main'!B:B,0),"Open"),HYPERLINK("#'Main'!B1","Open"))</f>
        <v/>
      </c>
      <c r="U48" s="38">
        <f>IFERROR(HYPERLINK("#'Technical Diagnostics'!A"&amp;MATCH(A48,'Technical Diagnostics'!A:A,0),"Open"),HYPERLINK("#'Technical Diagnostics'!A1","Open"))</f>
        <v/>
      </c>
    </row>
    <row r="49" ht="18" customHeight="1">
      <c r="A49" s="35" t="inlineStr">
        <is>
          <t>https://africanmarketingconfederation.org/smoke-archive/page-2</t>
        </is>
      </c>
      <c r="B49" s="28" t="n">
        <v>30</v>
      </c>
      <c r="C49" s="29" t="inlineStr">
        <is>
          <t>Warning</t>
        </is>
      </c>
      <c r="D49" s="28" t="n">
        <v>80</v>
      </c>
      <c r="E49" s="28" t="inlineStr"/>
      <c r="F49" s="28" t="n">
        <v>0</v>
      </c>
      <c r="G49" s="28" t="inlineStr">
        <is>
          <t>2026-06-01 to 2026-06-30 (30-day window; excludes today; typical GSC lag ~48h)</t>
        </is>
      </c>
      <c r="H49" s="28" t="inlineStr">
        <is>
          <t>No Search Analytics row matched this URL in the 30-day export (compare Final URL with the page URL shown in GSC)</t>
        </is>
      </c>
      <c r="I49" s="28" t="inlineStr">
        <is>
          <t>Standard</t>
        </is>
      </c>
      <c r="J49" s="28" t="n">
        <v>0</v>
      </c>
      <c r="K49" s="28" t="n">
        <v>1</v>
      </c>
      <c r="L49" s="28" t="inlineStr">
        <is>
          <t>Yes</t>
        </is>
      </c>
      <c r="M49" s="28" t="inlineStr">
        <is>
          <t>Monitor</t>
        </is>
      </c>
      <c r="N49" s="28" t="inlineStr">
        <is>
          <t>Copy Writer</t>
        </is>
      </c>
      <c r="O49" s="36" t="inlineStr">
        <is>
          <t>Open</t>
        </is>
      </c>
      <c r="P49" s="28" t="inlineStr"/>
      <c r="Q49" s="34" t="inlineStr"/>
      <c r="R49" s="32" t="n">
        <v>0</v>
      </c>
      <c r="S49" s="28" t="inlineStr">
        <is>
          <t>self</t>
        </is>
      </c>
      <c r="T49">
        <f>IFERROR(HYPERLINK("#'Main'!B"&amp;MATCH(TRIM(A49),'Main'!B:B,0),"Open"),HYPERLINK("#'Main'!B1","Open"))</f>
        <v/>
      </c>
      <c r="U49">
        <f>IFERROR(HYPERLINK("#'Technical Diagnostics'!A"&amp;MATCH(A49,'Technical Diagnostics'!A:A,0),"Open"),HYPERLINK("#'Technical Diagnostics'!A1","Open"))</f>
        <v/>
      </c>
    </row>
    <row r="50" ht="18" customHeight="1">
      <c r="A50" s="37" t="inlineStr">
        <is>
          <t>https://africanmarketingconfederation.org/smoke-archive/page-3</t>
        </is>
      </c>
      <c r="B50" s="30" t="n">
        <v>30</v>
      </c>
      <c r="C50" s="29" t="inlineStr">
        <is>
          <t>Warning</t>
        </is>
      </c>
      <c r="D50" s="30" t="n">
        <v>80</v>
      </c>
      <c r="E50" s="30" t="inlineStr"/>
      <c r="F50" s="30" t="n">
        <v>0</v>
      </c>
      <c r="G50" s="30" t="inlineStr">
        <is>
          <t>2026-06-01 to 2026-06-30 (30-day window; excludes today; typical GSC lag ~48h)</t>
        </is>
      </c>
      <c r="H50" s="30" t="inlineStr">
        <is>
          <t>No Search Analytics row matched this URL in the 30-day export (compare Final URL with the page URL shown in GSC)</t>
        </is>
      </c>
      <c r="I50" s="30" t="inlineStr">
        <is>
          <t>Standard</t>
        </is>
      </c>
      <c r="J50" s="30" t="n">
        <v>0</v>
      </c>
      <c r="K50" s="30" t="n">
        <v>1</v>
      </c>
      <c r="L50" s="30" t="inlineStr">
        <is>
          <t>Yes</t>
        </is>
      </c>
      <c r="M50" s="30" t="inlineStr">
        <is>
          <t>Monitor</t>
        </is>
      </c>
      <c r="N50" s="30" t="inlineStr">
        <is>
          <t>Copy Writer</t>
        </is>
      </c>
      <c r="O50" s="36" t="inlineStr">
        <is>
          <t>Open</t>
        </is>
      </c>
      <c r="P50" s="30" t="inlineStr"/>
      <c r="Q50" s="34" t="inlineStr"/>
      <c r="R50" s="32" t="n">
        <v>0</v>
      </c>
      <c r="S50" s="30" t="inlineStr">
        <is>
          <t>self</t>
        </is>
      </c>
      <c r="T50" s="38">
        <f>IFERROR(HYPERLINK("#'Main'!B"&amp;MATCH(TRIM(A50),'Main'!B:B,0),"Open"),HYPERLINK("#'Main'!B1","Open"))</f>
        <v/>
      </c>
      <c r="U50" s="38">
        <f>IFERROR(HYPERLINK("#'Technical Diagnostics'!A"&amp;MATCH(A50,'Technical Diagnostics'!A:A,0),"Open"),HYPERLINK("#'Technical Diagnostics'!A1","Open"))</f>
        <v/>
      </c>
    </row>
    <row r="51" ht="18" customHeight="1">
      <c r="A51" s="35" t="inlineStr">
        <is>
          <t>https://africanmarketingconfederation.org/smoke-archive/page-8</t>
        </is>
      </c>
      <c r="B51" s="28" t="n">
        <v>30</v>
      </c>
      <c r="C51" s="29" t="inlineStr">
        <is>
          <t>Warning</t>
        </is>
      </c>
      <c r="D51" s="28" t="n">
        <v>80</v>
      </c>
      <c r="E51" s="28" t="inlineStr"/>
      <c r="F51" s="28" t="n">
        <v>0</v>
      </c>
      <c r="G51" s="28" t="inlineStr">
        <is>
          <t>2026-06-01 to 2026-06-30 (30-day window; excludes today; typical GSC lag ~48h)</t>
        </is>
      </c>
      <c r="H51" s="28" t="inlineStr">
        <is>
          <t>No Search Analytics row matched this URL in the 30-day export (compare Final URL with the page URL shown in GSC)</t>
        </is>
      </c>
      <c r="I51" s="28" t="inlineStr">
        <is>
          <t>Standard</t>
        </is>
      </c>
      <c r="J51" s="28" t="n">
        <v>0</v>
      </c>
      <c r="K51" s="28" t="n">
        <v>1</v>
      </c>
      <c r="L51" s="28" t="inlineStr">
        <is>
          <t>Yes</t>
        </is>
      </c>
      <c r="M51" s="28" t="inlineStr">
        <is>
          <t>Monitor</t>
        </is>
      </c>
      <c r="N51" s="28" t="inlineStr">
        <is>
          <t>Copy Writer</t>
        </is>
      </c>
      <c r="O51" s="36" t="inlineStr">
        <is>
          <t>Open</t>
        </is>
      </c>
      <c r="P51" s="28" t="inlineStr"/>
      <c r="Q51" s="34" t="inlineStr"/>
      <c r="R51" s="32" t="n">
        <v>0</v>
      </c>
      <c r="S51" s="28" t="inlineStr">
        <is>
          <t>self</t>
        </is>
      </c>
      <c r="T51">
        <f>IFERROR(HYPERLINK("#'Main'!B"&amp;MATCH(TRIM(A51),'Main'!B:B,0),"Open"),HYPERLINK("#'Main'!B1","Open"))</f>
        <v/>
      </c>
      <c r="U51">
        <f>IFERROR(HYPERLINK("#'Technical Diagnostics'!A"&amp;MATCH(A51,'Technical Diagnostics'!A:A,0),"Open"),HYPERLINK("#'Technical Diagnostics'!A1","Open"))</f>
        <v/>
      </c>
    </row>
    <row r="52" ht="18" customHeight="1">
      <c r="A52" s="37" t="inlineStr">
        <is>
          <t>https://africanmarketingconfederation.org/smoke-archive/page-11</t>
        </is>
      </c>
      <c r="B52" s="30" t="n">
        <v>30</v>
      </c>
      <c r="C52" s="29" t="inlineStr">
        <is>
          <t>Warning</t>
        </is>
      </c>
      <c r="D52" s="30" t="n">
        <v>80</v>
      </c>
      <c r="E52" s="30" t="inlineStr"/>
      <c r="F52" s="30" t="n">
        <v>0</v>
      </c>
      <c r="G52" s="30" t="inlineStr">
        <is>
          <t>2026-06-01 to 2026-06-30 (30-day window; excludes today; typical GSC lag ~48h)</t>
        </is>
      </c>
      <c r="H52" s="30" t="inlineStr">
        <is>
          <t>No Search Analytics row matched this URL in the 30-day export (compare Final URL with the page URL shown in GSC)</t>
        </is>
      </c>
      <c r="I52" s="30" t="inlineStr">
        <is>
          <t>Standard</t>
        </is>
      </c>
      <c r="J52" s="30" t="n">
        <v>0</v>
      </c>
      <c r="K52" s="30" t="n">
        <v>1</v>
      </c>
      <c r="L52" s="30" t="inlineStr">
        <is>
          <t>Yes</t>
        </is>
      </c>
      <c r="M52" s="30" t="inlineStr">
        <is>
          <t>Monitor</t>
        </is>
      </c>
      <c r="N52" s="30" t="inlineStr">
        <is>
          <t>Copy Writer</t>
        </is>
      </c>
      <c r="O52" s="36" t="inlineStr">
        <is>
          <t>Open</t>
        </is>
      </c>
      <c r="P52" s="30" t="inlineStr"/>
      <c r="Q52" s="34" t="inlineStr"/>
      <c r="R52" s="32" t="n">
        <v>0</v>
      </c>
      <c r="S52" s="30" t="inlineStr"/>
      <c r="T52" s="38">
        <f>IFERROR(HYPERLINK("#'Main'!B"&amp;MATCH(TRIM(A52),'Main'!B:B,0),"Open"),HYPERLINK("#'Main'!B1","Open"))</f>
        <v/>
      </c>
      <c r="U52" s="38">
        <f>IFERROR(HYPERLINK("#'Technical Diagnostics'!A"&amp;MATCH(A52,'Technical Diagnostics'!A:A,0),"Open"),HYPERLINK("#'Technical Diagnostics'!A1","Open"))</f>
        <v/>
      </c>
    </row>
    <row r="53" ht="18" customHeight="1">
      <c r="A53" s="35" t="inlineStr">
        <is>
          <t>https://africanmarketingconfederation.org/smoke-archive/page-16</t>
        </is>
      </c>
      <c r="B53" s="28" t="n">
        <v>30</v>
      </c>
      <c r="C53" s="29" t="inlineStr">
        <is>
          <t>Warning</t>
        </is>
      </c>
      <c r="D53" s="28" t="n">
        <v>80</v>
      </c>
      <c r="E53" s="28" t="inlineStr"/>
      <c r="F53" s="28" t="n">
        <v>0</v>
      </c>
      <c r="G53" s="28" t="inlineStr">
        <is>
          <t>2026-06-01 to 2026-06-30 (30-day window; excludes today; typical GSC lag ~48h)</t>
        </is>
      </c>
      <c r="H53" s="28" t="inlineStr">
        <is>
          <t>No Search Analytics row matched this URL in the 30-day export (compare Final URL with the page URL shown in GSC)</t>
        </is>
      </c>
      <c r="I53" s="28" t="inlineStr">
        <is>
          <t>Standard</t>
        </is>
      </c>
      <c r="J53" s="28" t="n">
        <v>0</v>
      </c>
      <c r="K53" s="28" t="n">
        <v>1</v>
      </c>
      <c r="L53" s="28" t="inlineStr">
        <is>
          <t>Yes</t>
        </is>
      </c>
      <c r="M53" s="28" t="inlineStr">
        <is>
          <t>Monitor</t>
        </is>
      </c>
      <c r="N53" s="28" t="inlineStr">
        <is>
          <t>Copy Writer</t>
        </is>
      </c>
      <c r="O53" s="36" t="inlineStr">
        <is>
          <t>Open</t>
        </is>
      </c>
      <c r="P53" s="28" t="inlineStr"/>
      <c r="Q53" s="34" t="inlineStr"/>
      <c r="R53" s="32" t="n">
        <v>0</v>
      </c>
      <c r="S53" s="28" t="inlineStr">
        <is>
          <t>self</t>
        </is>
      </c>
      <c r="T53">
        <f>IFERROR(HYPERLINK("#'Main'!B"&amp;MATCH(TRIM(A53),'Main'!B:B,0),"Open"),HYPERLINK("#'Main'!B1","Open"))</f>
        <v/>
      </c>
      <c r="U53">
        <f>IFERROR(HYPERLINK("#'Technical Diagnostics'!A"&amp;MATCH(A53,'Technical Diagnostics'!A:A,0),"Open"),HYPERLINK("#'Technical Diagnostics'!A1","Open"))</f>
        <v/>
      </c>
    </row>
    <row r="54" ht="18" customHeight="1">
      <c r="A54" s="37" t="inlineStr">
        <is>
          <t>https://africanmarketingconfederation.org/smoke-archive/page-19</t>
        </is>
      </c>
      <c r="B54" s="30" t="n">
        <v>30</v>
      </c>
      <c r="C54" s="29" t="inlineStr">
        <is>
          <t>Warning</t>
        </is>
      </c>
      <c r="D54" s="30" t="n">
        <v>80</v>
      </c>
      <c r="E54" s="30" t="inlineStr"/>
      <c r="F54" s="30" t="n">
        <v>0</v>
      </c>
      <c r="G54" s="30" t="inlineStr">
        <is>
          <t>2026-06-01 to 2026-06-30 (30-day window; excludes today; typical GSC lag ~48h)</t>
        </is>
      </c>
      <c r="H54" s="30" t="inlineStr">
        <is>
          <t>No Search Analytics row matched this URL in the 30-day export (compare Final URL with the page URL shown in GSC)</t>
        </is>
      </c>
      <c r="I54" s="30" t="inlineStr">
        <is>
          <t>Standard</t>
        </is>
      </c>
      <c r="J54" s="30" t="n">
        <v>0</v>
      </c>
      <c r="K54" s="30" t="n">
        <v>1</v>
      </c>
      <c r="L54" s="30" t="inlineStr">
        <is>
          <t>Yes</t>
        </is>
      </c>
      <c r="M54" s="30" t="inlineStr">
        <is>
          <t>Monitor</t>
        </is>
      </c>
      <c r="N54" s="30" t="inlineStr">
        <is>
          <t>Copy Writer</t>
        </is>
      </c>
      <c r="O54" s="36" t="inlineStr">
        <is>
          <t>Open</t>
        </is>
      </c>
      <c r="P54" s="30" t="inlineStr"/>
      <c r="Q54" s="34" t="inlineStr"/>
      <c r="R54" s="32" t="n">
        <v>0</v>
      </c>
      <c r="S54" s="30" t="inlineStr">
        <is>
          <t>self</t>
        </is>
      </c>
      <c r="T54" s="38">
        <f>IFERROR(HYPERLINK("#'Main'!B"&amp;MATCH(TRIM(A54),'Main'!B:B,0),"Open"),HYPERLINK("#'Main'!B1","Open"))</f>
        <v/>
      </c>
      <c r="U54" s="38">
        <f>IFERROR(HYPERLINK("#'Technical Diagnostics'!A"&amp;MATCH(A54,'Technical Diagnostics'!A:A,0),"Open"),HYPERLINK("#'Technical Diagnostics'!A1","Open"))</f>
        <v/>
      </c>
    </row>
    <row r="55" ht="18" customHeight="1">
      <c r="A55" s="35" t="inlineStr">
        <is>
          <t>https://africanmarketingconfederation.org/smoke-archive/page-22</t>
        </is>
      </c>
      <c r="B55" s="28" t="n">
        <v>30</v>
      </c>
      <c r="C55" s="29" t="inlineStr">
        <is>
          <t>Warning</t>
        </is>
      </c>
      <c r="D55" s="28" t="n">
        <v>80</v>
      </c>
      <c r="E55" s="28" t="inlineStr"/>
      <c r="F55" s="28" t="n">
        <v>0</v>
      </c>
      <c r="G55" s="28" t="inlineStr">
        <is>
          <t>2026-06-01 to 2026-06-30 (30-day window; excludes today; typical GSC lag ~48h)</t>
        </is>
      </c>
      <c r="H55" s="28" t="inlineStr">
        <is>
          <t>No Search Analytics row matched this URL in the 30-day export (compare Final URL with the page URL shown in GSC)</t>
        </is>
      </c>
      <c r="I55" s="28" t="inlineStr">
        <is>
          <t>Standard</t>
        </is>
      </c>
      <c r="J55" s="28" t="n">
        <v>0</v>
      </c>
      <c r="K55" s="28" t="n">
        <v>1</v>
      </c>
      <c r="L55" s="28" t="inlineStr">
        <is>
          <t>Yes</t>
        </is>
      </c>
      <c r="M55" s="28" t="inlineStr">
        <is>
          <t>Monitor</t>
        </is>
      </c>
      <c r="N55" s="28" t="inlineStr">
        <is>
          <t>Copy Writer</t>
        </is>
      </c>
      <c r="O55" s="36" t="inlineStr">
        <is>
          <t>Open</t>
        </is>
      </c>
      <c r="P55" s="28" t="inlineStr"/>
      <c r="Q55" s="34" t="inlineStr"/>
      <c r="R55" s="32" t="n">
        <v>0</v>
      </c>
      <c r="S55" s="28" t="inlineStr"/>
      <c r="T55">
        <f>IFERROR(HYPERLINK("#'Main'!B"&amp;MATCH(TRIM(A55),'Main'!B:B,0),"Open"),HYPERLINK("#'Main'!B1","Open"))</f>
        <v/>
      </c>
      <c r="U55">
        <f>IFERROR(HYPERLINK("#'Technical Diagnostics'!A"&amp;MATCH(A55,'Technical Diagnostics'!A:A,0),"Open"),HYPERLINK("#'Technical Diagnostics'!A1","Open"))</f>
        <v/>
      </c>
    </row>
    <row r="56" ht="18" customHeight="1">
      <c r="A56" s="37" t="inlineStr">
        <is>
          <t>https://africanmarketingconfederation.org/smoke-archive/page-23</t>
        </is>
      </c>
      <c r="B56" s="30" t="n">
        <v>30</v>
      </c>
      <c r="C56" s="29" t="inlineStr">
        <is>
          <t>Warning</t>
        </is>
      </c>
      <c r="D56" s="30" t="n">
        <v>80</v>
      </c>
      <c r="E56" s="30" t="inlineStr"/>
      <c r="F56" s="30" t="n">
        <v>0</v>
      </c>
      <c r="G56" s="30" t="inlineStr">
        <is>
          <t>2026-06-01 to 2026-06-30 (30-day window; excludes today; typical GSC lag ~48h)</t>
        </is>
      </c>
      <c r="H56" s="30" t="inlineStr">
        <is>
          <t>No Search Analytics row matched this URL in the 30-day export (compare Final URL with the page URL shown in GSC)</t>
        </is>
      </c>
      <c r="I56" s="30" t="inlineStr">
        <is>
          <t>Standard</t>
        </is>
      </c>
      <c r="J56" s="30" t="n">
        <v>0</v>
      </c>
      <c r="K56" s="30" t="n">
        <v>1</v>
      </c>
      <c r="L56" s="30" t="inlineStr">
        <is>
          <t>Yes</t>
        </is>
      </c>
      <c r="M56" s="30" t="inlineStr">
        <is>
          <t>Monitor</t>
        </is>
      </c>
      <c r="N56" s="30" t="inlineStr">
        <is>
          <t>Copy Writer</t>
        </is>
      </c>
      <c r="O56" s="36" t="inlineStr">
        <is>
          <t>Open</t>
        </is>
      </c>
      <c r="P56" s="30" t="inlineStr"/>
      <c r="Q56" s="34" t="inlineStr"/>
      <c r="R56" s="32" t="n">
        <v>0</v>
      </c>
      <c r="S56" s="30" t="inlineStr">
        <is>
          <t>self</t>
        </is>
      </c>
      <c r="T56" s="38">
        <f>IFERROR(HYPERLINK("#'Main'!B"&amp;MATCH(TRIM(A56),'Main'!B:B,0),"Open"),HYPERLINK("#'Main'!B1","Open"))</f>
        <v/>
      </c>
      <c r="U56" s="38">
        <f>IFERROR(HYPERLINK("#'Technical Diagnostics'!A"&amp;MATCH(A56,'Technical Diagnostics'!A:A,0),"Open"),HYPERLINK("#'Technical Diagnostics'!A1","Open"))</f>
        <v/>
      </c>
    </row>
    <row r="57" ht="18" customHeight="1">
      <c r="A57" s="35" t="inlineStr">
        <is>
          <t>https://africanmarketingconfederation.org/smoke-archive/page-28</t>
        </is>
      </c>
      <c r="B57" s="28" t="n">
        <v>30</v>
      </c>
      <c r="C57" s="29" t="inlineStr">
        <is>
          <t>Warning</t>
        </is>
      </c>
      <c r="D57" s="28" t="n">
        <v>80</v>
      </c>
      <c r="E57" s="28" t="inlineStr"/>
      <c r="F57" s="28" t="n">
        <v>0</v>
      </c>
      <c r="G57" s="28" t="inlineStr">
        <is>
          <t>2026-06-01 to 2026-06-30 (30-day window; excludes today; typical GSC lag ~48h)</t>
        </is>
      </c>
      <c r="H57" s="28" t="inlineStr">
        <is>
          <t>No Search Analytics row matched this URL in the 30-day export (compare Final URL with the page URL shown in GSC)</t>
        </is>
      </c>
      <c r="I57" s="28" t="inlineStr">
        <is>
          <t>Standard</t>
        </is>
      </c>
      <c r="J57" s="28" t="n">
        <v>0</v>
      </c>
      <c r="K57" s="28" t="n">
        <v>1</v>
      </c>
      <c r="L57" s="28" t="inlineStr">
        <is>
          <t>Yes</t>
        </is>
      </c>
      <c r="M57" s="28" t="inlineStr">
        <is>
          <t>Monitor</t>
        </is>
      </c>
      <c r="N57" s="28" t="inlineStr">
        <is>
          <t>Copy Writer</t>
        </is>
      </c>
      <c r="O57" s="36" t="inlineStr">
        <is>
          <t>Open</t>
        </is>
      </c>
      <c r="P57" s="28" t="inlineStr"/>
      <c r="Q57" s="34" t="inlineStr"/>
      <c r="R57" s="32" t="n">
        <v>0</v>
      </c>
      <c r="S57" s="28" t="inlineStr">
        <is>
          <t>self</t>
        </is>
      </c>
      <c r="T57">
        <f>IFERROR(HYPERLINK("#'Main'!B"&amp;MATCH(TRIM(A57),'Main'!B:B,0),"Open"),HYPERLINK("#'Main'!B1","Open"))</f>
        <v/>
      </c>
      <c r="U57">
        <f>IFERROR(HYPERLINK("#'Technical Diagnostics'!A"&amp;MATCH(A57,'Technical Diagnostics'!A:A,0),"Open"),HYPERLINK("#'Technical Diagnostics'!A1","Open"))</f>
        <v/>
      </c>
    </row>
    <row r="58" ht="18" customHeight="1">
      <c r="A58" s="37" t="inlineStr">
        <is>
          <t>https://africanmarketingconfederation.org/smoke-archive/page-29</t>
        </is>
      </c>
      <c r="B58" s="30" t="n">
        <v>30</v>
      </c>
      <c r="C58" s="29" t="inlineStr">
        <is>
          <t>Warning</t>
        </is>
      </c>
      <c r="D58" s="30" t="n">
        <v>80</v>
      </c>
      <c r="E58" s="30" t="inlineStr"/>
      <c r="F58" s="30" t="n">
        <v>0</v>
      </c>
      <c r="G58" s="30" t="inlineStr">
        <is>
          <t>2026-06-01 to 2026-06-30 (30-day window; excludes today; typical GSC lag ~48h)</t>
        </is>
      </c>
      <c r="H58" s="30" t="inlineStr">
        <is>
          <t>No Search Analytics row matched this URL in the 30-day export (compare Final URL with the page URL shown in GSC)</t>
        </is>
      </c>
      <c r="I58" s="30" t="inlineStr">
        <is>
          <t>Standard</t>
        </is>
      </c>
      <c r="J58" s="30" t="n">
        <v>0</v>
      </c>
      <c r="K58" s="30" t="n">
        <v>1</v>
      </c>
      <c r="L58" s="30" t="inlineStr">
        <is>
          <t>Yes</t>
        </is>
      </c>
      <c r="M58" s="30" t="inlineStr">
        <is>
          <t>Monitor</t>
        </is>
      </c>
      <c r="N58" s="30" t="inlineStr">
        <is>
          <t>Copy Writer</t>
        </is>
      </c>
      <c r="O58" s="36" t="inlineStr">
        <is>
          <t>Open</t>
        </is>
      </c>
      <c r="P58" s="30" t="inlineStr"/>
      <c r="Q58" s="34" t="inlineStr"/>
      <c r="R58" s="32" t="n">
        <v>0</v>
      </c>
      <c r="S58" s="30" t="inlineStr">
        <is>
          <t>self</t>
        </is>
      </c>
      <c r="T58" s="38">
        <f>IFERROR(HYPERLINK("#'Main'!B"&amp;MATCH(TRIM(A58),'Main'!B:B,0),"Open"),HYPERLINK("#'Main'!B1","Open"))</f>
        <v/>
      </c>
      <c r="U58" s="38">
        <f>IFERROR(HYPERLINK("#'Technical Diagnostics'!A"&amp;MATCH(A58,'Technical Diagnostics'!A:A,0),"Open"),HYPERLINK("#'Technical Diagnostics'!A1","Open"))</f>
        <v/>
      </c>
    </row>
    <row r="59" ht="18" customHeight="1">
      <c r="A59" s="35" t="inlineStr">
        <is>
          <t>https://africanmarketingconfederation.org/smoke-archive/page-31</t>
        </is>
      </c>
      <c r="B59" s="28" t="n">
        <v>30</v>
      </c>
      <c r="C59" s="29" t="inlineStr">
        <is>
          <t>Warning</t>
        </is>
      </c>
      <c r="D59" s="28" t="n">
        <v>80</v>
      </c>
      <c r="E59" s="28" t="inlineStr"/>
      <c r="F59" s="28" t="n">
        <v>0</v>
      </c>
      <c r="G59" s="28" t="inlineStr">
        <is>
          <t>2026-06-01 to 2026-06-30 (30-day window; excludes today; typical GSC lag ~48h)</t>
        </is>
      </c>
      <c r="H59" s="28" t="inlineStr">
        <is>
          <t>No Search Analytics row matched this URL in the 30-day export (compare Final URL with the page URL shown in GSC)</t>
        </is>
      </c>
      <c r="I59" s="28" t="inlineStr">
        <is>
          <t>Standard</t>
        </is>
      </c>
      <c r="J59" s="28" t="n">
        <v>0</v>
      </c>
      <c r="K59" s="28" t="n">
        <v>1</v>
      </c>
      <c r="L59" s="28" t="inlineStr">
        <is>
          <t>Yes</t>
        </is>
      </c>
      <c r="M59" s="28" t="inlineStr">
        <is>
          <t>Monitor</t>
        </is>
      </c>
      <c r="N59" s="28" t="inlineStr">
        <is>
          <t>Copy Writer</t>
        </is>
      </c>
      <c r="O59" s="36" t="inlineStr">
        <is>
          <t>Open</t>
        </is>
      </c>
      <c r="P59" s="28" t="inlineStr"/>
      <c r="Q59" s="34" t="inlineStr"/>
      <c r="R59" s="32" t="n">
        <v>0</v>
      </c>
      <c r="S59" s="28" t="inlineStr">
        <is>
          <t>self</t>
        </is>
      </c>
      <c r="T59">
        <f>IFERROR(HYPERLINK("#'Main'!B"&amp;MATCH(TRIM(A59),'Main'!B:B,0),"Open"),HYPERLINK("#'Main'!B1","Open"))</f>
        <v/>
      </c>
      <c r="U59">
        <f>IFERROR(HYPERLINK("#'Technical Diagnostics'!A"&amp;MATCH(A59,'Technical Diagnostics'!A:A,0),"Open"),HYPERLINK("#'Technical Diagnostics'!A1","Open"))</f>
        <v/>
      </c>
    </row>
    <row r="60" ht="18" customHeight="1">
      <c r="A60" s="37" t="inlineStr">
        <is>
          <t>https://africanmarketingconfederation.org/smoke-archive/page-32</t>
        </is>
      </c>
      <c r="B60" s="30" t="n">
        <v>30</v>
      </c>
      <c r="C60" s="29" t="inlineStr">
        <is>
          <t>Warning</t>
        </is>
      </c>
      <c r="D60" s="30" t="n">
        <v>80</v>
      </c>
      <c r="E60" s="30" t="inlineStr"/>
      <c r="F60" s="30" t="n">
        <v>0</v>
      </c>
      <c r="G60" s="30" t="inlineStr">
        <is>
          <t>2026-06-01 to 2026-06-30 (30-day window; excludes today; typical GSC lag ~48h)</t>
        </is>
      </c>
      <c r="H60" s="30" t="inlineStr">
        <is>
          <t>No Search Analytics row matched this URL in the 30-day export (compare Final URL with the page URL shown in GSC)</t>
        </is>
      </c>
      <c r="I60" s="30" t="inlineStr">
        <is>
          <t>Standard</t>
        </is>
      </c>
      <c r="J60" s="30" t="n">
        <v>0</v>
      </c>
      <c r="K60" s="30" t="n">
        <v>1</v>
      </c>
      <c r="L60" s="30" t="inlineStr">
        <is>
          <t>Yes</t>
        </is>
      </c>
      <c r="M60" s="30" t="inlineStr">
        <is>
          <t>Monitor</t>
        </is>
      </c>
      <c r="N60" s="30" t="inlineStr">
        <is>
          <t>Copy Writer</t>
        </is>
      </c>
      <c r="O60" s="36" t="inlineStr">
        <is>
          <t>Open</t>
        </is>
      </c>
      <c r="P60" s="30" t="inlineStr"/>
      <c r="Q60" s="34" t="inlineStr"/>
      <c r="R60" s="32" t="n">
        <v>0</v>
      </c>
      <c r="S60" s="30" t="inlineStr">
        <is>
          <t>self</t>
        </is>
      </c>
      <c r="T60" s="38">
        <f>IFERROR(HYPERLINK("#'Main'!B"&amp;MATCH(TRIM(A60),'Main'!B:B,0),"Open"),HYPERLINK("#'Main'!B1","Open"))</f>
        <v/>
      </c>
      <c r="U60" s="38">
        <f>IFERROR(HYPERLINK("#'Technical Diagnostics'!A"&amp;MATCH(A60,'Technical Diagnostics'!A:A,0),"Open"),HYPERLINK("#'Technical Diagnostics'!A1","Open"))</f>
        <v/>
      </c>
    </row>
    <row r="61" ht="18" customHeight="1">
      <c r="A61" s="35" t="inlineStr">
        <is>
          <t>https://africanmarketingconfederation.org/smoke-archive/page-33</t>
        </is>
      </c>
      <c r="B61" s="28" t="n">
        <v>30</v>
      </c>
      <c r="C61" s="29" t="inlineStr">
        <is>
          <t>Warning</t>
        </is>
      </c>
      <c r="D61" s="28" t="n">
        <v>80</v>
      </c>
      <c r="E61" s="28" t="inlineStr"/>
      <c r="F61" s="28" t="n">
        <v>0</v>
      </c>
      <c r="G61" s="28" t="inlineStr">
        <is>
          <t>2026-06-01 to 2026-06-30 (30-day window; excludes today; typical GSC lag ~48h)</t>
        </is>
      </c>
      <c r="H61" s="28" t="inlineStr">
        <is>
          <t>No Search Analytics row matched this URL in the 30-day export (compare Final URL with the page URL shown in GSC)</t>
        </is>
      </c>
      <c r="I61" s="28" t="inlineStr">
        <is>
          <t>Standard</t>
        </is>
      </c>
      <c r="J61" s="28" t="n">
        <v>0</v>
      </c>
      <c r="K61" s="28" t="n">
        <v>1</v>
      </c>
      <c r="L61" s="28" t="inlineStr">
        <is>
          <t>Yes</t>
        </is>
      </c>
      <c r="M61" s="28" t="inlineStr">
        <is>
          <t>Monitor</t>
        </is>
      </c>
      <c r="N61" s="28" t="inlineStr">
        <is>
          <t>Copy Writer</t>
        </is>
      </c>
      <c r="O61" s="36" t="inlineStr">
        <is>
          <t>Open</t>
        </is>
      </c>
      <c r="P61" s="28" t="inlineStr"/>
      <c r="Q61" s="34" t="inlineStr"/>
      <c r="R61" s="32" t="n">
        <v>0</v>
      </c>
      <c r="S61" s="28" t="inlineStr"/>
      <c r="T61">
        <f>IFERROR(HYPERLINK("#'Main'!B"&amp;MATCH(TRIM(A61),'Main'!B:B,0),"Open"),HYPERLINK("#'Main'!B1","Open"))</f>
        <v/>
      </c>
      <c r="U61">
        <f>IFERROR(HYPERLINK("#'Technical Diagnostics'!A"&amp;MATCH(A61,'Technical Diagnostics'!A:A,0),"Open"),HYPERLINK("#'Technical Diagnostics'!A1","Open"))</f>
        <v/>
      </c>
    </row>
    <row r="62" ht="18" customHeight="1">
      <c r="A62" s="37" t="inlineStr">
        <is>
          <t>https://africanmarketingconfederation.org/smoke-archive/page-37</t>
        </is>
      </c>
      <c r="B62" s="30" t="n">
        <v>30</v>
      </c>
      <c r="C62" s="29" t="inlineStr">
        <is>
          <t>Warning</t>
        </is>
      </c>
      <c r="D62" s="30" t="n">
        <v>80</v>
      </c>
      <c r="E62" s="30" t="inlineStr"/>
      <c r="F62" s="30" t="n">
        <v>0</v>
      </c>
      <c r="G62" s="30" t="inlineStr">
        <is>
          <t>2026-06-01 to 2026-06-30 (30-day window; excludes today; typical GSC lag ~48h)</t>
        </is>
      </c>
      <c r="H62" s="30" t="inlineStr">
        <is>
          <t>No Search Analytics row matched this URL in the 30-day export (compare Final URL with the page URL shown in GSC)</t>
        </is>
      </c>
      <c r="I62" s="30" t="inlineStr">
        <is>
          <t>Standard</t>
        </is>
      </c>
      <c r="J62" s="30" t="n">
        <v>0</v>
      </c>
      <c r="K62" s="30" t="n">
        <v>1</v>
      </c>
      <c r="L62" s="30" t="inlineStr">
        <is>
          <t>Yes</t>
        </is>
      </c>
      <c r="M62" s="30" t="inlineStr">
        <is>
          <t>Monitor</t>
        </is>
      </c>
      <c r="N62" s="30" t="inlineStr">
        <is>
          <t>Copy Writer</t>
        </is>
      </c>
      <c r="O62" s="36" t="inlineStr">
        <is>
          <t>Open</t>
        </is>
      </c>
      <c r="P62" s="30" t="inlineStr"/>
      <c r="Q62" s="34" t="inlineStr"/>
      <c r="R62" s="32" t="n">
        <v>0</v>
      </c>
      <c r="S62" s="30" t="inlineStr">
        <is>
          <t>self</t>
        </is>
      </c>
      <c r="T62" s="38">
        <f>IFERROR(HYPERLINK("#'Main'!B"&amp;MATCH(TRIM(A62),'Main'!B:B,0),"Open"),HYPERLINK("#'Main'!B1","Open"))</f>
        <v/>
      </c>
      <c r="U62" s="38">
        <f>IFERROR(HYPERLINK("#'Technical Diagnostics'!A"&amp;MATCH(A62,'Technical Diagnostics'!A:A,0),"Open"),HYPERLINK("#'Technical Diagnostics'!A1","Open"))</f>
        <v/>
      </c>
    </row>
    <row r="63" ht="18" customHeight="1">
      <c r="A63" s="35" t="inlineStr">
        <is>
          <t>https://africanmarketingconfederation.org/smoke-archive/page-38</t>
        </is>
      </c>
      <c r="B63" s="28" t="n">
        <v>30</v>
      </c>
      <c r="C63" s="29" t="inlineStr">
        <is>
          <t>Warning</t>
        </is>
      </c>
      <c r="D63" s="28" t="n">
        <v>80</v>
      </c>
      <c r="E63" s="28" t="inlineStr"/>
      <c r="F63" s="28" t="n">
        <v>0</v>
      </c>
      <c r="G63" s="28" t="inlineStr">
        <is>
          <t>2026-06-01 to 2026-06-30 (30-day window; excludes today; typical GSC lag ~48h)</t>
        </is>
      </c>
      <c r="H63" s="28" t="inlineStr">
        <is>
          <t>No Search Analytics row matched this URL in the 30-day export (compare Final URL with the page URL shown in GSC)</t>
        </is>
      </c>
      <c r="I63" s="28" t="inlineStr">
        <is>
          <t>Standard</t>
        </is>
      </c>
      <c r="J63" s="28" t="n">
        <v>0</v>
      </c>
      <c r="K63" s="28" t="n">
        <v>1</v>
      </c>
      <c r="L63" s="28" t="inlineStr">
        <is>
          <t>Yes</t>
        </is>
      </c>
      <c r="M63" s="28" t="inlineStr">
        <is>
          <t>Monitor</t>
        </is>
      </c>
      <c r="N63" s="28" t="inlineStr">
        <is>
          <t>Copy Writer</t>
        </is>
      </c>
      <c r="O63" s="36" t="inlineStr">
        <is>
          <t>Open</t>
        </is>
      </c>
      <c r="P63" s="28" t="inlineStr"/>
      <c r="Q63" s="34" t="inlineStr"/>
      <c r="R63" s="32" t="n">
        <v>0</v>
      </c>
      <c r="S63" s="28" t="inlineStr">
        <is>
          <t>self</t>
        </is>
      </c>
      <c r="T63">
        <f>IFERROR(HYPERLINK("#'Main'!B"&amp;MATCH(TRIM(A63),'Main'!B:B,0),"Open"),HYPERLINK("#'Main'!B1","Open"))</f>
        <v/>
      </c>
      <c r="U63">
        <f>IFERROR(HYPERLINK("#'Technical Diagnostics'!A"&amp;MATCH(A63,'Technical Diagnostics'!A:A,0),"Open"),HYPERLINK("#'Technical Diagnostics'!A1","Open"))</f>
        <v/>
      </c>
    </row>
    <row r="64" ht="18" customHeight="1">
      <c r="A64" s="37" t="inlineStr">
        <is>
          <t>https://africanmarketingconfederation.org/smoke-archive/page-41</t>
        </is>
      </c>
      <c r="B64" s="30" t="n">
        <v>30</v>
      </c>
      <c r="C64" s="29" t="inlineStr">
        <is>
          <t>Warning</t>
        </is>
      </c>
      <c r="D64" s="30" t="n">
        <v>80</v>
      </c>
      <c r="E64" s="30" t="inlineStr"/>
      <c r="F64" s="30" t="n">
        <v>0</v>
      </c>
      <c r="G64" s="30" t="inlineStr">
        <is>
          <t>2026-06-01 to 2026-06-30 (30-day window; excludes today; typical GSC lag ~48h)</t>
        </is>
      </c>
      <c r="H64" s="30" t="inlineStr">
        <is>
          <t>No Search Analytics row matched this URL in the 30-day export (compare Final URL with the page URL shown in GSC)</t>
        </is>
      </c>
      <c r="I64" s="30" t="inlineStr">
        <is>
          <t>Standard</t>
        </is>
      </c>
      <c r="J64" s="30" t="n">
        <v>0</v>
      </c>
      <c r="K64" s="30" t="n">
        <v>1</v>
      </c>
      <c r="L64" s="30" t="inlineStr">
        <is>
          <t>Yes</t>
        </is>
      </c>
      <c r="M64" s="30" t="inlineStr">
        <is>
          <t>Monitor</t>
        </is>
      </c>
      <c r="N64" s="30" t="inlineStr">
        <is>
          <t>Copy Writer</t>
        </is>
      </c>
      <c r="O64" s="36" t="inlineStr">
        <is>
          <t>Open</t>
        </is>
      </c>
      <c r="P64" s="30" t="inlineStr"/>
      <c r="Q64" s="34" t="inlineStr"/>
      <c r="R64" s="32" t="n">
        <v>0</v>
      </c>
      <c r="S64" s="30" t="inlineStr">
        <is>
          <t>self</t>
        </is>
      </c>
      <c r="T64" s="38">
        <f>IFERROR(HYPERLINK("#'Main'!B"&amp;MATCH(TRIM(A64),'Main'!B:B,0),"Open"),HYPERLINK("#'Main'!B1","Open"))</f>
        <v/>
      </c>
      <c r="U64" s="38">
        <f>IFERROR(HYPERLINK("#'Technical Diagnostics'!A"&amp;MATCH(A64,'Technical Diagnostics'!A:A,0),"Open"),HYPERLINK("#'Technical Diagnostics'!A1","Open"))</f>
        <v/>
      </c>
    </row>
    <row r="65" ht="18" customHeight="1">
      <c r="A65" s="35" t="inlineStr">
        <is>
          <t>https://africanmarketingconfederation.org/smoke-archive/page-43</t>
        </is>
      </c>
      <c r="B65" s="28" t="n">
        <v>30</v>
      </c>
      <c r="C65" s="29" t="inlineStr">
        <is>
          <t>Warning</t>
        </is>
      </c>
      <c r="D65" s="28" t="n">
        <v>80</v>
      </c>
      <c r="E65" s="28" t="inlineStr"/>
      <c r="F65" s="28" t="n">
        <v>0</v>
      </c>
      <c r="G65" s="28" t="inlineStr">
        <is>
          <t>2026-06-01 to 2026-06-30 (30-day window; excludes today; typical GSC lag ~48h)</t>
        </is>
      </c>
      <c r="H65" s="28" t="inlineStr">
        <is>
          <t>No Search Analytics row matched this URL in the 30-day export (compare Final URL with the page URL shown in GSC)</t>
        </is>
      </c>
      <c r="I65" s="28" t="inlineStr">
        <is>
          <t>Standard</t>
        </is>
      </c>
      <c r="J65" s="28" t="n">
        <v>0</v>
      </c>
      <c r="K65" s="28" t="n">
        <v>1</v>
      </c>
      <c r="L65" s="28" t="inlineStr">
        <is>
          <t>Yes</t>
        </is>
      </c>
      <c r="M65" s="28" t="inlineStr">
        <is>
          <t>Monitor</t>
        </is>
      </c>
      <c r="N65" s="28" t="inlineStr">
        <is>
          <t>Copy Writer</t>
        </is>
      </c>
      <c r="O65" s="36" t="inlineStr">
        <is>
          <t>Open</t>
        </is>
      </c>
      <c r="P65" s="28" t="inlineStr"/>
      <c r="Q65" s="34" t="inlineStr"/>
      <c r="R65" s="32" t="n">
        <v>0</v>
      </c>
      <c r="S65" s="28" t="inlineStr">
        <is>
          <t>self</t>
        </is>
      </c>
      <c r="T65">
        <f>IFERROR(HYPERLINK("#'Main'!B"&amp;MATCH(TRIM(A65),'Main'!B:B,0),"Open"),HYPERLINK("#'Main'!B1","Open"))</f>
        <v/>
      </c>
      <c r="U65">
        <f>IFERROR(HYPERLINK("#'Technical Diagnostics'!A"&amp;MATCH(A65,'Technical Diagnostics'!A:A,0),"Open"),HYPERLINK("#'Technical Diagnostics'!A1","Open"))</f>
        <v/>
      </c>
    </row>
    <row r="66" ht="18" customHeight="1">
      <c r="A66" s="37" t="inlineStr">
        <is>
          <t>https://africanmarketingconfederation.org/smoke-archive/page-46</t>
        </is>
      </c>
      <c r="B66" s="30" t="n">
        <v>30</v>
      </c>
      <c r="C66" s="29" t="inlineStr">
        <is>
          <t>Warning</t>
        </is>
      </c>
      <c r="D66" s="30" t="n">
        <v>80</v>
      </c>
      <c r="E66" s="30" t="inlineStr"/>
      <c r="F66" s="30" t="n">
        <v>0</v>
      </c>
      <c r="G66" s="30" t="inlineStr">
        <is>
          <t>2026-06-01 to 2026-06-30 (30-day window; excludes today; typical GSC lag ~48h)</t>
        </is>
      </c>
      <c r="H66" s="30" t="inlineStr">
        <is>
          <t>No Search Analytics row matched this URL in the 30-day export (compare Final URL with the page URL shown in GSC)</t>
        </is>
      </c>
      <c r="I66" s="30" t="inlineStr">
        <is>
          <t>Standard</t>
        </is>
      </c>
      <c r="J66" s="30" t="n">
        <v>0</v>
      </c>
      <c r="K66" s="30" t="n">
        <v>1</v>
      </c>
      <c r="L66" s="30" t="inlineStr">
        <is>
          <t>Yes</t>
        </is>
      </c>
      <c r="M66" s="30" t="inlineStr">
        <is>
          <t>Monitor</t>
        </is>
      </c>
      <c r="N66" s="30" t="inlineStr">
        <is>
          <t>Copy Writer</t>
        </is>
      </c>
      <c r="O66" s="36" t="inlineStr">
        <is>
          <t>Open</t>
        </is>
      </c>
      <c r="P66" s="30" t="inlineStr"/>
      <c r="Q66" s="34" t="inlineStr"/>
      <c r="R66" s="32" t="n">
        <v>0</v>
      </c>
      <c r="S66" s="30" t="inlineStr">
        <is>
          <t>self</t>
        </is>
      </c>
      <c r="T66" s="38">
        <f>IFERROR(HYPERLINK("#'Main'!B"&amp;MATCH(TRIM(A66),'Main'!B:B,0),"Open"),HYPERLINK("#'Main'!B1","Open"))</f>
        <v/>
      </c>
      <c r="U66" s="38">
        <f>IFERROR(HYPERLINK("#'Technical Diagnostics'!A"&amp;MATCH(A66,'Technical Diagnostics'!A:A,0),"Open"),HYPERLINK("#'Technical Diagnostics'!A1","Open"))</f>
        <v/>
      </c>
    </row>
    <row r="67" ht="18" customHeight="1">
      <c r="A67" s="35" t="inlineStr">
        <is>
          <t>https://africanmarketingconfederation.org/smoke-archive/page-47</t>
        </is>
      </c>
      <c r="B67" s="28" t="n">
        <v>30</v>
      </c>
      <c r="C67" s="29" t="inlineStr">
        <is>
          <t>Warning</t>
        </is>
      </c>
      <c r="D67" s="28" t="n">
        <v>80</v>
      </c>
      <c r="E67" s="28" t="inlineStr"/>
      <c r="F67" s="28" t="n">
        <v>0</v>
      </c>
      <c r="G67" s="28" t="inlineStr">
        <is>
          <t>2026-06-01 to 2026-06-30 (30-day window; excludes today; typical GSC lag ~48h)</t>
        </is>
      </c>
      <c r="H67" s="28" t="inlineStr">
        <is>
          <t>No Search Analytics row matched this URL in the 30-day export (compare Final URL with the page URL shown in GSC)</t>
        </is>
      </c>
      <c r="I67" s="28" t="inlineStr">
        <is>
          <t>Standard</t>
        </is>
      </c>
      <c r="J67" s="28" t="n">
        <v>0</v>
      </c>
      <c r="K67" s="28" t="n">
        <v>1</v>
      </c>
      <c r="L67" s="28" t="inlineStr">
        <is>
          <t>Yes</t>
        </is>
      </c>
      <c r="M67" s="28" t="inlineStr">
        <is>
          <t>Monitor</t>
        </is>
      </c>
      <c r="N67" s="28" t="inlineStr">
        <is>
          <t>Copy Writer</t>
        </is>
      </c>
      <c r="O67" s="36" t="inlineStr">
        <is>
          <t>Open</t>
        </is>
      </c>
      <c r="P67" s="28" t="inlineStr"/>
      <c r="Q67" s="34" t="inlineStr"/>
      <c r="R67" s="32" t="n">
        <v>0</v>
      </c>
      <c r="S67" s="28" t="inlineStr">
        <is>
          <t>self</t>
        </is>
      </c>
      <c r="T67">
        <f>IFERROR(HYPERLINK("#'Main'!B"&amp;MATCH(TRIM(A67),'Main'!B:B,0),"Open"),HYPERLINK("#'Main'!B1","Open"))</f>
        <v/>
      </c>
      <c r="U67">
        <f>IFERROR(HYPERLINK("#'Technical Diagnostics'!A"&amp;MATCH(A67,'Technical Diagnostics'!A:A,0),"Open"),HYPERLINK("#'Technical Diagnostics'!A1","Open"))</f>
        <v/>
      </c>
    </row>
    <row r="68" ht="18" customHeight="1">
      <c r="A68" s="37" t="inlineStr">
        <is>
          <t>https://africanmarketingconfederation.org/smoke-archive/page-53</t>
        </is>
      </c>
      <c r="B68" s="30" t="n">
        <v>30</v>
      </c>
      <c r="C68" s="29" t="inlineStr">
        <is>
          <t>Warning</t>
        </is>
      </c>
      <c r="D68" s="30" t="n">
        <v>80</v>
      </c>
      <c r="E68" s="30" t="inlineStr"/>
      <c r="F68" s="30" t="n">
        <v>0</v>
      </c>
      <c r="G68" s="30" t="inlineStr">
        <is>
          <t>2026-06-01 to 2026-06-30 (30-day window; excludes today; typical GSC lag ~48h)</t>
        </is>
      </c>
      <c r="H68" s="30" t="inlineStr">
        <is>
          <t>No Search Analytics row matched this URL in the 30-day export (compare Final URL with the page URL shown in GSC)</t>
        </is>
      </c>
      <c r="I68" s="30" t="inlineStr">
        <is>
          <t>Standard</t>
        </is>
      </c>
      <c r="J68" s="30" t="n">
        <v>0</v>
      </c>
      <c r="K68" s="30" t="n">
        <v>1</v>
      </c>
      <c r="L68" s="30" t="inlineStr">
        <is>
          <t>Yes</t>
        </is>
      </c>
      <c r="M68" s="30" t="inlineStr">
        <is>
          <t>Monitor</t>
        </is>
      </c>
      <c r="N68" s="30" t="inlineStr">
        <is>
          <t>Copy Writer</t>
        </is>
      </c>
      <c r="O68" s="36" t="inlineStr">
        <is>
          <t>Open</t>
        </is>
      </c>
      <c r="P68" s="30" t="inlineStr"/>
      <c r="Q68" s="34" t="inlineStr"/>
      <c r="R68" s="32" t="n">
        <v>0</v>
      </c>
      <c r="S68" s="30" t="inlineStr">
        <is>
          <t>self</t>
        </is>
      </c>
      <c r="T68" s="38">
        <f>IFERROR(HYPERLINK("#'Main'!B"&amp;MATCH(TRIM(A68),'Main'!B:B,0),"Open"),HYPERLINK("#'Main'!B1","Open"))</f>
        <v/>
      </c>
      <c r="U68" s="38">
        <f>IFERROR(HYPERLINK("#'Technical Diagnostics'!A"&amp;MATCH(A68,'Technical Diagnostics'!A:A,0),"Open"),HYPERLINK("#'Technical Diagnostics'!A1","Open"))</f>
        <v/>
      </c>
    </row>
    <row r="69" ht="18" customHeight="1">
      <c r="A69" s="35" t="inlineStr">
        <is>
          <t>https://africanmarketingconfederation.org/smoke-archive/page-57</t>
        </is>
      </c>
      <c r="B69" s="28" t="n">
        <v>30</v>
      </c>
      <c r="C69" s="29" t="inlineStr">
        <is>
          <t>Warning</t>
        </is>
      </c>
      <c r="D69" s="28" t="n">
        <v>80</v>
      </c>
      <c r="E69" s="28" t="inlineStr"/>
      <c r="F69" s="28" t="n">
        <v>0</v>
      </c>
      <c r="G69" s="28" t="inlineStr">
        <is>
          <t>2026-06-01 to 2026-06-30 (30-day window; excludes today; typical GSC lag ~48h)</t>
        </is>
      </c>
      <c r="H69" s="28" t="inlineStr">
        <is>
          <t>No Search Analytics row matched this URL in the 30-day export (compare Final URL with the page URL shown in GSC)</t>
        </is>
      </c>
      <c r="I69" s="28" t="inlineStr">
        <is>
          <t>Standard</t>
        </is>
      </c>
      <c r="J69" s="28" t="n">
        <v>0</v>
      </c>
      <c r="K69" s="28" t="n">
        <v>1</v>
      </c>
      <c r="L69" s="28" t="inlineStr">
        <is>
          <t>Yes</t>
        </is>
      </c>
      <c r="M69" s="28" t="inlineStr">
        <is>
          <t>Monitor</t>
        </is>
      </c>
      <c r="N69" s="28" t="inlineStr">
        <is>
          <t>Copy Writer</t>
        </is>
      </c>
      <c r="O69" s="36" t="inlineStr">
        <is>
          <t>Open</t>
        </is>
      </c>
      <c r="P69" s="28" t="inlineStr"/>
      <c r="Q69" s="34" t="inlineStr"/>
      <c r="R69" s="32" t="n">
        <v>0</v>
      </c>
      <c r="S69" s="28" t="inlineStr">
        <is>
          <t>self</t>
        </is>
      </c>
      <c r="T69">
        <f>IFERROR(HYPERLINK("#'Main'!B"&amp;MATCH(TRIM(A69),'Main'!B:B,0),"Open"),HYPERLINK("#'Main'!B1","Open"))</f>
        <v/>
      </c>
      <c r="U69">
        <f>IFERROR(HYPERLINK("#'Technical Diagnostics'!A"&amp;MATCH(A69,'Technical Diagnostics'!A:A,0),"Open"),HYPERLINK("#'Technical Diagnostics'!A1","Open"))</f>
        <v/>
      </c>
    </row>
    <row r="70" ht="18" customHeight="1">
      <c r="A70" s="37" t="inlineStr">
        <is>
          <t>https://africanmarketingconfederation.org/smoke-archive/page-58</t>
        </is>
      </c>
      <c r="B70" s="30" t="n">
        <v>30</v>
      </c>
      <c r="C70" s="29" t="inlineStr">
        <is>
          <t>Warning</t>
        </is>
      </c>
      <c r="D70" s="30" t="n">
        <v>80</v>
      </c>
      <c r="E70" s="30" t="inlineStr"/>
      <c r="F70" s="30" t="n">
        <v>0</v>
      </c>
      <c r="G70" s="30" t="inlineStr">
        <is>
          <t>2026-06-01 to 2026-06-30 (30-day window; excludes today; typical GSC lag ~48h)</t>
        </is>
      </c>
      <c r="H70" s="30" t="inlineStr">
        <is>
          <t>No Search Analytics row matched this URL in the 30-day export (compare Final URL with the page URL shown in GSC)</t>
        </is>
      </c>
      <c r="I70" s="30" t="inlineStr">
        <is>
          <t>Standard</t>
        </is>
      </c>
      <c r="J70" s="30" t="n">
        <v>0</v>
      </c>
      <c r="K70" s="30" t="n">
        <v>1</v>
      </c>
      <c r="L70" s="30" t="inlineStr">
        <is>
          <t>Yes</t>
        </is>
      </c>
      <c r="M70" s="30" t="inlineStr">
        <is>
          <t>Monitor</t>
        </is>
      </c>
      <c r="N70" s="30" t="inlineStr">
        <is>
          <t>Copy Writer</t>
        </is>
      </c>
      <c r="O70" s="36" t="inlineStr">
        <is>
          <t>Open</t>
        </is>
      </c>
      <c r="P70" s="30" t="inlineStr"/>
      <c r="Q70" s="34" t="inlineStr"/>
      <c r="R70" s="32" t="n">
        <v>0</v>
      </c>
      <c r="S70" s="30" t="inlineStr">
        <is>
          <t>self</t>
        </is>
      </c>
      <c r="T70" s="38">
        <f>IFERROR(HYPERLINK("#'Main'!B"&amp;MATCH(TRIM(A70),'Main'!B:B,0),"Open"),HYPERLINK("#'Main'!B1","Open"))</f>
        <v/>
      </c>
      <c r="U70" s="38">
        <f>IFERROR(HYPERLINK("#'Technical Diagnostics'!A"&amp;MATCH(A70,'Technical Diagnostics'!A:A,0),"Open"),HYPERLINK("#'Technical Diagnostics'!A1","Open"))</f>
        <v/>
      </c>
    </row>
    <row r="71" ht="18" customHeight="1">
      <c r="A71" s="35" t="inlineStr">
        <is>
          <t>https://africanmarketingconfederation.org/smoke-archive/page-59</t>
        </is>
      </c>
      <c r="B71" s="28" t="n">
        <v>30</v>
      </c>
      <c r="C71" s="29" t="inlineStr">
        <is>
          <t>Warning</t>
        </is>
      </c>
      <c r="D71" s="28" t="n">
        <v>80</v>
      </c>
      <c r="E71" s="28" t="inlineStr"/>
      <c r="F71" s="28" t="n">
        <v>0</v>
      </c>
      <c r="G71" s="28" t="inlineStr">
        <is>
          <t>2026-06-01 to 2026-06-30 (30-day window; excludes today; typical GSC lag ~48h)</t>
        </is>
      </c>
      <c r="H71" s="28" t="inlineStr">
        <is>
          <t>No Search Analytics row matched this URL in the 30-day export (compare Final URL with the page URL shown in GSC)</t>
        </is>
      </c>
      <c r="I71" s="28" t="inlineStr">
        <is>
          <t>Standard</t>
        </is>
      </c>
      <c r="J71" s="28" t="n">
        <v>0</v>
      </c>
      <c r="K71" s="28" t="n">
        <v>1</v>
      </c>
      <c r="L71" s="28" t="inlineStr">
        <is>
          <t>Yes</t>
        </is>
      </c>
      <c r="M71" s="28" t="inlineStr">
        <is>
          <t>Monitor</t>
        </is>
      </c>
      <c r="N71" s="28" t="inlineStr">
        <is>
          <t>Copy Writer</t>
        </is>
      </c>
      <c r="O71" s="36" t="inlineStr">
        <is>
          <t>Open</t>
        </is>
      </c>
      <c r="P71" s="28" t="inlineStr"/>
      <c r="Q71" s="34" t="inlineStr"/>
      <c r="R71" s="32" t="n">
        <v>0</v>
      </c>
      <c r="S71" s="28" t="inlineStr">
        <is>
          <t>self</t>
        </is>
      </c>
      <c r="T71">
        <f>IFERROR(HYPERLINK("#'Main'!B"&amp;MATCH(TRIM(A71),'Main'!B:B,0),"Open"),HYPERLINK("#'Main'!B1","Open"))</f>
        <v/>
      </c>
      <c r="U71">
        <f>IFERROR(HYPERLINK("#'Technical Diagnostics'!A"&amp;MATCH(A71,'Technical Diagnostics'!A:A,0),"Open"),HYPERLINK("#'Technical Diagnostics'!A1","Open"))</f>
        <v/>
      </c>
    </row>
    <row r="72" ht="18" customHeight="1">
      <c r="A72" s="37" t="inlineStr">
        <is>
          <t>https://africanmarketingconfederation.org/smoke-archive/page-61</t>
        </is>
      </c>
      <c r="B72" s="30" t="n">
        <v>30</v>
      </c>
      <c r="C72" s="29" t="inlineStr">
        <is>
          <t>Warning</t>
        </is>
      </c>
      <c r="D72" s="30" t="n">
        <v>80</v>
      </c>
      <c r="E72" s="30" t="inlineStr"/>
      <c r="F72" s="30" t="n">
        <v>0</v>
      </c>
      <c r="G72" s="30" t="inlineStr">
        <is>
          <t>2026-06-01 to 2026-06-30 (30-day window; excludes today; typical GSC lag ~48h)</t>
        </is>
      </c>
      <c r="H72" s="30" t="inlineStr">
        <is>
          <t>No Search Analytics row matched this URL in the 30-day export (compare Final URL with the page URL shown in GSC)</t>
        </is>
      </c>
      <c r="I72" s="30" t="inlineStr">
        <is>
          <t>Standard</t>
        </is>
      </c>
      <c r="J72" s="30" t="n">
        <v>0</v>
      </c>
      <c r="K72" s="30" t="n">
        <v>1</v>
      </c>
      <c r="L72" s="30" t="inlineStr">
        <is>
          <t>Yes</t>
        </is>
      </c>
      <c r="M72" s="30" t="inlineStr">
        <is>
          <t>Monitor</t>
        </is>
      </c>
      <c r="N72" s="30" t="inlineStr">
        <is>
          <t>Copy Writer</t>
        </is>
      </c>
      <c r="O72" s="36" t="inlineStr">
        <is>
          <t>Open</t>
        </is>
      </c>
      <c r="P72" s="30" t="inlineStr"/>
      <c r="Q72" s="34" t="inlineStr"/>
      <c r="R72" s="32" t="n">
        <v>0</v>
      </c>
      <c r="S72" s="30" t="inlineStr">
        <is>
          <t>self</t>
        </is>
      </c>
      <c r="T72" s="38">
        <f>IFERROR(HYPERLINK("#'Main'!B"&amp;MATCH(TRIM(A72),'Main'!B:B,0),"Open"),HYPERLINK("#'Main'!B1","Open"))</f>
        <v/>
      </c>
      <c r="U72" s="38">
        <f>IFERROR(HYPERLINK("#'Technical Diagnostics'!A"&amp;MATCH(A72,'Technical Diagnostics'!A:A,0),"Open"),HYPERLINK("#'Technical Diagnostics'!A1","Open"))</f>
        <v/>
      </c>
    </row>
    <row r="73" ht="18" customHeight="1">
      <c r="A73" s="35" t="inlineStr">
        <is>
          <t>https://africanmarketingconfederation.org/smoke-archive/page-62</t>
        </is>
      </c>
      <c r="B73" s="28" t="n">
        <v>30</v>
      </c>
      <c r="C73" s="29" t="inlineStr">
        <is>
          <t>Warning</t>
        </is>
      </c>
      <c r="D73" s="28" t="n">
        <v>80</v>
      </c>
      <c r="E73" s="28" t="inlineStr"/>
      <c r="F73" s="28" t="n">
        <v>0</v>
      </c>
      <c r="G73" s="28" t="inlineStr">
        <is>
          <t>2026-06-01 to 2026-06-30 (30-day window; excludes today; typical GSC lag ~48h)</t>
        </is>
      </c>
      <c r="H73" s="28" t="inlineStr">
        <is>
          <t>No Search Analytics row matched this URL in the 30-day export (compare Final URL with the page URL shown in GSC)</t>
        </is>
      </c>
      <c r="I73" s="28" t="inlineStr">
        <is>
          <t>Standard</t>
        </is>
      </c>
      <c r="J73" s="28" t="n">
        <v>0</v>
      </c>
      <c r="K73" s="28" t="n">
        <v>1</v>
      </c>
      <c r="L73" s="28" t="inlineStr">
        <is>
          <t>Yes</t>
        </is>
      </c>
      <c r="M73" s="28" t="inlineStr">
        <is>
          <t>Monitor</t>
        </is>
      </c>
      <c r="N73" s="28" t="inlineStr">
        <is>
          <t>Copy Writer</t>
        </is>
      </c>
      <c r="O73" s="36" t="inlineStr">
        <is>
          <t>Open</t>
        </is>
      </c>
      <c r="P73" s="28" t="inlineStr"/>
      <c r="Q73" s="34" t="inlineStr"/>
      <c r="R73" s="32" t="n">
        <v>0</v>
      </c>
      <c r="S73" s="28" t="inlineStr">
        <is>
          <t>self</t>
        </is>
      </c>
      <c r="T73">
        <f>IFERROR(HYPERLINK("#'Main'!B"&amp;MATCH(TRIM(A73),'Main'!B:B,0),"Open"),HYPERLINK("#'Main'!B1","Open"))</f>
        <v/>
      </c>
      <c r="U73">
        <f>IFERROR(HYPERLINK("#'Technical Diagnostics'!A"&amp;MATCH(A73,'Technical Diagnostics'!A:A,0),"Open"),HYPERLINK("#'Technical Diagnostics'!A1","Open"))</f>
        <v/>
      </c>
    </row>
    <row r="74" ht="18" customHeight="1">
      <c r="A74" s="37" t="inlineStr">
        <is>
          <t>https://africanmarketingconfederation.org/smoke-archive/page-64</t>
        </is>
      </c>
      <c r="B74" s="30" t="n">
        <v>30</v>
      </c>
      <c r="C74" s="29" t="inlineStr">
        <is>
          <t>Warning</t>
        </is>
      </c>
      <c r="D74" s="30" t="n">
        <v>80</v>
      </c>
      <c r="E74" s="30" t="inlineStr"/>
      <c r="F74" s="30" t="n">
        <v>0</v>
      </c>
      <c r="G74" s="30" t="inlineStr">
        <is>
          <t>2026-06-01 to 2026-06-30 (30-day window; excludes today; typical GSC lag ~48h)</t>
        </is>
      </c>
      <c r="H74" s="30" t="inlineStr">
        <is>
          <t>No Search Analytics row matched this URL in the 30-day export (compare Final URL with the page URL shown in GSC)</t>
        </is>
      </c>
      <c r="I74" s="30" t="inlineStr">
        <is>
          <t>Standard</t>
        </is>
      </c>
      <c r="J74" s="30" t="n">
        <v>0</v>
      </c>
      <c r="K74" s="30" t="n">
        <v>1</v>
      </c>
      <c r="L74" s="30" t="inlineStr">
        <is>
          <t>Yes</t>
        </is>
      </c>
      <c r="M74" s="30" t="inlineStr">
        <is>
          <t>Monitor</t>
        </is>
      </c>
      <c r="N74" s="30" t="inlineStr">
        <is>
          <t>Copy Writer</t>
        </is>
      </c>
      <c r="O74" s="36" t="inlineStr">
        <is>
          <t>Open</t>
        </is>
      </c>
      <c r="P74" s="30" t="inlineStr"/>
      <c r="Q74" s="34" t="inlineStr"/>
      <c r="R74" s="32" t="n">
        <v>0</v>
      </c>
      <c r="S74" s="30" t="inlineStr">
        <is>
          <t>self</t>
        </is>
      </c>
      <c r="T74" s="38">
        <f>IFERROR(HYPERLINK("#'Main'!B"&amp;MATCH(TRIM(A74),'Main'!B:B,0),"Open"),HYPERLINK("#'Main'!B1","Open"))</f>
        <v/>
      </c>
      <c r="U74" s="38">
        <f>IFERROR(HYPERLINK("#'Technical Diagnostics'!A"&amp;MATCH(A74,'Technical Diagnostics'!A:A,0),"Open"),HYPERLINK("#'Technical Diagnostics'!A1","Open"))</f>
        <v/>
      </c>
    </row>
    <row r="75" ht="18" customHeight="1">
      <c r="A75" s="35" t="inlineStr">
        <is>
          <t>https://africanmarketingconfederation.org/smoke-archive/page-67</t>
        </is>
      </c>
      <c r="B75" s="28" t="n">
        <v>30</v>
      </c>
      <c r="C75" s="29" t="inlineStr">
        <is>
          <t>Warning</t>
        </is>
      </c>
      <c r="D75" s="28" t="n">
        <v>80</v>
      </c>
      <c r="E75" s="28" t="inlineStr"/>
      <c r="F75" s="28" t="n">
        <v>0</v>
      </c>
      <c r="G75" s="28" t="inlineStr">
        <is>
          <t>2026-06-01 to 2026-06-30 (30-day window; excludes today; typical GSC lag ~48h)</t>
        </is>
      </c>
      <c r="H75" s="28" t="inlineStr">
        <is>
          <t>No Search Analytics row matched this URL in the 30-day export (compare Final URL with the page URL shown in GSC)</t>
        </is>
      </c>
      <c r="I75" s="28" t="inlineStr">
        <is>
          <t>Standard</t>
        </is>
      </c>
      <c r="J75" s="28" t="n">
        <v>0</v>
      </c>
      <c r="K75" s="28" t="n">
        <v>1</v>
      </c>
      <c r="L75" s="28" t="inlineStr">
        <is>
          <t>Yes</t>
        </is>
      </c>
      <c r="M75" s="28" t="inlineStr">
        <is>
          <t>Monitor</t>
        </is>
      </c>
      <c r="N75" s="28" t="inlineStr">
        <is>
          <t>Copy Writer</t>
        </is>
      </c>
      <c r="O75" s="36" t="inlineStr">
        <is>
          <t>Open</t>
        </is>
      </c>
      <c r="P75" s="28" t="inlineStr"/>
      <c r="Q75" s="34" t="inlineStr"/>
      <c r="R75" s="32" t="n">
        <v>0</v>
      </c>
      <c r="S75" s="28" t="inlineStr">
        <is>
          <t>self</t>
        </is>
      </c>
      <c r="T75">
        <f>IFERROR(HYPERLINK("#'Main'!B"&amp;MATCH(TRIM(A75),'Main'!B:B,0),"Open"),HYPERLINK("#'Main'!B1","Open"))</f>
        <v/>
      </c>
      <c r="U75">
        <f>IFERROR(HYPERLINK("#'Technical Diagnostics'!A"&amp;MATCH(A75,'Technical Diagnostics'!A:A,0),"Open"),HYPERLINK("#'Technical Diagnostics'!A1","Open"))</f>
        <v/>
      </c>
    </row>
    <row r="76" ht="18" customHeight="1">
      <c r="A76" s="37" t="inlineStr">
        <is>
          <t>https://africanmarketingconfederation.org/smoke-archive/page-69</t>
        </is>
      </c>
      <c r="B76" s="30" t="n">
        <v>30</v>
      </c>
      <c r="C76" s="29" t="inlineStr">
        <is>
          <t>Warning</t>
        </is>
      </c>
      <c r="D76" s="30" t="n">
        <v>80</v>
      </c>
      <c r="E76" s="30" t="inlineStr"/>
      <c r="F76" s="30" t="n">
        <v>0</v>
      </c>
      <c r="G76" s="30" t="inlineStr">
        <is>
          <t>2026-06-01 to 2026-06-30 (30-day window; excludes today; typical GSC lag ~48h)</t>
        </is>
      </c>
      <c r="H76" s="30" t="inlineStr">
        <is>
          <t>No Search Analytics row matched this URL in the 30-day export (compare Final URL with the page URL shown in GSC)</t>
        </is>
      </c>
      <c r="I76" s="30" t="inlineStr">
        <is>
          <t>Standard</t>
        </is>
      </c>
      <c r="J76" s="30" t="n">
        <v>0</v>
      </c>
      <c r="K76" s="30" t="n">
        <v>1</v>
      </c>
      <c r="L76" s="30" t="inlineStr">
        <is>
          <t>Yes</t>
        </is>
      </c>
      <c r="M76" s="30" t="inlineStr">
        <is>
          <t>Monitor</t>
        </is>
      </c>
      <c r="N76" s="30" t="inlineStr">
        <is>
          <t>Copy Writer</t>
        </is>
      </c>
      <c r="O76" s="36" t="inlineStr">
        <is>
          <t>Open</t>
        </is>
      </c>
      <c r="P76" s="30" t="inlineStr"/>
      <c r="Q76" s="34" t="inlineStr"/>
      <c r="R76" s="32" t="n">
        <v>0</v>
      </c>
      <c r="S76" s="30" t="inlineStr">
        <is>
          <t>self</t>
        </is>
      </c>
      <c r="T76" s="38">
        <f>IFERROR(HYPERLINK("#'Main'!B"&amp;MATCH(TRIM(A76),'Main'!B:B,0),"Open"),HYPERLINK("#'Main'!B1","Open"))</f>
        <v/>
      </c>
      <c r="U76" s="38">
        <f>IFERROR(HYPERLINK("#'Technical Diagnostics'!A"&amp;MATCH(A76,'Technical Diagnostics'!A:A,0),"Open"),HYPERLINK("#'Technical Diagnostics'!A1","Open"))</f>
        <v/>
      </c>
    </row>
    <row r="77" ht="18" customHeight="1">
      <c r="A77" s="35" t="inlineStr">
        <is>
          <t>https://africanmarketingconfederation.org/smoke-archive/page-71</t>
        </is>
      </c>
      <c r="B77" s="28" t="n">
        <v>30</v>
      </c>
      <c r="C77" s="29" t="inlineStr">
        <is>
          <t>Warning</t>
        </is>
      </c>
      <c r="D77" s="28" t="n">
        <v>80</v>
      </c>
      <c r="E77" s="28" t="inlineStr"/>
      <c r="F77" s="28" t="n">
        <v>0</v>
      </c>
      <c r="G77" s="28" t="inlineStr">
        <is>
          <t>2026-06-01 to 2026-06-30 (30-day window; excludes today; typical GSC lag ~48h)</t>
        </is>
      </c>
      <c r="H77" s="28" t="inlineStr">
        <is>
          <t>No Search Analytics row matched this URL in the 30-day export (compare Final URL with the page URL shown in GSC)</t>
        </is>
      </c>
      <c r="I77" s="28" t="inlineStr">
        <is>
          <t>Standard</t>
        </is>
      </c>
      <c r="J77" s="28" t="n">
        <v>0</v>
      </c>
      <c r="K77" s="28" t="n">
        <v>1</v>
      </c>
      <c r="L77" s="28" t="inlineStr">
        <is>
          <t>Yes</t>
        </is>
      </c>
      <c r="M77" s="28" t="inlineStr">
        <is>
          <t>Monitor</t>
        </is>
      </c>
      <c r="N77" s="28" t="inlineStr">
        <is>
          <t>Copy Writer</t>
        </is>
      </c>
      <c r="O77" s="36" t="inlineStr">
        <is>
          <t>Open</t>
        </is>
      </c>
      <c r="P77" s="28" t="inlineStr"/>
      <c r="Q77" s="34" t="inlineStr"/>
      <c r="R77" s="32" t="n">
        <v>0</v>
      </c>
      <c r="S77" s="28" t="inlineStr">
        <is>
          <t>self</t>
        </is>
      </c>
      <c r="T77">
        <f>IFERROR(HYPERLINK("#'Main'!B"&amp;MATCH(TRIM(A77),'Main'!B:B,0),"Open"),HYPERLINK("#'Main'!B1","Open"))</f>
        <v/>
      </c>
      <c r="U77">
        <f>IFERROR(HYPERLINK("#'Technical Diagnostics'!A"&amp;MATCH(A77,'Technical Diagnostics'!A:A,0),"Open"),HYPERLINK("#'Technical Diagnostics'!A1","Open"))</f>
        <v/>
      </c>
    </row>
    <row r="78" ht="18" customHeight="1">
      <c r="A78" s="37" t="inlineStr">
        <is>
          <t>https://africanmarketingconfederation.org/smoke-archive/page-73</t>
        </is>
      </c>
      <c r="B78" s="30" t="n">
        <v>30</v>
      </c>
      <c r="C78" s="29" t="inlineStr">
        <is>
          <t>Warning</t>
        </is>
      </c>
      <c r="D78" s="30" t="n">
        <v>80</v>
      </c>
      <c r="E78" s="30" t="inlineStr"/>
      <c r="F78" s="30" t="n">
        <v>0</v>
      </c>
      <c r="G78" s="30" t="inlineStr">
        <is>
          <t>2026-06-01 to 2026-06-30 (30-day window; excludes today; typical GSC lag ~48h)</t>
        </is>
      </c>
      <c r="H78" s="30" t="inlineStr">
        <is>
          <t>No Search Analytics row matched this URL in the 30-day export (compare Final URL with the page URL shown in GSC)</t>
        </is>
      </c>
      <c r="I78" s="30" t="inlineStr">
        <is>
          <t>Standard</t>
        </is>
      </c>
      <c r="J78" s="30" t="n">
        <v>0</v>
      </c>
      <c r="K78" s="30" t="n">
        <v>1</v>
      </c>
      <c r="L78" s="30" t="inlineStr">
        <is>
          <t>Yes</t>
        </is>
      </c>
      <c r="M78" s="30" t="inlineStr">
        <is>
          <t>Monitor</t>
        </is>
      </c>
      <c r="N78" s="30" t="inlineStr">
        <is>
          <t>Copy Writer</t>
        </is>
      </c>
      <c r="O78" s="36" t="inlineStr">
        <is>
          <t>Open</t>
        </is>
      </c>
      <c r="P78" s="30" t="inlineStr"/>
      <c r="Q78" s="34" t="inlineStr"/>
      <c r="R78" s="32" t="n">
        <v>0</v>
      </c>
      <c r="S78" s="30" t="inlineStr">
        <is>
          <t>self</t>
        </is>
      </c>
      <c r="T78" s="38">
        <f>IFERROR(HYPERLINK("#'Main'!B"&amp;MATCH(TRIM(A78),'Main'!B:B,0),"Open"),HYPERLINK("#'Main'!B1","Open"))</f>
        <v/>
      </c>
      <c r="U78" s="38">
        <f>IFERROR(HYPERLINK("#'Technical Diagnostics'!A"&amp;MATCH(A78,'Technical Diagnostics'!A:A,0),"Open"),HYPERLINK("#'Technical Diagnostics'!A1","Open"))</f>
        <v/>
      </c>
    </row>
    <row r="79" ht="18" customHeight="1">
      <c r="A79" s="35" t="inlineStr">
        <is>
          <t>https://africanmarketingconfederation.org/smoke-archive/page-74</t>
        </is>
      </c>
      <c r="B79" s="28" t="n">
        <v>30</v>
      </c>
      <c r="C79" s="29" t="inlineStr">
        <is>
          <t>Warning</t>
        </is>
      </c>
      <c r="D79" s="28" t="n">
        <v>80</v>
      </c>
      <c r="E79" s="28" t="inlineStr"/>
      <c r="F79" s="28" t="n">
        <v>0</v>
      </c>
      <c r="G79" s="28" t="inlineStr">
        <is>
          <t>2026-06-01 to 2026-06-30 (30-day window; excludes today; typical GSC lag ~48h)</t>
        </is>
      </c>
      <c r="H79" s="28" t="inlineStr">
        <is>
          <t>No Search Analytics row matched this URL in the 30-day export (compare Final URL with the page URL shown in GSC)</t>
        </is>
      </c>
      <c r="I79" s="28" t="inlineStr">
        <is>
          <t>Standard</t>
        </is>
      </c>
      <c r="J79" s="28" t="n">
        <v>0</v>
      </c>
      <c r="K79" s="28" t="n">
        <v>1</v>
      </c>
      <c r="L79" s="28" t="inlineStr">
        <is>
          <t>Yes</t>
        </is>
      </c>
      <c r="M79" s="28" t="inlineStr">
        <is>
          <t>Monitor</t>
        </is>
      </c>
      <c r="N79" s="28" t="inlineStr">
        <is>
          <t>Copy Writer</t>
        </is>
      </c>
      <c r="O79" s="36" t="inlineStr">
        <is>
          <t>Open</t>
        </is>
      </c>
      <c r="P79" s="28" t="inlineStr"/>
      <c r="Q79" s="34" t="inlineStr"/>
      <c r="R79" s="32" t="n">
        <v>0</v>
      </c>
      <c r="S79" s="28" t="inlineStr">
        <is>
          <t>self</t>
        </is>
      </c>
      <c r="T79">
        <f>IFERROR(HYPERLINK("#'Main'!B"&amp;MATCH(TRIM(A79),'Main'!B:B,0),"Open"),HYPERLINK("#'Main'!B1","Open"))</f>
        <v/>
      </c>
      <c r="U79">
        <f>IFERROR(HYPERLINK("#'Technical Diagnostics'!A"&amp;MATCH(A79,'Technical Diagnostics'!A:A,0),"Open"),HYPERLINK("#'Technical Diagnostics'!A1","Open"))</f>
        <v/>
      </c>
    </row>
    <row r="80" ht="18" customHeight="1">
      <c r="A80" s="37" t="inlineStr">
        <is>
          <t>https://africanmarketingconfederation.org/smoke-archive/page-79</t>
        </is>
      </c>
      <c r="B80" s="30" t="n">
        <v>30</v>
      </c>
      <c r="C80" s="29" t="inlineStr">
        <is>
          <t>Warning</t>
        </is>
      </c>
      <c r="D80" s="30" t="n">
        <v>80</v>
      </c>
      <c r="E80" s="30" t="inlineStr"/>
      <c r="F80" s="30" t="n">
        <v>0</v>
      </c>
      <c r="G80" s="30" t="inlineStr">
        <is>
          <t>2026-06-01 to 2026-06-30 (30-day window; excludes today; typical GSC lag ~48h)</t>
        </is>
      </c>
      <c r="H80" s="30" t="inlineStr">
        <is>
          <t>No Search Analytics row matched this URL in the 30-day export (compare Final URL with the page URL shown in GSC)</t>
        </is>
      </c>
      <c r="I80" s="30" t="inlineStr">
        <is>
          <t>Standard</t>
        </is>
      </c>
      <c r="J80" s="30" t="n">
        <v>0</v>
      </c>
      <c r="K80" s="30" t="n">
        <v>1</v>
      </c>
      <c r="L80" s="30" t="inlineStr">
        <is>
          <t>Yes</t>
        </is>
      </c>
      <c r="M80" s="30" t="inlineStr">
        <is>
          <t>Monitor</t>
        </is>
      </c>
      <c r="N80" s="30" t="inlineStr">
        <is>
          <t>Copy Writer</t>
        </is>
      </c>
      <c r="O80" s="36" t="inlineStr">
        <is>
          <t>Open</t>
        </is>
      </c>
      <c r="P80" s="30" t="inlineStr"/>
      <c r="Q80" s="34" t="inlineStr"/>
      <c r="R80" s="32" t="n">
        <v>0</v>
      </c>
      <c r="S80" s="30" t="inlineStr">
        <is>
          <t>self</t>
        </is>
      </c>
      <c r="T80" s="38">
        <f>IFERROR(HYPERLINK("#'Main'!B"&amp;MATCH(TRIM(A80),'Main'!B:B,0),"Open"),HYPERLINK("#'Main'!B1","Open"))</f>
        <v/>
      </c>
      <c r="U80" s="38">
        <f>IFERROR(HYPERLINK("#'Technical Diagnostics'!A"&amp;MATCH(A80,'Technical Diagnostics'!A:A,0),"Open"),HYPERLINK("#'Technical Diagnostics'!A1","Open"))</f>
        <v/>
      </c>
    </row>
    <row r="81" ht="18" customHeight="1">
      <c r="A81" s="35" t="inlineStr">
        <is>
          <t>https://africanmarketingconfederation.org/discovered-via-bfs-2</t>
        </is>
      </c>
      <c r="B81" s="28" t="n">
        <v>30</v>
      </c>
      <c r="C81" s="29" t="inlineStr">
        <is>
          <t>Warning</t>
        </is>
      </c>
      <c r="D81" s="28" t="n">
        <v>80</v>
      </c>
      <c r="E81" s="28" t="inlineStr"/>
      <c r="F81" s="28" t="n">
        <v>0</v>
      </c>
      <c r="G81" s="28" t="inlineStr">
        <is>
          <t>2026-06-01 to 2026-06-30 (30-day window; excludes today; typical GSC lag ~48h)</t>
        </is>
      </c>
      <c r="H81" s="28" t="inlineStr">
        <is>
          <t>No Search Analytics row matched this URL in the 30-day export (compare Final URL with the page URL shown in GSC)</t>
        </is>
      </c>
      <c r="I81" s="28" t="inlineStr">
        <is>
          <t>Standard</t>
        </is>
      </c>
      <c r="J81" s="28" t="n">
        <v>0</v>
      </c>
      <c r="K81" s="28" t="n">
        <v>1</v>
      </c>
      <c r="L81" s="28" t="inlineStr">
        <is>
          <t>Yes</t>
        </is>
      </c>
      <c r="M81" s="28" t="inlineStr">
        <is>
          <t>Monitor</t>
        </is>
      </c>
      <c r="N81" s="28" t="inlineStr">
        <is>
          <t>Copy Writer</t>
        </is>
      </c>
      <c r="O81" s="36" t="inlineStr">
        <is>
          <t>Open</t>
        </is>
      </c>
      <c r="P81" s="28" t="inlineStr"/>
      <c r="Q81" s="34" t="inlineStr"/>
      <c r="R81" s="32" t="n">
        <v>0</v>
      </c>
      <c r="S81" s="28" t="inlineStr">
        <is>
          <t>self</t>
        </is>
      </c>
      <c r="T81">
        <f>IFERROR(HYPERLINK("#'Main'!B"&amp;MATCH(TRIM(A81),'Main'!B:B,0),"Open"),HYPERLINK("#'Main'!B1","Open"))</f>
        <v/>
      </c>
      <c r="U81">
        <f>IFERROR(HYPERLINK("#'Technical Diagnostics'!A"&amp;MATCH(A81,'Technical Diagnostics'!A:A,0),"Open"),HYPERLINK("#'Technical Diagnostics'!A1","Open"))</f>
        <v/>
      </c>
    </row>
    <row r="82" ht="18" customHeight="1">
      <c r="A82" s="37" t="inlineStr">
        <is>
          <t>https://africanmarketingconfederation.org/discovered-via-bfs-3</t>
        </is>
      </c>
      <c r="B82" s="30" t="n">
        <v>30</v>
      </c>
      <c r="C82" s="29" t="inlineStr">
        <is>
          <t>Warning</t>
        </is>
      </c>
      <c r="D82" s="30" t="n">
        <v>80</v>
      </c>
      <c r="E82" s="30" t="inlineStr"/>
      <c r="F82" s="30" t="n">
        <v>0</v>
      </c>
      <c r="G82" s="30" t="inlineStr">
        <is>
          <t>2026-06-01 to 2026-06-30 (30-day window; excludes today; typical GSC lag ~48h)</t>
        </is>
      </c>
      <c r="H82" s="30" t="inlineStr">
        <is>
          <t>No Search Analytics row matched this URL in the 30-day export (compare Final URL with the page URL shown in GSC)</t>
        </is>
      </c>
      <c r="I82" s="30" t="inlineStr">
        <is>
          <t>Standard</t>
        </is>
      </c>
      <c r="J82" s="30" t="n">
        <v>0</v>
      </c>
      <c r="K82" s="30" t="n">
        <v>1</v>
      </c>
      <c r="L82" s="30" t="inlineStr">
        <is>
          <t>Yes</t>
        </is>
      </c>
      <c r="M82" s="30" t="inlineStr">
        <is>
          <t>Monitor</t>
        </is>
      </c>
      <c r="N82" s="30" t="inlineStr">
        <is>
          <t>Copy Writer</t>
        </is>
      </c>
      <c r="O82" s="36" t="inlineStr">
        <is>
          <t>Open</t>
        </is>
      </c>
      <c r="P82" s="30" t="inlineStr"/>
      <c r="Q82" s="34" t="inlineStr"/>
      <c r="R82" s="32" t="n">
        <v>0</v>
      </c>
      <c r="S82" s="30" t="inlineStr">
        <is>
          <t>self</t>
        </is>
      </c>
      <c r="T82" s="38">
        <f>IFERROR(HYPERLINK("#'Main'!B"&amp;MATCH(TRIM(A82),'Main'!B:B,0),"Open"),HYPERLINK("#'Main'!B1","Open"))</f>
        <v/>
      </c>
      <c r="U82" s="38">
        <f>IFERROR(HYPERLINK("#'Technical Diagnostics'!A"&amp;MATCH(A82,'Technical Diagnostics'!A:A,0),"Open"),HYPERLINK("#'Technical Diagnostics'!A1","Open"))</f>
        <v/>
      </c>
    </row>
    <row r="83" ht="18" customHeight="1">
      <c r="A83" s="35" t="inlineStr">
        <is>
          <t>https://africanmarketingconfederation.org/smoke-archive/page-4</t>
        </is>
      </c>
      <c r="B83" s="28" t="n">
        <v>10</v>
      </c>
      <c r="C83" s="33" t="inlineStr">
        <is>
          <t>Observation</t>
        </is>
      </c>
      <c r="D83" s="28" t="n">
        <v>90</v>
      </c>
      <c r="E83" s="28" t="inlineStr"/>
      <c r="F83" s="28" t="n">
        <v>0</v>
      </c>
      <c r="G83" s="28" t="inlineStr">
        <is>
          <t>2026-06-01 to 2026-06-30 (30-day window; excludes today; typical GSC lag ~48h)</t>
        </is>
      </c>
      <c r="H83" s="28" t="inlineStr">
        <is>
          <t>No Search Analytics row matched this URL in the 30-day export (compare Final URL with the page URL shown in GSC)</t>
        </is>
      </c>
      <c r="I83" s="28" t="inlineStr">
        <is>
          <t>Standard</t>
        </is>
      </c>
      <c r="J83" s="28" t="n">
        <v>0</v>
      </c>
      <c r="K83" s="28" t="n">
        <v>0</v>
      </c>
      <c r="L83" s="28" t="inlineStr">
        <is>
          <t>No</t>
        </is>
      </c>
      <c r="M83" s="28" t="inlineStr">
        <is>
          <t>Monitor</t>
        </is>
      </c>
      <c r="N83" s="28" t="inlineStr">
        <is>
          <t>Copy Writer</t>
        </is>
      </c>
      <c r="O83" s="36" t="inlineStr">
        <is>
          <t>Open</t>
        </is>
      </c>
      <c r="P83" s="28" t="inlineStr"/>
      <c r="Q83" s="34" t="inlineStr"/>
      <c r="R83" s="32" t="n">
        <v>0</v>
      </c>
      <c r="S83" s="28" t="inlineStr">
        <is>
          <t>self</t>
        </is>
      </c>
      <c r="T83">
        <f>IFERROR(HYPERLINK("#'Main'!B"&amp;MATCH(TRIM(A83),'Main'!B:B,0),"Open"),HYPERLINK("#'Main'!B1","Open"))</f>
        <v/>
      </c>
      <c r="U83">
        <f>IFERROR(HYPERLINK("#'Technical Diagnostics'!A"&amp;MATCH(A83,'Technical Diagnostics'!A:A,0),"Open"),HYPERLINK("#'Technical Diagnostics'!A1","Open"))</f>
        <v/>
      </c>
    </row>
    <row r="84" ht="18" customHeight="1">
      <c r="A84" s="37" t="inlineStr">
        <is>
          <t>https://africanmarketingconfederation.org/smoke-archive/page-44</t>
        </is>
      </c>
      <c r="B84" s="30" t="n">
        <v>10</v>
      </c>
      <c r="C84" s="33" t="inlineStr">
        <is>
          <t>Observation</t>
        </is>
      </c>
      <c r="D84" s="30" t="n">
        <v>90</v>
      </c>
      <c r="E84" s="30" t="inlineStr"/>
      <c r="F84" s="30" t="n">
        <v>0</v>
      </c>
      <c r="G84" s="30" t="inlineStr">
        <is>
          <t>2026-06-01 to 2026-06-30 (30-day window; excludes today; typical GSC lag ~48h)</t>
        </is>
      </c>
      <c r="H84" s="30" t="inlineStr">
        <is>
          <t>No Search Analytics row matched this URL in the 30-day export (compare Final URL with the page URL shown in GSC)</t>
        </is>
      </c>
      <c r="I84" s="30" t="inlineStr">
        <is>
          <t>Standard</t>
        </is>
      </c>
      <c r="J84" s="30" t="n">
        <v>0</v>
      </c>
      <c r="K84" s="30" t="n">
        <v>0</v>
      </c>
      <c r="L84" s="30" t="inlineStr">
        <is>
          <t>No</t>
        </is>
      </c>
      <c r="M84" s="30" t="inlineStr">
        <is>
          <t>Monitor</t>
        </is>
      </c>
      <c r="N84" s="30" t="inlineStr">
        <is>
          <t>Copy Writer</t>
        </is>
      </c>
      <c r="O84" s="36" t="inlineStr">
        <is>
          <t>Open</t>
        </is>
      </c>
      <c r="P84" s="30" t="inlineStr"/>
      <c r="Q84" s="34" t="inlineStr"/>
      <c r="R84" s="32" t="n">
        <v>0</v>
      </c>
      <c r="S84" s="30" t="inlineStr"/>
      <c r="T84" s="38">
        <f>IFERROR(HYPERLINK("#'Main'!B"&amp;MATCH(TRIM(A84),'Main'!B:B,0),"Open"),HYPERLINK("#'Main'!B1","Open"))</f>
        <v/>
      </c>
      <c r="U84" s="38">
        <f>IFERROR(HYPERLINK("#'Technical Diagnostics'!A"&amp;MATCH(A84,'Technical Diagnostics'!A:A,0),"Open"),HYPERLINK("#'Technical Diagnostics'!A1","Open"))</f>
        <v/>
      </c>
    </row>
    <row r="85" ht="18" customHeight="1">
      <c r="A85" s="35" t="inlineStr">
        <is>
          <t>https://africanmarketingconfederation.org/smoke-archive/page-76</t>
        </is>
      </c>
      <c r="B85" s="28" t="n">
        <v>10</v>
      </c>
      <c r="C85" s="33" t="inlineStr">
        <is>
          <t>Observation</t>
        </is>
      </c>
      <c r="D85" s="28" t="n">
        <v>90</v>
      </c>
      <c r="E85" s="28" t="inlineStr"/>
      <c r="F85" s="28" t="n">
        <v>0</v>
      </c>
      <c r="G85" s="28" t="inlineStr">
        <is>
          <t>2026-06-01 to 2026-06-30 (30-day window; excludes today; typical GSC lag ~48h)</t>
        </is>
      </c>
      <c r="H85" s="28" t="inlineStr">
        <is>
          <t>No Search Analytics row matched this URL in the 30-day export (compare Final URL with the page URL shown in GSC)</t>
        </is>
      </c>
      <c r="I85" s="28" t="inlineStr">
        <is>
          <t>Standard</t>
        </is>
      </c>
      <c r="J85" s="28" t="n">
        <v>0</v>
      </c>
      <c r="K85" s="28" t="n">
        <v>0</v>
      </c>
      <c r="L85" s="28" t="inlineStr">
        <is>
          <t>No</t>
        </is>
      </c>
      <c r="M85" s="28" t="inlineStr">
        <is>
          <t>Monitor</t>
        </is>
      </c>
      <c r="N85" s="28" t="inlineStr">
        <is>
          <t>Copy Writer</t>
        </is>
      </c>
      <c r="O85" s="36" t="inlineStr">
        <is>
          <t>Open</t>
        </is>
      </c>
      <c r="P85" s="28" t="inlineStr"/>
      <c r="Q85" s="34" t="inlineStr"/>
      <c r="R85" s="32" t="n">
        <v>0</v>
      </c>
      <c r="S85" s="28" t="inlineStr">
        <is>
          <t>self</t>
        </is>
      </c>
      <c r="T85">
        <f>IFERROR(HYPERLINK("#'Main'!B"&amp;MATCH(TRIM(A85),'Main'!B:B,0),"Open"),HYPERLINK("#'Main'!B1","Open"))</f>
        <v/>
      </c>
      <c r="U85">
        <f>IFERROR(HYPERLINK("#'Technical Diagnostics'!A"&amp;MATCH(A85,'Technical Diagnostics'!A:A,0),"Open"),HYPERLINK("#'Technical Diagnostics'!A1","Open"))</f>
        <v/>
      </c>
    </row>
  </sheetData>
  <autoFilter ref="A2:U85"/>
  <mergeCells count="2">
    <mergeCell ref="A1:B1"/>
    <mergeCell ref="C1:H1"/>
  </mergeCells>
  <conditionalFormatting sqref="D3:D85">
    <cfRule type="colorScale" priority="1">
      <colorScale>
        <cfvo type="min"/>
        <cfvo type="percentile" val="50"/>
        <cfvo type="max"/>
        <color rgb="00F8696B"/>
        <color rgb="00FFEB84"/>
        <color rgb="0063BE7B"/>
      </colorScale>
    </cfRule>
  </conditionalFormatting>
  <conditionalFormatting sqref="L3:L85">
    <cfRule type="expression" priority="2" dxfId="0" stopIfTrue="1">
      <formula>LOWER(L2)="yes"</formula>
    </cfRule>
    <cfRule type="expression" priority="3" dxfId="2" stopIfTrue="1">
      <formula>LOWER(L2)="no"</formula>
    </cfRule>
  </conditionalFormatting>
  <conditionalFormatting sqref="C3:C85">
    <cfRule type="expression" priority="4" dxfId="0" stopIfTrue="1">
      <formula>LOWER(C2)="critical"</formula>
    </cfRule>
    <cfRule type="expression" priority="5" dxfId="1" stopIfTrue="1">
      <formula>LOWER(C2)="warning"</formula>
    </cfRule>
    <cfRule type="expression" priority="6" dxfId="2" stopIfTrue="1">
      <formula>OR(LOWER(C2)="pass",LOWER(C2)="observation")</formula>
    </cfRule>
  </conditionalFormatting>
  <conditionalFormatting sqref="O3:O85">
    <cfRule type="expression" priority="7" dxfId="4" stopIfTrue="1">
      <formula>OR(LOWER(O3)="done",LOWER(O3)="completed",LOWER(O3)="fixed",LOWER(O3)="closed")</formula>
    </cfRule>
    <cfRule type="expression" priority="8" dxfId="5" stopIfTrue="1">
      <formula>OR(LOWER(O3)="in progress",LOWER(O3)="in review",LOWER(O3)="review")</formula>
    </cfRule>
    <cfRule type="expression" priority="9" dxfId="6" stopIfTrue="1">
      <formula>OR(LOWER(O3)="to do",LOWER(O3)="open")</formula>
    </cfRule>
  </conditionalFormatting>
  <conditionalFormatting sqref="A3:S85">
    <cfRule type="expression" priority="10" dxfId="3" stopIfTrue="0">
      <formula>MOD(ROW(),2)=0</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2980B9"/>
    <outlinePr summaryBelow="1" summaryRight="1"/>
    <pageSetUpPr fitToPage="1"/>
  </sheetPr>
  <dimension ref="A1:Z19"/>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8" customWidth="1" min="1" max="1"/>
    <col width="13" customWidth="1" min="2" max="2"/>
    <col width="16" customWidth="1" min="3" max="3"/>
    <col width="16" customWidth="1" min="4" max="4"/>
    <col width="55" customWidth="1" min="5" max="5"/>
    <col width="24" customWidth="1" min="6" max="6"/>
    <col width="17" customWidth="1" min="7" max="7"/>
    <col width="45" customWidth="1" min="8" max="8"/>
    <col width="55" customWidth="1" min="9" max="9"/>
    <col width="48" customWidth="1" min="10" max="10"/>
    <col width="13" customWidth="1" min="11" max="11"/>
    <col width="14" customWidth="1" min="12" max="12"/>
    <col width="10" customWidth="1" min="13" max="13"/>
    <col width="12" customWidth="1" min="14" max="14"/>
    <col width="20" customWidth="1" min="15" max="15"/>
    <col width="28" customWidth="1" min="16" max="16"/>
    <col width="11" customWidth="1" min="17" max="17"/>
    <col width="13" customWidth="1" min="18" max="18"/>
    <col width="15" customWidth="1" min="19" max="19"/>
    <col width="14" customWidth="1" min="20" max="20"/>
    <col width="15" customWidth="1" min="21" max="21"/>
    <col width="18" customWidth="1" min="22" max="22"/>
    <col width="10" customWidth="1" min="23" max="23"/>
    <col width="10" customWidth="1" min="24" max="24"/>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Issue Type</t>
        </is>
      </c>
      <c r="B2" s="26" t="inlineStr">
        <is>
          <t>Severity</t>
        </is>
      </c>
      <c r="C2" s="27" t="inlineStr">
        <is>
          <t>Priority Score</t>
        </is>
      </c>
      <c r="D2" s="27" t="inlineStr">
        <is>
          <t>Affected Count</t>
        </is>
      </c>
      <c r="E2" s="26" t="inlineStr">
        <is>
          <t>Affected URLs</t>
        </is>
      </c>
      <c r="F2" s="26" t="inlineStr">
        <is>
          <t>Detail Reference Tab</t>
        </is>
      </c>
      <c r="G2" s="26" t="inlineStr">
        <is>
          <t>Resolution Type</t>
        </is>
      </c>
      <c r="H2" s="26" t="inlineStr">
        <is>
          <t>URL</t>
        </is>
      </c>
      <c r="I2" s="26" t="inlineStr">
        <is>
          <t>Recommended Fix</t>
        </is>
      </c>
      <c r="J2" s="26" t="inlineStr">
        <is>
          <t>Likely Root Cause</t>
        </is>
      </c>
      <c r="K2" s="26" t="inlineStr">
        <is>
          <t>Owner</t>
        </is>
      </c>
      <c r="L2" s="26" t="inlineStr">
        <is>
          <t>Agency Owner</t>
        </is>
      </c>
      <c r="M2" s="26" t="inlineStr">
        <is>
          <t>Effort</t>
        </is>
      </c>
      <c r="N2" s="27" t="inlineStr">
        <is>
          <t>Est. Hours</t>
        </is>
      </c>
      <c r="O2" s="27" t="inlineStr">
        <is>
          <t>Est. Sprint Points</t>
        </is>
      </c>
      <c r="P2" s="26" t="inlineStr">
        <is>
          <t>Aging/Priority</t>
        </is>
      </c>
      <c r="Q2" s="26" t="inlineStr">
        <is>
          <t>Status</t>
        </is>
      </c>
      <c r="R2" s="26" t="inlineStr">
        <is>
          <t>Verified By</t>
        </is>
      </c>
      <c r="S2" s="26" t="inlineStr">
        <is>
          <t>Date Resolved</t>
        </is>
      </c>
      <c r="T2" s="26" t="inlineStr">
        <is>
          <t>Revenue Risk</t>
        </is>
      </c>
      <c r="U2" s="26" t="inlineStr">
        <is>
          <t>Action Needed</t>
        </is>
      </c>
      <c r="V2" s="26" t="inlineStr">
        <is>
          <t>Jump to Details</t>
        </is>
      </c>
      <c r="W2" s="26" t="inlineStr">
        <is>
          <t>Sprint</t>
        </is>
      </c>
      <c r="X2" s="26" t="inlineStr">
        <is>
          <t>Category</t>
        </is>
      </c>
      <c r="Y2" s="26" t="inlineStr">
        <is>
          <t>Open in Main</t>
        </is>
      </c>
      <c r="Z2" s="26" t="inlineStr">
        <is>
          <t>Hub Status (Content Hub)</t>
        </is>
      </c>
    </row>
    <row r="3" ht="18" customHeight="1">
      <c r="A3" s="32" t="inlineStr">
        <is>
          <t>No Consent Manager Detected</t>
        </is>
      </c>
      <c r="B3" s="33" t="inlineStr">
        <is>
          <t>Observation</t>
        </is>
      </c>
      <c r="C3" s="28" t="n">
        <v>37</v>
      </c>
      <c r="D3" s="28" t="n">
        <v>83</v>
      </c>
      <c r="E3" s="20" t="inlineStr">
        <is>
          <t>SEE DETAILS IN Technical Diagnostics</t>
        </is>
      </c>
      <c r="F3" s="28" t="inlineStr">
        <is>
          <t>Technical Diagnostics</t>
        </is>
      </c>
      <c r="G3" s="28" t="inlineStr">
        <is>
          <t>Site Config</t>
        </is>
      </c>
      <c r="H3" s="35" t="inlineStr">
        <is>
          <t>https://africanmarketingconfederation.org/</t>
        </is>
      </c>
      <c r="I3" s="28" t="inlineStr">
        <is>
          <t>Apply fix based on issue type and re-run audit.</t>
        </is>
      </c>
      <c r="J3" s="28" t="inlineStr">
        <is>
          <t>Template/technical implementation quality issue.</t>
        </is>
      </c>
      <c r="K3" s="39" t="inlineStr">
        <is>
          <t>Copy Writer</t>
        </is>
      </c>
      <c r="L3" s="28" t="inlineStr">
        <is>
          <t>Agency SEO</t>
        </is>
      </c>
      <c r="M3" s="28" t="inlineStr">
        <is>
          <t>S</t>
        </is>
      </c>
      <c r="N3" s="28" t="n">
        <v>4</v>
      </c>
      <c r="O3" s="28" t="n">
        <v>2</v>
      </c>
      <c r="P3" s="28" t="inlineStr">
        <is>
          <t>Backlog</t>
        </is>
      </c>
      <c r="Q3" s="40" t="inlineStr">
        <is>
          <t>In Review</t>
        </is>
      </c>
      <c r="R3" s="28" t="inlineStr"/>
      <c r="S3" s="28" t="inlineStr"/>
      <c r="T3" s="28" t="inlineStr">
        <is>
          <t>Monitor</t>
        </is>
      </c>
      <c r="U3" s="28" t="inlineStr">
        <is>
          <t>No</t>
        </is>
      </c>
      <c r="V3" s="28" t="inlineStr">
        <is>
          <t>Open in Main Tab</t>
        </is>
      </c>
      <c r="W3" s="28" t="inlineStr"/>
      <c r="X3" s="28" t="inlineStr">
        <is>
          <t>SEO</t>
        </is>
      </c>
      <c r="Y3">
        <f>IFERROR(HYPERLINK("#'Main'!B"&amp;MATCH(TRIM(H3),'Main'!B:B,0),"Open"),HYPERLINK("#'Main'!B1","Open"))</f>
        <v/>
      </c>
      <c r="Z3">
        <f>IFERROR(INDEX('Content Optimisation Hub'!F3:F10000,MATCH(H3,'Content Optimisation Hub'!I3:I10000,0)),"Not in Hub")</f>
        <v/>
      </c>
    </row>
    <row r="4" ht="18" customHeight="1">
      <c r="A4" s="32" t="inlineStr">
        <is>
          <t>Lab TBT 150ms–300ms (Mobile)</t>
        </is>
      </c>
      <c r="B4" s="33" t="inlineStr">
        <is>
          <t>Observation</t>
        </is>
      </c>
      <c r="C4" s="30" t="n">
        <v>40</v>
      </c>
      <c r="D4" s="30" t="n">
        <v>83</v>
      </c>
      <c r="E4" s="31" t="inlineStr">
        <is>
          <t>SEE DETAILS IN Technical Diagnostics</t>
        </is>
      </c>
      <c r="F4" s="30" t="inlineStr">
        <is>
          <t>Technical Diagnostics</t>
        </is>
      </c>
      <c r="G4" s="30" t="inlineStr">
        <is>
          <t>Global Template</t>
        </is>
      </c>
      <c r="H4" s="37" t="inlineStr">
        <is>
          <t>https://africanmarketingconfederation.org/</t>
        </is>
      </c>
      <c r="I4" s="30" t="inlineStr">
        <is>
          <t>Apply fix based on issue type and re-run audit.</t>
        </is>
      </c>
      <c r="J4" s="30" t="inlineStr">
        <is>
          <t>Template/technical implementation quality issue.</t>
        </is>
      </c>
      <c r="K4" s="41" t="inlineStr">
        <is>
          <t>Dev</t>
        </is>
      </c>
      <c r="L4" s="30" t="inlineStr">
        <is>
          <t>Agency Dev</t>
        </is>
      </c>
      <c r="M4" s="30" t="inlineStr">
        <is>
          <t>M</t>
        </is>
      </c>
      <c r="N4" s="30" t="n">
        <v>10</v>
      </c>
      <c r="O4" s="30" t="n">
        <v>5</v>
      </c>
      <c r="P4" s="30" t="inlineStr">
        <is>
          <t>Backlog</t>
        </is>
      </c>
      <c r="Q4" s="40" t="inlineStr">
        <is>
          <t>In Review</t>
        </is>
      </c>
      <c r="R4" s="30" t="inlineStr"/>
      <c r="S4" s="30" t="inlineStr"/>
      <c r="T4" s="30" t="inlineStr">
        <is>
          <t>Monitor</t>
        </is>
      </c>
      <c r="U4" s="30" t="inlineStr">
        <is>
          <t>No</t>
        </is>
      </c>
      <c r="V4" s="30" t="inlineStr">
        <is>
          <t>Open in Main Tab</t>
        </is>
      </c>
      <c r="W4" s="30" t="inlineStr"/>
      <c r="X4" s="30" t="inlineStr">
        <is>
          <t>SEO</t>
        </is>
      </c>
      <c r="Y4" s="38">
        <f>IFERROR(HYPERLINK("#'Main'!B"&amp;MATCH(TRIM(H4),'Main'!B:B,0),"Open"),HYPERLINK("#'Main'!B1","Open"))</f>
        <v/>
      </c>
      <c r="Z4" s="38">
        <f>IFERROR(INDEX('Content Optimisation Hub'!F3:F10000,MATCH(H4,'Content Optimisation Hub'!I3:I10000,0)),"Not in Hub")</f>
        <v/>
      </c>
    </row>
    <row r="5" ht="18" customHeight="1">
      <c r="A5" s="32" t="inlineStr">
        <is>
          <t>Moderate Lighthouse Performance Mobile (50–89)</t>
        </is>
      </c>
      <c r="B5" s="33" t="inlineStr">
        <is>
          <t>Observation</t>
        </is>
      </c>
      <c r="C5" s="28" t="n">
        <v>40</v>
      </c>
      <c r="D5" s="28" t="n">
        <v>83</v>
      </c>
      <c r="E5" s="20" t="inlineStr">
        <is>
          <t>SEE DETAILS IN Technical Diagnostics</t>
        </is>
      </c>
      <c r="F5" s="28" t="inlineStr">
        <is>
          <t>Technical Diagnostics</t>
        </is>
      </c>
      <c r="G5" s="28" t="inlineStr">
        <is>
          <t>Global Template</t>
        </is>
      </c>
      <c r="H5" s="35" t="inlineStr">
        <is>
          <t>https://africanmarketingconfederation.org/</t>
        </is>
      </c>
      <c r="I5" s="28" t="inlineStr">
        <is>
          <t>Apply fix based on issue type and re-run audit.</t>
        </is>
      </c>
      <c r="J5" s="28" t="inlineStr">
        <is>
          <t>Template/technical implementation quality issue.</t>
        </is>
      </c>
      <c r="K5" s="39" t="inlineStr">
        <is>
          <t>Dev</t>
        </is>
      </c>
      <c r="L5" s="28" t="inlineStr">
        <is>
          <t>Agency Dev</t>
        </is>
      </c>
      <c r="M5" s="28" t="inlineStr">
        <is>
          <t>M</t>
        </is>
      </c>
      <c r="N5" s="28" t="n">
        <v>10</v>
      </c>
      <c r="O5" s="28" t="n">
        <v>5</v>
      </c>
      <c r="P5" s="28" t="inlineStr">
        <is>
          <t>Backlog</t>
        </is>
      </c>
      <c r="Q5" s="40" t="inlineStr">
        <is>
          <t>In Review</t>
        </is>
      </c>
      <c r="R5" s="28" t="inlineStr"/>
      <c r="S5" s="28" t="inlineStr"/>
      <c r="T5" s="28" t="inlineStr">
        <is>
          <t>Monitor</t>
        </is>
      </c>
      <c r="U5" s="28" t="inlineStr">
        <is>
          <t>No</t>
        </is>
      </c>
      <c r="V5" s="28" t="inlineStr">
        <is>
          <t>Open in Main Tab</t>
        </is>
      </c>
      <c r="W5" s="28" t="inlineStr"/>
      <c r="X5" s="28" t="inlineStr">
        <is>
          <t>SEO</t>
        </is>
      </c>
      <c r="Y5">
        <f>IFERROR(HYPERLINK("#'Main'!B"&amp;MATCH(TRIM(H5),'Main'!B:B,0),"Open"),HYPERLINK("#'Main'!B1","Open"))</f>
        <v/>
      </c>
      <c r="Z5">
        <f>IFERROR(INDEX('Content Optimisation Hub'!F3:F10000,MATCH(H5,'Content Optimisation Hub'!I3:I10000,0)),"Not in Hub")</f>
        <v/>
      </c>
    </row>
    <row r="6" ht="18" customHeight="1">
      <c r="A6" s="32" t="inlineStr">
        <is>
          <t>Render Blocking Resources</t>
        </is>
      </c>
      <c r="B6" s="33" t="inlineStr">
        <is>
          <t>Observation</t>
        </is>
      </c>
      <c r="C6" s="30" t="n">
        <v>40</v>
      </c>
      <c r="D6" s="30" t="n">
        <v>83</v>
      </c>
      <c r="E6" s="31" t="inlineStr">
        <is>
          <t>SEE DETAILS IN Technical Diagnostics</t>
        </is>
      </c>
      <c r="F6" s="30" t="inlineStr">
        <is>
          <t>Technical Diagnostics</t>
        </is>
      </c>
      <c r="G6" s="30" t="inlineStr">
        <is>
          <t>Global Template</t>
        </is>
      </c>
      <c r="H6" s="37" t="inlineStr">
        <is>
          <t>https://africanmarketingconfederation.org/</t>
        </is>
      </c>
      <c r="I6" s="30" t="inlineStr">
        <is>
          <t>Apply fix based on issue type and re-run audit.</t>
        </is>
      </c>
      <c r="J6" s="30" t="inlineStr">
        <is>
          <t>Template/technical implementation quality issue.</t>
        </is>
      </c>
      <c r="K6" s="41" t="inlineStr">
        <is>
          <t>Dev</t>
        </is>
      </c>
      <c r="L6" s="30" t="inlineStr">
        <is>
          <t>Agency Dev</t>
        </is>
      </c>
      <c r="M6" s="30" t="inlineStr">
        <is>
          <t>M</t>
        </is>
      </c>
      <c r="N6" s="30" t="n">
        <v>10</v>
      </c>
      <c r="O6" s="30" t="n">
        <v>5</v>
      </c>
      <c r="P6" s="30" t="inlineStr">
        <is>
          <t>Backlog</t>
        </is>
      </c>
      <c r="Q6" s="40" t="inlineStr">
        <is>
          <t>In Review</t>
        </is>
      </c>
      <c r="R6" s="30" t="inlineStr"/>
      <c r="S6" s="30" t="inlineStr"/>
      <c r="T6" s="30" t="inlineStr">
        <is>
          <t>Monitor</t>
        </is>
      </c>
      <c r="U6" s="30" t="inlineStr">
        <is>
          <t>No</t>
        </is>
      </c>
      <c r="V6" s="30" t="inlineStr">
        <is>
          <t>Open in Main Tab</t>
        </is>
      </c>
      <c r="W6" s="30" t="inlineStr"/>
      <c r="X6" s="30" t="inlineStr">
        <is>
          <t>SEO</t>
        </is>
      </c>
      <c r="Y6" s="38">
        <f>IFERROR(HYPERLINK("#'Main'!B"&amp;MATCH(TRIM(H6),'Main'!B:B,0),"Open"),HYPERLINK("#'Main'!B1","Open"))</f>
        <v/>
      </c>
      <c r="Z6" s="38">
        <f>IFERROR(INDEX('Content Optimisation Hub'!F3:F10000,MATCH(H6,'Content Optimisation Hub'!I3:I10000,0)),"Not in Hub")</f>
        <v/>
      </c>
    </row>
    <row r="7" ht="18" customHeight="1">
      <c r="A7" s="28" t="inlineStr">
        <is>
          <t>Missing OG Image</t>
        </is>
      </c>
      <c r="B7" s="29" t="inlineStr">
        <is>
          <t>Warning</t>
        </is>
      </c>
      <c r="C7" s="28" t="n">
        <v>73</v>
      </c>
      <c r="D7" s="28" t="n">
        <v>63</v>
      </c>
      <c r="E7" s="20" t="inlineStr">
        <is>
          <t>SEE DETAILS IN Technical Diagnostics</t>
        </is>
      </c>
      <c r="F7" s="28" t="inlineStr">
        <is>
          <t>Technical Diagnostics</t>
        </is>
      </c>
      <c r="G7" s="28" t="inlineStr">
        <is>
          <t>Global Template</t>
        </is>
      </c>
      <c r="H7" s="35" t="inlineStr">
        <is>
          <t>https://africanmarketingconfederation.org/smoke-archive/page-1</t>
        </is>
      </c>
      <c r="I7" s="28" t="inlineStr">
        <is>
          <t>Apply fix based on issue type and re-run audit.</t>
        </is>
      </c>
      <c r="J7" s="28" t="inlineStr">
        <is>
          <t>Template/technical implementation quality issue.</t>
        </is>
      </c>
      <c r="K7" s="39" t="inlineStr">
        <is>
          <t>Copy Writer</t>
        </is>
      </c>
      <c r="L7" s="28" t="inlineStr">
        <is>
          <t>Agency SEO</t>
        </is>
      </c>
      <c r="M7" s="28" t="inlineStr">
        <is>
          <t>L</t>
        </is>
      </c>
      <c r="N7" s="28" t="n">
        <v>16</v>
      </c>
      <c r="O7" s="28" t="n">
        <v>8</v>
      </c>
      <c r="P7" s="28" t="inlineStr">
        <is>
          <t>Next Sprint</t>
        </is>
      </c>
      <c r="Q7" s="36" t="inlineStr">
        <is>
          <t>To Do</t>
        </is>
      </c>
      <c r="R7" s="28" t="inlineStr"/>
      <c r="S7" s="28" t="inlineStr"/>
      <c r="T7" s="28" t="inlineStr">
        <is>
          <t>Medium Risk</t>
        </is>
      </c>
      <c r="U7" s="28" t="inlineStr">
        <is>
          <t>Yes</t>
        </is>
      </c>
      <c r="V7" s="28" t="inlineStr">
        <is>
          <t>Open in Main Tab</t>
        </is>
      </c>
      <c r="W7" s="28" t="inlineStr"/>
      <c r="X7" s="28" t="inlineStr">
        <is>
          <t>SEO</t>
        </is>
      </c>
      <c r="Y7">
        <f>IFERROR(HYPERLINK("#'Main'!B"&amp;MATCH(TRIM(H7),'Main'!B:B,0),"Open"),HYPERLINK("#'Main'!B1","Open"))</f>
        <v/>
      </c>
      <c r="Z7">
        <f>IFERROR(INDEX('Content Optimisation Hub'!F3:F10000,MATCH(H7,'Content Optimisation Hub'!I3:I10000,0)),"Not in Hub")</f>
        <v/>
      </c>
    </row>
    <row r="8" ht="30" customHeight="1">
      <c r="A8" s="30" t="inlineStr">
        <is>
          <t>Missing Meta Description</t>
        </is>
      </c>
      <c r="B8" s="29" t="inlineStr">
        <is>
          <t>Warning</t>
        </is>
      </c>
      <c r="C8" s="30" t="n">
        <v>70</v>
      </c>
      <c r="D8" s="30" t="n">
        <v>15</v>
      </c>
      <c r="E8" s="31" t="inlineStr">
        <is>
          <t>SEE DETAILS IN Technical Diagnostics</t>
        </is>
      </c>
      <c r="F8" s="30" t="inlineStr">
        <is>
          <t>Technical Diagnostics</t>
        </is>
      </c>
      <c r="G8" s="30" t="inlineStr">
        <is>
          <t>Global Template</t>
        </is>
      </c>
      <c r="H8" s="37" t="inlineStr">
        <is>
          <t>https://africanmarketingconfederation.org/smoke-archive/page-5</t>
        </is>
      </c>
      <c r="I8" s="30" t="inlineStr">
        <is>
          <t>Add concise unique description aligned with user intent.</t>
        </is>
      </c>
      <c r="J8" s="30" t="inlineStr">
        <is>
          <t>Meta description missing or empty.</t>
        </is>
      </c>
      <c r="K8" s="41" t="inlineStr">
        <is>
          <t>Copy Writer</t>
        </is>
      </c>
      <c r="L8" s="30" t="inlineStr">
        <is>
          <t>Agency SEO</t>
        </is>
      </c>
      <c r="M8" s="30" t="inlineStr">
        <is>
          <t>M</t>
        </is>
      </c>
      <c r="N8" s="30" t="n">
        <v>10</v>
      </c>
      <c r="O8" s="30" t="n">
        <v>5</v>
      </c>
      <c r="P8" s="30" t="inlineStr">
        <is>
          <t>Next Sprint</t>
        </is>
      </c>
      <c r="Q8" s="36" t="inlineStr">
        <is>
          <t>To Do</t>
        </is>
      </c>
      <c r="R8" s="30" t="inlineStr"/>
      <c r="S8" s="30" t="inlineStr"/>
      <c r="T8" s="30" t="inlineStr">
        <is>
          <t>Medium Risk</t>
        </is>
      </c>
      <c r="U8" s="30" t="inlineStr">
        <is>
          <t>Yes</t>
        </is>
      </c>
      <c r="V8" s="30" t="inlineStr">
        <is>
          <t>Open in Main Tab</t>
        </is>
      </c>
      <c r="W8" s="30" t="inlineStr"/>
      <c r="X8" s="30" t="inlineStr">
        <is>
          <t>SEO</t>
        </is>
      </c>
      <c r="Y8" s="38">
        <f>IFERROR(HYPERLINK("#'Main'!B"&amp;MATCH(TRIM(H8),'Main'!B:B,0),"Open"),HYPERLINK("#'Main'!B1","Open"))</f>
        <v/>
      </c>
      <c r="Z8" s="38">
        <f>IFERROR(INDEX('Content Optimisation Hub'!F3:F10000,MATCH(H8,'Content Optimisation Hub'!I3:I10000,0)),"Not in Hub")</f>
        <v/>
      </c>
    </row>
    <row r="9" ht="18" customHeight="1">
      <c r="A9" s="28" t="inlineStr">
        <is>
          <t>Missing OG Description</t>
        </is>
      </c>
      <c r="B9" s="29" t="inlineStr">
        <is>
          <t>Warning</t>
        </is>
      </c>
      <c r="C9" s="28" t="n">
        <v>70</v>
      </c>
      <c r="D9" s="28" t="n">
        <v>15</v>
      </c>
      <c r="E9" s="20" t="inlineStr">
        <is>
          <t>SEE DETAILS IN Technical Diagnostics</t>
        </is>
      </c>
      <c r="F9" s="28" t="inlineStr">
        <is>
          <t>Technical Diagnostics</t>
        </is>
      </c>
      <c r="G9" s="28" t="inlineStr">
        <is>
          <t>Global Template</t>
        </is>
      </c>
      <c r="H9" s="35" t="inlineStr">
        <is>
          <t>https://africanmarketingconfederation.org/smoke-archive/page-5</t>
        </is>
      </c>
      <c r="I9" s="28" t="inlineStr">
        <is>
          <t>Apply fix based on issue type and re-run audit.</t>
        </is>
      </c>
      <c r="J9" s="28" t="inlineStr">
        <is>
          <t>Template/technical implementation quality issue.</t>
        </is>
      </c>
      <c r="K9" s="39" t="inlineStr">
        <is>
          <t>Copy Writer</t>
        </is>
      </c>
      <c r="L9" s="28" t="inlineStr">
        <is>
          <t>Agency SEO</t>
        </is>
      </c>
      <c r="M9" s="28" t="inlineStr">
        <is>
          <t>M</t>
        </is>
      </c>
      <c r="N9" s="28" t="n">
        <v>10</v>
      </c>
      <c r="O9" s="28" t="n">
        <v>5</v>
      </c>
      <c r="P9" s="28" t="inlineStr">
        <is>
          <t>Next Sprint</t>
        </is>
      </c>
      <c r="Q9" s="36" t="inlineStr">
        <is>
          <t>To Do</t>
        </is>
      </c>
      <c r="R9" s="28" t="inlineStr"/>
      <c r="S9" s="28" t="inlineStr"/>
      <c r="T9" s="28" t="inlineStr">
        <is>
          <t>Medium Risk</t>
        </is>
      </c>
      <c r="U9" s="28" t="inlineStr">
        <is>
          <t>Yes</t>
        </is>
      </c>
      <c r="V9" s="28" t="inlineStr">
        <is>
          <t>Open in Main Tab</t>
        </is>
      </c>
      <c r="W9" s="28" t="inlineStr"/>
      <c r="X9" s="28" t="inlineStr">
        <is>
          <t>SEO</t>
        </is>
      </c>
      <c r="Y9">
        <f>IFERROR(HYPERLINK("#'Main'!B"&amp;MATCH(TRIM(H9),'Main'!B:B,0),"Open"),HYPERLINK("#'Main'!B1","Open"))</f>
        <v/>
      </c>
      <c r="Z9">
        <f>IFERROR(INDEX('Content Optimisation Hub'!F3:F10000,MATCH(H9,'Content Optimisation Hub'!I3:I10000,0)),"Not in Hub")</f>
        <v/>
      </c>
    </row>
    <row r="10" ht="18" customHeight="1">
      <c r="A10" s="30" t="inlineStr">
        <is>
          <t>Low Image Alt Coverage</t>
        </is>
      </c>
      <c r="B10" s="29" t="inlineStr">
        <is>
          <t>Warning</t>
        </is>
      </c>
      <c r="C10" s="30" t="n">
        <v>70</v>
      </c>
      <c r="D10" s="30" t="n">
        <v>13</v>
      </c>
      <c r="E10" s="31" t="inlineStr">
        <is>
          <t>SEE DETAILS IN Technical Diagnostics</t>
        </is>
      </c>
      <c r="F10" s="30" t="inlineStr">
        <is>
          <t>Technical Diagnostics</t>
        </is>
      </c>
      <c r="G10" s="30" t="inlineStr">
        <is>
          <t>Global Template</t>
        </is>
      </c>
      <c r="H10" s="37" t="inlineStr">
        <is>
          <t>https://africanmarketingconfederation.org/smoke-archive/page-6</t>
        </is>
      </c>
      <c r="I10" s="30" t="inlineStr">
        <is>
          <t>Apply fix based on issue type and re-run audit.</t>
        </is>
      </c>
      <c r="J10" s="30" t="inlineStr">
        <is>
          <t>Template/technical implementation quality issue.</t>
        </is>
      </c>
      <c r="K10" s="41" t="inlineStr">
        <is>
          <t>Copy Writer</t>
        </is>
      </c>
      <c r="L10" s="30" t="inlineStr">
        <is>
          <t>Agency SEO</t>
        </is>
      </c>
      <c r="M10" s="30" t="inlineStr">
        <is>
          <t>M</t>
        </is>
      </c>
      <c r="N10" s="30" t="n">
        <v>10</v>
      </c>
      <c r="O10" s="30" t="n">
        <v>5</v>
      </c>
      <c r="P10" s="30" t="inlineStr">
        <is>
          <t>Next Sprint</t>
        </is>
      </c>
      <c r="Q10" s="36" t="inlineStr">
        <is>
          <t>To Do</t>
        </is>
      </c>
      <c r="R10" s="30" t="inlineStr"/>
      <c r="S10" s="30" t="inlineStr"/>
      <c r="T10" s="30" t="inlineStr">
        <is>
          <t>Medium Risk</t>
        </is>
      </c>
      <c r="U10" s="30" t="inlineStr">
        <is>
          <t>Yes</t>
        </is>
      </c>
      <c r="V10" s="30" t="inlineStr">
        <is>
          <t>Open in Main Tab</t>
        </is>
      </c>
      <c r="W10" s="30" t="inlineStr"/>
      <c r="X10" s="30" t="inlineStr">
        <is>
          <t>SEO</t>
        </is>
      </c>
      <c r="Y10" s="38">
        <f>IFERROR(HYPERLINK("#'Main'!B"&amp;MATCH(TRIM(H10),'Main'!B:B,0),"Open"),HYPERLINK("#'Main'!B1","Open"))</f>
        <v/>
      </c>
      <c r="Z10" s="38">
        <f>IFERROR(INDEX('Content Optimisation Hub'!F3:F10000,MATCH(H10,'Content Optimisation Hub'!I3:I10000,0)),"Not in Hub")</f>
        <v/>
      </c>
    </row>
    <row r="11" ht="30" customHeight="1">
      <c r="A11" s="28" t="inlineStr">
        <is>
          <t>Non-200 Status</t>
        </is>
      </c>
      <c r="B11" s="34" t="inlineStr">
        <is>
          <t>Critical</t>
        </is>
      </c>
      <c r="C11" s="28" t="n">
        <v>102</v>
      </c>
      <c r="D11" s="28" t="n">
        <v>11</v>
      </c>
      <c r="E11" s="20" t="inlineStr">
        <is>
          <t>SEE DETAILS IN Technical Diagnostics</t>
        </is>
      </c>
      <c r="F11" s="28" t="inlineStr">
        <is>
          <t>Technical Diagnostics</t>
        </is>
      </c>
      <c r="G11" s="28" t="inlineStr">
        <is>
          <t>Global Template</t>
        </is>
      </c>
      <c r="H11" s="35" t="inlineStr">
        <is>
          <t>https://africanmarketingconfederation.org/</t>
        </is>
      </c>
      <c r="I11" s="28" t="inlineStr">
        <is>
          <t>Fix status code, restore page, or implement correct redirect to canonical destination.</t>
        </is>
      </c>
      <c r="J11" s="28" t="inlineStr">
        <is>
          <t>URL returns 4xx/5xx or equivalent failure.</t>
        </is>
      </c>
      <c r="K11" s="39" t="inlineStr">
        <is>
          <t>Server/Host</t>
        </is>
      </c>
      <c r="L11" s="28" t="inlineStr">
        <is>
          <t>Agency Dev</t>
        </is>
      </c>
      <c r="M11" s="28" t="inlineStr">
        <is>
          <t>S</t>
        </is>
      </c>
      <c r="N11" s="28" t="n">
        <v>4</v>
      </c>
      <c r="O11" s="28" t="n">
        <v>2</v>
      </c>
      <c r="P11" s="28" t="inlineStr">
        <is>
          <t>Immediate (Current Sprint)</t>
        </is>
      </c>
      <c r="Q11" s="36" t="inlineStr">
        <is>
          <t>To Do</t>
        </is>
      </c>
      <c r="R11" s="28" t="inlineStr"/>
      <c r="S11" s="28" t="inlineStr"/>
      <c r="T11" s="28" t="inlineStr">
        <is>
          <t>High Risk</t>
        </is>
      </c>
      <c r="U11" s="28" t="inlineStr">
        <is>
          <t>Yes</t>
        </is>
      </c>
      <c r="V11" s="28" t="inlineStr">
        <is>
          <t>Open in Main Tab</t>
        </is>
      </c>
      <c r="W11" s="28" t="inlineStr"/>
      <c r="X11" s="28" t="inlineStr">
        <is>
          <t>SEO</t>
        </is>
      </c>
      <c r="Y11">
        <f>IFERROR(HYPERLINK("#'Main'!B"&amp;MATCH(TRIM(H11),'Main'!B:B,0),"Open"),HYPERLINK("#'Main'!B1","Open"))</f>
        <v/>
      </c>
      <c r="Z11">
        <f>IFERROR(INDEX('Content Optimisation Hub'!F3:F10000,MATCH(H11,'Content Optimisation Hub'!I3:I10000,0)),"Not in Hub")</f>
        <v/>
      </c>
    </row>
    <row r="12" ht="18" customHeight="1">
      <c r="A12" s="32" t="inlineStr">
        <is>
          <t>No Author Attribution</t>
        </is>
      </c>
      <c r="B12" s="33" t="inlineStr">
        <is>
          <t>Observation</t>
        </is>
      </c>
      <c r="C12" s="30" t="n">
        <v>37</v>
      </c>
      <c r="D12" s="30" t="n">
        <v>11</v>
      </c>
      <c r="E12" s="31" t="inlineStr">
        <is>
          <t>SEE DETAILS IN Technical Diagnostics</t>
        </is>
      </c>
      <c r="F12" s="30" t="inlineStr">
        <is>
          <t>Technical Diagnostics</t>
        </is>
      </c>
      <c r="G12" s="30" t="inlineStr">
        <is>
          <t>Global Template</t>
        </is>
      </c>
      <c r="H12" s="37" t="inlineStr">
        <is>
          <t>https://africanmarketingconfederation.org/smoke-archive/page-7</t>
        </is>
      </c>
      <c r="I12" s="30" t="inlineStr">
        <is>
          <t>Apply fix based on issue type and re-run audit.</t>
        </is>
      </c>
      <c r="J12" s="30" t="inlineStr">
        <is>
          <t>Template/technical implementation quality issue.</t>
        </is>
      </c>
      <c r="K12" s="41" t="inlineStr">
        <is>
          <t>Copy Writer</t>
        </is>
      </c>
      <c r="L12" s="30" t="inlineStr">
        <is>
          <t>Agency SEO</t>
        </is>
      </c>
      <c r="M12" s="30" t="inlineStr">
        <is>
          <t>S</t>
        </is>
      </c>
      <c r="N12" s="30" t="n">
        <v>4</v>
      </c>
      <c r="O12" s="30" t="n">
        <v>2</v>
      </c>
      <c r="P12" s="30" t="inlineStr">
        <is>
          <t>Backlog</t>
        </is>
      </c>
      <c r="Q12" s="40" t="inlineStr">
        <is>
          <t>In Review</t>
        </is>
      </c>
      <c r="R12" s="30" t="inlineStr"/>
      <c r="S12" s="30" t="inlineStr"/>
      <c r="T12" s="30" t="inlineStr">
        <is>
          <t>Monitor</t>
        </is>
      </c>
      <c r="U12" s="30" t="inlineStr">
        <is>
          <t>No</t>
        </is>
      </c>
      <c r="V12" s="30" t="inlineStr">
        <is>
          <t>Open in Main Tab</t>
        </is>
      </c>
      <c r="W12" s="30" t="inlineStr"/>
      <c r="X12" s="30" t="inlineStr">
        <is>
          <t>SEO</t>
        </is>
      </c>
      <c r="Y12" s="38">
        <f>IFERROR(HYPERLINK("#'Main'!B"&amp;MATCH(TRIM(H12),'Main'!B:B,0),"Open"),HYPERLINK("#'Main'!B1","Open"))</f>
        <v/>
      </c>
      <c r="Z12" s="38">
        <f>IFERROR(INDEX('Content Optimisation Hub'!F3:F10000,MATCH(H12,'Content Optimisation Hub'!I3:I10000,0)),"Not in Hub")</f>
        <v/>
      </c>
    </row>
    <row r="13" ht="18" customHeight="1">
      <c r="A13" s="28" t="inlineStr">
        <is>
          <t>Low E-E-A-T Signal Score (&lt;3)</t>
        </is>
      </c>
      <c r="B13" s="29" t="inlineStr">
        <is>
          <t>Warning</t>
        </is>
      </c>
      <c r="C13" s="28" t="n">
        <v>67</v>
      </c>
      <c r="D13" s="28" t="n">
        <v>11</v>
      </c>
      <c r="E13" s="20" t="inlineStr">
        <is>
          <t>SEE DETAILS IN Technical Diagnostics</t>
        </is>
      </c>
      <c r="F13" s="28" t="inlineStr">
        <is>
          <t>Technical Diagnostics</t>
        </is>
      </c>
      <c r="G13" s="28" t="inlineStr">
        <is>
          <t>Global Template</t>
        </is>
      </c>
      <c r="H13" s="35" t="inlineStr">
        <is>
          <t>https://africanmarketingconfederation.org/smoke-archive/page-7</t>
        </is>
      </c>
      <c r="I13" s="28" t="inlineStr">
        <is>
          <t>Apply fix based on issue type and re-run audit.</t>
        </is>
      </c>
      <c r="J13" s="28" t="inlineStr">
        <is>
          <t>Template/technical implementation quality issue.</t>
        </is>
      </c>
      <c r="K13" s="39" t="inlineStr">
        <is>
          <t>Copy Writer</t>
        </is>
      </c>
      <c r="L13" s="28" t="inlineStr">
        <is>
          <t>Agency SEO</t>
        </is>
      </c>
      <c r="M13" s="28" t="inlineStr">
        <is>
          <t>S</t>
        </is>
      </c>
      <c r="N13" s="28" t="n">
        <v>4</v>
      </c>
      <c r="O13" s="28" t="n">
        <v>2</v>
      </c>
      <c r="P13" s="28" t="inlineStr">
        <is>
          <t>Next Sprint</t>
        </is>
      </c>
      <c r="Q13" s="36" t="inlineStr">
        <is>
          <t>To Do</t>
        </is>
      </c>
      <c r="R13" s="28" t="inlineStr"/>
      <c r="S13" s="28" t="inlineStr"/>
      <c r="T13" s="28" t="inlineStr">
        <is>
          <t>Medium Risk</t>
        </is>
      </c>
      <c r="U13" s="28" t="inlineStr">
        <is>
          <t>Yes</t>
        </is>
      </c>
      <c r="V13" s="28" t="inlineStr">
        <is>
          <t>Open in Main Tab</t>
        </is>
      </c>
      <c r="W13" s="28" t="inlineStr"/>
      <c r="X13" s="28" t="inlineStr">
        <is>
          <t>SEO</t>
        </is>
      </c>
      <c r="Y13">
        <f>IFERROR(HYPERLINK("#'Main'!B"&amp;MATCH(TRIM(H13),'Main'!B:B,0),"Open"),HYPERLINK("#'Main'!B1","Open"))</f>
        <v/>
      </c>
      <c r="Z13">
        <f>IFERROR(INDEX('Content Optimisation Hub'!F3:F10000,MATCH(H13,'Content Optimisation Hub'!I3:I10000,0)),"Not in Hub")</f>
        <v/>
      </c>
    </row>
    <row r="14" ht="120" customHeight="1">
      <c r="A14" s="32" t="inlineStr">
        <is>
          <t>No Question Headings</t>
        </is>
      </c>
      <c r="B14" s="33" t="inlineStr">
        <is>
          <t>Observation</t>
        </is>
      </c>
      <c r="C14" s="30" t="n">
        <v>37</v>
      </c>
      <c r="D14" s="30" t="n">
        <v>9</v>
      </c>
      <c r="E14" s="31" t="inlineStr">
        <is>
          <t>https://africanmarketingconfederation.org/smoke-archive/page-9
https://africanmarketingconfederation.org/smoke-archive/page-18
https://africanmarketingconfederation.org/smoke-archive/page-27
https://africanmarketingconfederation.org/smoke-archive/page-36
https://africanmarketingconfederation.org/smoke-archive/page-45
https://africanmarketingconfederation.org/smoke-archive/page-54
https://africanmarketingconfederation.org/smoke-archive/page-63
https://africanmarketingconfederation.org/smoke-archive/page-72
https://africanmarketingconfederation.org/discovered-via-bfs-1</t>
        </is>
      </c>
      <c r="F14" s="30" t="inlineStr">
        <is>
          <t>Content &amp; AI Readiness</t>
        </is>
      </c>
      <c r="G14" s="30" t="inlineStr">
        <is>
          <t>Manual Content</t>
        </is>
      </c>
      <c r="H14" s="37" t="inlineStr">
        <is>
          <t>https://africanmarketingconfederation.org/smoke-archive/page-9</t>
        </is>
      </c>
      <c r="I14" s="30" t="inlineStr">
        <is>
          <t>Rewrite priority H2/H3 headings into natural-language questions (Who/What/How) so the following paragraph can serve as a direct extractable answer.</t>
        </is>
      </c>
      <c r="J14" s="30" t="inlineStr">
        <is>
          <t>Headings are not phrased as user questions.</t>
        </is>
      </c>
      <c r="K14" s="41" t="inlineStr">
        <is>
          <t>Copy Writer</t>
        </is>
      </c>
      <c r="L14" s="30" t="inlineStr">
        <is>
          <t>Agency SEO</t>
        </is>
      </c>
      <c r="M14" s="30" t="inlineStr">
        <is>
          <t>S</t>
        </is>
      </c>
      <c r="N14" s="30" t="n">
        <v>4</v>
      </c>
      <c r="O14" s="30" t="n">
        <v>2</v>
      </c>
      <c r="P14" s="30" t="inlineStr">
        <is>
          <t>Backlog</t>
        </is>
      </c>
      <c r="Q14" s="40" t="inlineStr">
        <is>
          <t>In Review</t>
        </is>
      </c>
      <c r="R14" s="30" t="inlineStr"/>
      <c r="S14" s="30" t="inlineStr"/>
      <c r="T14" s="30" t="inlineStr">
        <is>
          <t>Monitor</t>
        </is>
      </c>
      <c r="U14" s="30" t="inlineStr">
        <is>
          <t>No</t>
        </is>
      </c>
      <c r="V14" s="30" t="inlineStr">
        <is>
          <t>Open in Main Tab</t>
        </is>
      </c>
      <c r="W14" s="30" t="inlineStr"/>
      <c r="X14" s="30" t="inlineStr">
        <is>
          <t>AEO</t>
        </is>
      </c>
      <c r="Y14" s="38">
        <f>IFERROR(HYPERLINK("#'Main'!B"&amp;MATCH(TRIM(H14),'Main'!B:B,0),"Open"),HYPERLINK("#'Main'!B1","Open"))</f>
        <v/>
      </c>
      <c r="Z14" s="38">
        <f>IFERROR(INDEX('Content Optimisation Hub'!F3:F10000,MATCH(H14,'Content Optimisation Hub'!I3:I10000,0)),"Not in Hub")</f>
        <v/>
      </c>
    </row>
    <row r="15" ht="120" customHeight="1">
      <c r="A15" s="32" t="inlineStr">
        <is>
          <t>No Answer-Friendly Structure</t>
        </is>
      </c>
      <c r="B15" s="33" t="inlineStr">
        <is>
          <t>Observation</t>
        </is>
      </c>
      <c r="C15" s="28" t="n">
        <v>37</v>
      </c>
      <c r="D15" s="28" t="n">
        <v>9</v>
      </c>
      <c r="E15" s="20" t="inlineStr">
        <is>
          <t>https://africanmarketingconfederation.org/smoke-archive/page-9
https://africanmarketingconfederation.org/smoke-archive/page-18
https://africanmarketingconfederation.org/smoke-archive/page-27
https://africanmarketingconfederation.org/smoke-archive/page-36
https://africanmarketingconfederation.org/smoke-archive/page-45
https://africanmarketingconfederation.org/smoke-archive/page-54
https://africanmarketingconfederation.org/smoke-archive/page-63
https://africanmarketingconfederation.org/smoke-archive/page-72
https://africanmarketingconfederation.org/discovered-via-bfs-1</t>
        </is>
      </c>
      <c r="F15" s="28" t="inlineStr">
        <is>
          <t>Content &amp; AI Readiness</t>
        </is>
      </c>
      <c r="G15" s="28" t="inlineStr">
        <is>
          <t>Manual Content</t>
        </is>
      </c>
      <c r="H15" s="35" t="inlineStr">
        <is>
          <t>https://africanmarketingconfederation.org/smoke-archive/page-9</t>
        </is>
      </c>
      <c r="I15" s="28" t="inlineStr">
        <is>
          <t>Break data-heavy explanations into ul/ol steps or a comparison table so LLMs can cite discrete facts without re-parsing long paragraphs.</t>
        </is>
      </c>
      <c r="J15" s="28" t="inlineStr">
        <is>
          <t>Dense prose without lists or tables where facts could be chunked.</t>
        </is>
      </c>
      <c r="K15" s="39" t="inlineStr">
        <is>
          <t>Copy Writer</t>
        </is>
      </c>
      <c r="L15" s="28" t="inlineStr">
        <is>
          <t>Agency SEO</t>
        </is>
      </c>
      <c r="M15" s="28" t="inlineStr">
        <is>
          <t>S</t>
        </is>
      </c>
      <c r="N15" s="28" t="n">
        <v>4</v>
      </c>
      <c r="O15" s="28" t="n">
        <v>2</v>
      </c>
      <c r="P15" s="28" t="inlineStr">
        <is>
          <t>Backlog</t>
        </is>
      </c>
      <c r="Q15" s="40" t="inlineStr">
        <is>
          <t>In Review</t>
        </is>
      </c>
      <c r="R15" s="28" t="inlineStr"/>
      <c r="S15" s="28" t="inlineStr"/>
      <c r="T15" s="28" t="inlineStr">
        <is>
          <t>Monitor</t>
        </is>
      </c>
      <c r="U15" s="28" t="inlineStr">
        <is>
          <t>No</t>
        </is>
      </c>
      <c r="V15" s="28" t="inlineStr">
        <is>
          <t>Open in Main Tab</t>
        </is>
      </c>
      <c r="W15" s="28" t="inlineStr"/>
      <c r="X15" s="28" t="inlineStr">
        <is>
          <t>AEO</t>
        </is>
      </c>
      <c r="Y15">
        <f>IFERROR(HYPERLINK("#'Main'!B"&amp;MATCH(TRIM(H15),'Main'!B:B,0),"Open"),HYPERLINK("#'Main'!B1","Open"))</f>
        <v/>
      </c>
      <c r="Z15">
        <f>IFERROR(INDEX('Content Optimisation Hub'!F3:F10000,MATCH(H15,'Content Optimisation Hub'!I3:I10000,0)),"Not in Hub")</f>
        <v/>
      </c>
    </row>
    <row r="16" ht="120" customHeight="1">
      <c r="A16" s="32" t="inlineStr">
        <is>
          <t>No 40-60 Word Answer Paragraphs</t>
        </is>
      </c>
      <c r="B16" s="33" t="inlineStr">
        <is>
          <t>Observation</t>
        </is>
      </c>
      <c r="C16" s="30" t="n">
        <v>37</v>
      </c>
      <c r="D16" s="30" t="n">
        <v>9</v>
      </c>
      <c r="E16" s="31" t="inlineStr">
        <is>
          <t>https://africanmarketingconfederation.org/smoke-archive/page-9
https://africanmarketingconfederation.org/smoke-archive/page-18
https://africanmarketingconfederation.org/smoke-archive/page-27
https://africanmarketingconfederation.org/smoke-archive/page-36
https://africanmarketingconfederation.org/smoke-archive/page-45
https://africanmarketingconfederation.org/smoke-archive/page-54
https://africanmarketingconfederation.org/smoke-archive/page-63
https://africanmarketingconfederation.org/smoke-archive/page-72
https://africanmarketingconfederation.org/discovered-via-bfs-1</t>
        </is>
      </c>
      <c r="F16" s="30" t="inlineStr">
        <is>
          <t>Content &amp; AI Readiness</t>
        </is>
      </c>
      <c r="G16" s="30" t="inlineStr">
        <is>
          <t>Manual Content</t>
        </is>
      </c>
      <c r="H16" s="37" t="inlineStr">
        <is>
          <t>https://africanmarketingconfederation.org/smoke-archive/page-9</t>
        </is>
      </c>
      <c r="I16" s="30" t="inlineStr">
        <is>
          <t>Refactor each target section to lead with a ~45-word factual definition (no fluff) immediately under the question heading to improve LLM Position Zero retrieval.</t>
        </is>
      </c>
      <c r="J16" s="30" t="inlineStr">
        <is>
          <t>No 40–60 word definitional paragraph directly under a question-style H2/H3.</t>
        </is>
      </c>
      <c r="K16" s="41" t="inlineStr">
        <is>
          <t>Copy Writer</t>
        </is>
      </c>
      <c r="L16" s="30" t="inlineStr">
        <is>
          <t>Agency SEO</t>
        </is>
      </c>
      <c r="M16" s="30" t="inlineStr">
        <is>
          <t>S</t>
        </is>
      </c>
      <c r="N16" s="30" t="n">
        <v>4</v>
      </c>
      <c r="O16" s="30" t="n">
        <v>2</v>
      </c>
      <c r="P16" s="30" t="inlineStr">
        <is>
          <t>Backlog</t>
        </is>
      </c>
      <c r="Q16" s="40" t="inlineStr">
        <is>
          <t>In Review</t>
        </is>
      </c>
      <c r="R16" s="30" t="inlineStr"/>
      <c r="S16" s="30" t="inlineStr"/>
      <c r="T16" s="30" t="inlineStr">
        <is>
          <t>Monitor</t>
        </is>
      </c>
      <c r="U16" s="30" t="inlineStr">
        <is>
          <t>No</t>
        </is>
      </c>
      <c r="V16" s="30" t="inlineStr">
        <is>
          <t>Open in Main Tab</t>
        </is>
      </c>
      <c r="W16" s="30" t="inlineStr"/>
      <c r="X16" s="30" t="inlineStr">
        <is>
          <t>AEO</t>
        </is>
      </c>
      <c r="Y16" s="38">
        <f>IFERROR(HYPERLINK("#'Main'!B"&amp;MATCH(TRIM(H16),'Main'!B:B,0),"Open"),HYPERLINK("#'Main'!B1","Open"))</f>
        <v/>
      </c>
      <c r="Z16" s="38">
        <f>IFERROR(INDEX('Content Optimisation Hub'!F3:F10000,MATCH(H16,'Content Optimisation Hub'!I3:I10000,0)),"Not in Hub")</f>
        <v/>
      </c>
    </row>
    <row r="17" ht="120" customHeight="1">
      <c r="A17" s="28" t="inlineStr">
        <is>
          <t>Missing OG Title</t>
        </is>
      </c>
      <c r="B17" s="29" t="inlineStr">
        <is>
          <t>Warning</t>
        </is>
      </c>
      <c r="C17" s="28" t="n">
        <v>67</v>
      </c>
      <c r="D17" s="28" t="n">
        <v>9</v>
      </c>
      <c r="E17" s="20" t="inlineStr">
        <is>
          <t>https://africanmarketingconfederation.org/smoke-archive/page-8
https://africanmarketingconfederation.org/smoke-archive/page-16
https://africanmarketingconfederation.org/smoke-archive/page-24
https://africanmarketingconfederation.org/smoke-archive/page-32
https://africanmarketingconfederation.org/smoke-archive/page-40
https://africanmarketingconfederation.org/smoke-archive/page-48
https://africanmarketingconfederation.org/smoke-archive/page-56
https://africanmarketingconfederation.org/smoke-archive/page-64
https://africanmarketingconfederation.org/smoke-archive/page-72</t>
        </is>
      </c>
      <c r="F17" s="28" t="inlineStr">
        <is>
          <t>Technical Diagnostics</t>
        </is>
      </c>
      <c r="G17" s="28" t="inlineStr">
        <is>
          <t>Manual Content</t>
        </is>
      </c>
      <c r="H17" s="35" t="inlineStr">
        <is>
          <t>https://africanmarketingconfederation.org/smoke-archive/page-8</t>
        </is>
      </c>
      <c r="I17" s="28" t="inlineStr">
        <is>
          <t>Apply fix based on issue type and re-run audit.</t>
        </is>
      </c>
      <c r="J17" s="28" t="inlineStr">
        <is>
          <t>Template/technical implementation quality issue.</t>
        </is>
      </c>
      <c r="K17" s="39" t="inlineStr">
        <is>
          <t>Copy Writer</t>
        </is>
      </c>
      <c r="L17" s="28" t="inlineStr">
        <is>
          <t>Agency SEO</t>
        </is>
      </c>
      <c r="M17" s="28" t="inlineStr">
        <is>
          <t>S</t>
        </is>
      </c>
      <c r="N17" s="28" t="n">
        <v>4</v>
      </c>
      <c r="O17" s="28" t="n">
        <v>2</v>
      </c>
      <c r="P17" s="28" t="inlineStr">
        <is>
          <t>Next Sprint</t>
        </is>
      </c>
      <c r="Q17" s="36" t="inlineStr">
        <is>
          <t>To Do</t>
        </is>
      </c>
      <c r="R17" s="28" t="inlineStr"/>
      <c r="S17" s="28" t="inlineStr"/>
      <c r="T17" s="28" t="inlineStr">
        <is>
          <t>Medium Risk</t>
        </is>
      </c>
      <c r="U17" s="28" t="inlineStr">
        <is>
          <t>Yes</t>
        </is>
      </c>
      <c r="V17" s="28" t="inlineStr">
        <is>
          <t>Open in Main Tab</t>
        </is>
      </c>
      <c r="W17" s="28" t="inlineStr"/>
      <c r="X17" s="28" t="inlineStr">
        <is>
          <t>SEO</t>
        </is>
      </c>
      <c r="Y17">
        <f>IFERROR(HYPERLINK("#'Main'!B"&amp;MATCH(TRIM(H17),'Main'!B:B,0),"Open"),HYPERLINK("#'Main'!B1","Open"))</f>
        <v/>
      </c>
      <c r="Z17">
        <f>IFERROR(INDEX('Content Optimisation Hub'!F3:F10000,MATCH(H17,'Content Optimisation Hub'!I3:I10000,0)),"Not in Hub")</f>
        <v/>
      </c>
    </row>
    <row r="18" ht="120" customHeight="1">
      <c r="A18" s="30" t="inlineStr">
        <is>
          <t>Low AEO Readiness Score</t>
        </is>
      </c>
      <c r="B18" s="29" t="inlineStr">
        <is>
          <t>Warning</t>
        </is>
      </c>
      <c r="C18" s="30" t="n">
        <v>67</v>
      </c>
      <c r="D18" s="30" t="n">
        <v>9</v>
      </c>
      <c r="E18" s="31" t="inlineStr">
        <is>
          <t>https://africanmarketingconfederation.org/smoke-archive/page-9
https://africanmarketingconfederation.org/smoke-archive/page-18
https://africanmarketingconfederation.org/smoke-archive/page-27
https://africanmarketingconfederation.org/smoke-archive/page-36
https://africanmarketingconfederation.org/smoke-archive/page-45
https://africanmarketingconfederation.org/smoke-archive/page-54
https://africanmarketingconfederation.org/smoke-archive/page-63
https://africanmarketingconfederation.org/smoke-archive/page-72
https://africanmarketingconfederation.org/discovered-via-bfs-1</t>
        </is>
      </c>
      <c r="F18" s="30" t="inlineStr">
        <is>
          <t>Content &amp; AI Readiness</t>
        </is>
      </c>
      <c r="G18" s="30" t="inlineStr">
        <is>
          <t>Manual Content</t>
        </is>
      </c>
      <c r="H18" s="37" t="inlineStr">
        <is>
          <t>https://africanmarketingconfederation.org/smoke-archive/page-9</t>
        </is>
      </c>
      <c r="I18" s="30" t="inlineStr">
        <is>
          <t>Raise the weighted mix: add a 40–60 word factual paragraph under each question H2/H3, add FAQPage/HowTo/Speakable JSON-LD, tune copy to FK grade 7–10, add ul/ol/table for key facts, and ensure robots.txt explicitly allows GPTBot, PerplexityBot, and CCBot.</t>
        </is>
      </c>
      <c r="J18" s="30" t="inlineStr">
        <is>
          <t>Weighted AEO score is below the 70-point extraction-confidence band.</t>
        </is>
      </c>
      <c r="K18" s="41" t="inlineStr">
        <is>
          <t>Copy Writer</t>
        </is>
      </c>
      <c r="L18" s="30" t="inlineStr">
        <is>
          <t>Agency SEO</t>
        </is>
      </c>
      <c r="M18" s="30" t="inlineStr">
        <is>
          <t>S</t>
        </is>
      </c>
      <c r="N18" s="30" t="n">
        <v>4</v>
      </c>
      <c r="O18" s="30" t="n">
        <v>2</v>
      </c>
      <c r="P18" s="30" t="inlineStr">
        <is>
          <t>Next Sprint</t>
        </is>
      </c>
      <c r="Q18" s="36" t="inlineStr">
        <is>
          <t>To Do</t>
        </is>
      </c>
      <c r="R18" s="30" t="inlineStr"/>
      <c r="S18" s="30" t="inlineStr"/>
      <c r="T18" s="30" t="inlineStr">
        <is>
          <t>Medium Risk</t>
        </is>
      </c>
      <c r="U18" s="30" t="inlineStr">
        <is>
          <t>Yes</t>
        </is>
      </c>
      <c r="V18" s="30" t="inlineStr">
        <is>
          <t>Open in Main Tab</t>
        </is>
      </c>
      <c r="W18" s="30" t="inlineStr"/>
      <c r="X18" s="30" t="inlineStr">
        <is>
          <t>AEO</t>
        </is>
      </c>
      <c r="Y18" s="38">
        <f>IFERROR(HYPERLINK("#'Main'!B"&amp;MATCH(TRIM(H18),'Main'!B:B,0),"Open"),HYPERLINK("#'Main'!B1","Open"))</f>
        <v/>
      </c>
      <c r="Z18" s="38">
        <f>IFERROR(INDEX('Content Optimisation Hub'!F3:F10000,MATCH(H18,'Content Optimisation Hub'!I3:I10000,0)),"Not in Hub")</f>
        <v/>
      </c>
    </row>
    <row r="19" ht="120" customHeight="1">
      <c r="A19" s="28" t="inlineStr">
        <is>
          <t>No Schema Markup</t>
        </is>
      </c>
      <c r="B19" s="34" t="inlineStr">
        <is>
          <t>Critical</t>
        </is>
      </c>
      <c r="C19" s="28" t="n">
        <v>105</v>
      </c>
      <c r="D19" s="28" t="n">
        <v>6</v>
      </c>
      <c r="E19" s="20" t="inlineStr">
        <is>
          <t>https://africanmarketingconfederation.org/smoke-archive/page-12
https://africanmarketingconfederation.org/smoke-archive/page-24
https://africanmarketingconfederation.org/smoke-archive/page-36
https://africanmarketingconfederation.org/smoke-archive/page-48
https://africanmarketingconfederation.org/smoke-archive/page-60
https://africanmarketingconfederation.org/smoke-archive/page-72</t>
        </is>
      </c>
      <c r="F19" s="28" t="inlineStr">
        <is>
          <t>Technical Diagnostics</t>
        </is>
      </c>
      <c r="G19" s="28" t="inlineStr">
        <is>
          <t>Global Template</t>
        </is>
      </c>
      <c r="H19" s="35" t="inlineStr">
        <is>
          <t>https://africanmarketingconfederation.org/smoke-archive/page-12</t>
        </is>
      </c>
      <c r="I19" s="28" t="inlineStr">
        <is>
          <t>Apply fix based on issue type and re-run audit.</t>
        </is>
      </c>
      <c r="J19" s="28" t="inlineStr">
        <is>
          <t>Template/technical implementation quality issue.</t>
        </is>
      </c>
      <c r="K19" s="39" t="inlineStr">
        <is>
          <t>Dev</t>
        </is>
      </c>
      <c r="L19" s="28" t="inlineStr">
        <is>
          <t>Agency Dev</t>
        </is>
      </c>
      <c r="M19" s="28" t="inlineStr">
        <is>
          <t>M</t>
        </is>
      </c>
      <c r="N19" s="28" t="n">
        <v>10</v>
      </c>
      <c r="O19" s="28" t="n">
        <v>5</v>
      </c>
      <c r="P19" s="28" t="inlineStr">
        <is>
          <t>Immediate (Current Sprint)</t>
        </is>
      </c>
      <c r="Q19" s="36" t="inlineStr">
        <is>
          <t>To Do</t>
        </is>
      </c>
      <c r="R19" s="28" t="inlineStr"/>
      <c r="S19" s="28" t="inlineStr"/>
      <c r="T19" s="28" t="inlineStr">
        <is>
          <t>High Risk</t>
        </is>
      </c>
      <c r="U19" s="28" t="inlineStr">
        <is>
          <t>Yes</t>
        </is>
      </c>
      <c r="V19" s="28" t="inlineStr">
        <is>
          <t>Open in Main Tab</t>
        </is>
      </c>
      <c r="W19" s="28" t="inlineStr"/>
      <c r="X19" s="28" t="inlineStr">
        <is>
          <t>SEO</t>
        </is>
      </c>
      <c r="Y19">
        <f>IFERROR(HYPERLINK("#'Main'!B"&amp;MATCH(TRIM(H19),'Main'!B:B,0),"Open"),HYPERLINK("#'Main'!B1","Open"))</f>
        <v/>
      </c>
      <c r="Z19">
        <f>IFERROR(INDEX('Content Optimisation Hub'!F3:F10000,MATCH(H19,'Content Optimisation Hub'!I3:I10000,0)),"Not in Hub")</f>
        <v/>
      </c>
    </row>
  </sheetData>
  <autoFilter ref="A2:Z19"/>
  <mergeCells count="2">
    <mergeCell ref="A1:B1"/>
    <mergeCell ref="C1:H1"/>
  </mergeCells>
  <conditionalFormatting sqref="C3:C19">
    <cfRule type="cellIs" priority="1" operator="greaterThanOrEqual" dxfId="7">
      <formula>85</formula>
    </cfRule>
    <cfRule type="cellIs" priority="2" operator="between" dxfId="8">
      <formula>65</formula>
      <formula>84</formula>
    </cfRule>
  </conditionalFormatting>
  <conditionalFormatting sqref="U3:U19">
    <cfRule type="expression" priority="3" dxfId="0" stopIfTrue="1">
      <formula>LOWER(U2)="yes"</formula>
    </cfRule>
    <cfRule type="expression" priority="4" dxfId="2" stopIfTrue="1">
      <formula>LOWER(U2)="no"</formula>
    </cfRule>
  </conditionalFormatting>
  <conditionalFormatting sqref="B3:B19">
    <cfRule type="expression" priority="5" dxfId="0" stopIfTrue="1">
      <formula>LOWER(B2)="critical"</formula>
    </cfRule>
    <cfRule type="expression" priority="6" dxfId="1" stopIfTrue="1">
      <formula>LOWER(B2)="warning"</formula>
    </cfRule>
    <cfRule type="expression" priority="7" dxfId="2" stopIfTrue="1">
      <formula>OR(LOWER(B2)="pass",LOWER(B2)="observation")</formula>
    </cfRule>
  </conditionalFormatting>
  <conditionalFormatting sqref="Q3:Q19">
    <cfRule type="expression" priority="8" dxfId="4" stopIfTrue="1">
      <formula>OR(LOWER(Q3)="done",LOWER(Q3)="completed",LOWER(Q3)="fixed",LOWER(Q3)="closed")</formula>
    </cfRule>
    <cfRule type="expression" priority="9" dxfId="5" stopIfTrue="1">
      <formula>OR(LOWER(Q3)="in progress",LOWER(Q3)="in review",LOWER(Q3)="review")</formula>
    </cfRule>
    <cfRule type="expression" priority="10" dxfId="6" stopIfTrue="1">
      <formula>OR(LOWER(Q3)="to do",LOWER(Q3)="open")</formula>
    </cfRule>
  </conditionalFormatting>
  <conditionalFormatting sqref="A3:X19">
    <cfRule type="expression" priority="11" dxfId="3" stopIfTrue="0">
      <formula>MOD(ROW(),2)=0</formula>
    </cfRule>
  </conditionalFormatting>
  <dataValidations count="1">
    <dataValidation sqref="Q3:Q19" showDropDown="0" showInputMessage="1" showErrorMessage="1" allowBlank="1" errorTitle="Invalid Status" error="Select a value from the dropdown list." promptTitle="Workflow status" prompt="Track workflow state: To Do → In Progress → In Review → Done" type="list">
      <formula1>"To Do,In Progress,In Review,Done"</formula1>
    </dataValidation>
  </dataValidations>
  <hyperlinks>
    <hyperlink xmlns:r="http://schemas.openxmlformats.org/officeDocument/2006/relationships" ref="A1" r:id="rId1"/>
    <hyperlink xmlns:r="http://schemas.openxmlformats.org/officeDocument/2006/relationships" ref="H3" r:id="rId2"/>
    <hyperlink xmlns:r="http://schemas.openxmlformats.org/officeDocument/2006/relationships" ref="K2" r:id="rId3"/>
    <hyperlink xmlns:r="http://schemas.openxmlformats.org/officeDocument/2006/relationships" ref="H4" r:id="rId4"/>
    <hyperlink xmlns:r="http://schemas.openxmlformats.org/officeDocument/2006/relationships" ref="K3" r:id="rId5"/>
    <hyperlink xmlns:r="http://schemas.openxmlformats.org/officeDocument/2006/relationships" ref="H5" r:id="rId6"/>
    <hyperlink xmlns:r="http://schemas.openxmlformats.org/officeDocument/2006/relationships" ref="K4" r:id="rId7"/>
    <hyperlink xmlns:r="http://schemas.openxmlformats.org/officeDocument/2006/relationships" ref="H6" r:id="rId8"/>
    <hyperlink xmlns:r="http://schemas.openxmlformats.org/officeDocument/2006/relationships" ref="K5" r:id="rId9"/>
    <hyperlink xmlns:r="http://schemas.openxmlformats.org/officeDocument/2006/relationships" ref="H7" r:id="rId10"/>
    <hyperlink xmlns:r="http://schemas.openxmlformats.org/officeDocument/2006/relationships" ref="K6" r:id="rId11"/>
    <hyperlink xmlns:r="http://schemas.openxmlformats.org/officeDocument/2006/relationships" ref="H8" r:id="rId12"/>
    <hyperlink xmlns:r="http://schemas.openxmlformats.org/officeDocument/2006/relationships" ref="K7" r:id="rId13"/>
    <hyperlink xmlns:r="http://schemas.openxmlformats.org/officeDocument/2006/relationships" ref="H9" r:id="rId14"/>
    <hyperlink xmlns:r="http://schemas.openxmlformats.org/officeDocument/2006/relationships" ref="K8" r:id="rId15"/>
    <hyperlink xmlns:r="http://schemas.openxmlformats.org/officeDocument/2006/relationships" ref="H10" r:id="rId16"/>
    <hyperlink xmlns:r="http://schemas.openxmlformats.org/officeDocument/2006/relationships" ref="K9" r:id="rId17"/>
    <hyperlink xmlns:r="http://schemas.openxmlformats.org/officeDocument/2006/relationships" ref="H11" r:id="rId18"/>
    <hyperlink xmlns:r="http://schemas.openxmlformats.org/officeDocument/2006/relationships" ref="K10" r:id="rId19"/>
    <hyperlink xmlns:r="http://schemas.openxmlformats.org/officeDocument/2006/relationships" ref="H12" r:id="rId20"/>
    <hyperlink xmlns:r="http://schemas.openxmlformats.org/officeDocument/2006/relationships" ref="K11" r:id="rId21"/>
    <hyperlink xmlns:r="http://schemas.openxmlformats.org/officeDocument/2006/relationships" ref="H13" r:id="rId22"/>
    <hyperlink xmlns:r="http://schemas.openxmlformats.org/officeDocument/2006/relationships" ref="K12" r:id="rId23"/>
    <hyperlink xmlns:r="http://schemas.openxmlformats.org/officeDocument/2006/relationships" ref="H14" r:id="rId24"/>
    <hyperlink xmlns:r="http://schemas.openxmlformats.org/officeDocument/2006/relationships" ref="K13" r:id="rId25"/>
    <hyperlink xmlns:r="http://schemas.openxmlformats.org/officeDocument/2006/relationships" ref="H15" r:id="rId26"/>
    <hyperlink xmlns:r="http://schemas.openxmlformats.org/officeDocument/2006/relationships" ref="K14" r:id="rId27"/>
    <hyperlink xmlns:r="http://schemas.openxmlformats.org/officeDocument/2006/relationships" ref="H16" r:id="rId28"/>
    <hyperlink xmlns:r="http://schemas.openxmlformats.org/officeDocument/2006/relationships" ref="K15" r:id="rId29"/>
    <hyperlink xmlns:r="http://schemas.openxmlformats.org/officeDocument/2006/relationships" ref="H17" r:id="rId30"/>
    <hyperlink xmlns:r="http://schemas.openxmlformats.org/officeDocument/2006/relationships" ref="K16" r:id="rId31"/>
    <hyperlink xmlns:r="http://schemas.openxmlformats.org/officeDocument/2006/relationships" ref="H18" r:id="rId32"/>
    <hyperlink xmlns:r="http://schemas.openxmlformats.org/officeDocument/2006/relationships" ref="K17" r:id="rId33"/>
    <hyperlink xmlns:r="http://schemas.openxmlformats.org/officeDocument/2006/relationships" ref="H19" r:id="rId34"/>
    <hyperlink xmlns:r="http://schemas.openxmlformats.org/officeDocument/2006/relationships" ref="K18" r:id="rId35"/>
  </hyperlink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tabColor rgb="002980B9"/>
    <outlinePr summaryBelow="1" summaryRight="1"/>
    <pageSetUpPr fitToPage="1"/>
  </sheetPr>
  <dimension ref="A1:M4"/>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45" customWidth="1" min="2" max="2"/>
    <col width="29" customWidth="1" min="3" max="3"/>
    <col width="13" customWidth="1" min="4" max="4"/>
    <col width="14" customWidth="1" min="5" max="5"/>
    <col width="13" customWidth="1" min="6" max="6"/>
    <col width="18" customWidth="1" min="7" max="7"/>
    <col width="21" customWidth="1" min="8" max="8"/>
    <col width="55" customWidth="1" min="9" max="9"/>
    <col width="28" customWidth="1" min="10" max="10"/>
    <col width="14" customWidth="1" min="11" max="11"/>
    <col width="17" customWidth="1" min="12" max="12"/>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7" t="inlineStr">
        <is>
          <t>Priority Score</t>
        </is>
      </c>
      <c r="B2" s="26" t="inlineStr">
        <is>
          <t>URL</t>
        </is>
      </c>
      <c r="C2" s="26" t="inlineStr">
        <is>
          <t>Issue</t>
        </is>
      </c>
      <c r="D2" s="26" t="inlineStr">
        <is>
          <t>Severity</t>
        </is>
      </c>
      <c r="E2" s="26" t="inlineStr">
        <is>
          <t>Effort (hrs)</t>
        </is>
      </c>
      <c r="F2" s="26" t="inlineStr">
        <is>
          <t>Owner</t>
        </is>
      </c>
      <c r="G2" s="27" t="inlineStr">
        <is>
          <t>GSC Clicks (30d)</t>
        </is>
      </c>
      <c r="H2" s="27" t="inlineStr">
        <is>
          <t>Business Risk Score</t>
        </is>
      </c>
      <c r="I2" s="26" t="inlineStr">
        <is>
          <t>Recommended Fix</t>
        </is>
      </c>
      <c r="J2" s="26" t="inlineStr">
        <is>
          <t>Sprint</t>
        </is>
      </c>
      <c r="K2" s="26" t="inlineStr">
        <is>
          <t>Revenue Risk</t>
        </is>
      </c>
      <c r="L2" s="26" t="inlineStr">
        <is>
          <t>Jump to FixPlan</t>
        </is>
      </c>
      <c r="M2" s="26" t="inlineStr">
        <is>
          <t>Open in Main</t>
        </is>
      </c>
    </row>
    <row r="3" ht="30" customHeight="1">
      <c r="A3" s="28" t="n">
        <v>30.2</v>
      </c>
      <c r="B3" s="35" t="inlineStr">
        <is>
          <t>https://africanmarketingconfederation.org/</t>
        </is>
      </c>
      <c r="C3" s="28" t="inlineStr">
        <is>
          <t>Non-200 Status</t>
        </is>
      </c>
      <c r="D3" s="28" t="inlineStr">
        <is>
          <t>Critical</t>
        </is>
      </c>
      <c r="E3" s="28" t="n">
        <v>4</v>
      </c>
      <c r="F3" s="28" t="inlineStr">
        <is>
          <t>Server/Host</t>
        </is>
      </c>
      <c r="G3" s="28" t="n">
        <v>52</v>
      </c>
      <c r="H3" s="28" t="n">
        <v>0</v>
      </c>
      <c r="I3" s="28" t="inlineStr">
        <is>
          <t>Fix status code, restore page, or implement correct redirect to canonical destination.</t>
        </is>
      </c>
      <c r="J3" s="28" t="inlineStr">
        <is>
          <t>Immediate (Current Sprint)</t>
        </is>
      </c>
      <c r="K3" s="28" t="inlineStr">
        <is>
          <t>High Risk</t>
        </is>
      </c>
      <c r="L3" s="28">
        <f>IFERROR(HYPERLINK("#'FixPlan'!A"&amp;MATCH("Non-200 Status",'FixPlan'!B:B,0),"Open in FixPlan"),HYPERLINK("#'FixPlan'!A1","Open in FixPlan"))</f>
        <v/>
      </c>
      <c r="M3">
        <f>IFERROR(HYPERLINK("#'Main'!B"&amp;MATCH(TRIM(B3),'Main'!B:B,0),"Open"),HYPERLINK("#'Main'!B1","Open"))</f>
        <v/>
      </c>
    </row>
    <row r="4" ht="18" customHeight="1">
      <c r="A4" s="32" t="n">
        <v>7.7</v>
      </c>
      <c r="B4" s="37" t="inlineStr">
        <is>
          <t>https://africanmarketingconfederation.org/</t>
        </is>
      </c>
      <c r="C4" s="30" t="inlineStr">
        <is>
          <t>No Consent Manager Detected</t>
        </is>
      </c>
      <c r="D4" s="30" t="inlineStr">
        <is>
          <t>Observation</t>
        </is>
      </c>
      <c r="E4" s="30" t="n">
        <v>4</v>
      </c>
      <c r="F4" s="30" t="inlineStr">
        <is>
          <t>Copy Writer</t>
        </is>
      </c>
      <c r="G4" s="30" t="n">
        <v>52</v>
      </c>
      <c r="H4" s="30" t="n">
        <v>0</v>
      </c>
      <c r="I4" s="30" t="inlineStr">
        <is>
          <t>Apply fix based on issue type and re-run audit.</t>
        </is>
      </c>
      <c r="J4" s="30" t="inlineStr">
        <is>
          <t>Backlog</t>
        </is>
      </c>
      <c r="K4" s="30" t="inlineStr">
        <is>
          <t>Monitor</t>
        </is>
      </c>
      <c r="L4" s="30">
        <f>IFERROR(HYPERLINK("#'FixPlan'!A"&amp;MATCH("No Consent Manager Detected",'FixPlan'!B:B,0),"Open in FixPlan"),HYPERLINK("#'FixPlan'!A1","Open in FixPlan"))</f>
        <v/>
      </c>
      <c r="M4" s="38">
        <f>IFERROR(HYPERLINK("#'Main'!B"&amp;MATCH(TRIM(B4),'Main'!B:B,0),"Open"),HYPERLINK("#'Main'!B1","Open"))</f>
        <v/>
      </c>
    </row>
  </sheetData>
  <autoFilter ref="A2:M4"/>
  <mergeCells count="2">
    <mergeCell ref="A1:B1"/>
    <mergeCell ref="C1:H1"/>
  </mergeCells>
  <conditionalFormatting sqref="A3:A4">
    <cfRule type="cellIs" priority="1" operator="greaterThanOrEqual" dxfId="7">
      <formula>85</formula>
    </cfRule>
    <cfRule type="cellIs" priority="2" operator="between" dxfId="8">
      <formula>65</formula>
      <formula>84</formula>
    </cfRule>
    <cfRule type="dataBar" priority="7">
      <dataBar showValue="1">
        <cfvo type="min"/>
        <cfvo type="max"/>
        <color rgb="00638EC6"/>
      </dataBar>
    </cfRule>
  </conditionalFormatting>
  <conditionalFormatting sqref="D3:D4">
    <cfRule type="expression" priority="3" dxfId="0" stopIfTrue="1">
      <formula>LOWER(D2)="critical"</formula>
    </cfRule>
    <cfRule type="expression" priority="4" dxfId="1" stopIfTrue="1">
      <formula>LOWER(D2)="warning"</formula>
    </cfRule>
    <cfRule type="expression" priority="5" dxfId="2" stopIfTrue="1">
      <formula>OR(LOWER(D2)="pass",LOWER(D2)="observation")</formula>
    </cfRule>
    <cfRule type="expression" priority="10" dxfId="9" stopIfTrue="1">
      <formula>OR(NOT(ISERROR(SEARCH("Critical",D3))),NOT(ISERROR(SEARCH("Non-Pass",D3))),NOT(ISERROR(SEARCH("Error",D3))))</formula>
    </cfRule>
    <cfRule type="expression" priority="11" dxfId="10" stopIfTrue="1">
      <formula>OR(NOT(ISERROR(SEARCH("Warning",D3))),NOT(ISERROR(SEARCH("Needs Work",D3))))</formula>
    </cfRule>
  </conditionalFormatting>
  <conditionalFormatting sqref="A3:L4">
    <cfRule type="expression" priority="6" dxfId="3" stopIfTrue="0">
      <formula>MOD(ROW(),2)=0</formula>
    </cfRule>
  </conditionalFormatting>
  <conditionalFormatting sqref="E3:E4">
    <cfRule type="cellIs" priority="8" operator="lessThanOrEqual" dxfId="11">
      <formula>2</formula>
    </cfRule>
    <cfRule type="cellIs" priority="9" operator="between" dxfId="10">
      <formula>2.01</formula>
      <formula>4</formula>
    </cfRule>
  </conditionalFormatting>
  <hyperlinks>
    <hyperlink xmlns:r="http://schemas.openxmlformats.org/officeDocument/2006/relationships" ref="A1" r:id="rId1"/>
    <hyperlink xmlns:r="http://schemas.openxmlformats.org/officeDocument/2006/relationships" ref="B3" r:id="rId2"/>
    <hyperlink xmlns:r="http://schemas.openxmlformats.org/officeDocument/2006/relationships" ref="B4" r:id="rId3"/>
  </hyperlink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tabColor rgb="0027AE60"/>
    <outlinePr summaryBelow="1" summaryRight="1"/>
    <pageSetUpPr fitToPage="1"/>
  </sheetPr>
  <dimension ref="A1:AK35"/>
  <sheetViews>
    <sheetView showGridLines="0" tabSelected="0" workbookViewId="0">
      <pane xSplit="8" ySplit="2" topLeftCell="I3" activePane="bottomRight" state="frozen"/>
      <selection pane="topRight"/>
      <selection pane="bottomLeft"/>
      <selection pane="bottomRight"/>
      <selection pane="bottomLeft"/>
      <selection pane="bottomRight"/>
      <selection pane="bottomLeft"/>
      <selection pane="bottomRight"/>
      <selection pane="bottomLeft"/>
      <selection pane="bottomRight"/>
      <selection pane="bottomLeft"/>
      <selection pane="bottomRight"/>
      <selection pane="bottomLeft"/>
      <selection pane="bottomRight" activeCell="A1" sqref="A1"/>
    </sheetView>
  </sheetViews>
  <sheetFormatPr baseColWidth="8" defaultRowHeight="15"/>
  <cols>
    <col width="22" customWidth="1" min="1" max="1"/>
    <col width="22" customWidth="1" min="2" max="2"/>
    <col width="10" customWidth="1" min="3" max="3"/>
    <col width="10" customWidth="1" min="4" max="4"/>
    <col width="10" customWidth="1" min="5" max="5"/>
    <col width="10" customWidth="1" min="6" max="6"/>
    <col width="15" customWidth="1" min="7" max="7"/>
    <col width="22" customWidth="1" min="8" max="8"/>
    <col width="22" customWidth="1" min="9" max="9"/>
    <col width="45" customWidth="1" min="10" max="10"/>
    <col width="45" customWidth="1" min="11" max="11"/>
    <col width="22" customWidth="1" min="12" max="12"/>
    <col width="45" customWidth="1" min="13" max="13"/>
    <col width="22" customWidth="1" min="14" max="14"/>
    <col width="45" customWidth="1" min="15" max="15"/>
    <col width="10" customWidth="1" min="16" max="16"/>
    <col width="45" customWidth="1" min="17" max="17"/>
    <col width="22" customWidth="1" min="18" max="18"/>
    <col width="45" customWidth="1" min="19" max="19"/>
    <col width="22" customWidth="1" min="20" max="20"/>
    <col width="45" customWidth="1" min="21" max="21"/>
    <col width="22" customWidth="1" min="22" max="22"/>
    <col width="45" customWidth="1" min="23" max="23"/>
    <col width="22" customWidth="1" min="24" max="24"/>
    <col width="45" customWidth="1" min="25" max="25"/>
    <col width="22" customWidth="1" min="26" max="26"/>
    <col width="18.14" customWidth="1" min="27" max="27"/>
    <col width="15" customWidth="1" min="28" max="28"/>
    <col width="42" customWidth="1" min="29" max="29"/>
    <col width="10" customWidth="1" min="30" max="30"/>
    <col width="22.57" customWidth="1" min="31" max="31"/>
    <col width="48" customWidth="1" min="32" max="32"/>
    <col width="48" customWidth="1" min="33" max="33"/>
    <col width="10" customWidth="1" min="34" max="34"/>
    <col width="10" customWidth="1" min="35" max="35"/>
    <col width="10" customWidth="1" min="36" max="36"/>
    <col width="10" customWidth="1" min="37" max="37"/>
  </cols>
  <sheetData>
    <row r="1" ht="28" customHeight="1">
      <c r="A1" s="42" t="inlineStr">
        <is>
          <t>← Return to Executive Briefing</t>
        </is>
      </c>
      <c r="B1" s="43" t="n"/>
      <c r="C1" s="43" t="n"/>
      <c r="D1" s="43" t="n"/>
      <c r="E1" s="44" t="inlineStr">
        <is>
          <t>CONTENT HUB (DIAGNOSTIC): Edit Title, Meta, and H1-H6 in-place; health columns and On-Page score update live. | Use Elementor link for CMS edits. | Set Status to Done when changes are live in the CMS.</t>
        </is>
      </c>
      <c r="F1" s="43" t="n"/>
      <c r="G1" s="43" t="n"/>
      <c r="H1" s="43" t="n"/>
      <c r="I1" s="43" t="n"/>
      <c r="J1" s="43" t="n"/>
      <c r="K1" s="43" t="n"/>
      <c r="L1" s="43" t="n"/>
      <c r="M1" s="43" t="n"/>
      <c r="N1" s="43" t="n"/>
      <c r="O1" s="43" t="n"/>
      <c r="P1" s="43" t="n"/>
      <c r="Q1" s="43" t="n"/>
      <c r="R1" s="43" t="n"/>
      <c r="S1" s="43" t="n"/>
      <c r="T1" s="43" t="n"/>
      <c r="U1" s="43" t="n"/>
      <c r="V1" s="43" t="n"/>
      <c r="W1" s="43" t="n"/>
      <c r="X1" s="43" t="n"/>
      <c r="Y1" s="43" t="n"/>
      <c r="Z1" s="43" t="n"/>
      <c r="AA1" s="45" t="inlineStr">
        <is>
          <t>NOTE: If images show '#BLOCKED!', enable external content in Excel security.</t>
        </is>
      </c>
    </row>
    <row r="2" ht="30" customHeight="1">
      <c r="A2" s="26" t="inlineStr">
        <is>
          <t>Action Required</t>
        </is>
      </c>
      <c r="B2" s="27" t="inlineStr">
        <is>
          <t>On-Page Optimisation Score</t>
        </is>
      </c>
      <c r="C2" s="27" t="inlineStr">
        <is>
          <t>SEO Score</t>
        </is>
      </c>
      <c r="D2" s="26" t="inlineStr">
        <is>
          <t>Technical Health</t>
        </is>
      </c>
      <c r="E2" s="27" t="inlineStr">
        <is>
          <t>Copy Score</t>
        </is>
      </c>
      <c r="F2" s="26" t="inlineStr">
        <is>
          <t>Status</t>
        </is>
      </c>
      <c r="G2" s="26" t="inlineStr">
        <is>
          <t>Assigned Owner</t>
        </is>
      </c>
      <c r="H2" s="26" t="inlineStr">
        <is>
          <t>URL Slug Normalization</t>
        </is>
      </c>
      <c r="I2" s="26" t="inlineStr">
        <is>
          <t>URL</t>
        </is>
      </c>
      <c r="J2" s="26" t="inlineStr">
        <is>
          <t>Proposed URL Slug</t>
        </is>
      </c>
      <c r="K2" s="26" t="inlineStr">
        <is>
          <t>Current Title</t>
        </is>
      </c>
      <c r="L2" s="26" t="inlineStr">
        <is>
          <t>Title Health</t>
        </is>
      </c>
      <c r="M2" s="26" t="inlineStr">
        <is>
          <t>Current Meta Desc</t>
        </is>
      </c>
      <c r="N2" s="26" t="inlineStr">
        <is>
          <t>Meta Health</t>
        </is>
      </c>
      <c r="O2" s="26" t="inlineStr">
        <is>
          <t>H1</t>
        </is>
      </c>
      <c r="P2" s="26" t="inlineStr">
        <is>
          <t>H1 Health</t>
        </is>
      </c>
      <c r="Q2" s="26" t="inlineStr">
        <is>
          <t>H2</t>
        </is>
      </c>
      <c r="R2" s="26" t="inlineStr">
        <is>
          <t>H2 Health</t>
        </is>
      </c>
      <c r="S2" s="26" t="inlineStr">
        <is>
          <t>H3</t>
        </is>
      </c>
      <c r="T2" s="26" t="inlineStr">
        <is>
          <t>H3 Health</t>
        </is>
      </c>
      <c r="U2" s="26" t="inlineStr">
        <is>
          <t>H4</t>
        </is>
      </c>
      <c r="V2" s="26" t="inlineStr">
        <is>
          <t>H4 Health</t>
        </is>
      </c>
      <c r="W2" s="26" t="inlineStr">
        <is>
          <t>H5</t>
        </is>
      </c>
      <c r="X2" s="26" t="inlineStr">
        <is>
          <t>H5 Health</t>
        </is>
      </c>
      <c r="Y2" s="26" t="inlineStr">
        <is>
          <t>H6</t>
        </is>
      </c>
      <c r="Z2" s="26" t="inlineStr">
        <is>
          <t>H6 Health</t>
        </is>
      </c>
      <c r="AA2" s="26" t="inlineStr">
        <is>
          <t>Elementor Builder Link</t>
        </is>
      </c>
      <c r="AB2" s="26" t="inlineStr">
        <is>
          <t>Current OG-Image URL</t>
        </is>
      </c>
      <c r="AC2" s="26" t="inlineStr">
        <is>
          <t>OG Image Health</t>
        </is>
      </c>
      <c r="AD2" s="26" t="inlineStr">
        <is>
          <t>OG Image Preview</t>
        </is>
      </c>
      <c r="AE2" s="26" t="inlineStr">
        <is>
          <t>Open in Main</t>
        </is>
      </c>
      <c r="AF2" s="26" t="inlineStr">
        <is>
          <t>Recommended Action</t>
        </is>
      </c>
      <c r="AG2" s="26" t="inlineStr">
        <is>
          <t>Priority Reason</t>
        </is>
      </c>
      <c r="AH2" s="27" t="inlineStr">
        <is>
          <t>Entity Density (%)</t>
        </is>
      </c>
      <c r="AI2" s="26" t="inlineStr">
        <is>
          <t>Top Entities</t>
        </is>
      </c>
      <c r="AJ2" s="27" t="inlineStr">
        <is>
          <t>Citation Candidate Count</t>
        </is>
      </c>
      <c r="AK2" s="27" t="inlineStr">
        <is>
          <t>Semantic AEO Score</t>
        </is>
      </c>
    </row>
    <row r="3" ht="18" customHeight="1">
      <c r="A3" s="46">
        <f>IF(B3&gt;=85,"Complete","Needs Copy")</f>
        <v/>
      </c>
      <c r="B3" s="46">
        <f>MIN(100,ROUND(0.30*(IF(L3="",0,IF(LEFT(L3,7)="MISSING",0,IF(ISNUMBER(SEARCH("OK",L3)),100,IF(ISNUMBER(SEARCH("SHORT",L3)),65,IF(ISNUMBER(SEARCH("LONG",L3)),50,70))))))+0.25*(IF(N3="",0,IF(LEFT(N3,7)="MISSING",0,IF(ISNUMBER(SEARCH("OK",N3)),100,IF(ISNUMBER(SEARCH("SHORT",N3)),65,IF(ISNUMBER(SEARCH("LONG",N3)),50,70))))))+0.20*(IF(P3="",0,IF(LEFT(P3,2)="OK",100,0)))+0.08*(IF(R3="",0,IF(LEFT(R3,2)="OK",100,0)))+0.06*(IF(T3="",0,IF(LEFT(T3,2)="OK",100,0)))+0.05*(IF(V3="",0,IF(LEFT(V3,2)="OK",100,0)))+0.03*(IF(X3="",0,IF(LEFT(X3,2)="OK",100,0)))+0.03*(IF(Z3="",0,IF(LEFT(Z3,2)="OK",100,0))),0))</f>
        <v/>
      </c>
      <c r="C3" s="46">
        <f>IFERROR(INDEX(OFFSET('Main'!$A$1,2,MATCH("SEO Score",'Main'!$2:$2,0)-1,99998,1),MATCH(TRIM(I3),OFFSET('Main'!$A$1,2,MATCH("URL",'Main'!$2:$2,0)-1,99998,1),0)),"")</f>
        <v/>
      </c>
      <c r="D3" s="46">
        <f>IFERROR(INDEX(OFFSET('Main'!$A$1,2,MATCH("Technical Health",'Main'!$2:$2,0)-1,99998,1),MATCH(TRIM(I3),OFFSET('Main'!$A$1,2,MATCH("URL",'Main'!$2:$2,0)-1,99998,1),0)),"")</f>
        <v/>
      </c>
      <c r="E3" s="46">
        <f>IFERROR(INDEX(OFFSET('Main'!$A$1,2,MATCH("Copy Score",'Main'!$2:$2,0)-1,99998,1),MATCH(TRIM(I3),OFFSET('Main'!$A$1,2,MATCH("URL",'Main'!$2:$2,0)-1,99998,1),0)),"")</f>
        <v/>
      </c>
      <c r="F3" s="46" t="inlineStr">
        <is>
          <t>To Do</t>
        </is>
      </c>
      <c r="G3" s="46" t="inlineStr">
        <is>
          <t>Copy Writer</t>
        </is>
      </c>
      <c r="H3" s="46">
        <f>HYPERLINK("https://africanmarketingconfederation.org/discovered-via-bfs-1","Discovered Via Bfs 1")</f>
        <v/>
      </c>
      <c r="I3" s="47">
        <f>HYPERLINK("https://africanmarketingconfederation.org/discovered-via-bfs-1","https://africanmarketingconfederation.org/discovered-via-bfs-1")</f>
        <v/>
      </c>
      <c r="J3" s="20" t="inlineStr">
        <is>
          <t>discovered-via-bfs-1</t>
        </is>
      </c>
      <c r="K3" s="46" t="inlineStr">
        <is>
          <t>Smoke title 81</t>
        </is>
      </c>
      <c r="L3" s="46">
        <f>IF(K3="","MISSING",IF(AND(LEN(K3)&gt;=50,LEN(K3)&lt;=60),"OK 50-60 chars",IF(LEN(K3)&lt;50,"SHORT: "&amp;LEN(K3),"LONG: "&amp;LEN(K3))))</f>
        <v/>
      </c>
      <c r="M3" s="46" t="inlineStr">
        <is>
          <t>Smoke meta description for page 81.</t>
        </is>
      </c>
      <c r="N3" s="46">
        <f>IF(M3="","MISSING",IF(AND(LEN(M3)&gt;=120,LEN(M3)&lt;=160),"OK 120-160 chars",IF(LEN(M3)&lt;120,"SHORT: "&amp;LEN(M3),"LONG: "&amp;LEN(M3))))</f>
        <v/>
      </c>
      <c r="O3" s="46" t="inlineStr">
        <is>
          <t>Smoke heading</t>
        </is>
      </c>
      <c r="P3" s="46" t="inlineStr">
        <is>
          <t>OK</t>
        </is>
      </c>
      <c r="Q3" s="46" t="inlineStr"/>
      <c r="R3" s="46">
        <f>IF(ISBLANK(Q3),"MISSING","OK")</f>
        <v/>
      </c>
      <c r="S3" s="46" t="inlineStr"/>
      <c r="T3" s="46">
        <f>IF(ISBLANK(S3),"MISSING","OK")</f>
        <v/>
      </c>
      <c r="U3" s="46" t="inlineStr"/>
      <c r="V3" s="46">
        <f>IF(ISBLANK(U3),"MISSING","OK")</f>
        <v/>
      </c>
      <c r="W3" s="46" t="inlineStr"/>
      <c r="X3" s="46">
        <f>IF(ISBLANK(W3),"MISSING","OK")</f>
        <v/>
      </c>
      <c r="Y3" s="46" t="inlineStr"/>
      <c r="Z3" s="46">
        <f>IF(ISBLANK(Y3),"MISSING","OK")</f>
        <v/>
      </c>
      <c r="AA3" s="46" t="inlineStr"/>
      <c r="AB3" s="47" t="inlineStr"/>
      <c r="AC3" s="46" t="inlineStr">
        <is>
          <t>Missing OG image</t>
        </is>
      </c>
      <c r="AD3" s="46" t="inlineStr"/>
      <c r="AE3" s="47">
        <f>IFERROR(HYPERLINK("#'Main'!B"&amp;MATCH(TRIM(I3),'Main'!B:B,0),"Open in Main"),IFERROR(HYPERLINK("#'Technical Diagnostics'!A"&amp;MATCH(TRIM(I3),'Technical Diagnostics'!A:A,0),"Open in Technical"),"Not Found"))</f>
        <v/>
      </c>
      <c r="AF3" s="46" t="inlineStr">
        <is>
          <t>Add a concise 40–60 word answer paragraph directly under a question-style heading to improve AEO extractability for: Smoke title 81.</t>
        </is>
      </c>
      <c r="AG3" s="46" t="inlineStr">
        <is>
          <t>Prioritised because of missing answer paragraphs + search intent: Informational + 9 open content/SEO issue(s).</t>
        </is>
      </c>
      <c r="AH3" s="48" t="n">
        <v>0</v>
      </c>
      <c r="AI3" s="46" t="inlineStr"/>
      <c r="AJ3" s="49" t="inlineStr">
        <is>
          <t>0</t>
        </is>
      </c>
      <c r="AK3" s="50" t="n">
        <v>0</v>
      </c>
    </row>
    <row r="4" ht="18" customHeight="1">
      <c r="A4" s="51">
        <f>IF(B4&gt;=85,"Complete","Needs Copy")</f>
        <v/>
      </c>
      <c r="B4" s="52">
        <f>MIN(100,ROUND(0.30*(IF(L4="",0,IF(LEFT(L4,7)="MISSING",0,IF(ISNUMBER(SEARCH("OK",L4)),100,IF(ISNUMBER(SEARCH("SHORT",L4)),65,IF(ISNUMBER(SEARCH("LONG",L4)),50,70))))))+0.25*(IF(N4="",0,IF(LEFT(N4,7)="MISSING",0,IF(ISNUMBER(SEARCH("OK",N4)),100,IF(ISNUMBER(SEARCH("SHORT",N4)),65,IF(ISNUMBER(SEARCH("LONG",N4)),50,70))))))+0.20*(IF(P4="",0,IF(LEFT(P4,2)="OK",100,0)))+0.08*(IF(R4="",0,IF(LEFT(R4,2)="OK",100,0)))+0.06*(IF(T4="",0,IF(LEFT(T4,2)="OK",100,0)))+0.05*(IF(V4="",0,IF(LEFT(V4,2)="OK",100,0)))+0.03*(IF(X4="",0,IF(LEFT(X4,2)="OK",100,0)))+0.03*(IF(Z4="",0,IF(LEFT(Z4,2)="OK",100,0))),0))</f>
        <v/>
      </c>
      <c r="C4" s="52">
        <f>IFERROR(INDEX(OFFSET('Main'!$A$1,2,MATCH("SEO Score",'Main'!$2:$2,0)-1,99998,1),MATCH(TRIM(I4),OFFSET('Main'!$A$1,2,MATCH("URL",'Main'!$2:$2,0)-1,99998,1),0)),"")</f>
        <v/>
      </c>
      <c r="D4" s="52">
        <f>IFERROR(INDEX(OFFSET('Main'!$A$1,2,MATCH("Technical Health",'Main'!$2:$2,0)-1,99998,1),MATCH(TRIM(I4),OFFSET('Main'!$A$1,2,MATCH("URL",'Main'!$2:$2,0)-1,99998,1),0)),"")</f>
        <v/>
      </c>
      <c r="E4" s="52">
        <f>IFERROR(INDEX(OFFSET('Main'!$A$1,2,MATCH("Copy Score",'Main'!$2:$2,0)-1,99998,1),MATCH(TRIM(I4),OFFSET('Main'!$A$1,2,MATCH("URL",'Main'!$2:$2,0)-1,99998,1),0)),"")</f>
        <v/>
      </c>
      <c r="F4" s="52" t="inlineStr">
        <is>
          <t>To Do</t>
        </is>
      </c>
      <c r="G4" s="52" t="inlineStr">
        <is>
          <t>Copy Writer</t>
        </is>
      </c>
      <c r="H4" s="52">
        <f>HYPERLINK("https://africanmarketingconfederation.org/smoke-archive/page-10","Page 10")</f>
        <v/>
      </c>
      <c r="I4" s="53">
        <f>HYPERLINK("https://africanmarketingconfederation.org/smoke-archive/page-10","https://africanmarketingconfederation.org/smoke-archive/page-10")</f>
        <v/>
      </c>
      <c r="J4" s="31" t="inlineStr">
        <is>
          <t>page-10</t>
        </is>
      </c>
      <c r="K4" s="52" t="inlineStr">
        <is>
          <t>Smoke title 10</t>
        </is>
      </c>
      <c r="L4" s="52">
        <f>IF(K4="","MISSING",IF(AND(LEN(K4)&gt;=50,LEN(K4)&lt;=60),"OK 50-60 chars",IF(LEN(K4)&lt;50,"SHORT: "&amp;LEN(K4),"LONG: "&amp;LEN(K4))))</f>
        <v/>
      </c>
      <c r="M4" s="52" t="inlineStr">
        <is>
          <t>MISSING DESCRIPTION</t>
        </is>
      </c>
      <c r="N4" s="52">
        <f>IF(M4="","MISSING",IF(AND(LEN(M4)&gt;=120,LEN(M4)&lt;=160),"OK 120-160 chars",IF(LEN(M4)&lt;120,"SHORT: "&amp;LEN(M4),"LONG: "&amp;LEN(M4))))</f>
        <v/>
      </c>
      <c r="O4" s="52" t="inlineStr">
        <is>
          <t>Smoke heading</t>
        </is>
      </c>
      <c r="P4" s="52" t="inlineStr">
        <is>
          <t>OK</t>
        </is>
      </c>
      <c r="Q4" s="52" t="inlineStr"/>
      <c r="R4" s="52">
        <f>IF(ISBLANK(Q4),"MISSING","OK")</f>
        <v/>
      </c>
      <c r="S4" s="52" t="inlineStr"/>
      <c r="T4" s="52">
        <f>IF(ISBLANK(S4),"MISSING","OK")</f>
        <v/>
      </c>
      <c r="U4" s="52" t="inlineStr"/>
      <c r="V4" s="52">
        <f>IF(ISBLANK(U4),"MISSING","OK")</f>
        <v/>
      </c>
      <c r="W4" s="52" t="inlineStr"/>
      <c r="X4" s="52">
        <f>IF(ISBLANK(W4),"MISSING","OK")</f>
        <v/>
      </c>
      <c r="Y4" s="52" t="inlineStr"/>
      <c r="Z4" s="52">
        <f>IF(ISBLANK(Y4),"MISSING","OK")</f>
        <v/>
      </c>
      <c r="AA4" s="52" t="inlineStr"/>
      <c r="AB4" s="53" t="inlineStr"/>
      <c r="AC4" s="52" t="inlineStr">
        <is>
          <t>Missing OG image</t>
        </is>
      </c>
      <c r="AD4" s="52" t="inlineStr"/>
      <c r="AE4" s="53">
        <f>IFERROR(HYPERLINK("#'Main'!B"&amp;MATCH(TRIM(I4),'Main'!B:B,0),"Open in Main"),IFERROR(HYPERLINK("#'Technical Diagnostics'!A"&amp;MATCH(TRIM(I4),'Technical Diagnostics'!A:A,0),"Open in Technical"),"Not Found"))</f>
        <v/>
      </c>
      <c r="AF4" s="52" t="inlineStr">
        <is>
          <t>Add a meta description (currently missing). Aim for 120–155 characters summarising: Smoke title 10.</t>
        </is>
      </c>
      <c r="AG4" s="52" t="inlineStr">
        <is>
          <t>Prioritised because of search intent: Informational + 7 open content/SEO issue(s).</t>
        </is>
      </c>
      <c r="AH4" s="54" t="n">
        <v>0</v>
      </c>
      <c r="AI4" s="52" t="inlineStr"/>
      <c r="AJ4" s="55" t="inlineStr">
        <is>
          <t>0</t>
        </is>
      </c>
      <c r="AK4" s="56" t="n">
        <v>0</v>
      </c>
    </row>
    <row r="5" ht="18" customHeight="1">
      <c r="A5" s="51">
        <f>IF(B5&gt;=85,"Complete","Needs Copy")</f>
        <v/>
      </c>
      <c r="B5" s="46">
        <f>MIN(100,ROUND(0.30*(IF(L5="",0,IF(LEFT(L5,7)="MISSING",0,IF(ISNUMBER(SEARCH("OK",L5)),100,IF(ISNUMBER(SEARCH("SHORT",L5)),65,IF(ISNUMBER(SEARCH("LONG",L5)),50,70))))))+0.25*(IF(N5="",0,IF(LEFT(N5,7)="MISSING",0,IF(ISNUMBER(SEARCH("OK",N5)),100,IF(ISNUMBER(SEARCH("SHORT",N5)),65,IF(ISNUMBER(SEARCH("LONG",N5)),50,70))))))+0.20*(IF(P5="",0,IF(LEFT(P5,2)="OK",100,0)))+0.08*(IF(R5="",0,IF(LEFT(R5,2)="OK",100,0)))+0.06*(IF(T5="",0,IF(LEFT(T5,2)="OK",100,0)))+0.05*(IF(V5="",0,IF(LEFT(V5,2)="OK",100,0)))+0.03*(IF(X5="",0,IF(LEFT(X5,2)="OK",100,0)))+0.03*(IF(Z5="",0,IF(LEFT(Z5,2)="OK",100,0))),0))</f>
        <v/>
      </c>
      <c r="C5" s="46">
        <f>IFERROR(INDEX(OFFSET('Main'!$A$1,2,MATCH("SEO Score",'Main'!$2:$2,0)-1,99998,1),MATCH(TRIM(I5),OFFSET('Main'!$A$1,2,MATCH("URL",'Main'!$2:$2,0)-1,99998,1),0)),"")</f>
        <v/>
      </c>
      <c r="D5" s="46">
        <f>IFERROR(INDEX(OFFSET('Main'!$A$1,2,MATCH("Technical Health",'Main'!$2:$2,0)-1,99998,1),MATCH(TRIM(I5),OFFSET('Main'!$A$1,2,MATCH("URL",'Main'!$2:$2,0)-1,99998,1),0)),"")</f>
        <v/>
      </c>
      <c r="E5" s="46">
        <f>IFERROR(INDEX(OFFSET('Main'!$A$1,2,MATCH("Copy Score",'Main'!$2:$2,0)-1,99998,1),MATCH(TRIM(I5),OFFSET('Main'!$A$1,2,MATCH("URL",'Main'!$2:$2,0)-1,99998,1),0)),"")</f>
        <v/>
      </c>
      <c r="F5" s="46" t="inlineStr">
        <is>
          <t>To Do</t>
        </is>
      </c>
      <c r="G5" s="46" t="inlineStr">
        <is>
          <t>Copy Writer</t>
        </is>
      </c>
      <c r="H5" s="46">
        <f>HYPERLINK("https://africanmarketingconfederation.org/smoke-archive/page-12","Page 12")</f>
        <v/>
      </c>
      <c r="I5" s="47">
        <f>HYPERLINK("https://africanmarketingconfederation.org/smoke-archive/page-12","https://africanmarketingconfederation.org/smoke-archive/page-12")</f>
        <v/>
      </c>
      <c r="J5" s="20" t="inlineStr">
        <is>
          <t>page-12</t>
        </is>
      </c>
      <c r="K5" s="46" t="inlineStr">
        <is>
          <t>Smoke title 12</t>
        </is>
      </c>
      <c r="L5" s="46">
        <f>IF(K5="","MISSING",IF(AND(LEN(K5)&gt;=50,LEN(K5)&lt;=60),"OK 50-60 chars",IF(LEN(K5)&lt;50,"SHORT: "&amp;LEN(K5),"LONG: "&amp;LEN(K5))))</f>
        <v/>
      </c>
      <c r="M5" s="46" t="inlineStr">
        <is>
          <t>Smoke meta description for page 12.</t>
        </is>
      </c>
      <c r="N5" s="46">
        <f>IF(M5="","MISSING",IF(AND(LEN(M5)&gt;=120,LEN(M5)&lt;=160),"OK 120-160 chars",IF(LEN(M5)&lt;120,"SHORT: "&amp;LEN(M5),"LONG: "&amp;LEN(M5))))</f>
        <v/>
      </c>
      <c r="O5" s="46" t="inlineStr">
        <is>
          <t>Smoke heading</t>
        </is>
      </c>
      <c r="P5" s="46" t="inlineStr">
        <is>
          <t>OK</t>
        </is>
      </c>
      <c r="Q5" s="46" t="inlineStr"/>
      <c r="R5" s="46">
        <f>IF(ISBLANK(Q5),"MISSING","OK")</f>
        <v/>
      </c>
      <c r="S5" s="46" t="inlineStr"/>
      <c r="T5" s="46">
        <f>IF(ISBLANK(S5),"MISSING","OK")</f>
        <v/>
      </c>
      <c r="U5" s="46" t="inlineStr"/>
      <c r="V5" s="46">
        <f>IF(ISBLANK(U5),"MISSING","OK")</f>
        <v/>
      </c>
      <c r="W5" s="46" t="inlineStr"/>
      <c r="X5" s="46">
        <f>IF(ISBLANK(W5),"MISSING","OK")</f>
        <v/>
      </c>
      <c r="Y5" s="46" t="inlineStr"/>
      <c r="Z5" s="46">
        <f>IF(ISBLANK(Y5),"MISSING","OK")</f>
        <v/>
      </c>
      <c r="AA5" s="46" t="inlineStr"/>
      <c r="AB5" s="47">
        <f>HYPERLINK("https://africanmarketingconfederation.org/og-12.jpg","View Image")</f>
        <v/>
      </c>
      <c r="AC5" s="46" t="inlineStr">
        <is>
          <t>Present — mixed OG images across site</t>
        </is>
      </c>
      <c r="AD5" s="46">
        <f>IF(LEN("https://africanmarketingconfederation.org/og-12.jpg")&gt;0,IFERROR(_xlfn.IMAGE("https://africanmarketingconfederation.org/og-12.jpg"),"https://africanmarketingconfederation.org/og-12.jpg"),"")</f>
        <v/>
      </c>
      <c r="AE5" s="47">
        <f>IFERROR(HYPERLINK("#'Main'!B"&amp;MATCH(TRIM(I5),'Main'!B:B,0),"Open in Main"),IFERROR(HYPERLINK("#'Technical Diagnostics'!A"&amp;MATCH(TRIM(I5),'Technical Diagnostics'!A:A,0),"Open in Technical"),"Not Found"))</f>
        <v/>
      </c>
      <c r="AF5" s="46" t="inlineStr">
        <is>
          <t>Restructure content for a faq featured snippet: use a direct answer block, scannable list, or FAQ schema as appropriate for “Smoke title 12”.</t>
        </is>
      </c>
      <c r="AG5" s="46" t="inlineStr">
        <is>
          <t>Prioritised because of search intent: Informational + 6 open content/SEO issue(s).</t>
        </is>
      </c>
      <c r="AH5" s="48" t="n">
        <v>0</v>
      </c>
      <c r="AI5" s="46" t="inlineStr"/>
      <c r="AJ5" s="49" t="inlineStr">
        <is>
          <t>0</t>
        </is>
      </c>
      <c r="AK5" s="50" t="n">
        <v>0</v>
      </c>
    </row>
    <row r="6" ht="18" customHeight="1">
      <c r="A6" s="51">
        <f>IF(B6&gt;=85,"Complete","Needs Copy")</f>
        <v/>
      </c>
      <c r="B6" s="52">
        <f>MIN(100,ROUND(0.30*(IF(L6="",0,IF(LEFT(L6,7)="MISSING",0,IF(ISNUMBER(SEARCH("OK",L6)),100,IF(ISNUMBER(SEARCH("SHORT",L6)),65,IF(ISNUMBER(SEARCH("LONG",L6)),50,70))))))+0.25*(IF(N6="",0,IF(LEFT(N6,7)="MISSING",0,IF(ISNUMBER(SEARCH("OK",N6)),100,IF(ISNUMBER(SEARCH("SHORT",N6)),65,IF(ISNUMBER(SEARCH("LONG",N6)),50,70))))))+0.20*(IF(P6="",0,IF(LEFT(P6,2)="OK",100,0)))+0.08*(IF(R6="",0,IF(LEFT(R6,2)="OK",100,0)))+0.06*(IF(T6="",0,IF(LEFT(T6,2)="OK",100,0)))+0.05*(IF(V6="",0,IF(LEFT(V6,2)="OK",100,0)))+0.03*(IF(X6="",0,IF(LEFT(X6,2)="OK",100,0)))+0.03*(IF(Z6="",0,IF(LEFT(Z6,2)="OK",100,0))),0))</f>
        <v/>
      </c>
      <c r="C6" s="52">
        <f>IFERROR(INDEX(OFFSET('Main'!$A$1,2,MATCH("SEO Score",'Main'!$2:$2,0)-1,99998,1),MATCH(TRIM(I6),OFFSET('Main'!$A$1,2,MATCH("URL",'Main'!$2:$2,0)-1,99998,1),0)),"")</f>
        <v/>
      </c>
      <c r="D6" s="52">
        <f>IFERROR(INDEX(OFFSET('Main'!$A$1,2,MATCH("Technical Health",'Main'!$2:$2,0)-1,99998,1),MATCH(TRIM(I6),OFFSET('Main'!$A$1,2,MATCH("URL",'Main'!$2:$2,0)-1,99998,1),0)),"")</f>
        <v/>
      </c>
      <c r="E6" s="52">
        <f>IFERROR(INDEX(OFFSET('Main'!$A$1,2,MATCH("Copy Score",'Main'!$2:$2,0)-1,99998,1),MATCH(TRIM(I6),OFFSET('Main'!$A$1,2,MATCH("URL",'Main'!$2:$2,0)-1,99998,1),0)),"")</f>
        <v/>
      </c>
      <c r="F6" s="52" t="inlineStr">
        <is>
          <t>To Do</t>
        </is>
      </c>
      <c r="G6" s="52" t="inlineStr">
        <is>
          <t>Copy Writer</t>
        </is>
      </c>
      <c r="H6" s="52">
        <f>HYPERLINK("https://africanmarketingconfederation.org/smoke-archive/page-15","Page 15")</f>
        <v/>
      </c>
      <c r="I6" s="53">
        <f>HYPERLINK("https://africanmarketingconfederation.org/smoke-archive/page-15","https://africanmarketingconfederation.org/smoke-archive/page-15")</f>
        <v/>
      </c>
      <c r="J6" s="31" t="inlineStr">
        <is>
          <t>page-15</t>
        </is>
      </c>
      <c r="K6" s="52" t="inlineStr">
        <is>
          <t>Smoke title 15</t>
        </is>
      </c>
      <c r="L6" s="52">
        <f>IF(K6="","MISSING",IF(AND(LEN(K6)&gt;=50,LEN(K6)&lt;=60),"OK 50-60 chars",IF(LEN(K6)&lt;50,"SHORT: "&amp;LEN(K6),"LONG: "&amp;LEN(K6))))</f>
        <v/>
      </c>
      <c r="M6" s="52" t="inlineStr">
        <is>
          <t>MISSING DESCRIPTION</t>
        </is>
      </c>
      <c r="N6" s="52">
        <f>IF(M6="","MISSING",IF(AND(LEN(M6)&gt;=120,LEN(M6)&lt;=160),"OK 120-160 chars",IF(LEN(M6)&lt;120,"SHORT: "&amp;LEN(M6),"LONG: "&amp;LEN(M6))))</f>
        <v/>
      </c>
      <c r="O6" s="52" t="inlineStr">
        <is>
          <t>Smoke heading</t>
        </is>
      </c>
      <c r="P6" s="52" t="inlineStr">
        <is>
          <t>OK</t>
        </is>
      </c>
      <c r="Q6" s="52" t="inlineStr"/>
      <c r="R6" s="52">
        <f>IF(ISBLANK(Q6),"MISSING","OK")</f>
        <v/>
      </c>
      <c r="S6" s="52" t="inlineStr"/>
      <c r="T6" s="52">
        <f>IF(ISBLANK(S6),"MISSING","OK")</f>
        <v/>
      </c>
      <c r="U6" s="52" t="inlineStr"/>
      <c r="V6" s="52">
        <f>IF(ISBLANK(U6),"MISSING","OK")</f>
        <v/>
      </c>
      <c r="W6" s="52" t="inlineStr"/>
      <c r="X6" s="52">
        <f>IF(ISBLANK(W6),"MISSING","OK")</f>
        <v/>
      </c>
      <c r="Y6" s="52" t="inlineStr"/>
      <c r="Z6" s="52">
        <f>IF(ISBLANK(Y6),"MISSING","OK")</f>
        <v/>
      </c>
      <c r="AA6" s="52" t="inlineStr"/>
      <c r="AB6" s="53" t="inlineStr"/>
      <c r="AC6" s="52" t="inlineStr">
        <is>
          <t>Missing OG image</t>
        </is>
      </c>
      <c r="AD6" s="52" t="inlineStr"/>
      <c r="AE6" s="53">
        <f>IFERROR(HYPERLINK("#'Main'!B"&amp;MATCH(TRIM(I6),'Main'!B:B,0),"Open in Main"),IFERROR(HYPERLINK("#'Technical Diagnostics'!A"&amp;MATCH(TRIM(I6),'Technical Diagnostics'!A:A,0),"Open in Technical"),"Not Found"))</f>
        <v/>
      </c>
      <c r="AF6" s="52" t="inlineStr">
        <is>
          <t>Add a meta description (currently missing). Aim for 120–155 characters summarising: Smoke title 15.</t>
        </is>
      </c>
      <c r="AG6" s="52" t="inlineStr">
        <is>
          <t>Prioritised because of search intent: Informational + 7 open content/SEO issue(s).</t>
        </is>
      </c>
      <c r="AH6" s="54" t="n">
        <v>0</v>
      </c>
      <c r="AI6" s="52" t="inlineStr"/>
      <c r="AJ6" s="55" t="inlineStr">
        <is>
          <t>0</t>
        </is>
      </c>
      <c r="AK6" s="56" t="n">
        <v>0</v>
      </c>
    </row>
    <row r="7" ht="18" customHeight="1">
      <c r="A7" s="51">
        <f>IF(B7&gt;=85,"Complete","Needs Copy")</f>
        <v/>
      </c>
      <c r="B7" s="46">
        <f>MIN(100,ROUND(0.30*(IF(L7="",0,IF(LEFT(L7,7)="MISSING",0,IF(ISNUMBER(SEARCH("OK",L7)),100,IF(ISNUMBER(SEARCH("SHORT",L7)),65,IF(ISNUMBER(SEARCH("LONG",L7)),50,70))))))+0.25*(IF(N7="",0,IF(LEFT(N7,7)="MISSING",0,IF(ISNUMBER(SEARCH("OK",N7)),100,IF(ISNUMBER(SEARCH("SHORT",N7)),65,IF(ISNUMBER(SEARCH("LONG",N7)),50,70))))))+0.20*(IF(P7="",0,IF(LEFT(P7,2)="OK",100,0)))+0.08*(IF(R7="",0,IF(LEFT(R7,2)="OK",100,0)))+0.06*(IF(T7="",0,IF(LEFT(T7,2)="OK",100,0)))+0.05*(IF(V7="",0,IF(LEFT(V7,2)="OK",100,0)))+0.03*(IF(X7="",0,IF(LEFT(X7,2)="OK",100,0)))+0.03*(IF(Z7="",0,IF(LEFT(Z7,2)="OK",100,0))),0))</f>
        <v/>
      </c>
      <c r="C7" s="46">
        <f>IFERROR(INDEX(OFFSET('Main'!$A$1,2,MATCH("SEO Score",'Main'!$2:$2,0)-1,99998,1),MATCH(TRIM(I7),OFFSET('Main'!$A$1,2,MATCH("URL",'Main'!$2:$2,0)-1,99998,1),0)),"")</f>
        <v/>
      </c>
      <c r="D7" s="46">
        <f>IFERROR(INDEX(OFFSET('Main'!$A$1,2,MATCH("Technical Health",'Main'!$2:$2,0)-1,99998,1),MATCH(TRIM(I7),OFFSET('Main'!$A$1,2,MATCH("URL",'Main'!$2:$2,0)-1,99998,1),0)),"")</f>
        <v/>
      </c>
      <c r="E7" s="46">
        <f>IFERROR(INDEX(OFFSET('Main'!$A$1,2,MATCH("Copy Score",'Main'!$2:$2,0)-1,99998,1),MATCH(TRIM(I7),OFFSET('Main'!$A$1,2,MATCH("URL",'Main'!$2:$2,0)-1,99998,1),0)),"")</f>
        <v/>
      </c>
      <c r="F7" s="46" t="inlineStr">
        <is>
          <t>To Do</t>
        </is>
      </c>
      <c r="G7" s="46" t="inlineStr">
        <is>
          <t>Copy Writer</t>
        </is>
      </c>
      <c r="H7" s="46">
        <f>HYPERLINK("https://africanmarketingconfederation.org/smoke-archive/page-16","Page 16")</f>
        <v/>
      </c>
      <c r="I7" s="47">
        <f>HYPERLINK("https://africanmarketingconfederation.org/smoke-archive/page-16","https://africanmarketingconfederation.org/smoke-archive/page-16")</f>
        <v/>
      </c>
      <c r="J7" s="20" t="inlineStr">
        <is>
          <t>page-16</t>
        </is>
      </c>
      <c r="K7" s="46" t="inlineStr">
        <is>
          <t>Smoke title 16</t>
        </is>
      </c>
      <c r="L7" s="46">
        <f>IF(K7="","MISSING",IF(AND(LEN(K7)&gt;=50,LEN(K7)&lt;=60),"OK 50-60 chars",IF(LEN(K7)&lt;50,"SHORT: "&amp;LEN(K7),"LONG: "&amp;LEN(K7))))</f>
        <v/>
      </c>
      <c r="M7" s="46" t="inlineStr">
        <is>
          <t>Smoke meta description for page 16.</t>
        </is>
      </c>
      <c r="N7" s="46">
        <f>IF(M7="","MISSING",IF(AND(LEN(M7)&gt;=120,LEN(M7)&lt;=160),"OK 120-160 chars",IF(LEN(M7)&lt;120,"SHORT: "&amp;LEN(M7),"LONG: "&amp;LEN(M7))))</f>
        <v/>
      </c>
      <c r="O7" s="46" t="inlineStr">
        <is>
          <t>Smoke heading</t>
        </is>
      </c>
      <c r="P7" s="46" t="inlineStr">
        <is>
          <t>OK</t>
        </is>
      </c>
      <c r="Q7" s="46" t="inlineStr"/>
      <c r="R7" s="46">
        <f>IF(ISBLANK(Q7),"MISSING","OK")</f>
        <v/>
      </c>
      <c r="S7" s="46" t="inlineStr"/>
      <c r="T7" s="46">
        <f>IF(ISBLANK(S7),"MISSING","OK")</f>
        <v/>
      </c>
      <c r="U7" s="46" t="inlineStr"/>
      <c r="V7" s="46">
        <f>IF(ISBLANK(U7),"MISSING","OK")</f>
        <v/>
      </c>
      <c r="W7" s="46" t="inlineStr"/>
      <c r="X7" s="46">
        <f>IF(ISBLANK(W7),"MISSING","OK")</f>
        <v/>
      </c>
      <c r="Y7" s="46" t="inlineStr"/>
      <c r="Z7" s="46">
        <f>IF(ISBLANK(Y7),"MISSING","OK")</f>
        <v/>
      </c>
      <c r="AA7" s="46" t="inlineStr"/>
      <c r="AB7" s="47">
        <f>HYPERLINK("https://africanmarketingconfederation.org/og-16.jpg","View Image")</f>
        <v/>
      </c>
      <c r="AC7" s="46" t="inlineStr">
        <is>
          <t>Present — mixed OG images across site</t>
        </is>
      </c>
      <c r="AD7" s="46">
        <f>IF(LEN("https://africanmarketingconfederation.org/og-16.jpg")&gt;0,IFERROR(_xlfn.IMAGE("https://africanmarketingconfederation.org/og-16.jpg"),"https://africanmarketingconfederation.org/og-16.jpg"),"")</f>
        <v/>
      </c>
      <c r="AE7" s="47">
        <f>IFERROR(HYPERLINK("#'Main'!B"&amp;MATCH(TRIM(I7),'Main'!B:B,0),"Open in Main"),IFERROR(HYPERLINK("#'Technical Diagnostics'!A"&amp;MATCH(TRIM(I7),'Technical Diagnostics'!A:A,0),"Open in Technical"),"Not Found"))</f>
        <v/>
      </c>
      <c r="AF7" s="46" t="inlineStr">
        <is>
          <t>Restructure content for a faq featured snippet: use a direct answer block, scannable list, or FAQ schema as appropriate for “Smoke title 16”.</t>
        </is>
      </c>
      <c r="AG7" s="46" t="inlineStr">
        <is>
          <t>Prioritised because of search intent: Informational + 5 open content/SEO issue(s).</t>
        </is>
      </c>
      <c r="AH7" s="48" t="n">
        <v>0</v>
      </c>
      <c r="AI7" s="46" t="inlineStr"/>
      <c r="AJ7" s="49" t="inlineStr">
        <is>
          <t>0</t>
        </is>
      </c>
      <c r="AK7" s="50" t="n">
        <v>0</v>
      </c>
    </row>
    <row r="8" ht="18" customHeight="1">
      <c r="A8" s="51">
        <f>IF(B8&gt;=85,"Complete","Needs Copy")</f>
        <v/>
      </c>
      <c r="B8" s="52">
        <f>MIN(100,ROUND(0.30*(IF(L8="",0,IF(LEFT(L8,7)="MISSING",0,IF(ISNUMBER(SEARCH("OK",L8)),100,IF(ISNUMBER(SEARCH("SHORT",L8)),65,IF(ISNUMBER(SEARCH("LONG",L8)),50,70))))))+0.25*(IF(N8="",0,IF(LEFT(N8,7)="MISSING",0,IF(ISNUMBER(SEARCH("OK",N8)),100,IF(ISNUMBER(SEARCH("SHORT",N8)),65,IF(ISNUMBER(SEARCH("LONG",N8)),50,70))))))+0.20*(IF(P8="",0,IF(LEFT(P8,2)="OK",100,0)))+0.08*(IF(R8="",0,IF(LEFT(R8,2)="OK",100,0)))+0.06*(IF(T8="",0,IF(LEFT(T8,2)="OK",100,0)))+0.05*(IF(V8="",0,IF(LEFT(V8,2)="OK",100,0)))+0.03*(IF(X8="",0,IF(LEFT(X8,2)="OK",100,0)))+0.03*(IF(Z8="",0,IF(LEFT(Z8,2)="OK",100,0))),0))</f>
        <v/>
      </c>
      <c r="C8" s="52">
        <f>IFERROR(INDEX(OFFSET('Main'!$A$1,2,MATCH("SEO Score",'Main'!$2:$2,0)-1,99998,1),MATCH(TRIM(I8),OFFSET('Main'!$A$1,2,MATCH("URL",'Main'!$2:$2,0)-1,99998,1),0)),"")</f>
        <v/>
      </c>
      <c r="D8" s="52">
        <f>IFERROR(INDEX(OFFSET('Main'!$A$1,2,MATCH("Technical Health",'Main'!$2:$2,0)-1,99998,1),MATCH(TRIM(I8),OFFSET('Main'!$A$1,2,MATCH("URL",'Main'!$2:$2,0)-1,99998,1),0)),"")</f>
        <v/>
      </c>
      <c r="E8" s="52">
        <f>IFERROR(INDEX(OFFSET('Main'!$A$1,2,MATCH("Copy Score",'Main'!$2:$2,0)-1,99998,1),MATCH(TRIM(I8),OFFSET('Main'!$A$1,2,MATCH("URL",'Main'!$2:$2,0)-1,99998,1),0)),"")</f>
        <v/>
      </c>
      <c r="F8" s="52" t="inlineStr">
        <is>
          <t>To Do</t>
        </is>
      </c>
      <c r="G8" s="52" t="inlineStr">
        <is>
          <t>Copy Writer</t>
        </is>
      </c>
      <c r="H8" s="52">
        <f>HYPERLINK("https://africanmarketingconfederation.org/smoke-archive/page-18","Page 18")</f>
        <v/>
      </c>
      <c r="I8" s="53">
        <f>HYPERLINK("https://africanmarketingconfederation.org/smoke-archive/page-18","https://africanmarketingconfederation.org/smoke-archive/page-18")</f>
        <v/>
      </c>
      <c r="J8" s="31" t="inlineStr">
        <is>
          <t>page-18</t>
        </is>
      </c>
      <c r="K8" s="52" t="inlineStr">
        <is>
          <t>Smoke title 18</t>
        </is>
      </c>
      <c r="L8" s="52">
        <f>IF(K8="","MISSING",IF(AND(LEN(K8)&gt;=50,LEN(K8)&lt;=60),"OK 50-60 chars",IF(LEN(K8)&lt;50,"SHORT: "&amp;LEN(K8),"LONG: "&amp;LEN(K8))))</f>
        <v/>
      </c>
      <c r="M8" s="52" t="inlineStr">
        <is>
          <t>Smoke meta description for page 18.</t>
        </is>
      </c>
      <c r="N8" s="52">
        <f>IF(M8="","MISSING",IF(AND(LEN(M8)&gt;=120,LEN(M8)&lt;=160),"OK 120-160 chars",IF(LEN(M8)&lt;120,"SHORT: "&amp;LEN(M8),"LONG: "&amp;LEN(M8))))</f>
        <v/>
      </c>
      <c r="O8" s="52" t="inlineStr">
        <is>
          <t>Smoke heading</t>
        </is>
      </c>
      <c r="P8" s="52" t="inlineStr">
        <is>
          <t>OK</t>
        </is>
      </c>
      <c r="Q8" s="52" t="inlineStr"/>
      <c r="R8" s="52">
        <f>IF(ISBLANK(Q8),"MISSING","OK")</f>
        <v/>
      </c>
      <c r="S8" s="52" t="inlineStr"/>
      <c r="T8" s="52">
        <f>IF(ISBLANK(S8),"MISSING","OK")</f>
        <v/>
      </c>
      <c r="U8" s="52" t="inlineStr"/>
      <c r="V8" s="52">
        <f>IF(ISBLANK(U8),"MISSING","OK")</f>
        <v/>
      </c>
      <c r="W8" s="52" t="inlineStr"/>
      <c r="X8" s="52">
        <f>IF(ISBLANK(W8),"MISSING","OK")</f>
        <v/>
      </c>
      <c r="Y8" s="52" t="inlineStr"/>
      <c r="Z8" s="52">
        <f>IF(ISBLANK(Y8),"MISSING","OK")</f>
        <v/>
      </c>
      <c r="AA8" s="52" t="inlineStr"/>
      <c r="AB8" s="53" t="inlineStr"/>
      <c r="AC8" s="52" t="inlineStr">
        <is>
          <t>Missing OG image</t>
        </is>
      </c>
      <c r="AD8" s="52" t="inlineStr"/>
      <c r="AE8" s="53">
        <f>IFERROR(HYPERLINK("#'Main'!B"&amp;MATCH(TRIM(I8),'Main'!B:B,0),"Open in Main"),IFERROR(HYPERLINK("#'Technical Diagnostics'!A"&amp;MATCH(TRIM(I8),'Technical Diagnostics'!A:A,0),"Open in Technical"),"Not Found"))</f>
        <v/>
      </c>
      <c r="AF8" s="52" t="inlineStr">
        <is>
          <t>Add a concise 40–60 word answer paragraph directly under a question-style heading to improve AEO extractability for: Smoke title 18.</t>
        </is>
      </c>
      <c r="AG8" s="52" t="inlineStr">
        <is>
          <t>Prioritised because of missing answer paragraphs + search intent: Informational + 10 open content/SEO issue(s).</t>
        </is>
      </c>
      <c r="AH8" s="54" t="n">
        <v>0</v>
      </c>
      <c r="AI8" s="52" t="inlineStr"/>
      <c r="AJ8" s="55" t="inlineStr">
        <is>
          <t>0</t>
        </is>
      </c>
      <c r="AK8" s="56" t="n">
        <v>0</v>
      </c>
    </row>
    <row r="9" ht="18" customHeight="1">
      <c r="A9" s="51">
        <f>IF(B9&gt;=85,"Complete","Needs Copy")</f>
        <v/>
      </c>
      <c r="B9" s="46">
        <f>MIN(100,ROUND(0.30*(IF(L9="",0,IF(LEFT(L9,7)="MISSING",0,IF(ISNUMBER(SEARCH("OK",L9)),100,IF(ISNUMBER(SEARCH("SHORT",L9)),65,IF(ISNUMBER(SEARCH("LONG",L9)),50,70))))))+0.25*(IF(N9="",0,IF(LEFT(N9,7)="MISSING",0,IF(ISNUMBER(SEARCH("OK",N9)),100,IF(ISNUMBER(SEARCH("SHORT",N9)),65,IF(ISNUMBER(SEARCH("LONG",N9)),50,70))))))+0.20*(IF(P9="",0,IF(LEFT(P9,2)="OK",100,0)))+0.08*(IF(R9="",0,IF(LEFT(R9,2)="OK",100,0)))+0.06*(IF(T9="",0,IF(LEFT(T9,2)="OK",100,0)))+0.05*(IF(V9="",0,IF(LEFT(V9,2)="OK",100,0)))+0.03*(IF(X9="",0,IF(LEFT(X9,2)="OK",100,0)))+0.03*(IF(Z9="",0,IF(LEFT(Z9,2)="OK",100,0))),0))</f>
        <v/>
      </c>
      <c r="C9" s="46">
        <f>IFERROR(INDEX(OFFSET('Main'!$A$1,2,MATCH("SEO Score",'Main'!$2:$2,0)-1,99998,1),MATCH(TRIM(I9),OFFSET('Main'!$A$1,2,MATCH("URL",'Main'!$2:$2,0)-1,99998,1),0)),"")</f>
        <v/>
      </c>
      <c r="D9" s="46">
        <f>IFERROR(INDEX(OFFSET('Main'!$A$1,2,MATCH("Technical Health",'Main'!$2:$2,0)-1,99998,1),MATCH(TRIM(I9),OFFSET('Main'!$A$1,2,MATCH("URL",'Main'!$2:$2,0)-1,99998,1),0)),"")</f>
        <v/>
      </c>
      <c r="E9" s="46">
        <f>IFERROR(INDEX(OFFSET('Main'!$A$1,2,MATCH("Copy Score",'Main'!$2:$2,0)-1,99998,1),MATCH(TRIM(I9),OFFSET('Main'!$A$1,2,MATCH("URL",'Main'!$2:$2,0)-1,99998,1),0)),"")</f>
        <v/>
      </c>
      <c r="F9" s="46" t="inlineStr">
        <is>
          <t>To Do</t>
        </is>
      </c>
      <c r="G9" s="46" t="inlineStr">
        <is>
          <t>Copy Writer</t>
        </is>
      </c>
      <c r="H9" s="46">
        <f>HYPERLINK("https://africanmarketingconfederation.org/smoke-archive/page-20","Page 20")</f>
        <v/>
      </c>
      <c r="I9" s="47">
        <f>HYPERLINK("https://africanmarketingconfederation.org/smoke-archive/page-20","https://africanmarketingconfederation.org/smoke-archive/page-20")</f>
        <v/>
      </c>
      <c r="J9" s="20" t="inlineStr">
        <is>
          <t>page-20</t>
        </is>
      </c>
      <c r="K9" s="46" t="inlineStr">
        <is>
          <t>Smoke title 20</t>
        </is>
      </c>
      <c r="L9" s="46">
        <f>IF(K9="","MISSING",IF(AND(LEN(K9)&gt;=50,LEN(K9)&lt;=60),"OK 50-60 chars",IF(LEN(K9)&lt;50,"SHORT: "&amp;LEN(K9),"LONG: "&amp;LEN(K9))))</f>
        <v/>
      </c>
      <c r="M9" s="46" t="inlineStr">
        <is>
          <t>MISSING DESCRIPTION</t>
        </is>
      </c>
      <c r="N9" s="46">
        <f>IF(M9="","MISSING",IF(AND(LEN(M9)&gt;=120,LEN(M9)&lt;=160),"OK 120-160 chars",IF(LEN(M9)&lt;120,"SHORT: "&amp;LEN(M9),"LONG: "&amp;LEN(M9))))</f>
        <v/>
      </c>
      <c r="O9" s="46" t="inlineStr">
        <is>
          <t>Smoke heading</t>
        </is>
      </c>
      <c r="P9" s="46" t="inlineStr">
        <is>
          <t>OK</t>
        </is>
      </c>
      <c r="Q9" s="46" t="inlineStr"/>
      <c r="R9" s="46">
        <f>IF(ISBLANK(Q9),"MISSING","OK")</f>
        <v/>
      </c>
      <c r="S9" s="46" t="inlineStr"/>
      <c r="T9" s="46">
        <f>IF(ISBLANK(S9),"MISSING","OK")</f>
        <v/>
      </c>
      <c r="U9" s="46" t="inlineStr"/>
      <c r="V9" s="46">
        <f>IF(ISBLANK(U9),"MISSING","OK")</f>
        <v/>
      </c>
      <c r="W9" s="46" t="inlineStr"/>
      <c r="X9" s="46">
        <f>IF(ISBLANK(W9),"MISSING","OK")</f>
        <v/>
      </c>
      <c r="Y9" s="46" t="inlineStr"/>
      <c r="Z9" s="46">
        <f>IF(ISBLANK(Y9),"MISSING","OK")</f>
        <v/>
      </c>
      <c r="AA9" s="46" t="inlineStr"/>
      <c r="AB9" s="47">
        <f>HYPERLINK("https://africanmarketingconfederation.org/og-20.jpg","View Image")</f>
        <v/>
      </c>
      <c r="AC9" s="46" t="inlineStr">
        <is>
          <t>Present — mixed OG images across site</t>
        </is>
      </c>
      <c r="AD9" s="46">
        <f>IF(LEN("https://africanmarketingconfederation.org/og-20.jpg")&gt;0,IFERROR(_xlfn.IMAGE("https://africanmarketingconfederation.org/og-20.jpg"),"https://africanmarketingconfederation.org/og-20.jpg"),"")</f>
        <v/>
      </c>
      <c r="AE9" s="47">
        <f>IFERROR(HYPERLINK("#'Main'!B"&amp;MATCH(TRIM(I9),'Main'!B:B,0),"Open in Main"),IFERROR(HYPERLINK("#'Technical Diagnostics'!A"&amp;MATCH(TRIM(I9),'Technical Diagnostics'!A:A,0),"Open in Technical"),"Not Found"))</f>
        <v/>
      </c>
      <c r="AF9" s="46" t="inlineStr">
        <is>
          <t>Add a meta description (currently missing). Aim for 120–155 characters summarising: Smoke title 20.</t>
        </is>
      </c>
      <c r="AG9" s="46" t="inlineStr">
        <is>
          <t>Prioritised because of search intent: Informational + 6 open content/SEO issue(s).</t>
        </is>
      </c>
      <c r="AH9" s="48" t="n">
        <v>0</v>
      </c>
      <c r="AI9" s="46" t="inlineStr"/>
      <c r="AJ9" s="49" t="inlineStr">
        <is>
          <t>0</t>
        </is>
      </c>
      <c r="AK9" s="50" t="n">
        <v>0</v>
      </c>
    </row>
    <row r="10" ht="18" customHeight="1">
      <c r="A10" s="51">
        <f>IF(B10&gt;=85,"Complete","Needs Copy")</f>
        <v/>
      </c>
      <c r="B10" s="52">
        <f>MIN(100,ROUND(0.30*(IF(L10="",0,IF(LEFT(L10,7)="MISSING",0,IF(ISNUMBER(SEARCH("OK",L10)),100,IF(ISNUMBER(SEARCH("SHORT",L10)),65,IF(ISNUMBER(SEARCH("LONG",L10)),50,70))))))+0.25*(IF(N10="",0,IF(LEFT(N10,7)="MISSING",0,IF(ISNUMBER(SEARCH("OK",N10)),100,IF(ISNUMBER(SEARCH("SHORT",N10)),65,IF(ISNUMBER(SEARCH("LONG",N10)),50,70))))))+0.20*(IF(P10="",0,IF(LEFT(P10,2)="OK",100,0)))+0.08*(IF(R10="",0,IF(LEFT(R10,2)="OK",100,0)))+0.06*(IF(T10="",0,IF(LEFT(T10,2)="OK",100,0)))+0.05*(IF(V10="",0,IF(LEFT(V10,2)="OK",100,0)))+0.03*(IF(X10="",0,IF(LEFT(X10,2)="OK",100,0)))+0.03*(IF(Z10="",0,IF(LEFT(Z10,2)="OK",100,0))),0))</f>
        <v/>
      </c>
      <c r="C10" s="52">
        <f>IFERROR(INDEX(OFFSET('Main'!$A$1,2,MATCH("SEO Score",'Main'!$2:$2,0)-1,99998,1),MATCH(TRIM(I10),OFFSET('Main'!$A$1,2,MATCH("URL",'Main'!$2:$2,0)-1,99998,1),0)),"")</f>
        <v/>
      </c>
      <c r="D10" s="52">
        <f>IFERROR(INDEX(OFFSET('Main'!$A$1,2,MATCH("Technical Health",'Main'!$2:$2,0)-1,99998,1),MATCH(TRIM(I10),OFFSET('Main'!$A$1,2,MATCH("URL",'Main'!$2:$2,0)-1,99998,1),0)),"")</f>
        <v/>
      </c>
      <c r="E10" s="52">
        <f>IFERROR(INDEX(OFFSET('Main'!$A$1,2,MATCH("Copy Score",'Main'!$2:$2,0)-1,99998,1),MATCH(TRIM(I10),OFFSET('Main'!$A$1,2,MATCH("URL",'Main'!$2:$2,0)-1,99998,1),0)),"")</f>
        <v/>
      </c>
      <c r="F10" s="52" t="inlineStr">
        <is>
          <t>To Do</t>
        </is>
      </c>
      <c r="G10" s="52" t="inlineStr">
        <is>
          <t>Copy Writer</t>
        </is>
      </c>
      <c r="H10" s="52">
        <f>HYPERLINK("https://africanmarketingconfederation.org/smoke-archive/page-24","Page 24")</f>
        <v/>
      </c>
      <c r="I10" s="53">
        <f>HYPERLINK("https://africanmarketingconfederation.org/smoke-archive/page-24","https://africanmarketingconfederation.org/smoke-archive/page-24")</f>
        <v/>
      </c>
      <c r="J10" s="31" t="inlineStr">
        <is>
          <t>page-24</t>
        </is>
      </c>
      <c r="K10" s="52" t="inlineStr">
        <is>
          <t>Smoke title 24</t>
        </is>
      </c>
      <c r="L10" s="52">
        <f>IF(K10="","MISSING",IF(AND(LEN(K10)&gt;=50,LEN(K10)&lt;=60),"OK 50-60 chars",IF(LEN(K10)&lt;50,"SHORT: "&amp;LEN(K10),"LONG: "&amp;LEN(K10))))</f>
        <v/>
      </c>
      <c r="M10" s="52" t="inlineStr">
        <is>
          <t>Smoke meta description for page 24.</t>
        </is>
      </c>
      <c r="N10" s="52">
        <f>IF(M10="","MISSING",IF(AND(LEN(M10)&gt;=120,LEN(M10)&lt;=160),"OK 120-160 chars",IF(LEN(M10)&lt;120,"SHORT: "&amp;LEN(M10),"LONG: "&amp;LEN(M10))))</f>
        <v/>
      </c>
      <c r="O10" s="52" t="inlineStr">
        <is>
          <t>Smoke heading</t>
        </is>
      </c>
      <c r="P10" s="52" t="inlineStr">
        <is>
          <t>OK</t>
        </is>
      </c>
      <c r="Q10" s="52" t="inlineStr"/>
      <c r="R10" s="52">
        <f>IF(ISBLANK(Q10),"MISSING","OK")</f>
        <v/>
      </c>
      <c r="S10" s="52" t="inlineStr"/>
      <c r="T10" s="52">
        <f>IF(ISBLANK(S10),"MISSING","OK")</f>
        <v/>
      </c>
      <c r="U10" s="52" t="inlineStr"/>
      <c r="V10" s="52">
        <f>IF(ISBLANK(U10),"MISSING","OK")</f>
        <v/>
      </c>
      <c r="W10" s="52" t="inlineStr"/>
      <c r="X10" s="52">
        <f>IF(ISBLANK(W10),"MISSING","OK")</f>
        <v/>
      </c>
      <c r="Y10" s="52" t="inlineStr"/>
      <c r="Z10" s="52">
        <f>IF(ISBLANK(Y10),"MISSING","OK")</f>
        <v/>
      </c>
      <c r="AA10" s="52" t="inlineStr"/>
      <c r="AB10" s="53">
        <f>HYPERLINK("https://africanmarketingconfederation.org/og-24.jpg","View Image")</f>
        <v/>
      </c>
      <c r="AC10" s="52" t="inlineStr">
        <is>
          <t>Present — mixed OG images across site</t>
        </is>
      </c>
      <c r="AD10" s="52">
        <f>IF(LEN("https://africanmarketingconfederation.org/og-24.jpg")&gt;0,IFERROR(_xlfn.IMAGE("https://africanmarketingconfederation.org/og-24.jpg"),"https://africanmarketingconfederation.org/og-24.jpg"),"")</f>
        <v/>
      </c>
      <c r="AE10" s="53">
        <f>IFERROR(HYPERLINK("#'Main'!B"&amp;MATCH(TRIM(I10),'Main'!B:B,0),"Open in Main"),IFERROR(HYPERLINK("#'Technical Diagnostics'!A"&amp;MATCH(TRIM(I10),'Technical Diagnostics'!A:A,0),"Open in Technical"),"Not Found"))</f>
        <v/>
      </c>
      <c r="AF10" s="52" t="inlineStr">
        <is>
          <t>Restructure content for a faq featured snippet: use a direct answer block, scannable list, or FAQ schema as appropriate for “Smoke title 24”.</t>
        </is>
      </c>
      <c r="AG10" s="52" t="inlineStr">
        <is>
          <t>Prioritised because of search intent: Informational + 7 open content/SEO issue(s).</t>
        </is>
      </c>
      <c r="AH10" s="54" t="n">
        <v>0</v>
      </c>
      <c r="AI10" s="52" t="inlineStr"/>
      <c r="AJ10" s="55" t="inlineStr">
        <is>
          <t>0</t>
        </is>
      </c>
      <c r="AK10" s="56" t="n">
        <v>0</v>
      </c>
    </row>
    <row r="11" ht="18" customHeight="1">
      <c r="A11" s="51">
        <f>IF(B11&gt;=85,"Complete","Needs Copy")</f>
        <v/>
      </c>
      <c r="B11" s="46">
        <f>MIN(100,ROUND(0.30*(IF(L11="",0,IF(LEFT(L11,7)="MISSING",0,IF(ISNUMBER(SEARCH("OK",L11)),100,IF(ISNUMBER(SEARCH("SHORT",L11)),65,IF(ISNUMBER(SEARCH("LONG",L11)),50,70))))))+0.25*(IF(N11="",0,IF(LEFT(N11,7)="MISSING",0,IF(ISNUMBER(SEARCH("OK",N11)),100,IF(ISNUMBER(SEARCH("SHORT",N11)),65,IF(ISNUMBER(SEARCH("LONG",N11)),50,70))))))+0.20*(IF(P11="",0,IF(LEFT(P11,2)="OK",100,0)))+0.08*(IF(R11="",0,IF(LEFT(R11,2)="OK",100,0)))+0.06*(IF(T11="",0,IF(LEFT(T11,2)="OK",100,0)))+0.05*(IF(V11="",0,IF(LEFT(V11,2)="OK",100,0)))+0.03*(IF(X11="",0,IF(LEFT(X11,2)="OK",100,0)))+0.03*(IF(Z11="",0,IF(LEFT(Z11,2)="OK",100,0))),0))</f>
        <v/>
      </c>
      <c r="C11" s="46">
        <f>IFERROR(INDEX(OFFSET('Main'!$A$1,2,MATCH("SEO Score",'Main'!$2:$2,0)-1,99998,1),MATCH(TRIM(I11),OFFSET('Main'!$A$1,2,MATCH("URL",'Main'!$2:$2,0)-1,99998,1),0)),"")</f>
        <v/>
      </c>
      <c r="D11" s="46">
        <f>IFERROR(INDEX(OFFSET('Main'!$A$1,2,MATCH("Technical Health",'Main'!$2:$2,0)-1,99998,1),MATCH(TRIM(I11),OFFSET('Main'!$A$1,2,MATCH("URL",'Main'!$2:$2,0)-1,99998,1),0)),"")</f>
        <v/>
      </c>
      <c r="E11" s="46">
        <f>IFERROR(INDEX(OFFSET('Main'!$A$1,2,MATCH("Copy Score",'Main'!$2:$2,0)-1,99998,1),MATCH(TRIM(I11),OFFSET('Main'!$A$1,2,MATCH("URL",'Main'!$2:$2,0)-1,99998,1),0)),"")</f>
        <v/>
      </c>
      <c r="F11" s="46" t="inlineStr">
        <is>
          <t>To Do</t>
        </is>
      </c>
      <c r="G11" s="46" t="inlineStr">
        <is>
          <t>Copy Writer</t>
        </is>
      </c>
      <c r="H11" s="46">
        <f>HYPERLINK("https://africanmarketingconfederation.org/smoke-archive/page-25","Page 25")</f>
        <v/>
      </c>
      <c r="I11" s="47">
        <f>HYPERLINK("https://africanmarketingconfederation.org/smoke-archive/page-25","https://africanmarketingconfederation.org/smoke-archive/page-25")</f>
        <v/>
      </c>
      <c r="J11" s="20" t="inlineStr">
        <is>
          <t>page-25</t>
        </is>
      </c>
      <c r="K11" s="46" t="inlineStr">
        <is>
          <t>Smoke title 25</t>
        </is>
      </c>
      <c r="L11" s="46">
        <f>IF(K11="","MISSING",IF(AND(LEN(K11)&gt;=50,LEN(K11)&lt;=60),"OK 50-60 chars",IF(LEN(K11)&lt;50,"SHORT: "&amp;LEN(K11),"LONG: "&amp;LEN(K11))))</f>
        <v/>
      </c>
      <c r="M11" s="46" t="inlineStr">
        <is>
          <t>MISSING DESCRIPTION</t>
        </is>
      </c>
      <c r="N11" s="46">
        <f>IF(M11="","MISSING",IF(AND(LEN(M11)&gt;=120,LEN(M11)&lt;=160),"OK 120-160 chars",IF(LEN(M11)&lt;120,"SHORT: "&amp;LEN(M11),"LONG: "&amp;LEN(M11))))</f>
        <v/>
      </c>
      <c r="O11" s="46" t="inlineStr">
        <is>
          <t>Smoke heading</t>
        </is>
      </c>
      <c r="P11" s="46" t="inlineStr">
        <is>
          <t>OK</t>
        </is>
      </c>
      <c r="Q11" s="46" t="inlineStr"/>
      <c r="R11" s="46">
        <f>IF(ISBLANK(Q11),"MISSING","OK")</f>
        <v/>
      </c>
      <c r="S11" s="46" t="inlineStr"/>
      <c r="T11" s="46">
        <f>IF(ISBLANK(S11),"MISSING","OK")</f>
        <v/>
      </c>
      <c r="U11" s="46" t="inlineStr"/>
      <c r="V11" s="46">
        <f>IF(ISBLANK(U11),"MISSING","OK")</f>
        <v/>
      </c>
      <c r="W11" s="46" t="inlineStr"/>
      <c r="X11" s="46">
        <f>IF(ISBLANK(W11),"MISSING","OK")</f>
        <v/>
      </c>
      <c r="Y11" s="46" t="inlineStr"/>
      <c r="Z11" s="46">
        <f>IF(ISBLANK(Y11),"MISSING","OK")</f>
        <v/>
      </c>
      <c r="AA11" s="46" t="inlineStr"/>
      <c r="AB11" s="47" t="inlineStr"/>
      <c r="AC11" s="46" t="inlineStr">
        <is>
          <t>Missing OG image</t>
        </is>
      </c>
      <c r="AD11" s="46" t="inlineStr"/>
      <c r="AE11" s="47">
        <f>IFERROR(HYPERLINK("#'Main'!B"&amp;MATCH(TRIM(I11),'Main'!B:B,0),"Open in Main"),IFERROR(HYPERLINK("#'Technical Diagnostics'!A"&amp;MATCH(TRIM(I11),'Technical Diagnostics'!A:A,0),"Open in Technical"),"Not Found"))</f>
        <v/>
      </c>
      <c r="AF11" s="46" t="inlineStr">
        <is>
          <t>Add a meta description (currently missing). Aim for 120–155 characters summarising: Smoke title 25.</t>
        </is>
      </c>
      <c r="AG11" s="46" t="inlineStr">
        <is>
          <t>Prioritised because of search intent: Informational + 7 open content/SEO issue(s).</t>
        </is>
      </c>
      <c r="AH11" s="48" t="n">
        <v>0</v>
      </c>
      <c r="AI11" s="46" t="inlineStr"/>
      <c r="AJ11" s="49" t="inlineStr">
        <is>
          <t>0</t>
        </is>
      </c>
      <c r="AK11" s="50" t="n">
        <v>0</v>
      </c>
    </row>
    <row r="12" ht="18" customHeight="1">
      <c r="A12" s="51">
        <f>IF(B12&gt;=85,"Complete","Needs Copy")</f>
        <v/>
      </c>
      <c r="B12" s="52">
        <f>MIN(100,ROUND(0.30*(IF(L12="",0,IF(LEFT(L12,7)="MISSING",0,IF(ISNUMBER(SEARCH("OK",L12)),100,IF(ISNUMBER(SEARCH("SHORT",L12)),65,IF(ISNUMBER(SEARCH("LONG",L12)),50,70))))))+0.25*(IF(N12="",0,IF(LEFT(N12,7)="MISSING",0,IF(ISNUMBER(SEARCH("OK",N12)),100,IF(ISNUMBER(SEARCH("SHORT",N12)),65,IF(ISNUMBER(SEARCH("LONG",N12)),50,70))))))+0.20*(IF(P12="",0,IF(LEFT(P12,2)="OK",100,0)))+0.08*(IF(R12="",0,IF(LEFT(R12,2)="OK",100,0)))+0.06*(IF(T12="",0,IF(LEFT(T12,2)="OK",100,0)))+0.05*(IF(V12="",0,IF(LEFT(V12,2)="OK",100,0)))+0.03*(IF(X12="",0,IF(LEFT(X12,2)="OK",100,0)))+0.03*(IF(Z12="",0,IF(LEFT(Z12,2)="OK",100,0))),0))</f>
        <v/>
      </c>
      <c r="C12" s="52">
        <f>IFERROR(INDEX(OFFSET('Main'!$A$1,2,MATCH("SEO Score",'Main'!$2:$2,0)-1,99998,1),MATCH(TRIM(I12),OFFSET('Main'!$A$1,2,MATCH("URL",'Main'!$2:$2,0)-1,99998,1),0)),"")</f>
        <v/>
      </c>
      <c r="D12" s="52">
        <f>IFERROR(INDEX(OFFSET('Main'!$A$1,2,MATCH("Technical Health",'Main'!$2:$2,0)-1,99998,1),MATCH(TRIM(I12),OFFSET('Main'!$A$1,2,MATCH("URL",'Main'!$2:$2,0)-1,99998,1),0)),"")</f>
        <v/>
      </c>
      <c r="E12" s="52">
        <f>IFERROR(INDEX(OFFSET('Main'!$A$1,2,MATCH("Copy Score",'Main'!$2:$2,0)-1,99998,1),MATCH(TRIM(I12),OFFSET('Main'!$A$1,2,MATCH("URL",'Main'!$2:$2,0)-1,99998,1),0)),"")</f>
        <v/>
      </c>
      <c r="F12" s="52" t="inlineStr">
        <is>
          <t>To Do</t>
        </is>
      </c>
      <c r="G12" s="52" t="inlineStr">
        <is>
          <t>Copy Writer</t>
        </is>
      </c>
      <c r="H12" s="52">
        <f>HYPERLINK("https://africanmarketingconfederation.org/smoke-archive/page-27","Page 27")</f>
        <v/>
      </c>
      <c r="I12" s="53">
        <f>HYPERLINK("https://africanmarketingconfederation.org/smoke-archive/page-27","https://africanmarketingconfederation.org/smoke-archive/page-27")</f>
        <v/>
      </c>
      <c r="J12" s="31" t="inlineStr">
        <is>
          <t>page-27</t>
        </is>
      </c>
      <c r="K12" s="52" t="inlineStr">
        <is>
          <t>Smoke title 27</t>
        </is>
      </c>
      <c r="L12" s="52">
        <f>IF(K12="","MISSING",IF(AND(LEN(K12)&gt;=50,LEN(K12)&lt;=60),"OK 50-60 chars",IF(LEN(K12)&lt;50,"SHORT: "&amp;LEN(K12),"LONG: "&amp;LEN(K12))))</f>
        <v/>
      </c>
      <c r="M12" s="52" t="inlineStr">
        <is>
          <t>Smoke meta description for page 27.</t>
        </is>
      </c>
      <c r="N12" s="52">
        <f>IF(M12="","MISSING",IF(AND(LEN(M12)&gt;=120,LEN(M12)&lt;=160),"OK 120-160 chars",IF(LEN(M12)&lt;120,"SHORT: "&amp;LEN(M12),"LONG: "&amp;LEN(M12))))</f>
        <v/>
      </c>
      <c r="O12" s="52" t="inlineStr">
        <is>
          <t>Smoke heading</t>
        </is>
      </c>
      <c r="P12" s="52" t="inlineStr">
        <is>
          <t>OK</t>
        </is>
      </c>
      <c r="Q12" s="52" t="inlineStr"/>
      <c r="R12" s="52">
        <f>IF(ISBLANK(Q12),"MISSING","OK")</f>
        <v/>
      </c>
      <c r="S12" s="52" t="inlineStr"/>
      <c r="T12" s="52">
        <f>IF(ISBLANK(S12),"MISSING","OK")</f>
        <v/>
      </c>
      <c r="U12" s="52" t="inlineStr"/>
      <c r="V12" s="52">
        <f>IF(ISBLANK(U12),"MISSING","OK")</f>
        <v/>
      </c>
      <c r="W12" s="52" t="inlineStr"/>
      <c r="X12" s="52">
        <f>IF(ISBLANK(W12),"MISSING","OK")</f>
        <v/>
      </c>
      <c r="Y12" s="52" t="inlineStr"/>
      <c r="Z12" s="52">
        <f>IF(ISBLANK(Y12),"MISSING","OK")</f>
        <v/>
      </c>
      <c r="AA12" s="52" t="inlineStr"/>
      <c r="AB12" s="53" t="inlineStr"/>
      <c r="AC12" s="52" t="inlineStr">
        <is>
          <t>Missing OG image</t>
        </is>
      </c>
      <c r="AD12" s="52" t="inlineStr"/>
      <c r="AE12" s="53">
        <f>IFERROR(HYPERLINK("#'Main'!B"&amp;MATCH(TRIM(I12),'Main'!B:B,0),"Open in Main"),IFERROR(HYPERLINK("#'Technical Diagnostics'!A"&amp;MATCH(TRIM(I12),'Technical Diagnostics'!A:A,0),"Open in Technical"),"Not Found"))</f>
        <v/>
      </c>
      <c r="AF12" s="52" t="inlineStr">
        <is>
          <t>Add a concise 40–60 word answer paragraph directly under a question-style heading to improve AEO extractability for: Smoke title 27.</t>
        </is>
      </c>
      <c r="AG12" s="52" t="inlineStr">
        <is>
          <t>Prioritised because of missing answer paragraphs + search intent: Informational + 9 open content/SEO issue(s).</t>
        </is>
      </c>
      <c r="AH12" s="54" t="n">
        <v>0</v>
      </c>
      <c r="AI12" s="52" t="inlineStr"/>
      <c r="AJ12" s="55" t="inlineStr">
        <is>
          <t>0</t>
        </is>
      </c>
      <c r="AK12" s="56" t="n">
        <v>0</v>
      </c>
    </row>
    <row r="13" ht="18" customHeight="1">
      <c r="A13" s="51">
        <f>IF(B13&gt;=85,"Complete","Needs Copy")</f>
        <v/>
      </c>
      <c r="B13" s="46">
        <f>MIN(100,ROUND(0.30*(IF(L13="",0,IF(LEFT(L13,7)="MISSING",0,IF(ISNUMBER(SEARCH("OK",L13)),100,IF(ISNUMBER(SEARCH("SHORT",L13)),65,IF(ISNUMBER(SEARCH("LONG",L13)),50,70))))))+0.25*(IF(N13="",0,IF(LEFT(N13,7)="MISSING",0,IF(ISNUMBER(SEARCH("OK",N13)),100,IF(ISNUMBER(SEARCH("SHORT",N13)),65,IF(ISNUMBER(SEARCH("LONG",N13)),50,70))))))+0.20*(IF(P13="",0,IF(LEFT(P13,2)="OK",100,0)))+0.08*(IF(R13="",0,IF(LEFT(R13,2)="OK",100,0)))+0.06*(IF(T13="",0,IF(LEFT(T13,2)="OK",100,0)))+0.05*(IF(V13="",0,IF(LEFT(V13,2)="OK",100,0)))+0.03*(IF(X13="",0,IF(LEFT(X13,2)="OK",100,0)))+0.03*(IF(Z13="",0,IF(LEFT(Z13,2)="OK",100,0))),0))</f>
        <v/>
      </c>
      <c r="C13" s="46">
        <f>IFERROR(INDEX(OFFSET('Main'!$A$1,2,MATCH("SEO Score",'Main'!$2:$2,0)-1,99998,1),MATCH(TRIM(I13),OFFSET('Main'!$A$1,2,MATCH("URL",'Main'!$2:$2,0)-1,99998,1),0)),"")</f>
        <v/>
      </c>
      <c r="D13" s="46">
        <f>IFERROR(INDEX(OFFSET('Main'!$A$1,2,MATCH("Technical Health",'Main'!$2:$2,0)-1,99998,1),MATCH(TRIM(I13),OFFSET('Main'!$A$1,2,MATCH("URL",'Main'!$2:$2,0)-1,99998,1),0)),"")</f>
        <v/>
      </c>
      <c r="E13" s="46">
        <f>IFERROR(INDEX(OFFSET('Main'!$A$1,2,MATCH("Copy Score",'Main'!$2:$2,0)-1,99998,1),MATCH(TRIM(I13),OFFSET('Main'!$A$1,2,MATCH("URL",'Main'!$2:$2,0)-1,99998,1),0)),"")</f>
        <v/>
      </c>
      <c r="F13" s="46" t="inlineStr">
        <is>
          <t>To Do</t>
        </is>
      </c>
      <c r="G13" s="46" t="inlineStr">
        <is>
          <t>Copy Writer</t>
        </is>
      </c>
      <c r="H13" s="46">
        <f>HYPERLINK("https://africanmarketingconfederation.org/smoke-archive/page-30","Page 30")</f>
        <v/>
      </c>
      <c r="I13" s="47">
        <f>HYPERLINK("https://africanmarketingconfederation.org/smoke-archive/page-30","https://africanmarketingconfederation.org/smoke-archive/page-30")</f>
        <v/>
      </c>
      <c r="J13" s="20" t="inlineStr">
        <is>
          <t>page-30</t>
        </is>
      </c>
      <c r="K13" s="46" t="inlineStr">
        <is>
          <t>Smoke title 30</t>
        </is>
      </c>
      <c r="L13" s="46">
        <f>IF(K13="","MISSING",IF(AND(LEN(K13)&gt;=50,LEN(K13)&lt;=60),"OK 50-60 chars",IF(LEN(K13)&lt;50,"SHORT: "&amp;LEN(K13),"LONG: "&amp;LEN(K13))))</f>
        <v/>
      </c>
      <c r="M13" s="46" t="inlineStr">
        <is>
          <t>MISSING DESCRIPTION</t>
        </is>
      </c>
      <c r="N13" s="46">
        <f>IF(M13="","MISSING",IF(AND(LEN(M13)&gt;=120,LEN(M13)&lt;=160),"OK 120-160 chars",IF(LEN(M13)&lt;120,"SHORT: "&amp;LEN(M13),"LONG: "&amp;LEN(M13))))</f>
        <v/>
      </c>
      <c r="O13" s="46" t="inlineStr">
        <is>
          <t>Smoke heading</t>
        </is>
      </c>
      <c r="P13" s="46" t="inlineStr">
        <is>
          <t>OK</t>
        </is>
      </c>
      <c r="Q13" s="46" t="inlineStr"/>
      <c r="R13" s="46">
        <f>IF(ISBLANK(Q13),"MISSING","OK")</f>
        <v/>
      </c>
      <c r="S13" s="46" t="inlineStr"/>
      <c r="T13" s="46">
        <f>IF(ISBLANK(S13),"MISSING","OK")</f>
        <v/>
      </c>
      <c r="U13" s="46" t="inlineStr"/>
      <c r="V13" s="46">
        <f>IF(ISBLANK(U13),"MISSING","OK")</f>
        <v/>
      </c>
      <c r="W13" s="46" t="inlineStr"/>
      <c r="X13" s="46">
        <f>IF(ISBLANK(W13),"MISSING","OK")</f>
        <v/>
      </c>
      <c r="Y13" s="46" t="inlineStr"/>
      <c r="Z13" s="46">
        <f>IF(ISBLANK(Y13),"MISSING","OK")</f>
        <v/>
      </c>
      <c r="AA13" s="46" t="inlineStr"/>
      <c r="AB13" s="47" t="inlineStr"/>
      <c r="AC13" s="46" t="inlineStr">
        <is>
          <t>Missing OG image</t>
        </is>
      </c>
      <c r="AD13" s="46" t="inlineStr"/>
      <c r="AE13" s="47">
        <f>IFERROR(HYPERLINK("#'Main'!B"&amp;MATCH(TRIM(I13),'Main'!B:B,0),"Open in Main"),IFERROR(HYPERLINK("#'Technical Diagnostics'!A"&amp;MATCH(TRIM(I13),'Technical Diagnostics'!A:A,0),"Open in Technical"),"Not Found"))</f>
        <v/>
      </c>
      <c r="AF13" s="46" t="inlineStr">
        <is>
          <t>Add a meta description (currently missing). Aim for 120–155 characters summarising: Smoke title 30.</t>
        </is>
      </c>
      <c r="AG13" s="46" t="inlineStr">
        <is>
          <t>Prioritised because of search intent: Informational + 8 open content/SEO issue(s).</t>
        </is>
      </c>
      <c r="AH13" s="48" t="n">
        <v>0</v>
      </c>
      <c r="AI13" s="46" t="inlineStr"/>
      <c r="AJ13" s="49" t="inlineStr">
        <is>
          <t>0</t>
        </is>
      </c>
      <c r="AK13" s="50" t="n">
        <v>0</v>
      </c>
    </row>
    <row r="14" ht="18" customHeight="1">
      <c r="A14" s="51">
        <f>IF(B14&gt;=85,"Complete","Needs Copy")</f>
        <v/>
      </c>
      <c r="B14" s="52">
        <f>MIN(100,ROUND(0.30*(IF(L14="",0,IF(LEFT(L14,7)="MISSING",0,IF(ISNUMBER(SEARCH("OK",L14)),100,IF(ISNUMBER(SEARCH("SHORT",L14)),65,IF(ISNUMBER(SEARCH("LONG",L14)),50,70))))))+0.25*(IF(N14="",0,IF(LEFT(N14,7)="MISSING",0,IF(ISNUMBER(SEARCH("OK",N14)),100,IF(ISNUMBER(SEARCH("SHORT",N14)),65,IF(ISNUMBER(SEARCH("LONG",N14)),50,70))))))+0.20*(IF(P14="",0,IF(LEFT(P14,2)="OK",100,0)))+0.08*(IF(R14="",0,IF(LEFT(R14,2)="OK",100,0)))+0.06*(IF(T14="",0,IF(LEFT(T14,2)="OK",100,0)))+0.05*(IF(V14="",0,IF(LEFT(V14,2)="OK",100,0)))+0.03*(IF(X14="",0,IF(LEFT(X14,2)="OK",100,0)))+0.03*(IF(Z14="",0,IF(LEFT(Z14,2)="OK",100,0))),0))</f>
        <v/>
      </c>
      <c r="C14" s="52">
        <f>IFERROR(INDEX(OFFSET('Main'!$A$1,2,MATCH("SEO Score",'Main'!$2:$2,0)-1,99998,1),MATCH(TRIM(I14),OFFSET('Main'!$A$1,2,MATCH("URL",'Main'!$2:$2,0)-1,99998,1),0)),"")</f>
        <v/>
      </c>
      <c r="D14" s="52">
        <f>IFERROR(INDEX(OFFSET('Main'!$A$1,2,MATCH("Technical Health",'Main'!$2:$2,0)-1,99998,1),MATCH(TRIM(I14),OFFSET('Main'!$A$1,2,MATCH("URL",'Main'!$2:$2,0)-1,99998,1),0)),"")</f>
        <v/>
      </c>
      <c r="E14" s="52">
        <f>IFERROR(INDEX(OFFSET('Main'!$A$1,2,MATCH("Copy Score",'Main'!$2:$2,0)-1,99998,1),MATCH(TRIM(I14),OFFSET('Main'!$A$1,2,MATCH("URL",'Main'!$2:$2,0)-1,99998,1),0)),"")</f>
        <v/>
      </c>
      <c r="F14" s="52" t="inlineStr">
        <is>
          <t>To Do</t>
        </is>
      </c>
      <c r="G14" s="52" t="inlineStr">
        <is>
          <t>Copy Writer</t>
        </is>
      </c>
      <c r="H14" s="52">
        <f>HYPERLINK("https://africanmarketingconfederation.org/smoke-archive/page-32","Page 32")</f>
        <v/>
      </c>
      <c r="I14" s="53">
        <f>HYPERLINK("https://africanmarketingconfederation.org/smoke-archive/page-32","https://africanmarketingconfederation.org/smoke-archive/page-32")</f>
        <v/>
      </c>
      <c r="J14" s="31" t="inlineStr">
        <is>
          <t>page-32</t>
        </is>
      </c>
      <c r="K14" s="52" t="inlineStr">
        <is>
          <t>Smoke title 32</t>
        </is>
      </c>
      <c r="L14" s="52">
        <f>IF(K14="","MISSING",IF(AND(LEN(K14)&gt;=50,LEN(K14)&lt;=60),"OK 50-60 chars",IF(LEN(K14)&lt;50,"SHORT: "&amp;LEN(K14),"LONG: "&amp;LEN(K14))))</f>
        <v/>
      </c>
      <c r="M14" s="52" t="inlineStr">
        <is>
          <t>Smoke meta description for page 32.</t>
        </is>
      </c>
      <c r="N14" s="52">
        <f>IF(M14="","MISSING",IF(AND(LEN(M14)&gt;=120,LEN(M14)&lt;=160),"OK 120-160 chars",IF(LEN(M14)&lt;120,"SHORT: "&amp;LEN(M14),"LONG: "&amp;LEN(M14))))</f>
        <v/>
      </c>
      <c r="O14" s="52" t="inlineStr">
        <is>
          <t>Smoke heading</t>
        </is>
      </c>
      <c r="P14" s="52" t="inlineStr">
        <is>
          <t>OK</t>
        </is>
      </c>
      <c r="Q14" s="52" t="inlineStr"/>
      <c r="R14" s="52">
        <f>IF(ISBLANK(Q14),"MISSING","OK")</f>
        <v/>
      </c>
      <c r="S14" s="52" t="inlineStr"/>
      <c r="T14" s="52">
        <f>IF(ISBLANK(S14),"MISSING","OK")</f>
        <v/>
      </c>
      <c r="U14" s="52" t="inlineStr"/>
      <c r="V14" s="52">
        <f>IF(ISBLANK(U14),"MISSING","OK")</f>
        <v/>
      </c>
      <c r="W14" s="52" t="inlineStr"/>
      <c r="X14" s="52">
        <f>IF(ISBLANK(W14),"MISSING","OK")</f>
        <v/>
      </c>
      <c r="Y14" s="52" t="inlineStr"/>
      <c r="Z14" s="52">
        <f>IF(ISBLANK(Y14),"MISSING","OK")</f>
        <v/>
      </c>
      <c r="AA14" s="52" t="inlineStr"/>
      <c r="AB14" s="53">
        <f>HYPERLINK("https://africanmarketingconfederation.org/og-32.jpg","View Image")</f>
        <v/>
      </c>
      <c r="AC14" s="52" t="inlineStr">
        <is>
          <t>Present — mixed OG images across site</t>
        </is>
      </c>
      <c r="AD14" s="52">
        <f>IF(LEN("https://africanmarketingconfederation.org/og-32.jpg")&gt;0,IFERROR(_xlfn.IMAGE("https://africanmarketingconfederation.org/og-32.jpg"),"https://africanmarketingconfederation.org/og-32.jpg"),"")</f>
        <v/>
      </c>
      <c r="AE14" s="53">
        <f>IFERROR(HYPERLINK("#'Main'!B"&amp;MATCH(TRIM(I14),'Main'!B:B,0),"Open in Main"),IFERROR(HYPERLINK("#'Technical Diagnostics'!A"&amp;MATCH(TRIM(I14),'Technical Diagnostics'!A:A,0),"Open in Technical"),"Not Found"))</f>
        <v/>
      </c>
      <c r="AF14" s="52" t="inlineStr">
        <is>
          <t>Restructure content for a faq featured snippet: use a direct answer block, scannable list, or FAQ schema as appropriate for “Smoke title 32”.</t>
        </is>
      </c>
      <c r="AG14" s="52" t="inlineStr">
        <is>
          <t>Prioritised because of search intent: Informational + 5 open content/SEO issue(s).</t>
        </is>
      </c>
      <c r="AH14" s="54" t="n">
        <v>0</v>
      </c>
      <c r="AI14" s="52" t="inlineStr"/>
      <c r="AJ14" s="55" t="inlineStr">
        <is>
          <t>0</t>
        </is>
      </c>
      <c r="AK14" s="56" t="n">
        <v>0</v>
      </c>
    </row>
    <row r="15" ht="18" customHeight="1">
      <c r="A15" s="51">
        <f>IF(B15&gt;=85,"Complete","Needs Copy")</f>
        <v/>
      </c>
      <c r="B15" s="46">
        <f>MIN(100,ROUND(0.30*(IF(L15="",0,IF(LEFT(L15,7)="MISSING",0,IF(ISNUMBER(SEARCH("OK",L15)),100,IF(ISNUMBER(SEARCH("SHORT",L15)),65,IF(ISNUMBER(SEARCH("LONG",L15)),50,70))))))+0.25*(IF(N15="",0,IF(LEFT(N15,7)="MISSING",0,IF(ISNUMBER(SEARCH("OK",N15)),100,IF(ISNUMBER(SEARCH("SHORT",N15)),65,IF(ISNUMBER(SEARCH("LONG",N15)),50,70))))))+0.20*(IF(P15="",0,IF(LEFT(P15,2)="OK",100,0)))+0.08*(IF(R15="",0,IF(LEFT(R15,2)="OK",100,0)))+0.06*(IF(T15="",0,IF(LEFT(T15,2)="OK",100,0)))+0.05*(IF(V15="",0,IF(LEFT(V15,2)="OK",100,0)))+0.03*(IF(X15="",0,IF(LEFT(X15,2)="OK",100,0)))+0.03*(IF(Z15="",0,IF(LEFT(Z15,2)="OK",100,0))),0))</f>
        <v/>
      </c>
      <c r="C15" s="46">
        <f>IFERROR(INDEX(OFFSET('Main'!$A$1,2,MATCH("SEO Score",'Main'!$2:$2,0)-1,99998,1),MATCH(TRIM(I15),OFFSET('Main'!$A$1,2,MATCH("URL",'Main'!$2:$2,0)-1,99998,1),0)),"")</f>
        <v/>
      </c>
      <c r="D15" s="46">
        <f>IFERROR(INDEX(OFFSET('Main'!$A$1,2,MATCH("Technical Health",'Main'!$2:$2,0)-1,99998,1),MATCH(TRIM(I15),OFFSET('Main'!$A$1,2,MATCH("URL",'Main'!$2:$2,0)-1,99998,1),0)),"")</f>
        <v/>
      </c>
      <c r="E15" s="46">
        <f>IFERROR(INDEX(OFFSET('Main'!$A$1,2,MATCH("Copy Score",'Main'!$2:$2,0)-1,99998,1),MATCH(TRIM(I15),OFFSET('Main'!$A$1,2,MATCH("URL",'Main'!$2:$2,0)-1,99998,1),0)),"")</f>
        <v/>
      </c>
      <c r="F15" s="46" t="inlineStr">
        <is>
          <t>To Do</t>
        </is>
      </c>
      <c r="G15" s="46" t="inlineStr">
        <is>
          <t>Copy Writer</t>
        </is>
      </c>
      <c r="H15" s="46">
        <f>HYPERLINK("https://africanmarketingconfederation.org/smoke-archive/page-35","Page 35")</f>
        <v/>
      </c>
      <c r="I15" s="47">
        <f>HYPERLINK("https://africanmarketingconfederation.org/smoke-archive/page-35","https://africanmarketingconfederation.org/smoke-archive/page-35")</f>
        <v/>
      </c>
      <c r="J15" s="20" t="inlineStr">
        <is>
          <t>page-35</t>
        </is>
      </c>
      <c r="K15" s="46" t="inlineStr">
        <is>
          <t>Smoke title 35</t>
        </is>
      </c>
      <c r="L15" s="46">
        <f>IF(K15="","MISSING",IF(AND(LEN(K15)&gt;=50,LEN(K15)&lt;=60),"OK 50-60 chars",IF(LEN(K15)&lt;50,"SHORT: "&amp;LEN(K15),"LONG: "&amp;LEN(K15))))</f>
        <v/>
      </c>
      <c r="M15" s="46" t="inlineStr">
        <is>
          <t>MISSING DESCRIPTION</t>
        </is>
      </c>
      <c r="N15" s="46">
        <f>IF(M15="","MISSING",IF(AND(LEN(M15)&gt;=120,LEN(M15)&lt;=160),"OK 120-160 chars",IF(LEN(M15)&lt;120,"SHORT: "&amp;LEN(M15),"LONG: "&amp;LEN(M15))))</f>
        <v/>
      </c>
      <c r="O15" s="46" t="inlineStr">
        <is>
          <t>Smoke heading</t>
        </is>
      </c>
      <c r="P15" s="46" t="inlineStr">
        <is>
          <t>OK</t>
        </is>
      </c>
      <c r="Q15" s="46" t="inlineStr"/>
      <c r="R15" s="46">
        <f>IF(ISBLANK(Q15),"MISSING","OK")</f>
        <v/>
      </c>
      <c r="S15" s="46" t="inlineStr"/>
      <c r="T15" s="46">
        <f>IF(ISBLANK(S15),"MISSING","OK")</f>
        <v/>
      </c>
      <c r="U15" s="46" t="inlineStr"/>
      <c r="V15" s="46">
        <f>IF(ISBLANK(U15),"MISSING","OK")</f>
        <v/>
      </c>
      <c r="W15" s="46" t="inlineStr"/>
      <c r="X15" s="46">
        <f>IF(ISBLANK(W15),"MISSING","OK")</f>
        <v/>
      </c>
      <c r="Y15" s="46" t="inlineStr"/>
      <c r="Z15" s="46">
        <f>IF(ISBLANK(Y15),"MISSING","OK")</f>
        <v/>
      </c>
      <c r="AA15" s="46" t="inlineStr"/>
      <c r="AB15" s="47" t="inlineStr"/>
      <c r="AC15" s="46" t="inlineStr">
        <is>
          <t>Missing OG image</t>
        </is>
      </c>
      <c r="AD15" s="46" t="inlineStr"/>
      <c r="AE15" s="47">
        <f>IFERROR(HYPERLINK("#'Main'!B"&amp;MATCH(TRIM(I15),'Main'!B:B,0),"Open in Main"),IFERROR(HYPERLINK("#'Technical Diagnostics'!A"&amp;MATCH(TRIM(I15),'Technical Diagnostics'!A:A,0),"Open in Technical"),"Not Found"))</f>
        <v/>
      </c>
      <c r="AF15" s="46" t="inlineStr">
        <is>
          <t>Add a meta description (currently missing). Aim for 120–155 characters summarising: Smoke title 35.</t>
        </is>
      </c>
      <c r="AG15" s="46" t="inlineStr">
        <is>
          <t>Prioritised because of search intent: Informational + 9 open content/SEO issue(s).</t>
        </is>
      </c>
      <c r="AH15" s="48" t="n">
        <v>0</v>
      </c>
      <c r="AI15" s="46" t="inlineStr"/>
      <c r="AJ15" s="49" t="inlineStr">
        <is>
          <t>0</t>
        </is>
      </c>
      <c r="AK15" s="50" t="n">
        <v>0</v>
      </c>
    </row>
    <row r="16" ht="18" customHeight="1">
      <c r="A16" s="51">
        <f>IF(B16&gt;=85,"Complete","Needs Copy")</f>
        <v/>
      </c>
      <c r="B16" s="52">
        <f>MIN(100,ROUND(0.30*(IF(L16="",0,IF(LEFT(L16,7)="MISSING",0,IF(ISNUMBER(SEARCH("OK",L16)),100,IF(ISNUMBER(SEARCH("SHORT",L16)),65,IF(ISNUMBER(SEARCH("LONG",L16)),50,70))))))+0.25*(IF(N16="",0,IF(LEFT(N16,7)="MISSING",0,IF(ISNUMBER(SEARCH("OK",N16)),100,IF(ISNUMBER(SEARCH("SHORT",N16)),65,IF(ISNUMBER(SEARCH("LONG",N16)),50,70))))))+0.20*(IF(P16="",0,IF(LEFT(P16,2)="OK",100,0)))+0.08*(IF(R16="",0,IF(LEFT(R16,2)="OK",100,0)))+0.06*(IF(T16="",0,IF(LEFT(T16,2)="OK",100,0)))+0.05*(IF(V16="",0,IF(LEFT(V16,2)="OK",100,0)))+0.03*(IF(X16="",0,IF(LEFT(X16,2)="OK",100,0)))+0.03*(IF(Z16="",0,IF(LEFT(Z16,2)="OK",100,0))),0))</f>
        <v/>
      </c>
      <c r="C16" s="52">
        <f>IFERROR(INDEX(OFFSET('Main'!$A$1,2,MATCH("SEO Score",'Main'!$2:$2,0)-1,99998,1),MATCH(TRIM(I16),OFFSET('Main'!$A$1,2,MATCH("URL",'Main'!$2:$2,0)-1,99998,1),0)),"")</f>
        <v/>
      </c>
      <c r="D16" s="52">
        <f>IFERROR(INDEX(OFFSET('Main'!$A$1,2,MATCH("Technical Health",'Main'!$2:$2,0)-1,99998,1),MATCH(TRIM(I16),OFFSET('Main'!$A$1,2,MATCH("URL",'Main'!$2:$2,0)-1,99998,1),0)),"")</f>
        <v/>
      </c>
      <c r="E16" s="52">
        <f>IFERROR(INDEX(OFFSET('Main'!$A$1,2,MATCH("Copy Score",'Main'!$2:$2,0)-1,99998,1),MATCH(TRIM(I16),OFFSET('Main'!$A$1,2,MATCH("URL",'Main'!$2:$2,0)-1,99998,1),0)),"")</f>
        <v/>
      </c>
      <c r="F16" s="52" t="inlineStr">
        <is>
          <t>To Do</t>
        </is>
      </c>
      <c r="G16" s="52" t="inlineStr">
        <is>
          <t>Copy Writer</t>
        </is>
      </c>
      <c r="H16" s="52">
        <f>HYPERLINK("https://africanmarketingconfederation.org/smoke-archive/page-36","Page 36")</f>
        <v/>
      </c>
      <c r="I16" s="53">
        <f>HYPERLINK("https://africanmarketingconfederation.org/smoke-archive/page-36","https://africanmarketingconfederation.org/smoke-archive/page-36")</f>
        <v/>
      </c>
      <c r="J16" s="31" t="inlineStr">
        <is>
          <t>page-36</t>
        </is>
      </c>
      <c r="K16" s="52" t="inlineStr">
        <is>
          <t>Smoke title 36</t>
        </is>
      </c>
      <c r="L16" s="52">
        <f>IF(K16="","MISSING",IF(AND(LEN(K16)&gt;=50,LEN(K16)&lt;=60),"OK 50-60 chars",IF(LEN(K16)&lt;50,"SHORT: "&amp;LEN(K16),"LONG: "&amp;LEN(K16))))</f>
        <v/>
      </c>
      <c r="M16" s="52" t="inlineStr">
        <is>
          <t>Smoke meta description for page 36.</t>
        </is>
      </c>
      <c r="N16" s="52">
        <f>IF(M16="","MISSING",IF(AND(LEN(M16)&gt;=120,LEN(M16)&lt;=160),"OK 120-160 chars",IF(LEN(M16)&lt;120,"SHORT: "&amp;LEN(M16),"LONG: "&amp;LEN(M16))))</f>
        <v/>
      </c>
      <c r="O16" s="52" t="inlineStr">
        <is>
          <t>Smoke heading</t>
        </is>
      </c>
      <c r="P16" s="52" t="inlineStr">
        <is>
          <t>OK</t>
        </is>
      </c>
      <c r="Q16" s="52" t="inlineStr"/>
      <c r="R16" s="52">
        <f>IF(ISBLANK(Q16),"MISSING","OK")</f>
        <v/>
      </c>
      <c r="S16" s="52" t="inlineStr"/>
      <c r="T16" s="52">
        <f>IF(ISBLANK(S16),"MISSING","OK")</f>
        <v/>
      </c>
      <c r="U16" s="52" t="inlineStr"/>
      <c r="V16" s="52">
        <f>IF(ISBLANK(U16),"MISSING","OK")</f>
        <v/>
      </c>
      <c r="W16" s="52" t="inlineStr"/>
      <c r="X16" s="52">
        <f>IF(ISBLANK(W16),"MISSING","OK")</f>
        <v/>
      </c>
      <c r="Y16" s="52" t="inlineStr"/>
      <c r="Z16" s="52">
        <f>IF(ISBLANK(Y16),"MISSING","OK")</f>
        <v/>
      </c>
      <c r="AA16" s="52" t="inlineStr"/>
      <c r="AB16" s="53">
        <f>HYPERLINK("https://africanmarketingconfederation.org/og-36.jpg","View Image")</f>
        <v/>
      </c>
      <c r="AC16" s="52" t="inlineStr">
        <is>
          <t>Present — mixed OG images across site</t>
        </is>
      </c>
      <c r="AD16" s="52">
        <f>IF(LEN("https://africanmarketingconfederation.org/og-36.jpg")&gt;0,IFERROR(_xlfn.IMAGE("https://africanmarketingconfederation.org/og-36.jpg"),"https://africanmarketingconfederation.org/og-36.jpg"),"")</f>
        <v/>
      </c>
      <c r="AE16" s="53">
        <f>IFERROR(HYPERLINK("#'Main'!B"&amp;MATCH(TRIM(I16),'Main'!B:B,0),"Open in Main"),IFERROR(HYPERLINK("#'Technical Diagnostics'!A"&amp;MATCH(TRIM(I16),'Technical Diagnostics'!A:A,0),"Open in Technical"),"Not Found"))</f>
        <v/>
      </c>
      <c r="AF16" s="52" t="inlineStr">
        <is>
          <t>Add a concise 40–60 word answer paragraph directly under a question-style heading to improve AEO extractability for: Smoke title 36.</t>
        </is>
      </c>
      <c r="AG16" s="52" t="inlineStr">
        <is>
          <t>Prioritised because of missing answer paragraphs + search intent: Informational + 10 open content/SEO issue(s).</t>
        </is>
      </c>
      <c r="AH16" s="54" t="n">
        <v>0</v>
      </c>
      <c r="AI16" s="52" t="inlineStr"/>
      <c r="AJ16" s="55" t="inlineStr">
        <is>
          <t>0</t>
        </is>
      </c>
      <c r="AK16" s="56" t="n">
        <v>0</v>
      </c>
    </row>
    <row r="17" ht="18" customHeight="1">
      <c r="A17" s="51">
        <f>IF(B17&gt;=85,"Complete","Needs Copy")</f>
        <v/>
      </c>
      <c r="B17" s="46">
        <f>MIN(100,ROUND(0.30*(IF(L17="",0,IF(LEFT(L17,7)="MISSING",0,IF(ISNUMBER(SEARCH("OK",L17)),100,IF(ISNUMBER(SEARCH("SHORT",L17)),65,IF(ISNUMBER(SEARCH("LONG",L17)),50,70))))))+0.25*(IF(N17="",0,IF(LEFT(N17,7)="MISSING",0,IF(ISNUMBER(SEARCH("OK",N17)),100,IF(ISNUMBER(SEARCH("SHORT",N17)),65,IF(ISNUMBER(SEARCH("LONG",N17)),50,70))))))+0.20*(IF(P17="",0,IF(LEFT(P17,2)="OK",100,0)))+0.08*(IF(R17="",0,IF(LEFT(R17,2)="OK",100,0)))+0.06*(IF(T17="",0,IF(LEFT(T17,2)="OK",100,0)))+0.05*(IF(V17="",0,IF(LEFT(V17,2)="OK",100,0)))+0.03*(IF(X17="",0,IF(LEFT(X17,2)="OK",100,0)))+0.03*(IF(Z17="",0,IF(LEFT(Z17,2)="OK",100,0))),0))</f>
        <v/>
      </c>
      <c r="C17" s="46">
        <f>IFERROR(INDEX(OFFSET('Main'!$A$1,2,MATCH("SEO Score",'Main'!$2:$2,0)-1,99998,1),MATCH(TRIM(I17),OFFSET('Main'!$A$1,2,MATCH("URL",'Main'!$2:$2,0)-1,99998,1),0)),"")</f>
        <v/>
      </c>
      <c r="D17" s="46">
        <f>IFERROR(INDEX(OFFSET('Main'!$A$1,2,MATCH("Technical Health",'Main'!$2:$2,0)-1,99998,1),MATCH(TRIM(I17),OFFSET('Main'!$A$1,2,MATCH("URL",'Main'!$2:$2,0)-1,99998,1),0)),"")</f>
        <v/>
      </c>
      <c r="E17" s="46">
        <f>IFERROR(INDEX(OFFSET('Main'!$A$1,2,MATCH("Copy Score",'Main'!$2:$2,0)-1,99998,1),MATCH(TRIM(I17),OFFSET('Main'!$A$1,2,MATCH("URL",'Main'!$2:$2,0)-1,99998,1),0)),"")</f>
        <v/>
      </c>
      <c r="F17" s="46" t="inlineStr">
        <is>
          <t>To Do</t>
        </is>
      </c>
      <c r="G17" s="46" t="inlineStr">
        <is>
          <t>Copy Writer</t>
        </is>
      </c>
      <c r="H17" s="46">
        <f>HYPERLINK("https://africanmarketingconfederation.org/smoke-archive/page-40","Page 40")</f>
        <v/>
      </c>
      <c r="I17" s="47">
        <f>HYPERLINK("https://africanmarketingconfederation.org/smoke-archive/page-40","https://africanmarketingconfederation.org/smoke-archive/page-40")</f>
        <v/>
      </c>
      <c r="J17" s="20" t="inlineStr">
        <is>
          <t>page-40</t>
        </is>
      </c>
      <c r="K17" s="46" t="inlineStr">
        <is>
          <t>Smoke title 40</t>
        </is>
      </c>
      <c r="L17" s="46">
        <f>IF(K17="","MISSING",IF(AND(LEN(K17)&gt;=50,LEN(K17)&lt;=60),"OK 50-60 chars",IF(LEN(K17)&lt;50,"SHORT: "&amp;LEN(K17),"LONG: "&amp;LEN(K17))))</f>
        <v/>
      </c>
      <c r="M17" s="46" t="inlineStr">
        <is>
          <t>MISSING DESCRIPTION</t>
        </is>
      </c>
      <c r="N17" s="46">
        <f>IF(M17="","MISSING",IF(AND(LEN(M17)&gt;=120,LEN(M17)&lt;=160),"OK 120-160 chars",IF(LEN(M17)&lt;120,"SHORT: "&amp;LEN(M17),"LONG: "&amp;LEN(M17))))</f>
        <v/>
      </c>
      <c r="O17" s="46" t="inlineStr">
        <is>
          <t>Smoke heading</t>
        </is>
      </c>
      <c r="P17" s="46" t="inlineStr">
        <is>
          <t>OK</t>
        </is>
      </c>
      <c r="Q17" s="46" t="inlineStr"/>
      <c r="R17" s="46">
        <f>IF(ISBLANK(Q17),"MISSING","OK")</f>
        <v/>
      </c>
      <c r="S17" s="46" t="inlineStr"/>
      <c r="T17" s="46">
        <f>IF(ISBLANK(S17),"MISSING","OK")</f>
        <v/>
      </c>
      <c r="U17" s="46" t="inlineStr"/>
      <c r="V17" s="46">
        <f>IF(ISBLANK(U17),"MISSING","OK")</f>
        <v/>
      </c>
      <c r="W17" s="46" t="inlineStr"/>
      <c r="X17" s="46">
        <f>IF(ISBLANK(W17),"MISSING","OK")</f>
        <v/>
      </c>
      <c r="Y17" s="46" t="inlineStr"/>
      <c r="Z17" s="46">
        <f>IF(ISBLANK(Y17),"MISSING","OK")</f>
        <v/>
      </c>
      <c r="AA17" s="46" t="inlineStr"/>
      <c r="AB17" s="47">
        <f>HYPERLINK("https://africanmarketingconfederation.org/og-40.jpg","View Image")</f>
        <v/>
      </c>
      <c r="AC17" s="46" t="inlineStr">
        <is>
          <t>Present — mixed OG images across site</t>
        </is>
      </c>
      <c r="AD17" s="46">
        <f>IF(LEN("https://africanmarketingconfederation.org/og-40.jpg")&gt;0,IFERROR(_xlfn.IMAGE("https://africanmarketingconfederation.org/og-40.jpg"),"https://africanmarketingconfederation.org/og-40.jpg"),"")</f>
        <v/>
      </c>
      <c r="AE17" s="47">
        <f>IFERROR(HYPERLINK("#'Main'!B"&amp;MATCH(TRIM(I17),'Main'!B:B,0),"Open in Main"),IFERROR(HYPERLINK("#'Technical Diagnostics'!A"&amp;MATCH(TRIM(I17),'Technical Diagnostics'!A:A,0),"Open in Technical"),"Not Found"))</f>
        <v/>
      </c>
      <c r="AF17" s="46" t="inlineStr">
        <is>
          <t>Add a meta description (currently missing). Aim for 120–155 characters summarising: Smoke title 40.</t>
        </is>
      </c>
      <c r="AG17" s="46" t="inlineStr">
        <is>
          <t>Prioritised because of search intent: Informational + 7 open content/SEO issue(s).</t>
        </is>
      </c>
      <c r="AH17" s="48" t="n">
        <v>0</v>
      </c>
      <c r="AI17" s="46" t="inlineStr"/>
      <c r="AJ17" s="49" t="inlineStr">
        <is>
          <t>0</t>
        </is>
      </c>
      <c r="AK17" s="50" t="n">
        <v>0</v>
      </c>
    </row>
    <row r="18" ht="18" customHeight="1">
      <c r="A18" s="51">
        <f>IF(B18&gt;=85,"Complete","Needs Copy")</f>
        <v/>
      </c>
      <c r="B18" s="52">
        <f>MIN(100,ROUND(0.30*(IF(L18="",0,IF(LEFT(L18,7)="MISSING",0,IF(ISNUMBER(SEARCH("OK",L18)),100,IF(ISNUMBER(SEARCH("SHORT",L18)),65,IF(ISNUMBER(SEARCH("LONG",L18)),50,70))))))+0.25*(IF(N18="",0,IF(LEFT(N18,7)="MISSING",0,IF(ISNUMBER(SEARCH("OK",N18)),100,IF(ISNUMBER(SEARCH("SHORT",N18)),65,IF(ISNUMBER(SEARCH("LONG",N18)),50,70))))))+0.20*(IF(P18="",0,IF(LEFT(P18,2)="OK",100,0)))+0.08*(IF(R18="",0,IF(LEFT(R18,2)="OK",100,0)))+0.06*(IF(T18="",0,IF(LEFT(T18,2)="OK",100,0)))+0.05*(IF(V18="",0,IF(LEFT(V18,2)="OK",100,0)))+0.03*(IF(X18="",0,IF(LEFT(X18,2)="OK",100,0)))+0.03*(IF(Z18="",0,IF(LEFT(Z18,2)="OK",100,0))),0))</f>
        <v/>
      </c>
      <c r="C18" s="52">
        <f>IFERROR(INDEX(OFFSET('Main'!$A$1,2,MATCH("SEO Score",'Main'!$2:$2,0)-1,99998,1),MATCH(TRIM(I18),OFFSET('Main'!$A$1,2,MATCH("URL",'Main'!$2:$2,0)-1,99998,1),0)),"")</f>
        <v/>
      </c>
      <c r="D18" s="52">
        <f>IFERROR(INDEX(OFFSET('Main'!$A$1,2,MATCH("Technical Health",'Main'!$2:$2,0)-1,99998,1),MATCH(TRIM(I18),OFFSET('Main'!$A$1,2,MATCH("URL",'Main'!$2:$2,0)-1,99998,1),0)),"")</f>
        <v/>
      </c>
      <c r="E18" s="52">
        <f>IFERROR(INDEX(OFFSET('Main'!$A$1,2,MATCH("Copy Score",'Main'!$2:$2,0)-1,99998,1),MATCH(TRIM(I18),OFFSET('Main'!$A$1,2,MATCH("URL",'Main'!$2:$2,0)-1,99998,1),0)),"")</f>
        <v/>
      </c>
      <c r="F18" s="52" t="inlineStr">
        <is>
          <t>To Do</t>
        </is>
      </c>
      <c r="G18" s="52" t="inlineStr">
        <is>
          <t>Copy Writer</t>
        </is>
      </c>
      <c r="H18" s="52">
        <f>HYPERLINK("https://africanmarketingconfederation.org/smoke-archive/page-42","Page 42")</f>
        <v/>
      </c>
      <c r="I18" s="53">
        <f>HYPERLINK("https://africanmarketingconfederation.org/smoke-archive/page-42","https://africanmarketingconfederation.org/smoke-archive/page-42")</f>
        <v/>
      </c>
      <c r="J18" s="31" t="inlineStr">
        <is>
          <t>page-42</t>
        </is>
      </c>
      <c r="K18" s="52" t="inlineStr">
        <is>
          <t>Smoke title 42</t>
        </is>
      </c>
      <c r="L18" s="52">
        <f>IF(K18="","MISSING",IF(AND(LEN(K18)&gt;=50,LEN(K18)&lt;=60),"OK 50-60 chars",IF(LEN(K18)&lt;50,"SHORT: "&amp;LEN(K18),"LONG: "&amp;LEN(K18))))</f>
        <v/>
      </c>
      <c r="M18" s="52" t="inlineStr">
        <is>
          <t>Smoke meta description for page 42.</t>
        </is>
      </c>
      <c r="N18" s="52">
        <f>IF(M18="","MISSING",IF(AND(LEN(M18)&gt;=120,LEN(M18)&lt;=160),"OK 120-160 chars",IF(LEN(M18)&lt;120,"SHORT: "&amp;LEN(M18),"LONG: "&amp;LEN(M18))))</f>
        <v/>
      </c>
      <c r="O18" s="52" t="inlineStr">
        <is>
          <t>Smoke heading</t>
        </is>
      </c>
      <c r="P18" s="52" t="inlineStr">
        <is>
          <t>OK</t>
        </is>
      </c>
      <c r="Q18" s="52" t="inlineStr"/>
      <c r="R18" s="52">
        <f>IF(ISBLANK(Q18),"MISSING","OK")</f>
        <v/>
      </c>
      <c r="S18" s="52" t="inlineStr"/>
      <c r="T18" s="52">
        <f>IF(ISBLANK(S18),"MISSING","OK")</f>
        <v/>
      </c>
      <c r="U18" s="52" t="inlineStr"/>
      <c r="V18" s="52">
        <f>IF(ISBLANK(U18),"MISSING","OK")</f>
        <v/>
      </c>
      <c r="W18" s="52" t="inlineStr"/>
      <c r="X18" s="52">
        <f>IF(ISBLANK(W18),"MISSING","OK")</f>
        <v/>
      </c>
      <c r="Y18" s="52" t="inlineStr"/>
      <c r="Z18" s="52">
        <f>IF(ISBLANK(Y18),"MISSING","OK")</f>
        <v/>
      </c>
      <c r="AA18" s="52" t="inlineStr"/>
      <c r="AB18" s="53" t="inlineStr"/>
      <c r="AC18" s="52" t="inlineStr">
        <is>
          <t>Missing OG image</t>
        </is>
      </c>
      <c r="AD18" s="52" t="inlineStr"/>
      <c r="AE18" s="53">
        <f>IFERROR(HYPERLINK("#'Main'!B"&amp;MATCH(TRIM(I18),'Main'!B:B,0),"Open in Main"),IFERROR(HYPERLINK("#'Technical Diagnostics'!A"&amp;MATCH(TRIM(I18),'Technical Diagnostics'!A:A,0),"Open in Technical"),"Not Found"))</f>
        <v/>
      </c>
      <c r="AF18" s="52" t="inlineStr">
        <is>
          <t>Restructure content for a faq featured snippet: use a direct answer block, scannable list, or FAQ schema as appropriate for “Smoke title 42”.</t>
        </is>
      </c>
      <c r="AG18" s="52" t="inlineStr">
        <is>
          <t>Prioritised because of search intent: Informational + 8 open content/SEO issue(s).</t>
        </is>
      </c>
      <c r="AH18" s="54" t="n">
        <v>0</v>
      </c>
      <c r="AI18" s="52" t="inlineStr"/>
      <c r="AJ18" s="55" t="inlineStr">
        <is>
          <t>0</t>
        </is>
      </c>
      <c r="AK18" s="56" t="n">
        <v>0</v>
      </c>
    </row>
    <row r="19" ht="18" customHeight="1">
      <c r="A19" s="51">
        <f>IF(B19&gt;=85,"Complete","Needs Copy")</f>
        <v/>
      </c>
      <c r="B19" s="46">
        <f>MIN(100,ROUND(0.30*(IF(L19="",0,IF(LEFT(L19,7)="MISSING",0,IF(ISNUMBER(SEARCH("OK",L19)),100,IF(ISNUMBER(SEARCH("SHORT",L19)),65,IF(ISNUMBER(SEARCH("LONG",L19)),50,70))))))+0.25*(IF(N19="",0,IF(LEFT(N19,7)="MISSING",0,IF(ISNUMBER(SEARCH("OK",N19)),100,IF(ISNUMBER(SEARCH("SHORT",N19)),65,IF(ISNUMBER(SEARCH("LONG",N19)),50,70))))))+0.20*(IF(P19="",0,IF(LEFT(P19,2)="OK",100,0)))+0.08*(IF(R19="",0,IF(LEFT(R19,2)="OK",100,0)))+0.06*(IF(T19="",0,IF(LEFT(T19,2)="OK",100,0)))+0.05*(IF(V19="",0,IF(LEFT(V19,2)="OK",100,0)))+0.03*(IF(X19="",0,IF(LEFT(X19,2)="OK",100,0)))+0.03*(IF(Z19="",0,IF(LEFT(Z19,2)="OK",100,0))),0))</f>
        <v/>
      </c>
      <c r="C19" s="46">
        <f>IFERROR(INDEX(OFFSET('Main'!$A$1,2,MATCH("SEO Score",'Main'!$2:$2,0)-1,99998,1),MATCH(TRIM(I19),OFFSET('Main'!$A$1,2,MATCH("URL",'Main'!$2:$2,0)-1,99998,1),0)),"")</f>
        <v/>
      </c>
      <c r="D19" s="46">
        <f>IFERROR(INDEX(OFFSET('Main'!$A$1,2,MATCH("Technical Health",'Main'!$2:$2,0)-1,99998,1),MATCH(TRIM(I19),OFFSET('Main'!$A$1,2,MATCH("URL",'Main'!$2:$2,0)-1,99998,1),0)),"")</f>
        <v/>
      </c>
      <c r="E19" s="46">
        <f>IFERROR(INDEX(OFFSET('Main'!$A$1,2,MATCH("Copy Score",'Main'!$2:$2,0)-1,99998,1),MATCH(TRIM(I19),OFFSET('Main'!$A$1,2,MATCH("URL",'Main'!$2:$2,0)-1,99998,1),0)),"")</f>
        <v/>
      </c>
      <c r="F19" s="46" t="inlineStr">
        <is>
          <t>To Do</t>
        </is>
      </c>
      <c r="G19" s="46" t="inlineStr">
        <is>
          <t>Copy Writer</t>
        </is>
      </c>
      <c r="H19" s="46">
        <f>HYPERLINK("https://africanmarketingconfederation.org/smoke-archive/page-45","Page 45")</f>
        <v/>
      </c>
      <c r="I19" s="47">
        <f>HYPERLINK("https://africanmarketingconfederation.org/smoke-archive/page-45","https://africanmarketingconfederation.org/smoke-archive/page-45")</f>
        <v/>
      </c>
      <c r="J19" s="20" t="inlineStr">
        <is>
          <t>page-45</t>
        </is>
      </c>
      <c r="K19" s="46" t="inlineStr">
        <is>
          <t>Smoke title 45</t>
        </is>
      </c>
      <c r="L19" s="46">
        <f>IF(K19="","MISSING",IF(AND(LEN(K19)&gt;=50,LEN(K19)&lt;=60),"OK 50-60 chars",IF(LEN(K19)&lt;50,"SHORT: "&amp;LEN(K19),"LONG: "&amp;LEN(K19))))</f>
        <v/>
      </c>
      <c r="M19" s="46" t="inlineStr">
        <is>
          <t>MISSING DESCRIPTION</t>
        </is>
      </c>
      <c r="N19" s="46">
        <f>IF(M19="","MISSING",IF(AND(LEN(M19)&gt;=120,LEN(M19)&lt;=160),"OK 120-160 chars",IF(LEN(M19)&lt;120,"SHORT: "&amp;LEN(M19),"LONG: "&amp;LEN(M19))))</f>
        <v/>
      </c>
      <c r="O19" s="46" t="inlineStr">
        <is>
          <t>Smoke heading</t>
        </is>
      </c>
      <c r="P19" s="46" t="inlineStr">
        <is>
          <t>OK</t>
        </is>
      </c>
      <c r="Q19" s="46" t="inlineStr"/>
      <c r="R19" s="46">
        <f>IF(ISBLANK(Q19),"MISSING","OK")</f>
        <v/>
      </c>
      <c r="S19" s="46" t="inlineStr"/>
      <c r="T19" s="46">
        <f>IF(ISBLANK(S19),"MISSING","OK")</f>
        <v/>
      </c>
      <c r="U19" s="46" t="inlineStr"/>
      <c r="V19" s="46">
        <f>IF(ISBLANK(U19),"MISSING","OK")</f>
        <v/>
      </c>
      <c r="W19" s="46" t="inlineStr"/>
      <c r="X19" s="46">
        <f>IF(ISBLANK(W19),"MISSING","OK")</f>
        <v/>
      </c>
      <c r="Y19" s="46" t="inlineStr"/>
      <c r="Z19" s="46">
        <f>IF(ISBLANK(Y19),"MISSING","OK")</f>
        <v/>
      </c>
      <c r="AA19" s="46" t="inlineStr"/>
      <c r="AB19" s="47" t="inlineStr"/>
      <c r="AC19" s="46" t="inlineStr">
        <is>
          <t>Missing OG image</t>
        </is>
      </c>
      <c r="AD19" s="46" t="inlineStr"/>
      <c r="AE19" s="47">
        <f>IFERROR(HYPERLINK("#'Main'!B"&amp;MATCH(TRIM(I19),'Main'!B:B,0),"Open in Main"),IFERROR(HYPERLINK("#'Technical Diagnostics'!A"&amp;MATCH(TRIM(I19),'Technical Diagnostics'!A:A,0),"Open in Technical"),"Not Found"))</f>
        <v/>
      </c>
      <c r="AF19" s="46" t="inlineStr">
        <is>
          <t>Add a meta description (currently missing). Aim for 120–155 characters summarising: Smoke title 45.</t>
        </is>
      </c>
      <c r="AG19" s="46" t="inlineStr">
        <is>
          <t>Prioritised because of missing answer paragraphs + search intent: Informational + 11 open content/SEO issue(s).</t>
        </is>
      </c>
      <c r="AH19" s="48" t="n">
        <v>0</v>
      </c>
      <c r="AI19" s="46" t="inlineStr"/>
      <c r="AJ19" s="49" t="inlineStr">
        <is>
          <t>0</t>
        </is>
      </c>
      <c r="AK19" s="50" t="n">
        <v>0</v>
      </c>
    </row>
    <row r="20" ht="18" customHeight="1">
      <c r="A20" s="51">
        <f>IF(B20&gt;=85,"Complete","Needs Copy")</f>
        <v/>
      </c>
      <c r="B20" s="52">
        <f>MIN(100,ROUND(0.30*(IF(L20="",0,IF(LEFT(L20,7)="MISSING",0,IF(ISNUMBER(SEARCH("OK",L20)),100,IF(ISNUMBER(SEARCH("SHORT",L20)),65,IF(ISNUMBER(SEARCH("LONG",L20)),50,70))))))+0.25*(IF(N20="",0,IF(LEFT(N20,7)="MISSING",0,IF(ISNUMBER(SEARCH("OK",N20)),100,IF(ISNUMBER(SEARCH("SHORT",N20)),65,IF(ISNUMBER(SEARCH("LONG",N20)),50,70))))))+0.20*(IF(P20="",0,IF(LEFT(P20,2)="OK",100,0)))+0.08*(IF(R20="",0,IF(LEFT(R20,2)="OK",100,0)))+0.06*(IF(T20="",0,IF(LEFT(T20,2)="OK",100,0)))+0.05*(IF(V20="",0,IF(LEFT(V20,2)="OK",100,0)))+0.03*(IF(X20="",0,IF(LEFT(X20,2)="OK",100,0)))+0.03*(IF(Z20="",0,IF(LEFT(Z20,2)="OK",100,0))),0))</f>
        <v/>
      </c>
      <c r="C20" s="52">
        <f>IFERROR(INDEX(OFFSET('Main'!$A$1,2,MATCH("SEO Score",'Main'!$2:$2,0)-1,99998,1),MATCH(TRIM(I20),OFFSET('Main'!$A$1,2,MATCH("URL",'Main'!$2:$2,0)-1,99998,1),0)),"")</f>
        <v/>
      </c>
      <c r="D20" s="52">
        <f>IFERROR(INDEX(OFFSET('Main'!$A$1,2,MATCH("Technical Health",'Main'!$2:$2,0)-1,99998,1),MATCH(TRIM(I20),OFFSET('Main'!$A$1,2,MATCH("URL",'Main'!$2:$2,0)-1,99998,1),0)),"")</f>
        <v/>
      </c>
      <c r="E20" s="52">
        <f>IFERROR(INDEX(OFFSET('Main'!$A$1,2,MATCH("Copy Score",'Main'!$2:$2,0)-1,99998,1),MATCH(TRIM(I20),OFFSET('Main'!$A$1,2,MATCH("URL",'Main'!$2:$2,0)-1,99998,1),0)),"")</f>
        <v/>
      </c>
      <c r="F20" s="52" t="inlineStr">
        <is>
          <t>To Do</t>
        </is>
      </c>
      <c r="G20" s="52" t="inlineStr">
        <is>
          <t>Copy Writer</t>
        </is>
      </c>
      <c r="H20" s="52">
        <f>HYPERLINK("https://africanmarketingconfederation.org/smoke-archive/page-48","Page 48")</f>
        <v/>
      </c>
      <c r="I20" s="53">
        <f>HYPERLINK("https://africanmarketingconfederation.org/smoke-archive/page-48","https://africanmarketingconfederation.org/smoke-archive/page-48")</f>
        <v/>
      </c>
      <c r="J20" s="31" t="inlineStr">
        <is>
          <t>page-48</t>
        </is>
      </c>
      <c r="K20" s="52" t="inlineStr">
        <is>
          <t>Smoke title 48</t>
        </is>
      </c>
      <c r="L20" s="52">
        <f>IF(K20="","MISSING",IF(AND(LEN(K20)&gt;=50,LEN(K20)&lt;=60),"OK 50-60 chars",IF(LEN(K20)&lt;50,"SHORT: "&amp;LEN(K20),"LONG: "&amp;LEN(K20))))</f>
        <v/>
      </c>
      <c r="M20" s="52" t="inlineStr">
        <is>
          <t>Smoke meta description for page 48.</t>
        </is>
      </c>
      <c r="N20" s="52">
        <f>IF(M20="","MISSING",IF(AND(LEN(M20)&gt;=120,LEN(M20)&lt;=160),"OK 120-160 chars",IF(LEN(M20)&lt;120,"SHORT: "&amp;LEN(M20),"LONG: "&amp;LEN(M20))))</f>
        <v/>
      </c>
      <c r="O20" s="52" t="inlineStr">
        <is>
          <t>Smoke heading</t>
        </is>
      </c>
      <c r="P20" s="52" t="inlineStr">
        <is>
          <t>OK</t>
        </is>
      </c>
      <c r="Q20" s="52" t="inlineStr"/>
      <c r="R20" s="52">
        <f>IF(ISBLANK(Q20),"MISSING","OK")</f>
        <v/>
      </c>
      <c r="S20" s="52" t="inlineStr"/>
      <c r="T20" s="52">
        <f>IF(ISBLANK(S20),"MISSING","OK")</f>
        <v/>
      </c>
      <c r="U20" s="52" t="inlineStr"/>
      <c r="V20" s="52">
        <f>IF(ISBLANK(U20),"MISSING","OK")</f>
        <v/>
      </c>
      <c r="W20" s="52" t="inlineStr"/>
      <c r="X20" s="52">
        <f>IF(ISBLANK(W20),"MISSING","OK")</f>
        <v/>
      </c>
      <c r="Y20" s="52" t="inlineStr"/>
      <c r="Z20" s="52">
        <f>IF(ISBLANK(Y20),"MISSING","OK")</f>
        <v/>
      </c>
      <c r="AA20" s="52" t="inlineStr"/>
      <c r="AB20" s="53">
        <f>HYPERLINK("https://africanmarketingconfederation.org/og-48.jpg","View Image")</f>
        <v/>
      </c>
      <c r="AC20" s="52" t="inlineStr">
        <is>
          <t>Present — mixed OG images across site</t>
        </is>
      </c>
      <c r="AD20" s="52">
        <f>IF(LEN("https://africanmarketingconfederation.org/og-48.jpg")&gt;0,IFERROR(_xlfn.IMAGE("https://africanmarketingconfederation.org/og-48.jpg"),"https://africanmarketingconfederation.org/og-48.jpg"),"")</f>
        <v/>
      </c>
      <c r="AE20" s="53">
        <f>IFERROR(HYPERLINK("#'Main'!B"&amp;MATCH(TRIM(I20),'Main'!B:B,0),"Open in Main"),IFERROR(HYPERLINK("#'Technical Diagnostics'!A"&amp;MATCH(TRIM(I20),'Technical Diagnostics'!A:A,0),"Open in Technical"),"Not Found"))</f>
        <v/>
      </c>
      <c r="AF20" s="52" t="inlineStr">
        <is>
          <t>Restructure content for a faq featured snippet: use a direct answer block, scannable list, or FAQ schema as appropriate for “Smoke title 48”.</t>
        </is>
      </c>
      <c r="AG20" s="52" t="inlineStr">
        <is>
          <t>Prioritised because of search intent: Informational + 7 open content/SEO issue(s).</t>
        </is>
      </c>
      <c r="AH20" s="54" t="n">
        <v>0</v>
      </c>
      <c r="AI20" s="52" t="inlineStr"/>
      <c r="AJ20" s="55" t="inlineStr">
        <is>
          <t>0</t>
        </is>
      </c>
      <c r="AK20" s="56" t="n">
        <v>0</v>
      </c>
    </row>
    <row r="21" ht="18" customHeight="1">
      <c r="A21" s="51">
        <f>IF(B21&gt;=85,"Complete","Needs Copy")</f>
        <v/>
      </c>
      <c r="B21" s="46">
        <f>MIN(100,ROUND(0.30*(IF(L21="",0,IF(LEFT(L21,7)="MISSING",0,IF(ISNUMBER(SEARCH("OK",L21)),100,IF(ISNUMBER(SEARCH("SHORT",L21)),65,IF(ISNUMBER(SEARCH("LONG",L21)),50,70))))))+0.25*(IF(N21="",0,IF(LEFT(N21,7)="MISSING",0,IF(ISNUMBER(SEARCH("OK",N21)),100,IF(ISNUMBER(SEARCH("SHORT",N21)),65,IF(ISNUMBER(SEARCH("LONG",N21)),50,70))))))+0.20*(IF(P21="",0,IF(LEFT(P21,2)="OK",100,0)))+0.08*(IF(R21="",0,IF(LEFT(R21,2)="OK",100,0)))+0.06*(IF(T21="",0,IF(LEFT(T21,2)="OK",100,0)))+0.05*(IF(V21="",0,IF(LEFT(V21,2)="OK",100,0)))+0.03*(IF(X21="",0,IF(LEFT(X21,2)="OK",100,0)))+0.03*(IF(Z21="",0,IF(LEFT(Z21,2)="OK",100,0))),0))</f>
        <v/>
      </c>
      <c r="C21" s="46">
        <f>IFERROR(INDEX(OFFSET('Main'!$A$1,2,MATCH("SEO Score",'Main'!$2:$2,0)-1,99998,1),MATCH(TRIM(I21),OFFSET('Main'!$A$1,2,MATCH("URL",'Main'!$2:$2,0)-1,99998,1),0)),"")</f>
        <v/>
      </c>
      <c r="D21" s="46">
        <f>IFERROR(INDEX(OFFSET('Main'!$A$1,2,MATCH("Technical Health",'Main'!$2:$2,0)-1,99998,1),MATCH(TRIM(I21),OFFSET('Main'!$A$1,2,MATCH("URL",'Main'!$2:$2,0)-1,99998,1),0)),"")</f>
        <v/>
      </c>
      <c r="E21" s="46">
        <f>IFERROR(INDEX(OFFSET('Main'!$A$1,2,MATCH("Copy Score",'Main'!$2:$2,0)-1,99998,1),MATCH(TRIM(I21),OFFSET('Main'!$A$1,2,MATCH("URL",'Main'!$2:$2,0)-1,99998,1),0)),"")</f>
        <v/>
      </c>
      <c r="F21" s="46" t="inlineStr">
        <is>
          <t>To Do</t>
        </is>
      </c>
      <c r="G21" s="46" t="inlineStr">
        <is>
          <t>Copy Writer</t>
        </is>
      </c>
      <c r="H21" s="46">
        <f>HYPERLINK("https://africanmarketingconfederation.org/smoke-archive/page-5","Page 5")</f>
        <v/>
      </c>
      <c r="I21" s="47">
        <f>HYPERLINK("https://africanmarketingconfederation.org/smoke-archive/page-5","https://africanmarketingconfederation.org/smoke-archive/page-5")</f>
        <v/>
      </c>
      <c r="J21" s="20" t="inlineStr">
        <is>
          <t>page-5</t>
        </is>
      </c>
      <c r="K21" s="46" t="inlineStr">
        <is>
          <t>Smoke title 5</t>
        </is>
      </c>
      <c r="L21" s="46">
        <f>IF(K21="","MISSING",IF(AND(LEN(K21)&gt;=50,LEN(K21)&lt;=60),"OK 50-60 chars",IF(LEN(K21)&lt;50,"SHORT: "&amp;LEN(K21),"LONG: "&amp;LEN(K21))))</f>
        <v/>
      </c>
      <c r="M21" s="46" t="inlineStr">
        <is>
          <t>MISSING DESCRIPTION</t>
        </is>
      </c>
      <c r="N21" s="46">
        <f>IF(M21="","MISSING",IF(AND(LEN(M21)&gt;=120,LEN(M21)&lt;=160),"OK 120-160 chars",IF(LEN(M21)&lt;120,"SHORT: "&amp;LEN(M21),"LONG: "&amp;LEN(M21))))</f>
        <v/>
      </c>
      <c r="O21" s="46" t="inlineStr">
        <is>
          <t>Smoke heading</t>
        </is>
      </c>
      <c r="P21" s="46" t="inlineStr">
        <is>
          <t>OK</t>
        </is>
      </c>
      <c r="Q21" s="46" t="inlineStr"/>
      <c r="R21" s="46">
        <f>IF(ISBLANK(Q21),"MISSING","OK")</f>
        <v/>
      </c>
      <c r="S21" s="46" t="inlineStr"/>
      <c r="T21" s="46">
        <f>IF(ISBLANK(S21),"MISSING","OK")</f>
        <v/>
      </c>
      <c r="U21" s="46" t="inlineStr"/>
      <c r="V21" s="46">
        <f>IF(ISBLANK(U21),"MISSING","OK")</f>
        <v/>
      </c>
      <c r="W21" s="46" t="inlineStr"/>
      <c r="X21" s="46">
        <f>IF(ISBLANK(W21),"MISSING","OK")</f>
        <v/>
      </c>
      <c r="Y21" s="46" t="inlineStr"/>
      <c r="Z21" s="46">
        <f>IF(ISBLANK(Y21),"MISSING","OK")</f>
        <v/>
      </c>
      <c r="AA21" s="46" t="inlineStr"/>
      <c r="AB21" s="47" t="inlineStr"/>
      <c r="AC21" s="46" t="inlineStr">
        <is>
          <t>Missing OG image</t>
        </is>
      </c>
      <c r="AD21" s="46" t="inlineStr"/>
      <c r="AE21" s="47">
        <f>IFERROR(HYPERLINK("#'Main'!B"&amp;MATCH(TRIM(I21),'Main'!B:B,0),"Open in Main"),IFERROR(HYPERLINK("#'Technical Diagnostics'!A"&amp;MATCH(TRIM(I21),'Technical Diagnostics'!A:A,0),"Open in Technical"),"Not Found"))</f>
        <v/>
      </c>
      <c r="AF21" s="46" t="inlineStr">
        <is>
          <t>Add a meta description (currently missing). Aim for 120–155 characters summarising: Smoke title 5.</t>
        </is>
      </c>
      <c r="AG21" s="46" t="inlineStr">
        <is>
          <t>Prioritised because of search intent: Informational + 7 open content/SEO issue(s).</t>
        </is>
      </c>
      <c r="AH21" s="48" t="n">
        <v>0</v>
      </c>
      <c r="AI21" s="46" t="inlineStr"/>
      <c r="AJ21" s="49" t="inlineStr">
        <is>
          <t>0</t>
        </is>
      </c>
      <c r="AK21" s="50" t="n">
        <v>0</v>
      </c>
    </row>
    <row r="22" ht="18" customHeight="1">
      <c r="A22" s="51">
        <f>IF(B22&gt;=85,"Complete","Needs Copy")</f>
        <v/>
      </c>
      <c r="B22" s="52">
        <f>MIN(100,ROUND(0.30*(IF(L22="",0,IF(LEFT(L22,7)="MISSING",0,IF(ISNUMBER(SEARCH("OK",L22)),100,IF(ISNUMBER(SEARCH("SHORT",L22)),65,IF(ISNUMBER(SEARCH("LONG",L22)),50,70))))))+0.25*(IF(N22="",0,IF(LEFT(N22,7)="MISSING",0,IF(ISNUMBER(SEARCH("OK",N22)),100,IF(ISNUMBER(SEARCH("SHORT",N22)),65,IF(ISNUMBER(SEARCH("LONG",N22)),50,70))))))+0.20*(IF(P22="",0,IF(LEFT(P22,2)="OK",100,0)))+0.08*(IF(R22="",0,IF(LEFT(R22,2)="OK",100,0)))+0.06*(IF(T22="",0,IF(LEFT(T22,2)="OK",100,0)))+0.05*(IF(V22="",0,IF(LEFT(V22,2)="OK",100,0)))+0.03*(IF(X22="",0,IF(LEFT(X22,2)="OK",100,0)))+0.03*(IF(Z22="",0,IF(LEFT(Z22,2)="OK",100,0))),0))</f>
        <v/>
      </c>
      <c r="C22" s="52">
        <f>IFERROR(INDEX(OFFSET('Main'!$A$1,2,MATCH("SEO Score",'Main'!$2:$2,0)-1,99998,1),MATCH(TRIM(I22),OFFSET('Main'!$A$1,2,MATCH("URL",'Main'!$2:$2,0)-1,99998,1),0)),"")</f>
        <v/>
      </c>
      <c r="D22" s="52">
        <f>IFERROR(INDEX(OFFSET('Main'!$A$1,2,MATCH("Technical Health",'Main'!$2:$2,0)-1,99998,1),MATCH(TRIM(I22),OFFSET('Main'!$A$1,2,MATCH("URL",'Main'!$2:$2,0)-1,99998,1),0)),"")</f>
        <v/>
      </c>
      <c r="E22" s="52">
        <f>IFERROR(INDEX(OFFSET('Main'!$A$1,2,MATCH("Copy Score",'Main'!$2:$2,0)-1,99998,1),MATCH(TRIM(I22),OFFSET('Main'!$A$1,2,MATCH("URL",'Main'!$2:$2,0)-1,99998,1),0)),"")</f>
        <v/>
      </c>
      <c r="F22" s="52" t="inlineStr">
        <is>
          <t>To Do</t>
        </is>
      </c>
      <c r="G22" s="52" t="inlineStr">
        <is>
          <t>Copy Writer</t>
        </is>
      </c>
      <c r="H22" s="52">
        <f>HYPERLINK("https://africanmarketingconfederation.org/smoke-archive/page-50","Page 50")</f>
        <v/>
      </c>
      <c r="I22" s="53">
        <f>HYPERLINK("https://africanmarketingconfederation.org/smoke-archive/page-50","https://africanmarketingconfederation.org/smoke-archive/page-50")</f>
        <v/>
      </c>
      <c r="J22" s="31" t="inlineStr">
        <is>
          <t>page-50</t>
        </is>
      </c>
      <c r="K22" s="52" t="inlineStr">
        <is>
          <t>Smoke title 50</t>
        </is>
      </c>
      <c r="L22" s="52">
        <f>IF(K22="","MISSING",IF(AND(LEN(K22)&gt;=50,LEN(K22)&lt;=60),"OK 50-60 chars",IF(LEN(K22)&lt;50,"SHORT: "&amp;LEN(K22),"LONG: "&amp;LEN(K22))))</f>
        <v/>
      </c>
      <c r="M22" s="52" t="inlineStr">
        <is>
          <t>MISSING DESCRIPTION</t>
        </is>
      </c>
      <c r="N22" s="52">
        <f>IF(M22="","MISSING",IF(AND(LEN(M22)&gt;=120,LEN(M22)&lt;=160),"OK 120-160 chars",IF(LEN(M22)&lt;120,"SHORT: "&amp;LEN(M22),"LONG: "&amp;LEN(M22))))</f>
        <v/>
      </c>
      <c r="O22" s="52" t="inlineStr">
        <is>
          <t>Smoke heading</t>
        </is>
      </c>
      <c r="P22" s="52" t="inlineStr">
        <is>
          <t>OK</t>
        </is>
      </c>
      <c r="Q22" s="52" t="inlineStr"/>
      <c r="R22" s="52">
        <f>IF(ISBLANK(Q22),"MISSING","OK")</f>
        <v/>
      </c>
      <c r="S22" s="52" t="inlineStr"/>
      <c r="T22" s="52">
        <f>IF(ISBLANK(S22),"MISSING","OK")</f>
        <v/>
      </c>
      <c r="U22" s="52" t="inlineStr"/>
      <c r="V22" s="52">
        <f>IF(ISBLANK(U22),"MISSING","OK")</f>
        <v/>
      </c>
      <c r="W22" s="52" t="inlineStr"/>
      <c r="X22" s="52">
        <f>IF(ISBLANK(W22),"MISSING","OK")</f>
        <v/>
      </c>
      <c r="Y22" s="52" t="inlineStr"/>
      <c r="Z22" s="52">
        <f>IF(ISBLANK(Y22),"MISSING","OK")</f>
        <v/>
      </c>
      <c r="AA22" s="52" t="inlineStr"/>
      <c r="AB22" s="53" t="inlineStr"/>
      <c r="AC22" s="52" t="inlineStr">
        <is>
          <t>Missing OG image</t>
        </is>
      </c>
      <c r="AD22" s="52" t="inlineStr"/>
      <c r="AE22" s="53">
        <f>IFERROR(HYPERLINK("#'Main'!B"&amp;MATCH(TRIM(I22),'Main'!B:B,0),"Open in Main"),IFERROR(HYPERLINK("#'Technical Diagnostics'!A"&amp;MATCH(TRIM(I22),'Technical Diagnostics'!A:A,0),"Open in Technical"),"Not Found"))</f>
        <v/>
      </c>
      <c r="AF22" s="52" t="inlineStr">
        <is>
          <t>Add a meta description (currently missing). Aim for 120–155 characters summarising: Smoke title 50.</t>
        </is>
      </c>
      <c r="AG22" s="52" t="inlineStr">
        <is>
          <t>Prioritised because of search intent: Informational + 7 open content/SEO issue(s).</t>
        </is>
      </c>
      <c r="AH22" s="54" t="n">
        <v>0</v>
      </c>
      <c r="AI22" s="52" t="inlineStr"/>
      <c r="AJ22" s="55" t="inlineStr">
        <is>
          <t>0</t>
        </is>
      </c>
      <c r="AK22" s="56" t="n">
        <v>0</v>
      </c>
    </row>
    <row r="23" ht="18" customHeight="1">
      <c r="A23" s="51">
        <f>IF(B23&gt;=85,"Complete","Needs Copy")</f>
        <v/>
      </c>
      <c r="B23" s="46">
        <f>MIN(100,ROUND(0.30*(IF(L23="",0,IF(LEFT(L23,7)="MISSING",0,IF(ISNUMBER(SEARCH("OK",L23)),100,IF(ISNUMBER(SEARCH("SHORT",L23)),65,IF(ISNUMBER(SEARCH("LONG",L23)),50,70))))))+0.25*(IF(N23="",0,IF(LEFT(N23,7)="MISSING",0,IF(ISNUMBER(SEARCH("OK",N23)),100,IF(ISNUMBER(SEARCH("SHORT",N23)),65,IF(ISNUMBER(SEARCH("LONG",N23)),50,70))))))+0.20*(IF(P23="",0,IF(LEFT(P23,2)="OK",100,0)))+0.08*(IF(R23="",0,IF(LEFT(R23,2)="OK",100,0)))+0.06*(IF(T23="",0,IF(LEFT(T23,2)="OK",100,0)))+0.05*(IF(V23="",0,IF(LEFT(V23,2)="OK",100,0)))+0.03*(IF(X23="",0,IF(LEFT(X23,2)="OK",100,0)))+0.03*(IF(Z23="",0,IF(LEFT(Z23,2)="OK",100,0))),0))</f>
        <v/>
      </c>
      <c r="C23" s="46">
        <f>IFERROR(INDEX(OFFSET('Main'!$A$1,2,MATCH("SEO Score",'Main'!$2:$2,0)-1,99998,1),MATCH(TRIM(I23),OFFSET('Main'!$A$1,2,MATCH("URL",'Main'!$2:$2,0)-1,99998,1),0)),"")</f>
        <v/>
      </c>
      <c r="D23" s="46">
        <f>IFERROR(INDEX(OFFSET('Main'!$A$1,2,MATCH("Technical Health",'Main'!$2:$2,0)-1,99998,1),MATCH(TRIM(I23),OFFSET('Main'!$A$1,2,MATCH("URL",'Main'!$2:$2,0)-1,99998,1),0)),"")</f>
        <v/>
      </c>
      <c r="E23" s="46">
        <f>IFERROR(INDEX(OFFSET('Main'!$A$1,2,MATCH("Copy Score",'Main'!$2:$2,0)-1,99998,1),MATCH(TRIM(I23),OFFSET('Main'!$A$1,2,MATCH("URL",'Main'!$2:$2,0)-1,99998,1),0)),"")</f>
        <v/>
      </c>
      <c r="F23" s="46" t="inlineStr">
        <is>
          <t>To Do</t>
        </is>
      </c>
      <c r="G23" s="46" t="inlineStr">
        <is>
          <t>Copy Writer</t>
        </is>
      </c>
      <c r="H23" s="46">
        <f>HYPERLINK("https://africanmarketingconfederation.org/smoke-archive/page-54","Page 54")</f>
        <v/>
      </c>
      <c r="I23" s="47">
        <f>HYPERLINK("https://africanmarketingconfederation.org/smoke-archive/page-54","https://africanmarketingconfederation.org/smoke-archive/page-54")</f>
        <v/>
      </c>
      <c r="J23" s="20" t="inlineStr">
        <is>
          <t>page-54</t>
        </is>
      </c>
      <c r="K23" s="46" t="inlineStr">
        <is>
          <t>Smoke title 54</t>
        </is>
      </c>
      <c r="L23" s="46">
        <f>IF(K23="","MISSING",IF(AND(LEN(K23)&gt;=50,LEN(K23)&lt;=60),"OK 50-60 chars",IF(LEN(K23)&lt;50,"SHORT: "&amp;LEN(K23),"LONG: "&amp;LEN(K23))))</f>
        <v/>
      </c>
      <c r="M23" s="46" t="inlineStr">
        <is>
          <t>Smoke meta description for page 54.</t>
        </is>
      </c>
      <c r="N23" s="46">
        <f>IF(M23="","MISSING",IF(AND(LEN(M23)&gt;=120,LEN(M23)&lt;=160),"OK 120-160 chars",IF(LEN(M23)&lt;120,"SHORT: "&amp;LEN(M23),"LONG: "&amp;LEN(M23))))</f>
        <v/>
      </c>
      <c r="O23" s="46" t="inlineStr">
        <is>
          <t>Smoke heading</t>
        </is>
      </c>
      <c r="P23" s="46" t="inlineStr">
        <is>
          <t>OK</t>
        </is>
      </c>
      <c r="Q23" s="46" t="inlineStr"/>
      <c r="R23" s="46">
        <f>IF(ISBLANK(Q23),"MISSING","OK")</f>
        <v/>
      </c>
      <c r="S23" s="46" t="inlineStr"/>
      <c r="T23" s="46">
        <f>IF(ISBLANK(S23),"MISSING","OK")</f>
        <v/>
      </c>
      <c r="U23" s="46" t="inlineStr"/>
      <c r="V23" s="46">
        <f>IF(ISBLANK(U23),"MISSING","OK")</f>
        <v/>
      </c>
      <c r="W23" s="46" t="inlineStr"/>
      <c r="X23" s="46">
        <f>IF(ISBLANK(W23),"MISSING","OK")</f>
        <v/>
      </c>
      <c r="Y23" s="46" t="inlineStr"/>
      <c r="Z23" s="46">
        <f>IF(ISBLANK(Y23),"MISSING","OK")</f>
        <v/>
      </c>
      <c r="AA23" s="46" t="inlineStr"/>
      <c r="AB23" s="47" t="inlineStr"/>
      <c r="AC23" s="46" t="inlineStr">
        <is>
          <t>Missing OG image</t>
        </is>
      </c>
      <c r="AD23" s="46" t="inlineStr"/>
      <c r="AE23" s="47">
        <f>IFERROR(HYPERLINK("#'Main'!B"&amp;MATCH(TRIM(I23),'Main'!B:B,0),"Open in Main"),IFERROR(HYPERLINK("#'Technical Diagnostics'!A"&amp;MATCH(TRIM(I23),'Technical Diagnostics'!A:A,0),"Open in Technical"),"Not Found"))</f>
        <v/>
      </c>
      <c r="AF23" s="46" t="inlineStr">
        <is>
          <t>Add a concise 40–60 word answer paragraph directly under a question-style heading to improve AEO extractability for: Smoke title 54.</t>
        </is>
      </c>
      <c r="AG23" s="46" t="inlineStr">
        <is>
          <t>Prioritised because of missing answer paragraphs + search intent: Informational + 10 open content/SEO issue(s).</t>
        </is>
      </c>
      <c r="AH23" s="48" t="n">
        <v>0</v>
      </c>
      <c r="AI23" s="46" t="inlineStr"/>
      <c r="AJ23" s="49" t="inlineStr">
        <is>
          <t>0</t>
        </is>
      </c>
      <c r="AK23" s="50" t="n">
        <v>0</v>
      </c>
    </row>
    <row r="24" ht="18" customHeight="1">
      <c r="A24" s="51">
        <f>IF(B24&gt;=85,"Complete","Needs Copy")</f>
        <v/>
      </c>
      <c r="B24" s="52">
        <f>MIN(100,ROUND(0.30*(IF(L24="",0,IF(LEFT(L24,7)="MISSING",0,IF(ISNUMBER(SEARCH("OK",L24)),100,IF(ISNUMBER(SEARCH("SHORT",L24)),65,IF(ISNUMBER(SEARCH("LONG",L24)),50,70))))))+0.25*(IF(N24="",0,IF(LEFT(N24,7)="MISSING",0,IF(ISNUMBER(SEARCH("OK",N24)),100,IF(ISNUMBER(SEARCH("SHORT",N24)),65,IF(ISNUMBER(SEARCH("LONG",N24)),50,70))))))+0.20*(IF(P24="",0,IF(LEFT(P24,2)="OK",100,0)))+0.08*(IF(R24="",0,IF(LEFT(R24,2)="OK",100,0)))+0.06*(IF(T24="",0,IF(LEFT(T24,2)="OK",100,0)))+0.05*(IF(V24="",0,IF(LEFT(V24,2)="OK",100,0)))+0.03*(IF(X24="",0,IF(LEFT(X24,2)="OK",100,0)))+0.03*(IF(Z24="",0,IF(LEFT(Z24,2)="OK",100,0))),0))</f>
        <v/>
      </c>
      <c r="C24" s="52">
        <f>IFERROR(INDEX(OFFSET('Main'!$A$1,2,MATCH("SEO Score",'Main'!$2:$2,0)-1,99998,1),MATCH(TRIM(I24),OFFSET('Main'!$A$1,2,MATCH("URL",'Main'!$2:$2,0)-1,99998,1),0)),"")</f>
        <v/>
      </c>
      <c r="D24" s="52">
        <f>IFERROR(INDEX(OFFSET('Main'!$A$1,2,MATCH("Technical Health",'Main'!$2:$2,0)-1,99998,1),MATCH(TRIM(I24),OFFSET('Main'!$A$1,2,MATCH("URL",'Main'!$2:$2,0)-1,99998,1),0)),"")</f>
        <v/>
      </c>
      <c r="E24" s="52">
        <f>IFERROR(INDEX(OFFSET('Main'!$A$1,2,MATCH("Copy Score",'Main'!$2:$2,0)-1,99998,1),MATCH(TRIM(I24),OFFSET('Main'!$A$1,2,MATCH("URL",'Main'!$2:$2,0)-1,99998,1),0)),"")</f>
        <v/>
      </c>
      <c r="F24" s="52" t="inlineStr">
        <is>
          <t>To Do</t>
        </is>
      </c>
      <c r="G24" s="52" t="inlineStr">
        <is>
          <t>Copy Writer</t>
        </is>
      </c>
      <c r="H24" s="52">
        <f>HYPERLINK("https://africanmarketingconfederation.org/smoke-archive/page-55","Page 55")</f>
        <v/>
      </c>
      <c r="I24" s="53">
        <f>HYPERLINK("https://africanmarketingconfederation.org/smoke-archive/page-55","https://africanmarketingconfederation.org/smoke-archive/page-55")</f>
        <v/>
      </c>
      <c r="J24" s="31" t="inlineStr">
        <is>
          <t>page-55</t>
        </is>
      </c>
      <c r="K24" s="52" t="inlineStr">
        <is>
          <t>Smoke title 55</t>
        </is>
      </c>
      <c r="L24" s="52">
        <f>IF(K24="","MISSING",IF(AND(LEN(K24)&gt;=50,LEN(K24)&lt;=60),"OK 50-60 chars",IF(LEN(K24)&lt;50,"SHORT: "&amp;LEN(K24),"LONG: "&amp;LEN(K24))))</f>
        <v/>
      </c>
      <c r="M24" s="52" t="inlineStr">
        <is>
          <t>MISSING DESCRIPTION</t>
        </is>
      </c>
      <c r="N24" s="52">
        <f>IF(M24="","MISSING",IF(AND(LEN(M24)&gt;=120,LEN(M24)&lt;=160),"OK 120-160 chars",IF(LEN(M24)&lt;120,"SHORT: "&amp;LEN(M24),"LONG: "&amp;LEN(M24))))</f>
        <v/>
      </c>
      <c r="O24" s="52" t="inlineStr">
        <is>
          <t>Smoke heading</t>
        </is>
      </c>
      <c r="P24" s="52" t="inlineStr">
        <is>
          <t>OK</t>
        </is>
      </c>
      <c r="Q24" s="52" t="inlineStr"/>
      <c r="R24" s="52">
        <f>IF(ISBLANK(Q24),"MISSING","OK")</f>
        <v/>
      </c>
      <c r="S24" s="52" t="inlineStr"/>
      <c r="T24" s="52">
        <f>IF(ISBLANK(S24),"MISSING","OK")</f>
        <v/>
      </c>
      <c r="U24" s="52" t="inlineStr"/>
      <c r="V24" s="52">
        <f>IF(ISBLANK(U24),"MISSING","OK")</f>
        <v/>
      </c>
      <c r="W24" s="52" t="inlineStr"/>
      <c r="X24" s="52">
        <f>IF(ISBLANK(W24),"MISSING","OK")</f>
        <v/>
      </c>
      <c r="Y24" s="52" t="inlineStr"/>
      <c r="Z24" s="52">
        <f>IF(ISBLANK(Y24),"MISSING","OK")</f>
        <v/>
      </c>
      <c r="AA24" s="52" t="inlineStr"/>
      <c r="AB24" s="53" t="inlineStr"/>
      <c r="AC24" s="52" t="inlineStr">
        <is>
          <t>Missing OG image</t>
        </is>
      </c>
      <c r="AD24" s="52" t="inlineStr"/>
      <c r="AE24" s="53">
        <f>IFERROR(HYPERLINK("#'Main'!B"&amp;MATCH(TRIM(I24),'Main'!B:B,0),"Open in Main"),IFERROR(HYPERLINK("#'Technical Diagnostics'!A"&amp;MATCH(TRIM(I24),'Technical Diagnostics'!A:A,0),"Open in Technical"),"Not Found"))</f>
        <v/>
      </c>
      <c r="AF24" s="52" t="inlineStr">
        <is>
          <t>Add a meta description (currently missing). Aim for 120–155 characters summarising: Smoke title 55.</t>
        </is>
      </c>
      <c r="AG24" s="52" t="inlineStr">
        <is>
          <t>Prioritised because of search intent: Informational + 7 open content/SEO issue(s).</t>
        </is>
      </c>
      <c r="AH24" s="54" t="n">
        <v>0</v>
      </c>
      <c r="AI24" s="52" t="inlineStr"/>
      <c r="AJ24" s="55" t="inlineStr">
        <is>
          <t>0</t>
        </is>
      </c>
      <c r="AK24" s="56" t="n">
        <v>0</v>
      </c>
    </row>
    <row r="25" ht="18" customHeight="1">
      <c r="A25" s="51">
        <f>IF(B25&gt;=85,"Complete","Needs Copy")</f>
        <v/>
      </c>
      <c r="B25" s="46">
        <f>MIN(100,ROUND(0.30*(IF(L25="",0,IF(LEFT(L25,7)="MISSING",0,IF(ISNUMBER(SEARCH("OK",L25)),100,IF(ISNUMBER(SEARCH("SHORT",L25)),65,IF(ISNUMBER(SEARCH("LONG",L25)),50,70))))))+0.25*(IF(N25="",0,IF(LEFT(N25,7)="MISSING",0,IF(ISNUMBER(SEARCH("OK",N25)),100,IF(ISNUMBER(SEARCH("SHORT",N25)),65,IF(ISNUMBER(SEARCH("LONG",N25)),50,70))))))+0.20*(IF(P25="",0,IF(LEFT(P25,2)="OK",100,0)))+0.08*(IF(R25="",0,IF(LEFT(R25,2)="OK",100,0)))+0.06*(IF(T25="",0,IF(LEFT(T25,2)="OK",100,0)))+0.05*(IF(V25="",0,IF(LEFT(V25,2)="OK",100,0)))+0.03*(IF(X25="",0,IF(LEFT(X25,2)="OK",100,0)))+0.03*(IF(Z25="",0,IF(LEFT(Z25,2)="OK",100,0))),0))</f>
        <v/>
      </c>
      <c r="C25" s="46">
        <f>IFERROR(INDEX(OFFSET('Main'!$A$1,2,MATCH("SEO Score",'Main'!$2:$2,0)-1,99998,1),MATCH(TRIM(I25),OFFSET('Main'!$A$1,2,MATCH("URL",'Main'!$2:$2,0)-1,99998,1),0)),"")</f>
        <v/>
      </c>
      <c r="D25" s="46">
        <f>IFERROR(INDEX(OFFSET('Main'!$A$1,2,MATCH("Technical Health",'Main'!$2:$2,0)-1,99998,1),MATCH(TRIM(I25),OFFSET('Main'!$A$1,2,MATCH("URL",'Main'!$2:$2,0)-1,99998,1),0)),"")</f>
        <v/>
      </c>
      <c r="E25" s="46">
        <f>IFERROR(INDEX(OFFSET('Main'!$A$1,2,MATCH("Copy Score",'Main'!$2:$2,0)-1,99998,1),MATCH(TRIM(I25),OFFSET('Main'!$A$1,2,MATCH("URL",'Main'!$2:$2,0)-1,99998,1),0)),"")</f>
        <v/>
      </c>
      <c r="F25" s="46" t="inlineStr">
        <is>
          <t>To Do</t>
        </is>
      </c>
      <c r="G25" s="46" t="inlineStr">
        <is>
          <t>Copy Writer</t>
        </is>
      </c>
      <c r="H25" s="46">
        <f>HYPERLINK("https://africanmarketingconfederation.org/smoke-archive/page-56","Page 56")</f>
        <v/>
      </c>
      <c r="I25" s="47">
        <f>HYPERLINK("https://africanmarketingconfederation.org/smoke-archive/page-56","https://africanmarketingconfederation.org/smoke-archive/page-56")</f>
        <v/>
      </c>
      <c r="J25" s="20" t="inlineStr">
        <is>
          <t>page-56</t>
        </is>
      </c>
      <c r="K25" s="46" t="inlineStr">
        <is>
          <t>Smoke title 56</t>
        </is>
      </c>
      <c r="L25" s="46">
        <f>IF(K25="","MISSING",IF(AND(LEN(K25)&gt;=50,LEN(K25)&lt;=60),"OK 50-60 chars",IF(LEN(K25)&lt;50,"SHORT: "&amp;LEN(K25),"LONG: "&amp;LEN(K25))))</f>
        <v/>
      </c>
      <c r="M25" s="46" t="inlineStr">
        <is>
          <t>Smoke meta description for page 56.</t>
        </is>
      </c>
      <c r="N25" s="46">
        <f>IF(M25="","MISSING",IF(AND(LEN(M25)&gt;=120,LEN(M25)&lt;=160),"OK 120-160 chars",IF(LEN(M25)&lt;120,"SHORT: "&amp;LEN(M25),"LONG: "&amp;LEN(M25))))</f>
        <v/>
      </c>
      <c r="O25" s="46" t="inlineStr">
        <is>
          <t>Smoke heading</t>
        </is>
      </c>
      <c r="P25" s="46" t="inlineStr">
        <is>
          <t>OK</t>
        </is>
      </c>
      <c r="Q25" s="46" t="inlineStr"/>
      <c r="R25" s="46">
        <f>IF(ISBLANK(Q25),"MISSING","OK")</f>
        <v/>
      </c>
      <c r="S25" s="46" t="inlineStr"/>
      <c r="T25" s="46">
        <f>IF(ISBLANK(S25),"MISSING","OK")</f>
        <v/>
      </c>
      <c r="U25" s="46" t="inlineStr"/>
      <c r="V25" s="46">
        <f>IF(ISBLANK(U25),"MISSING","OK")</f>
        <v/>
      </c>
      <c r="W25" s="46" t="inlineStr"/>
      <c r="X25" s="46">
        <f>IF(ISBLANK(W25),"MISSING","OK")</f>
        <v/>
      </c>
      <c r="Y25" s="46" t="inlineStr"/>
      <c r="Z25" s="46">
        <f>IF(ISBLANK(Y25),"MISSING","OK")</f>
        <v/>
      </c>
      <c r="AA25" s="46" t="inlineStr"/>
      <c r="AB25" s="47">
        <f>HYPERLINK("https://africanmarketingconfederation.org/og-56.jpg","View Image")</f>
        <v/>
      </c>
      <c r="AC25" s="46" t="inlineStr">
        <is>
          <t>Present — mixed OG images across site</t>
        </is>
      </c>
      <c r="AD25" s="46">
        <f>IF(LEN("https://africanmarketingconfederation.org/og-56.jpg")&gt;0,IFERROR(_xlfn.IMAGE("https://africanmarketingconfederation.org/og-56.jpg"),"https://africanmarketingconfederation.org/og-56.jpg"),"")</f>
        <v/>
      </c>
      <c r="AE25" s="47">
        <f>IFERROR(HYPERLINK("#'Main'!B"&amp;MATCH(TRIM(I25),'Main'!B:B,0),"Open in Main"),IFERROR(HYPERLINK("#'Technical Diagnostics'!A"&amp;MATCH(TRIM(I25),'Technical Diagnostics'!A:A,0),"Open in Technical"),"Not Found"))</f>
        <v/>
      </c>
      <c r="AF25" s="46" t="inlineStr">
        <is>
          <t>Restructure content for a faq featured snippet: use a direct answer block, scannable list, or FAQ schema as appropriate for “Smoke title 56”.</t>
        </is>
      </c>
      <c r="AG25" s="46" t="inlineStr">
        <is>
          <t>Prioritised because of search intent: Informational + 7 open content/SEO issue(s).</t>
        </is>
      </c>
      <c r="AH25" s="48" t="n">
        <v>0</v>
      </c>
      <c r="AI25" s="46" t="inlineStr"/>
      <c r="AJ25" s="49" t="inlineStr">
        <is>
          <t>0</t>
        </is>
      </c>
      <c r="AK25" s="50" t="n">
        <v>0</v>
      </c>
    </row>
    <row r="26" ht="18" customHeight="1">
      <c r="A26" s="51">
        <f>IF(B26&gt;=85,"Complete","Needs Copy")</f>
        <v/>
      </c>
      <c r="B26" s="52">
        <f>MIN(100,ROUND(0.30*(IF(L26="",0,IF(LEFT(L26,7)="MISSING",0,IF(ISNUMBER(SEARCH("OK",L26)),100,IF(ISNUMBER(SEARCH("SHORT",L26)),65,IF(ISNUMBER(SEARCH("LONG",L26)),50,70))))))+0.25*(IF(N26="",0,IF(LEFT(N26,7)="MISSING",0,IF(ISNUMBER(SEARCH("OK",N26)),100,IF(ISNUMBER(SEARCH("SHORT",N26)),65,IF(ISNUMBER(SEARCH("LONG",N26)),50,70))))))+0.20*(IF(P26="",0,IF(LEFT(P26,2)="OK",100,0)))+0.08*(IF(R26="",0,IF(LEFT(R26,2)="OK",100,0)))+0.06*(IF(T26="",0,IF(LEFT(T26,2)="OK",100,0)))+0.05*(IF(V26="",0,IF(LEFT(V26,2)="OK",100,0)))+0.03*(IF(X26="",0,IF(LEFT(X26,2)="OK",100,0)))+0.03*(IF(Z26="",0,IF(LEFT(Z26,2)="OK",100,0))),0))</f>
        <v/>
      </c>
      <c r="C26" s="52">
        <f>IFERROR(INDEX(OFFSET('Main'!$A$1,2,MATCH("SEO Score",'Main'!$2:$2,0)-1,99998,1),MATCH(TRIM(I26),OFFSET('Main'!$A$1,2,MATCH("URL",'Main'!$2:$2,0)-1,99998,1),0)),"")</f>
        <v/>
      </c>
      <c r="D26" s="52">
        <f>IFERROR(INDEX(OFFSET('Main'!$A$1,2,MATCH("Technical Health",'Main'!$2:$2,0)-1,99998,1),MATCH(TRIM(I26),OFFSET('Main'!$A$1,2,MATCH("URL",'Main'!$2:$2,0)-1,99998,1),0)),"")</f>
        <v/>
      </c>
      <c r="E26" s="52">
        <f>IFERROR(INDEX(OFFSET('Main'!$A$1,2,MATCH("Copy Score",'Main'!$2:$2,0)-1,99998,1),MATCH(TRIM(I26),OFFSET('Main'!$A$1,2,MATCH("URL",'Main'!$2:$2,0)-1,99998,1),0)),"")</f>
        <v/>
      </c>
      <c r="F26" s="52" t="inlineStr">
        <is>
          <t>To Do</t>
        </is>
      </c>
      <c r="G26" s="52" t="inlineStr">
        <is>
          <t>Copy Writer</t>
        </is>
      </c>
      <c r="H26" s="52">
        <f>HYPERLINK("https://africanmarketingconfederation.org/smoke-archive/page-6","Page 6")</f>
        <v/>
      </c>
      <c r="I26" s="53">
        <f>HYPERLINK("https://africanmarketingconfederation.org/smoke-archive/page-6","https://africanmarketingconfederation.org/smoke-archive/page-6")</f>
        <v/>
      </c>
      <c r="J26" s="31" t="inlineStr">
        <is>
          <t>page-6</t>
        </is>
      </c>
      <c r="K26" s="52" t="inlineStr">
        <is>
          <t>Smoke title 6</t>
        </is>
      </c>
      <c r="L26" s="52">
        <f>IF(K26="","MISSING",IF(AND(LEN(K26)&gt;=50,LEN(K26)&lt;=60),"OK 50-60 chars",IF(LEN(K26)&lt;50,"SHORT: "&amp;LEN(K26),"LONG: "&amp;LEN(K26))))</f>
        <v/>
      </c>
      <c r="M26" s="52" t="inlineStr">
        <is>
          <t>Smoke meta description for page 6.</t>
        </is>
      </c>
      <c r="N26" s="52">
        <f>IF(M26="","MISSING",IF(AND(LEN(M26)&gt;=120,LEN(M26)&lt;=160),"OK 120-160 chars",IF(LEN(M26)&lt;120,"SHORT: "&amp;LEN(M26),"LONG: "&amp;LEN(M26))))</f>
        <v/>
      </c>
      <c r="O26" s="52" t="inlineStr">
        <is>
          <t>Smoke heading</t>
        </is>
      </c>
      <c r="P26" s="52" t="inlineStr">
        <is>
          <t>OK</t>
        </is>
      </c>
      <c r="Q26" s="52" t="inlineStr"/>
      <c r="R26" s="52">
        <f>IF(ISBLANK(Q26),"MISSING","OK")</f>
        <v/>
      </c>
      <c r="S26" s="52" t="inlineStr"/>
      <c r="T26" s="52">
        <f>IF(ISBLANK(S26),"MISSING","OK")</f>
        <v/>
      </c>
      <c r="U26" s="52" t="inlineStr"/>
      <c r="V26" s="52">
        <f>IF(ISBLANK(U26),"MISSING","OK")</f>
        <v/>
      </c>
      <c r="W26" s="52" t="inlineStr"/>
      <c r="X26" s="52">
        <f>IF(ISBLANK(W26),"MISSING","OK")</f>
        <v/>
      </c>
      <c r="Y26" s="52" t="inlineStr"/>
      <c r="Z26" s="52">
        <f>IF(ISBLANK(Y26),"MISSING","OK")</f>
        <v/>
      </c>
      <c r="AA26" s="52" t="inlineStr"/>
      <c r="AB26" s="53" t="inlineStr"/>
      <c r="AC26" s="52" t="inlineStr">
        <is>
          <t>Missing OG image</t>
        </is>
      </c>
      <c r="AD26" s="52" t="inlineStr"/>
      <c r="AE26" s="53">
        <f>IFERROR(HYPERLINK("#'Main'!B"&amp;MATCH(TRIM(I26),'Main'!B:B,0),"Open in Main"),IFERROR(HYPERLINK("#'Technical Diagnostics'!A"&amp;MATCH(TRIM(I26),'Technical Diagnostics'!A:A,0),"Open in Technical"),"Not Found"))</f>
        <v/>
      </c>
      <c r="AF26" s="52" t="inlineStr">
        <is>
          <t>Restructure content for a faq featured snippet: use a direct answer block, scannable list, or FAQ schema as appropriate for “Smoke title 6”.</t>
        </is>
      </c>
      <c r="AG26" s="52" t="inlineStr">
        <is>
          <t>Prioritised because of search intent: Informational + 6 open content/SEO issue(s).</t>
        </is>
      </c>
      <c r="AH26" s="54" t="n">
        <v>0</v>
      </c>
      <c r="AI26" s="52" t="inlineStr"/>
      <c r="AJ26" s="55" t="inlineStr">
        <is>
          <t>0</t>
        </is>
      </c>
      <c r="AK26" s="56" t="n">
        <v>0</v>
      </c>
    </row>
    <row r="27" ht="18" customHeight="1">
      <c r="A27" s="51">
        <f>IF(B27&gt;=85,"Complete","Needs Copy")</f>
        <v/>
      </c>
      <c r="B27" s="46">
        <f>MIN(100,ROUND(0.30*(IF(L27="",0,IF(LEFT(L27,7)="MISSING",0,IF(ISNUMBER(SEARCH("OK",L27)),100,IF(ISNUMBER(SEARCH("SHORT",L27)),65,IF(ISNUMBER(SEARCH("LONG",L27)),50,70))))))+0.25*(IF(N27="",0,IF(LEFT(N27,7)="MISSING",0,IF(ISNUMBER(SEARCH("OK",N27)),100,IF(ISNUMBER(SEARCH("SHORT",N27)),65,IF(ISNUMBER(SEARCH("LONG",N27)),50,70))))))+0.20*(IF(P27="",0,IF(LEFT(P27,2)="OK",100,0)))+0.08*(IF(R27="",0,IF(LEFT(R27,2)="OK",100,0)))+0.06*(IF(T27="",0,IF(LEFT(T27,2)="OK",100,0)))+0.05*(IF(V27="",0,IF(LEFT(V27,2)="OK",100,0)))+0.03*(IF(X27="",0,IF(LEFT(X27,2)="OK",100,0)))+0.03*(IF(Z27="",0,IF(LEFT(Z27,2)="OK",100,0))),0))</f>
        <v/>
      </c>
      <c r="C27" s="46">
        <f>IFERROR(INDEX(OFFSET('Main'!$A$1,2,MATCH("SEO Score",'Main'!$2:$2,0)-1,99998,1),MATCH(TRIM(I27),OFFSET('Main'!$A$1,2,MATCH("URL",'Main'!$2:$2,0)-1,99998,1),0)),"")</f>
        <v/>
      </c>
      <c r="D27" s="46">
        <f>IFERROR(INDEX(OFFSET('Main'!$A$1,2,MATCH("Technical Health",'Main'!$2:$2,0)-1,99998,1),MATCH(TRIM(I27),OFFSET('Main'!$A$1,2,MATCH("URL",'Main'!$2:$2,0)-1,99998,1),0)),"")</f>
        <v/>
      </c>
      <c r="E27" s="46">
        <f>IFERROR(INDEX(OFFSET('Main'!$A$1,2,MATCH("Copy Score",'Main'!$2:$2,0)-1,99998,1),MATCH(TRIM(I27),OFFSET('Main'!$A$1,2,MATCH("URL",'Main'!$2:$2,0)-1,99998,1),0)),"")</f>
        <v/>
      </c>
      <c r="F27" s="46" t="inlineStr">
        <is>
          <t>To Do</t>
        </is>
      </c>
      <c r="G27" s="46" t="inlineStr">
        <is>
          <t>Copy Writer</t>
        </is>
      </c>
      <c r="H27" s="46">
        <f>HYPERLINK("https://africanmarketingconfederation.org/smoke-archive/page-60","Page 60")</f>
        <v/>
      </c>
      <c r="I27" s="47">
        <f>HYPERLINK("https://africanmarketingconfederation.org/smoke-archive/page-60","https://africanmarketingconfederation.org/smoke-archive/page-60")</f>
        <v/>
      </c>
      <c r="J27" s="20" t="inlineStr">
        <is>
          <t>page-60</t>
        </is>
      </c>
      <c r="K27" s="46" t="inlineStr">
        <is>
          <t>Smoke title 60</t>
        </is>
      </c>
      <c r="L27" s="46">
        <f>IF(K27="","MISSING",IF(AND(LEN(K27)&gt;=50,LEN(K27)&lt;=60),"OK 50-60 chars",IF(LEN(K27)&lt;50,"SHORT: "&amp;LEN(K27),"LONG: "&amp;LEN(K27))))</f>
        <v/>
      </c>
      <c r="M27" s="46" t="inlineStr">
        <is>
          <t>MISSING DESCRIPTION</t>
        </is>
      </c>
      <c r="N27" s="46">
        <f>IF(M27="","MISSING",IF(AND(LEN(M27)&gt;=120,LEN(M27)&lt;=160),"OK 120-160 chars",IF(LEN(M27)&lt;120,"SHORT: "&amp;LEN(M27),"LONG: "&amp;LEN(M27))))</f>
        <v/>
      </c>
      <c r="O27" s="46" t="inlineStr">
        <is>
          <t>Smoke heading</t>
        </is>
      </c>
      <c r="P27" s="46" t="inlineStr">
        <is>
          <t>OK</t>
        </is>
      </c>
      <c r="Q27" s="46" t="inlineStr"/>
      <c r="R27" s="46">
        <f>IF(ISBLANK(Q27),"MISSING","OK")</f>
        <v/>
      </c>
      <c r="S27" s="46" t="inlineStr"/>
      <c r="T27" s="46">
        <f>IF(ISBLANK(S27),"MISSING","OK")</f>
        <v/>
      </c>
      <c r="U27" s="46" t="inlineStr"/>
      <c r="V27" s="46">
        <f>IF(ISBLANK(U27),"MISSING","OK")</f>
        <v/>
      </c>
      <c r="W27" s="46" t="inlineStr"/>
      <c r="X27" s="46">
        <f>IF(ISBLANK(W27),"MISSING","OK")</f>
        <v/>
      </c>
      <c r="Y27" s="46" t="inlineStr"/>
      <c r="Z27" s="46">
        <f>IF(ISBLANK(Y27),"MISSING","OK")</f>
        <v/>
      </c>
      <c r="AA27" s="46" t="inlineStr"/>
      <c r="AB27" s="47">
        <f>HYPERLINK("https://africanmarketingconfederation.org/og-60.jpg","View Image")</f>
        <v/>
      </c>
      <c r="AC27" s="46" t="inlineStr">
        <is>
          <t>Present — mixed OG images across site</t>
        </is>
      </c>
      <c r="AD27" s="46">
        <f>IF(LEN("https://africanmarketingconfederation.org/og-60.jpg")&gt;0,IFERROR(_xlfn.IMAGE("https://africanmarketingconfederation.org/og-60.jpg"),"https://africanmarketingconfederation.org/og-60.jpg"),"")</f>
        <v/>
      </c>
      <c r="AE27" s="47">
        <f>IFERROR(HYPERLINK("#'Main'!B"&amp;MATCH(TRIM(I27),'Main'!B:B,0),"Open in Main"),IFERROR(HYPERLINK("#'Technical Diagnostics'!A"&amp;MATCH(TRIM(I27),'Technical Diagnostics'!A:A,0),"Open in Technical"),"Not Found"))</f>
        <v/>
      </c>
      <c r="AF27" s="46" t="inlineStr">
        <is>
          <t>Add a meta description (currently missing). Aim for 120–155 characters summarising: Smoke title 60.</t>
        </is>
      </c>
      <c r="AG27" s="46" t="inlineStr">
        <is>
          <t>Prioritised because of search intent: Informational + 8 open content/SEO issue(s).</t>
        </is>
      </c>
      <c r="AH27" s="48" t="n">
        <v>0</v>
      </c>
      <c r="AI27" s="46" t="inlineStr"/>
      <c r="AJ27" s="49" t="inlineStr">
        <is>
          <t>0</t>
        </is>
      </c>
      <c r="AK27" s="50" t="n">
        <v>0</v>
      </c>
    </row>
    <row r="28" ht="18" customHeight="1">
      <c r="A28" s="51">
        <f>IF(B28&gt;=85,"Complete","Needs Copy")</f>
        <v/>
      </c>
      <c r="B28" s="52">
        <f>MIN(100,ROUND(0.30*(IF(L28="",0,IF(LEFT(L28,7)="MISSING",0,IF(ISNUMBER(SEARCH("OK",L28)),100,IF(ISNUMBER(SEARCH("SHORT",L28)),65,IF(ISNUMBER(SEARCH("LONG",L28)),50,70))))))+0.25*(IF(N28="",0,IF(LEFT(N28,7)="MISSING",0,IF(ISNUMBER(SEARCH("OK",N28)),100,IF(ISNUMBER(SEARCH("SHORT",N28)),65,IF(ISNUMBER(SEARCH("LONG",N28)),50,70))))))+0.20*(IF(P28="",0,IF(LEFT(P28,2)="OK",100,0)))+0.08*(IF(R28="",0,IF(LEFT(R28,2)="OK",100,0)))+0.06*(IF(T28="",0,IF(LEFT(T28,2)="OK",100,0)))+0.05*(IF(V28="",0,IF(LEFT(V28,2)="OK",100,0)))+0.03*(IF(X28="",0,IF(LEFT(X28,2)="OK",100,0)))+0.03*(IF(Z28="",0,IF(LEFT(Z28,2)="OK",100,0))),0))</f>
        <v/>
      </c>
      <c r="C28" s="52">
        <f>IFERROR(INDEX(OFFSET('Main'!$A$1,2,MATCH("SEO Score",'Main'!$2:$2,0)-1,99998,1),MATCH(TRIM(I28),OFFSET('Main'!$A$1,2,MATCH("URL",'Main'!$2:$2,0)-1,99998,1),0)),"")</f>
        <v/>
      </c>
      <c r="D28" s="52">
        <f>IFERROR(INDEX(OFFSET('Main'!$A$1,2,MATCH("Technical Health",'Main'!$2:$2,0)-1,99998,1),MATCH(TRIM(I28),OFFSET('Main'!$A$1,2,MATCH("URL",'Main'!$2:$2,0)-1,99998,1),0)),"")</f>
        <v/>
      </c>
      <c r="E28" s="52">
        <f>IFERROR(INDEX(OFFSET('Main'!$A$1,2,MATCH("Copy Score",'Main'!$2:$2,0)-1,99998,1),MATCH(TRIM(I28),OFFSET('Main'!$A$1,2,MATCH("URL",'Main'!$2:$2,0)-1,99998,1),0)),"")</f>
        <v/>
      </c>
      <c r="F28" s="52" t="inlineStr">
        <is>
          <t>To Do</t>
        </is>
      </c>
      <c r="G28" s="52" t="inlineStr">
        <is>
          <t>Copy Writer</t>
        </is>
      </c>
      <c r="H28" s="52">
        <f>HYPERLINK("https://africanmarketingconfederation.org/smoke-archive/page-63","Page 63")</f>
        <v/>
      </c>
      <c r="I28" s="53">
        <f>HYPERLINK("https://africanmarketingconfederation.org/smoke-archive/page-63","https://africanmarketingconfederation.org/smoke-archive/page-63")</f>
        <v/>
      </c>
      <c r="J28" s="31" t="inlineStr">
        <is>
          <t>page-63</t>
        </is>
      </c>
      <c r="K28" s="52" t="inlineStr">
        <is>
          <t>Smoke title 63</t>
        </is>
      </c>
      <c r="L28" s="52">
        <f>IF(K28="","MISSING",IF(AND(LEN(K28)&gt;=50,LEN(K28)&lt;=60),"OK 50-60 chars",IF(LEN(K28)&lt;50,"SHORT: "&amp;LEN(K28),"LONG: "&amp;LEN(K28))))</f>
        <v/>
      </c>
      <c r="M28" s="52" t="inlineStr">
        <is>
          <t>Smoke meta description for page 63.</t>
        </is>
      </c>
      <c r="N28" s="52">
        <f>IF(M28="","MISSING",IF(AND(LEN(M28)&gt;=120,LEN(M28)&lt;=160),"OK 120-160 chars",IF(LEN(M28)&lt;120,"SHORT: "&amp;LEN(M28),"LONG: "&amp;LEN(M28))))</f>
        <v/>
      </c>
      <c r="O28" s="52" t="inlineStr">
        <is>
          <t>Smoke heading</t>
        </is>
      </c>
      <c r="P28" s="52" t="inlineStr">
        <is>
          <t>OK</t>
        </is>
      </c>
      <c r="Q28" s="52" t="inlineStr"/>
      <c r="R28" s="52">
        <f>IF(ISBLANK(Q28),"MISSING","OK")</f>
        <v/>
      </c>
      <c r="S28" s="52" t="inlineStr"/>
      <c r="T28" s="52">
        <f>IF(ISBLANK(S28),"MISSING","OK")</f>
        <v/>
      </c>
      <c r="U28" s="52" t="inlineStr"/>
      <c r="V28" s="52">
        <f>IF(ISBLANK(U28),"MISSING","OK")</f>
        <v/>
      </c>
      <c r="W28" s="52" t="inlineStr"/>
      <c r="X28" s="52">
        <f>IF(ISBLANK(W28),"MISSING","OK")</f>
        <v/>
      </c>
      <c r="Y28" s="52" t="inlineStr"/>
      <c r="Z28" s="52">
        <f>IF(ISBLANK(Y28),"MISSING","OK")</f>
        <v/>
      </c>
      <c r="AA28" s="52" t="inlineStr"/>
      <c r="AB28" s="53" t="inlineStr"/>
      <c r="AC28" s="52" t="inlineStr">
        <is>
          <t>Missing OG image</t>
        </is>
      </c>
      <c r="AD28" s="52" t="inlineStr"/>
      <c r="AE28" s="53">
        <f>IFERROR(HYPERLINK("#'Main'!B"&amp;MATCH(TRIM(I28),'Main'!B:B,0),"Open in Main"),IFERROR(HYPERLINK("#'Technical Diagnostics'!A"&amp;MATCH(TRIM(I28),'Technical Diagnostics'!A:A,0),"Open in Technical"),"Not Found"))</f>
        <v/>
      </c>
      <c r="AF28" s="52" t="inlineStr">
        <is>
          <t>Add a concise 40–60 word answer paragraph directly under a question-style heading to improve AEO extractability for: Smoke title 63.</t>
        </is>
      </c>
      <c r="AG28" s="52" t="inlineStr">
        <is>
          <t>Prioritised because of missing answer paragraphs + search intent: Informational + 11 open content/SEO issue(s).</t>
        </is>
      </c>
      <c r="AH28" s="54" t="n">
        <v>0</v>
      </c>
      <c r="AI28" s="52" t="inlineStr"/>
      <c r="AJ28" s="55" t="inlineStr">
        <is>
          <t>0</t>
        </is>
      </c>
      <c r="AK28" s="56" t="n">
        <v>0</v>
      </c>
    </row>
    <row r="29" ht="18" customHeight="1">
      <c r="A29" s="51">
        <f>IF(B29&gt;=85,"Complete","Needs Copy")</f>
        <v/>
      </c>
      <c r="B29" s="46">
        <f>MIN(100,ROUND(0.30*(IF(L29="",0,IF(LEFT(L29,7)="MISSING",0,IF(ISNUMBER(SEARCH("OK",L29)),100,IF(ISNUMBER(SEARCH("SHORT",L29)),65,IF(ISNUMBER(SEARCH("LONG",L29)),50,70))))))+0.25*(IF(N29="",0,IF(LEFT(N29,7)="MISSING",0,IF(ISNUMBER(SEARCH("OK",N29)),100,IF(ISNUMBER(SEARCH("SHORT",N29)),65,IF(ISNUMBER(SEARCH("LONG",N29)),50,70))))))+0.20*(IF(P29="",0,IF(LEFT(P29,2)="OK",100,0)))+0.08*(IF(R29="",0,IF(LEFT(R29,2)="OK",100,0)))+0.06*(IF(T29="",0,IF(LEFT(T29,2)="OK",100,0)))+0.05*(IF(V29="",0,IF(LEFT(V29,2)="OK",100,0)))+0.03*(IF(X29="",0,IF(LEFT(X29,2)="OK",100,0)))+0.03*(IF(Z29="",0,IF(LEFT(Z29,2)="OK",100,0))),0))</f>
        <v/>
      </c>
      <c r="C29" s="46">
        <f>IFERROR(INDEX(OFFSET('Main'!$A$1,2,MATCH("SEO Score",'Main'!$2:$2,0)-1,99998,1),MATCH(TRIM(I29),OFFSET('Main'!$A$1,2,MATCH("URL",'Main'!$2:$2,0)-1,99998,1),0)),"")</f>
        <v/>
      </c>
      <c r="D29" s="46">
        <f>IFERROR(INDEX(OFFSET('Main'!$A$1,2,MATCH("Technical Health",'Main'!$2:$2,0)-1,99998,1),MATCH(TRIM(I29),OFFSET('Main'!$A$1,2,MATCH("URL",'Main'!$2:$2,0)-1,99998,1),0)),"")</f>
        <v/>
      </c>
      <c r="E29" s="46">
        <f>IFERROR(INDEX(OFFSET('Main'!$A$1,2,MATCH("Copy Score",'Main'!$2:$2,0)-1,99998,1),MATCH(TRIM(I29),OFFSET('Main'!$A$1,2,MATCH("URL",'Main'!$2:$2,0)-1,99998,1),0)),"")</f>
        <v/>
      </c>
      <c r="F29" s="46" t="inlineStr">
        <is>
          <t>To Do</t>
        </is>
      </c>
      <c r="G29" s="46" t="inlineStr">
        <is>
          <t>Copy Writer</t>
        </is>
      </c>
      <c r="H29" s="46">
        <f>HYPERLINK("https://africanmarketingconfederation.org/smoke-archive/page-64","Page 64")</f>
        <v/>
      </c>
      <c r="I29" s="47">
        <f>HYPERLINK("https://africanmarketingconfederation.org/smoke-archive/page-64","https://africanmarketingconfederation.org/smoke-archive/page-64")</f>
        <v/>
      </c>
      <c r="J29" s="20" t="inlineStr">
        <is>
          <t>page-64</t>
        </is>
      </c>
      <c r="K29" s="46" t="inlineStr">
        <is>
          <t>Smoke title 64</t>
        </is>
      </c>
      <c r="L29" s="46">
        <f>IF(K29="","MISSING",IF(AND(LEN(K29)&gt;=50,LEN(K29)&lt;=60),"OK 50-60 chars",IF(LEN(K29)&lt;50,"SHORT: "&amp;LEN(K29),"LONG: "&amp;LEN(K29))))</f>
        <v/>
      </c>
      <c r="M29" s="46" t="inlineStr">
        <is>
          <t>Smoke meta description for page 64.</t>
        </is>
      </c>
      <c r="N29" s="46">
        <f>IF(M29="","MISSING",IF(AND(LEN(M29)&gt;=120,LEN(M29)&lt;=160),"OK 120-160 chars",IF(LEN(M29)&lt;120,"SHORT: "&amp;LEN(M29),"LONG: "&amp;LEN(M29))))</f>
        <v/>
      </c>
      <c r="O29" s="46" t="inlineStr">
        <is>
          <t>Smoke heading</t>
        </is>
      </c>
      <c r="P29" s="46" t="inlineStr">
        <is>
          <t>OK</t>
        </is>
      </c>
      <c r="Q29" s="46" t="inlineStr"/>
      <c r="R29" s="46">
        <f>IF(ISBLANK(Q29),"MISSING","OK")</f>
        <v/>
      </c>
      <c r="S29" s="46" t="inlineStr"/>
      <c r="T29" s="46">
        <f>IF(ISBLANK(S29),"MISSING","OK")</f>
        <v/>
      </c>
      <c r="U29" s="46" t="inlineStr"/>
      <c r="V29" s="46">
        <f>IF(ISBLANK(U29),"MISSING","OK")</f>
        <v/>
      </c>
      <c r="W29" s="46" t="inlineStr"/>
      <c r="X29" s="46">
        <f>IF(ISBLANK(W29),"MISSING","OK")</f>
        <v/>
      </c>
      <c r="Y29" s="46" t="inlineStr"/>
      <c r="Z29" s="46">
        <f>IF(ISBLANK(Y29),"MISSING","OK")</f>
        <v/>
      </c>
      <c r="AA29" s="46" t="inlineStr"/>
      <c r="AB29" s="47">
        <f>HYPERLINK("https://africanmarketingconfederation.org/og-64.jpg","View Image")</f>
        <v/>
      </c>
      <c r="AC29" s="46" t="inlineStr">
        <is>
          <t>Present — mixed OG images across site</t>
        </is>
      </c>
      <c r="AD29" s="46">
        <f>IF(LEN("https://africanmarketingconfederation.org/og-64.jpg")&gt;0,IFERROR(_xlfn.IMAGE("https://africanmarketingconfederation.org/og-64.jpg"),"https://africanmarketingconfederation.org/og-64.jpg"),"")</f>
        <v/>
      </c>
      <c r="AE29" s="47">
        <f>IFERROR(HYPERLINK("#'Main'!B"&amp;MATCH(TRIM(I29),'Main'!B:B,0),"Open in Main"),IFERROR(HYPERLINK("#'Technical Diagnostics'!A"&amp;MATCH(TRIM(I29),'Technical Diagnostics'!A:A,0),"Open in Technical"),"Not Found"))</f>
        <v/>
      </c>
      <c r="AF29" s="46" t="inlineStr">
        <is>
          <t>Restructure content for a faq featured snippet: use a direct answer block, scannable list, or FAQ schema as appropriate for “Smoke title 64”.</t>
        </is>
      </c>
      <c r="AG29" s="46" t="inlineStr">
        <is>
          <t>Prioritised because of search intent: Informational + 5 open content/SEO issue(s).</t>
        </is>
      </c>
      <c r="AH29" s="48" t="n">
        <v>0</v>
      </c>
      <c r="AI29" s="46" t="inlineStr"/>
      <c r="AJ29" s="49" t="inlineStr">
        <is>
          <t>0</t>
        </is>
      </c>
      <c r="AK29" s="50" t="n">
        <v>0</v>
      </c>
    </row>
    <row r="30" ht="18" customHeight="1">
      <c r="A30" s="51">
        <f>IF(B30&gt;=85,"Complete","Needs Copy")</f>
        <v/>
      </c>
      <c r="B30" s="52">
        <f>MIN(100,ROUND(0.30*(IF(L30="",0,IF(LEFT(L30,7)="MISSING",0,IF(ISNUMBER(SEARCH("OK",L30)),100,IF(ISNUMBER(SEARCH("SHORT",L30)),65,IF(ISNUMBER(SEARCH("LONG",L30)),50,70))))))+0.25*(IF(N30="",0,IF(LEFT(N30,7)="MISSING",0,IF(ISNUMBER(SEARCH("OK",N30)),100,IF(ISNUMBER(SEARCH("SHORT",N30)),65,IF(ISNUMBER(SEARCH("LONG",N30)),50,70))))))+0.20*(IF(P30="",0,IF(LEFT(P30,2)="OK",100,0)))+0.08*(IF(R30="",0,IF(LEFT(R30,2)="OK",100,0)))+0.06*(IF(T30="",0,IF(LEFT(T30,2)="OK",100,0)))+0.05*(IF(V30="",0,IF(LEFT(V30,2)="OK",100,0)))+0.03*(IF(X30="",0,IF(LEFT(X30,2)="OK",100,0)))+0.03*(IF(Z30="",0,IF(LEFT(Z30,2)="OK",100,0))),0))</f>
        <v/>
      </c>
      <c r="C30" s="52">
        <f>IFERROR(INDEX(OFFSET('Main'!$A$1,2,MATCH("SEO Score",'Main'!$2:$2,0)-1,99998,1),MATCH(TRIM(I30),OFFSET('Main'!$A$1,2,MATCH("URL",'Main'!$2:$2,0)-1,99998,1),0)),"")</f>
        <v/>
      </c>
      <c r="D30" s="52">
        <f>IFERROR(INDEX(OFFSET('Main'!$A$1,2,MATCH("Technical Health",'Main'!$2:$2,0)-1,99998,1),MATCH(TRIM(I30),OFFSET('Main'!$A$1,2,MATCH("URL",'Main'!$2:$2,0)-1,99998,1),0)),"")</f>
        <v/>
      </c>
      <c r="E30" s="52">
        <f>IFERROR(INDEX(OFFSET('Main'!$A$1,2,MATCH("Copy Score",'Main'!$2:$2,0)-1,99998,1),MATCH(TRIM(I30),OFFSET('Main'!$A$1,2,MATCH("URL",'Main'!$2:$2,0)-1,99998,1),0)),"")</f>
        <v/>
      </c>
      <c r="F30" s="52" t="inlineStr">
        <is>
          <t>To Do</t>
        </is>
      </c>
      <c r="G30" s="52" t="inlineStr">
        <is>
          <t>Copy Writer</t>
        </is>
      </c>
      <c r="H30" s="52">
        <f>HYPERLINK("https://africanmarketingconfederation.org/smoke-archive/page-66","Page 66")</f>
        <v/>
      </c>
      <c r="I30" s="53">
        <f>HYPERLINK("https://africanmarketingconfederation.org/smoke-archive/page-66","https://africanmarketingconfederation.org/smoke-archive/page-66")</f>
        <v/>
      </c>
      <c r="J30" s="31" t="inlineStr">
        <is>
          <t>page-66</t>
        </is>
      </c>
      <c r="K30" s="52" t="inlineStr">
        <is>
          <t>Smoke title 66</t>
        </is>
      </c>
      <c r="L30" s="52">
        <f>IF(K30="","MISSING",IF(AND(LEN(K30)&gt;=50,LEN(K30)&lt;=60),"OK 50-60 chars",IF(LEN(K30)&lt;50,"SHORT: "&amp;LEN(K30),"LONG: "&amp;LEN(K30))))</f>
        <v/>
      </c>
      <c r="M30" s="52" t="inlineStr">
        <is>
          <t>Smoke meta description for page 66.</t>
        </is>
      </c>
      <c r="N30" s="52">
        <f>IF(M30="","MISSING",IF(AND(LEN(M30)&gt;=120,LEN(M30)&lt;=160),"OK 120-160 chars",IF(LEN(M30)&lt;120,"SHORT: "&amp;LEN(M30),"LONG: "&amp;LEN(M30))))</f>
        <v/>
      </c>
      <c r="O30" s="52" t="inlineStr">
        <is>
          <t>Smoke heading</t>
        </is>
      </c>
      <c r="P30" s="52" t="inlineStr">
        <is>
          <t>OK</t>
        </is>
      </c>
      <c r="Q30" s="52" t="inlineStr"/>
      <c r="R30" s="52">
        <f>IF(ISBLANK(Q30),"MISSING","OK")</f>
        <v/>
      </c>
      <c r="S30" s="52" t="inlineStr"/>
      <c r="T30" s="52">
        <f>IF(ISBLANK(S30),"MISSING","OK")</f>
        <v/>
      </c>
      <c r="U30" s="52" t="inlineStr"/>
      <c r="V30" s="52">
        <f>IF(ISBLANK(U30),"MISSING","OK")</f>
        <v/>
      </c>
      <c r="W30" s="52" t="inlineStr"/>
      <c r="X30" s="52">
        <f>IF(ISBLANK(W30),"MISSING","OK")</f>
        <v/>
      </c>
      <c r="Y30" s="52" t="inlineStr"/>
      <c r="Z30" s="52">
        <f>IF(ISBLANK(Y30),"MISSING","OK")</f>
        <v/>
      </c>
      <c r="AA30" s="52" t="inlineStr"/>
      <c r="AB30" s="53" t="inlineStr"/>
      <c r="AC30" s="52" t="inlineStr">
        <is>
          <t>Missing OG image</t>
        </is>
      </c>
      <c r="AD30" s="52" t="inlineStr"/>
      <c r="AE30" s="53">
        <f>IFERROR(HYPERLINK("#'Main'!B"&amp;MATCH(TRIM(I30),'Main'!B:B,0),"Open in Main"),IFERROR(HYPERLINK("#'Technical Diagnostics'!A"&amp;MATCH(TRIM(I30),'Technical Diagnostics'!A:A,0),"Open in Technical"),"Not Found"))</f>
        <v/>
      </c>
      <c r="AF30" s="52" t="inlineStr">
        <is>
          <t>Restructure content for a faq featured snippet: use a direct answer block, scannable list, or FAQ schema as appropriate for “Smoke title 66”.</t>
        </is>
      </c>
      <c r="AG30" s="52" t="inlineStr">
        <is>
          <t>Prioritised because of search intent: Informational + 6 open content/SEO issue(s).</t>
        </is>
      </c>
      <c r="AH30" s="54" t="n">
        <v>0</v>
      </c>
      <c r="AI30" s="52" t="inlineStr"/>
      <c r="AJ30" s="55" t="inlineStr">
        <is>
          <t>0</t>
        </is>
      </c>
      <c r="AK30" s="56" t="n">
        <v>0</v>
      </c>
    </row>
    <row r="31" ht="18" customHeight="1">
      <c r="A31" s="51">
        <f>IF(B31&gt;=85,"Complete","Needs Copy")</f>
        <v/>
      </c>
      <c r="B31" s="46">
        <f>MIN(100,ROUND(0.30*(IF(L31="",0,IF(LEFT(L31,7)="MISSING",0,IF(ISNUMBER(SEARCH("OK",L31)),100,IF(ISNUMBER(SEARCH("SHORT",L31)),65,IF(ISNUMBER(SEARCH("LONG",L31)),50,70))))))+0.25*(IF(N31="",0,IF(LEFT(N31,7)="MISSING",0,IF(ISNUMBER(SEARCH("OK",N31)),100,IF(ISNUMBER(SEARCH("SHORT",N31)),65,IF(ISNUMBER(SEARCH("LONG",N31)),50,70))))))+0.20*(IF(P31="",0,IF(LEFT(P31,2)="OK",100,0)))+0.08*(IF(R31="",0,IF(LEFT(R31,2)="OK",100,0)))+0.06*(IF(T31="",0,IF(LEFT(T31,2)="OK",100,0)))+0.05*(IF(V31="",0,IF(LEFT(V31,2)="OK",100,0)))+0.03*(IF(X31="",0,IF(LEFT(X31,2)="OK",100,0)))+0.03*(IF(Z31="",0,IF(LEFT(Z31,2)="OK",100,0))),0))</f>
        <v/>
      </c>
      <c r="C31" s="46">
        <f>IFERROR(INDEX(OFFSET('Main'!$A$1,2,MATCH("SEO Score",'Main'!$2:$2,0)-1,99998,1),MATCH(TRIM(I31),OFFSET('Main'!$A$1,2,MATCH("URL",'Main'!$2:$2,0)-1,99998,1),0)),"")</f>
        <v/>
      </c>
      <c r="D31" s="46">
        <f>IFERROR(INDEX(OFFSET('Main'!$A$1,2,MATCH("Technical Health",'Main'!$2:$2,0)-1,99998,1),MATCH(TRIM(I31),OFFSET('Main'!$A$1,2,MATCH("URL",'Main'!$2:$2,0)-1,99998,1),0)),"")</f>
        <v/>
      </c>
      <c r="E31" s="46">
        <f>IFERROR(INDEX(OFFSET('Main'!$A$1,2,MATCH("Copy Score",'Main'!$2:$2,0)-1,99998,1),MATCH(TRIM(I31),OFFSET('Main'!$A$1,2,MATCH("URL",'Main'!$2:$2,0)-1,99998,1),0)),"")</f>
        <v/>
      </c>
      <c r="F31" s="46" t="inlineStr">
        <is>
          <t>To Do</t>
        </is>
      </c>
      <c r="G31" s="46" t="inlineStr">
        <is>
          <t>Copy Writer</t>
        </is>
      </c>
      <c r="H31" s="46">
        <f>HYPERLINK("https://africanmarketingconfederation.org/smoke-archive/page-70","Page 70")</f>
        <v/>
      </c>
      <c r="I31" s="47">
        <f>HYPERLINK("https://africanmarketingconfederation.org/smoke-archive/page-70","https://africanmarketingconfederation.org/smoke-archive/page-70")</f>
        <v/>
      </c>
      <c r="J31" s="20" t="inlineStr">
        <is>
          <t>page-70</t>
        </is>
      </c>
      <c r="K31" s="46" t="inlineStr">
        <is>
          <t>Smoke title 70</t>
        </is>
      </c>
      <c r="L31" s="46">
        <f>IF(K31="","MISSING",IF(AND(LEN(K31)&gt;=50,LEN(K31)&lt;=60),"OK 50-60 chars",IF(LEN(K31)&lt;50,"SHORT: "&amp;LEN(K31),"LONG: "&amp;LEN(K31))))</f>
        <v/>
      </c>
      <c r="M31" s="46" t="inlineStr">
        <is>
          <t>MISSING DESCRIPTION</t>
        </is>
      </c>
      <c r="N31" s="46">
        <f>IF(M31="","MISSING",IF(AND(LEN(M31)&gt;=120,LEN(M31)&lt;=160),"OK 120-160 chars",IF(LEN(M31)&lt;120,"SHORT: "&amp;LEN(M31),"LONG: "&amp;LEN(M31))))</f>
        <v/>
      </c>
      <c r="O31" s="46" t="inlineStr">
        <is>
          <t>Smoke heading</t>
        </is>
      </c>
      <c r="P31" s="46" t="inlineStr">
        <is>
          <t>OK</t>
        </is>
      </c>
      <c r="Q31" s="46" t="inlineStr"/>
      <c r="R31" s="46">
        <f>IF(ISBLANK(Q31),"MISSING","OK")</f>
        <v/>
      </c>
      <c r="S31" s="46" t="inlineStr"/>
      <c r="T31" s="46">
        <f>IF(ISBLANK(S31),"MISSING","OK")</f>
        <v/>
      </c>
      <c r="U31" s="46" t="inlineStr"/>
      <c r="V31" s="46">
        <f>IF(ISBLANK(U31),"MISSING","OK")</f>
        <v/>
      </c>
      <c r="W31" s="46" t="inlineStr"/>
      <c r="X31" s="46">
        <f>IF(ISBLANK(W31),"MISSING","OK")</f>
        <v/>
      </c>
      <c r="Y31" s="46" t="inlineStr"/>
      <c r="Z31" s="46">
        <f>IF(ISBLANK(Y31),"MISSING","OK")</f>
        <v/>
      </c>
      <c r="AA31" s="46" t="inlineStr"/>
      <c r="AB31" s="47" t="inlineStr"/>
      <c r="AC31" s="46" t="inlineStr">
        <is>
          <t>Missing OG image</t>
        </is>
      </c>
      <c r="AD31" s="46" t="inlineStr"/>
      <c r="AE31" s="47">
        <f>IFERROR(HYPERLINK("#'Main'!B"&amp;MATCH(TRIM(I31),'Main'!B:B,0),"Open in Main"),IFERROR(HYPERLINK("#'Technical Diagnostics'!A"&amp;MATCH(TRIM(I31),'Technical Diagnostics'!A:A,0),"Open in Technical"),"Not Found"))</f>
        <v/>
      </c>
      <c r="AF31" s="46" t="inlineStr">
        <is>
          <t>Add a meta description (currently missing). Aim for 120–155 characters summarising: Smoke title 70.</t>
        </is>
      </c>
      <c r="AG31" s="46" t="inlineStr">
        <is>
          <t>Prioritised because of search intent: Informational + 9 open content/SEO issue(s).</t>
        </is>
      </c>
      <c r="AH31" s="48" t="n">
        <v>0</v>
      </c>
      <c r="AI31" s="46" t="inlineStr"/>
      <c r="AJ31" s="49" t="inlineStr">
        <is>
          <t>0</t>
        </is>
      </c>
      <c r="AK31" s="50" t="n">
        <v>0</v>
      </c>
    </row>
    <row r="32" ht="18" customHeight="1">
      <c r="A32" s="51">
        <f>IF(B32&gt;=85,"Complete","Needs Copy")</f>
        <v/>
      </c>
      <c r="B32" s="52">
        <f>MIN(100,ROUND(0.30*(IF(L32="",0,IF(LEFT(L32,7)="MISSING",0,IF(ISNUMBER(SEARCH("OK",L32)),100,IF(ISNUMBER(SEARCH("SHORT",L32)),65,IF(ISNUMBER(SEARCH("LONG",L32)),50,70))))))+0.25*(IF(N32="",0,IF(LEFT(N32,7)="MISSING",0,IF(ISNUMBER(SEARCH("OK",N32)),100,IF(ISNUMBER(SEARCH("SHORT",N32)),65,IF(ISNUMBER(SEARCH("LONG",N32)),50,70))))))+0.20*(IF(P32="",0,IF(LEFT(P32,2)="OK",100,0)))+0.08*(IF(R32="",0,IF(LEFT(R32,2)="OK",100,0)))+0.06*(IF(T32="",0,IF(LEFT(T32,2)="OK",100,0)))+0.05*(IF(V32="",0,IF(LEFT(V32,2)="OK",100,0)))+0.03*(IF(X32="",0,IF(LEFT(X32,2)="OK",100,0)))+0.03*(IF(Z32="",0,IF(LEFT(Z32,2)="OK",100,0))),0))</f>
        <v/>
      </c>
      <c r="C32" s="52">
        <f>IFERROR(INDEX(OFFSET('Main'!$A$1,2,MATCH("SEO Score",'Main'!$2:$2,0)-1,99998,1),MATCH(TRIM(I32),OFFSET('Main'!$A$1,2,MATCH("URL",'Main'!$2:$2,0)-1,99998,1),0)),"")</f>
        <v/>
      </c>
      <c r="D32" s="52">
        <f>IFERROR(INDEX(OFFSET('Main'!$A$1,2,MATCH("Technical Health",'Main'!$2:$2,0)-1,99998,1),MATCH(TRIM(I32),OFFSET('Main'!$A$1,2,MATCH("URL",'Main'!$2:$2,0)-1,99998,1),0)),"")</f>
        <v/>
      </c>
      <c r="E32" s="52">
        <f>IFERROR(INDEX(OFFSET('Main'!$A$1,2,MATCH("Copy Score",'Main'!$2:$2,0)-1,99998,1),MATCH(TRIM(I32),OFFSET('Main'!$A$1,2,MATCH("URL",'Main'!$2:$2,0)-1,99998,1),0)),"")</f>
        <v/>
      </c>
      <c r="F32" s="52" t="inlineStr">
        <is>
          <t>To Do</t>
        </is>
      </c>
      <c r="G32" s="52" t="inlineStr">
        <is>
          <t>Copy Writer</t>
        </is>
      </c>
      <c r="H32" s="52">
        <f>HYPERLINK("https://africanmarketingconfederation.org/smoke-archive/page-72","Page 72")</f>
        <v/>
      </c>
      <c r="I32" s="53">
        <f>HYPERLINK("https://africanmarketingconfederation.org/smoke-archive/page-72","https://africanmarketingconfederation.org/smoke-archive/page-72")</f>
        <v/>
      </c>
      <c r="J32" s="31" t="inlineStr">
        <is>
          <t>page-72</t>
        </is>
      </c>
      <c r="K32" s="52" t="inlineStr">
        <is>
          <t>Smoke title 72</t>
        </is>
      </c>
      <c r="L32" s="52">
        <f>IF(K32="","MISSING",IF(AND(LEN(K32)&gt;=50,LEN(K32)&lt;=60),"OK 50-60 chars",IF(LEN(K32)&lt;50,"SHORT: "&amp;LEN(K32),"LONG: "&amp;LEN(K32))))</f>
        <v/>
      </c>
      <c r="M32" s="52" t="inlineStr">
        <is>
          <t>Smoke meta description for page 72.</t>
        </is>
      </c>
      <c r="N32" s="52">
        <f>IF(M32="","MISSING",IF(AND(LEN(M32)&gt;=120,LEN(M32)&lt;=160),"OK 120-160 chars",IF(LEN(M32)&lt;120,"SHORT: "&amp;LEN(M32),"LONG: "&amp;LEN(M32))))</f>
        <v/>
      </c>
      <c r="O32" s="52" t="inlineStr">
        <is>
          <t>Smoke heading</t>
        </is>
      </c>
      <c r="P32" s="52" t="inlineStr">
        <is>
          <t>OK</t>
        </is>
      </c>
      <c r="Q32" s="52" t="inlineStr"/>
      <c r="R32" s="52">
        <f>IF(ISBLANK(Q32),"MISSING","OK")</f>
        <v/>
      </c>
      <c r="S32" s="52" t="inlineStr"/>
      <c r="T32" s="52">
        <f>IF(ISBLANK(S32),"MISSING","OK")</f>
        <v/>
      </c>
      <c r="U32" s="52" t="inlineStr"/>
      <c r="V32" s="52">
        <f>IF(ISBLANK(U32),"MISSING","OK")</f>
        <v/>
      </c>
      <c r="W32" s="52" t="inlineStr"/>
      <c r="X32" s="52">
        <f>IF(ISBLANK(W32),"MISSING","OK")</f>
        <v/>
      </c>
      <c r="Y32" s="52" t="inlineStr"/>
      <c r="Z32" s="52">
        <f>IF(ISBLANK(Y32),"MISSING","OK")</f>
        <v/>
      </c>
      <c r="AA32" s="52" t="inlineStr"/>
      <c r="AB32" s="53">
        <f>HYPERLINK("https://africanmarketingconfederation.org/og-72.jpg","View Image")</f>
        <v/>
      </c>
      <c r="AC32" s="52" t="inlineStr">
        <is>
          <t>Present — mixed OG images across site</t>
        </is>
      </c>
      <c r="AD32" s="52">
        <f>IF(LEN("https://africanmarketingconfederation.org/og-72.jpg")&gt;0,IFERROR(_xlfn.IMAGE("https://africanmarketingconfederation.org/og-72.jpg"),"https://africanmarketingconfederation.org/og-72.jpg"),"")</f>
        <v/>
      </c>
      <c r="AE32" s="53">
        <f>IFERROR(HYPERLINK("#'Main'!B"&amp;MATCH(TRIM(I32),'Main'!B:B,0),"Open in Main"),IFERROR(HYPERLINK("#'Technical Diagnostics'!A"&amp;MATCH(TRIM(I32),'Technical Diagnostics'!A:A,0),"Open in Technical"),"Not Found"))</f>
        <v/>
      </c>
      <c r="AF32" s="52" t="inlineStr">
        <is>
          <t>Add a concise 40–60 word answer paragraph directly under a question-style heading to improve AEO extractability for: Smoke title 72.</t>
        </is>
      </c>
      <c r="AG32" s="52" t="inlineStr">
        <is>
          <t>Prioritised because of missing answer paragraphs + search intent: Informational + 11 open content/SEO issue(s).</t>
        </is>
      </c>
      <c r="AH32" s="54" t="n">
        <v>0</v>
      </c>
      <c r="AI32" s="52" t="inlineStr"/>
      <c r="AJ32" s="55" t="inlineStr">
        <is>
          <t>0</t>
        </is>
      </c>
      <c r="AK32" s="56" t="n">
        <v>0</v>
      </c>
    </row>
    <row r="33" ht="18" customHeight="1">
      <c r="A33" s="51">
        <f>IF(B33&gt;=85,"Complete","Needs Copy")</f>
        <v/>
      </c>
      <c r="B33" s="46">
        <f>MIN(100,ROUND(0.30*(IF(L33="",0,IF(LEFT(L33,7)="MISSING",0,IF(ISNUMBER(SEARCH("OK",L33)),100,IF(ISNUMBER(SEARCH("SHORT",L33)),65,IF(ISNUMBER(SEARCH("LONG",L33)),50,70))))))+0.25*(IF(N33="",0,IF(LEFT(N33,7)="MISSING",0,IF(ISNUMBER(SEARCH("OK",N33)),100,IF(ISNUMBER(SEARCH("SHORT",N33)),65,IF(ISNUMBER(SEARCH("LONG",N33)),50,70))))))+0.20*(IF(P33="",0,IF(LEFT(P33,2)="OK",100,0)))+0.08*(IF(R33="",0,IF(LEFT(R33,2)="OK",100,0)))+0.06*(IF(T33="",0,IF(LEFT(T33,2)="OK",100,0)))+0.05*(IF(V33="",0,IF(LEFT(V33,2)="OK",100,0)))+0.03*(IF(X33="",0,IF(LEFT(X33,2)="OK",100,0)))+0.03*(IF(Z33="",0,IF(LEFT(Z33,2)="OK",100,0))),0))</f>
        <v/>
      </c>
      <c r="C33" s="46">
        <f>IFERROR(INDEX(OFFSET('Main'!$A$1,2,MATCH("SEO Score",'Main'!$2:$2,0)-1,99998,1),MATCH(TRIM(I33),OFFSET('Main'!$A$1,2,MATCH("URL",'Main'!$2:$2,0)-1,99998,1),0)),"")</f>
        <v/>
      </c>
      <c r="D33" s="46">
        <f>IFERROR(INDEX(OFFSET('Main'!$A$1,2,MATCH("Technical Health",'Main'!$2:$2,0)-1,99998,1),MATCH(TRIM(I33),OFFSET('Main'!$A$1,2,MATCH("URL",'Main'!$2:$2,0)-1,99998,1),0)),"")</f>
        <v/>
      </c>
      <c r="E33" s="46">
        <f>IFERROR(INDEX(OFFSET('Main'!$A$1,2,MATCH("Copy Score",'Main'!$2:$2,0)-1,99998,1),MATCH(TRIM(I33),OFFSET('Main'!$A$1,2,MATCH("URL",'Main'!$2:$2,0)-1,99998,1),0)),"")</f>
        <v/>
      </c>
      <c r="F33" s="46" t="inlineStr">
        <is>
          <t>To Do</t>
        </is>
      </c>
      <c r="G33" s="46" t="inlineStr">
        <is>
          <t>Copy Writer</t>
        </is>
      </c>
      <c r="H33" s="46">
        <f>HYPERLINK("https://africanmarketingconfederation.org/smoke-archive/page-75","Page 75")</f>
        <v/>
      </c>
      <c r="I33" s="47">
        <f>HYPERLINK("https://africanmarketingconfederation.org/smoke-archive/page-75","https://africanmarketingconfederation.org/smoke-archive/page-75")</f>
        <v/>
      </c>
      <c r="J33" s="20" t="inlineStr">
        <is>
          <t>page-75</t>
        </is>
      </c>
      <c r="K33" s="46" t="inlineStr">
        <is>
          <t>Smoke title 75</t>
        </is>
      </c>
      <c r="L33" s="46">
        <f>IF(K33="","MISSING",IF(AND(LEN(K33)&gt;=50,LEN(K33)&lt;=60),"OK 50-60 chars",IF(LEN(K33)&lt;50,"SHORT: "&amp;LEN(K33),"LONG: "&amp;LEN(K33))))</f>
        <v/>
      </c>
      <c r="M33" s="46" t="inlineStr">
        <is>
          <t>MISSING DESCRIPTION</t>
        </is>
      </c>
      <c r="N33" s="46">
        <f>IF(M33="","MISSING",IF(AND(LEN(M33)&gt;=120,LEN(M33)&lt;=160),"OK 120-160 chars",IF(LEN(M33)&lt;120,"SHORT: "&amp;LEN(M33),"LONG: "&amp;LEN(M33))))</f>
        <v/>
      </c>
      <c r="O33" s="46" t="inlineStr">
        <is>
          <t>Smoke heading</t>
        </is>
      </c>
      <c r="P33" s="46" t="inlineStr">
        <is>
          <t>OK</t>
        </is>
      </c>
      <c r="Q33" s="46" t="inlineStr"/>
      <c r="R33" s="46">
        <f>IF(ISBLANK(Q33),"MISSING","OK")</f>
        <v/>
      </c>
      <c r="S33" s="46" t="inlineStr"/>
      <c r="T33" s="46">
        <f>IF(ISBLANK(S33),"MISSING","OK")</f>
        <v/>
      </c>
      <c r="U33" s="46" t="inlineStr"/>
      <c r="V33" s="46">
        <f>IF(ISBLANK(U33),"MISSING","OK")</f>
        <v/>
      </c>
      <c r="W33" s="46" t="inlineStr"/>
      <c r="X33" s="46">
        <f>IF(ISBLANK(W33),"MISSING","OK")</f>
        <v/>
      </c>
      <c r="Y33" s="46" t="inlineStr"/>
      <c r="Z33" s="46">
        <f>IF(ISBLANK(Y33),"MISSING","OK")</f>
        <v/>
      </c>
      <c r="AA33" s="46" t="inlineStr"/>
      <c r="AB33" s="47" t="inlineStr"/>
      <c r="AC33" s="46" t="inlineStr">
        <is>
          <t>Missing OG image</t>
        </is>
      </c>
      <c r="AD33" s="46" t="inlineStr"/>
      <c r="AE33" s="47">
        <f>IFERROR(HYPERLINK("#'Main'!B"&amp;MATCH(TRIM(I33),'Main'!B:B,0),"Open in Main"),IFERROR(HYPERLINK("#'Technical Diagnostics'!A"&amp;MATCH(TRIM(I33),'Technical Diagnostics'!A:A,0),"Open in Technical"),"Not Found"))</f>
        <v/>
      </c>
      <c r="AF33" s="46" t="inlineStr">
        <is>
          <t>Add a meta description (currently missing). Aim for 120–155 characters summarising: Smoke title 75.</t>
        </is>
      </c>
      <c r="AG33" s="46" t="inlineStr">
        <is>
          <t>Prioritised because of search intent: Informational + 7 open content/SEO issue(s).</t>
        </is>
      </c>
      <c r="AH33" s="48" t="n">
        <v>0</v>
      </c>
      <c r="AI33" s="46" t="inlineStr"/>
      <c r="AJ33" s="49" t="inlineStr">
        <is>
          <t>0</t>
        </is>
      </c>
      <c r="AK33" s="50" t="n">
        <v>0</v>
      </c>
    </row>
    <row r="34" ht="18" customHeight="1">
      <c r="A34" s="51">
        <f>IF(B34&gt;=85,"Complete","Needs Copy")</f>
        <v/>
      </c>
      <c r="B34" s="52">
        <f>MIN(100,ROUND(0.30*(IF(L34="",0,IF(LEFT(L34,7)="MISSING",0,IF(ISNUMBER(SEARCH("OK",L34)),100,IF(ISNUMBER(SEARCH("SHORT",L34)),65,IF(ISNUMBER(SEARCH("LONG",L34)),50,70))))))+0.25*(IF(N34="",0,IF(LEFT(N34,7)="MISSING",0,IF(ISNUMBER(SEARCH("OK",N34)),100,IF(ISNUMBER(SEARCH("SHORT",N34)),65,IF(ISNUMBER(SEARCH("LONG",N34)),50,70))))))+0.20*(IF(P34="",0,IF(LEFT(P34,2)="OK",100,0)))+0.08*(IF(R34="",0,IF(LEFT(R34,2)="OK",100,0)))+0.06*(IF(T34="",0,IF(LEFT(T34,2)="OK",100,0)))+0.05*(IF(V34="",0,IF(LEFT(V34,2)="OK",100,0)))+0.03*(IF(X34="",0,IF(LEFT(X34,2)="OK",100,0)))+0.03*(IF(Z34="",0,IF(LEFT(Z34,2)="OK",100,0))),0))</f>
        <v/>
      </c>
      <c r="C34" s="52">
        <f>IFERROR(INDEX(OFFSET('Main'!$A$1,2,MATCH("SEO Score",'Main'!$2:$2,0)-1,99998,1),MATCH(TRIM(I34),OFFSET('Main'!$A$1,2,MATCH("URL",'Main'!$2:$2,0)-1,99998,1),0)),"")</f>
        <v/>
      </c>
      <c r="D34" s="52">
        <f>IFERROR(INDEX(OFFSET('Main'!$A$1,2,MATCH("Technical Health",'Main'!$2:$2,0)-1,99998,1),MATCH(TRIM(I34),OFFSET('Main'!$A$1,2,MATCH("URL",'Main'!$2:$2,0)-1,99998,1),0)),"")</f>
        <v/>
      </c>
      <c r="E34" s="52">
        <f>IFERROR(INDEX(OFFSET('Main'!$A$1,2,MATCH("Copy Score",'Main'!$2:$2,0)-1,99998,1),MATCH(TRIM(I34),OFFSET('Main'!$A$1,2,MATCH("URL",'Main'!$2:$2,0)-1,99998,1),0)),"")</f>
        <v/>
      </c>
      <c r="F34" s="52" t="inlineStr">
        <is>
          <t>To Do</t>
        </is>
      </c>
      <c r="G34" s="52" t="inlineStr">
        <is>
          <t>Copy Writer</t>
        </is>
      </c>
      <c r="H34" s="52">
        <f>HYPERLINK("https://africanmarketingconfederation.org/smoke-archive/page-8","Page 8")</f>
        <v/>
      </c>
      <c r="I34" s="53">
        <f>HYPERLINK("https://africanmarketingconfederation.org/smoke-archive/page-8","https://africanmarketingconfederation.org/smoke-archive/page-8")</f>
        <v/>
      </c>
      <c r="J34" s="31" t="inlineStr">
        <is>
          <t>page-8</t>
        </is>
      </c>
      <c r="K34" s="52" t="inlineStr">
        <is>
          <t>Smoke title 8</t>
        </is>
      </c>
      <c r="L34" s="52">
        <f>IF(K34="","MISSING",IF(AND(LEN(K34)&gt;=50,LEN(K34)&lt;=60),"OK 50-60 chars",IF(LEN(K34)&lt;50,"SHORT: "&amp;LEN(K34),"LONG: "&amp;LEN(K34))))</f>
        <v/>
      </c>
      <c r="M34" s="52" t="inlineStr">
        <is>
          <t>Smoke meta description for page 8.</t>
        </is>
      </c>
      <c r="N34" s="52">
        <f>IF(M34="","MISSING",IF(AND(LEN(M34)&gt;=120,LEN(M34)&lt;=160),"OK 120-160 chars",IF(LEN(M34)&lt;120,"SHORT: "&amp;LEN(M34),"LONG: "&amp;LEN(M34))))</f>
        <v/>
      </c>
      <c r="O34" s="52" t="inlineStr">
        <is>
          <t>Smoke heading</t>
        </is>
      </c>
      <c r="P34" s="52" t="inlineStr">
        <is>
          <t>OK</t>
        </is>
      </c>
      <c r="Q34" s="52" t="inlineStr"/>
      <c r="R34" s="52">
        <f>IF(ISBLANK(Q34),"MISSING","OK")</f>
        <v/>
      </c>
      <c r="S34" s="52" t="inlineStr"/>
      <c r="T34" s="52">
        <f>IF(ISBLANK(S34),"MISSING","OK")</f>
        <v/>
      </c>
      <c r="U34" s="52" t="inlineStr"/>
      <c r="V34" s="52">
        <f>IF(ISBLANK(U34),"MISSING","OK")</f>
        <v/>
      </c>
      <c r="W34" s="52" t="inlineStr"/>
      <c r="X34" s="52">
        <f>IF(ISBLANK(W34),"MISSING","OK")</f>
        <v/>
      </c>
      <c r="Y34" s="52" t="inlineStr"/>
      <c r="Z34" s="52">
        <f>IF(ISBLANK(Y34),"MISSING","OK")</f>
        <v/>
      </c>
      <c r="AA34" s="52" t="inlineStr"/>
      <c r="AB34" s="53">
        <f>HYPERLINK("https://africanmarketingconfederation.org/og-8.jpg","View Image")</f>
        <v/>
      </c>
      <c r="AC34" s="52" t="inlineStr">
        <is>
          <t>Present — mixed OG images across site</t>
        </is>
      </c>
      <c r="AD34" s="52">
        <f>IF(LEN("https://africanmarketingconfederation.org/og-8.jpg")&gt;0,IFERROR(_xlfn.IMAGE("https://africanmarketingconfederation.org/og-8.jpg"),"https://africanmarketingconfederation.org/og-8.jpg"),"")</f>
        <v/>
      </c>
      <c r="AE34" s="53">
        <f>IFERROR(HYPERLINK("#'Main'!B"&amp;MATCH(TRIM(I34),'Main'!B:B,0),"Open in Main"),IFERROR(HYPERLINK("#'Technical Diagnostics'!A"&amp;MATCH(TRIM(I34),'Technical Diagnostics'!A:A,0),"Open in Technical"),"Not Found"))</f>
        <v/>
      </c>
      <c r="AF34" s="52" t="inlineStr">
        <is>
          <t>Restructure content for a faq featured snippet: use a direct answer block, scannable list, or FAQ schema as appropriate for “Smoke title 8”.</t>
        </is>
      </c>
      <c r="AG34" s="52" t="inlineStr">
        <is>
          <t>Prioritised because of search intent: Informational + 5 open content/SEO issue(s).</t>
        </is>
      </c>
      <c r="AH34" s="54" t="n">
        <v>0</v>
      </c>
      <c r="AI34" s="52" t="inlineStr"/>
      <c r="AJ34" s="55" t="inlineStr">
        <is>
          <t>0</t>
        </is>
      </c>
      <c r="AK34" s="56" t="n">
        <v>0</v>
      </c>
    </row>
    <row r="35">
      <c r="A35" s="51">
        <f>IF(B35&gt;=85,"Complete","Needs Copy")</f>
        <v/>
      </c>
      <c r="B35" s="46">
        <f>MIN(100,ROUND(0.30*(IF(L35="",0,IF(LEFT(L35,7)="MISSING",0,IF(ISNUMBER(SEARCH("OK",L35)),100,IF(ISNUMBER(SEARCH("SHORT",L35)),65,IF(ISNUMBER(SEARCH("LONG",L35)),50,70))))))+0.25*(IF(N35="",0,IF(LEFT(N35,7)="MISSING",0,IF(ISNUMBER(SEARCH("OK",N35)),100,IF(ISNUMBER(SEARCH("SHORT",N35)),65,IF(ISNUMBER(SEARCH("LONG",N35)),50,70))))))+0.20*(IF(P35="",0,IF(LEFT(P35,2)="OK",100,0)))+0.08*(IF(R35="",0,IF(LEFT(R35,2)="OK",100,0)))+0.06*(IF(T35="",0,IF(LEFT(T35,2)="OK",100,0)))+0.05*(IF(V35="",0,IF(LEFT(V35,2)="OK",100,0)))+0.03*(IF(X35="",0,IF(LEFT(X35,2)="OK",100,0)))+0.03*(IF(Z35="",0,IF(LEFT(Z35,2)="OK",100,0))),0))</f>
        <v/>
      </c>
      <c r="C35" s="46">
        <f>IFERROR(INDEX(OFFSET('Main'!$A$1,2,MATCH("SEO Score",'Main'!$2:$2,0)-1,99998,1),MATCH(TRIM(I35),OFFSET('Main'!$A$1,2,MATCH("URL",'Main'!$2:$2,0)-1,99998,1),0)),"")</f>
        <v/>
      </c>
      <c r="D35" s="46">
        <f>IFERROR(INDEX(OFFSET('Main'!$A$1,2,MATCH("Technical Health",'Main'!$2:$2,0)-1,99998,1),MATCH(TRIM(I35),OFFSET('Main'!$A$1,2,MATCH("URL",'Main'!$2:$2,0)-1,99998,1),0)),"")</f>
        <v/>
      </c>
      <c r="E35" s="46">
        <f>IFERROR(INDEX(OFFSET('Main'!$A$1,2,MATCH("Copy Score",'Main'!$2:$2,0)-1,99998,1),MATCH(TRIM(I35),OFFSET('Main'!$A$1,2,MATCH("URL",'Main'!$2:$2,0)-1,99998,1),0)),"")</f>
        <v/>
      </c>
      <c r="F35" s="46" t="inlineStr">
        <is>
          <t>To Do</t>
        </is>
      </c>
      <c r="G35" s="46" t="inlineStr">
        <is>
          <t>Copy Writer</t>
        </is>
      </c>
      <c r="H35" s="46">
        <f>HYPERLINK("https://africanmarketingconfederation.org/smoke-archive/page-9","Page 9")</f>
        <v/>
      </c>
      <c r="I35" s="47">
        <f>HYPERLINK("https://africanmarketingconfederation.org/smoke-archive/page-9","https://africanmarketingconfederation.org/smoke-archive/page-9")</f>
        <v/>
      </c>
      <c r="J35" s="20" t="inlineStr">
        <is>
          <t>page-9</t>
        </is>
      </c>
      <c r="K35" s="46" t="inlineStr">
        <is>
          <t>Smoke title 9</t>
        </is>
      </c>
      <c r="L35" s="46">
        <f>IF(K35="","MISSING",IF(AND(LEN(K35)&gt;=50,LEN(K35)&lt;=60),"OK 50-60 chars",IF(LEN(K35)&lt;50,"SHORT: "&amp;LEN(K35),"LONG: "&amp;LEN(K35))))</f>
        <v/>
      </c>
      <c r="M35" s="46" t="inlineStr">
        <is>
          <t>Smoke meta description for page 9.</t>
        </is>
      </c>
      <c r="N35" s="46">
        <f>IF(M35="","MISSING",IF(AND(LEN(M35)&gt;=120,LEN(M35)&lt;=160),"OK 120-160 chars",IF(LEN(M35)&lt;120,"SHORT: "&amp;LEN(M35),"LONG: "&amp;LEN(M35))))</f>
        <v/>
      </c>
      <c r="O35" s="46" t="inlineStr">
        <is>
          <t>Smoke heading</t>
        </is>
      </c>
      <c r="P35" s="46" t="inlineStr">
        <is>
          <t>OK</t>
        </is>
      </c>
      <c r="Q35" s="46" t="inlineStr"/>
      <c r="R35" s="46">
        <f>IF(ISBLANK(Q35),"MISSING","OK")</f>
        <v/>
      </c>
      <c r="S35" s="46" t="inlineStr"/>
      <c r="T35" s="46">
        <f>IF(ISBLANK(S35),"MISSING","OK")</f>
        <v/>
      </c>
      <c r="U35" s="46" t="inlineStr"/>
      <c r="V35" s="46">
        <f>IF(ISBLANK(U35),"MISSING","OK")</f>
        <v/>
      </c>
      <c r="W35" s="46" t="inlineStr"/>
      <c r="X35" s="46">
        <f>IF(ISBLANK(W35),"MISSING","OK")</f>
        <v/>
      </c>
      <c r="Y35" s="46" t="inlineStr"/>
      <c r="Z35" s="46">
        <f>IF(ISBLANK(Y35),"MISSING","OK")</f>
        <v/>
      </c>
      <c r="AA35" s="46" t="inlineStr"/>
      <c r="AB35" s="47" t="inlineStr"/>
      <c r="AC35" s="46" t="inlineStr">
        <is>
          <t>Missing OG image</t>
        </is>
      </c>
      <c r="AD35" s="46" t="inlineStr"/>
      <c r="AE35" s="47">
        <f>IFERROR(HYPERLINK("#'Main'!B"&amp;MATCH(TRIM(I35),'Main'!B:B,0),"Open in Main"),IFERROR(HYPERLINK("#'Technical Diagnostics'!A"&amp;MATCH(TRIM(I35),'Technical Diagnostics'!A:A,0),"Open in Technical"),"Not Found"))</f>
        <v/>
      </c>
      <c r="AF35" s="46" t="inlineStr">
        <is>
          <t>Add a concise 40–60 word answer paragraph directly under a question-style heading to improve AEO extractability for: Smoke title 9.</t>
        </is>
      </c>
      <c r="AG35" s="46" t="inlineStr">
        <is>
          <t>Prioritised because of missing answer paragraphs + search intent: Informational + 9 open content/SEO issue(s).</t>
        </is>
      </c>
      <c r="AH35" s="48" t="n">
        <v>0</v>
      </c>
      <c r="AI35" s="46" t="inlineStr"/>
      <c r="AJ35" s="49" t="inlineStr">
        <is>
          <t>0</t>
        </is>
      </c>
      <c r="AK35" s="50" t="n">
        <v>0</v>
      </c>
    </row>
  </sheetData>
  <autoFilter ref="A2:AK35"/>
  <mergeCells count="3">
    <mergeCell ref="A1:D1"/>
    <mergeCell ref="AA1:AK1"/>
    <mergeCell ref="E1:Z1"/>
  </mergeCells>
  <conditionalFormatting sqref="F3:F35">
    <cfRule type="expression" priority="1" dxfId="4" stopIfTrue="1">
      <formula>OR(LOWER(F3)="done",LOWER(F3)="completed",LOWER(F3)="fixed",LOWER(F3)="closed")</formula>
    </cfRule>
    <cfRule type="expression" priority="2" dxfId="5" stopIfTrue="1">
      <formula>OR(LOWER(F3)="in progress",LOWER(F3)="in review",LOWER(F3)="review")</formula>
    </cfRule>
    <cfRule type="expression" priority="3" dxfId="6" stopIfTrue="1">
      <formula>OR(LOWER(F3)="to do",LOWER(F3)="open")</formula>
    </cfRule>
  </conditionalFormatting>
  <conditionalFormatting sqref="B3:B35">
    <cfRule type="colorScale" priority="4">
      <colorScale>
        <cfvo type="num" val="0"/>
        <cfvo type="num" val="50"/>
        <cfvo type="num" val="100"/>
        <color rgb="00F8696B"/>
        <color rgb="00FFEB84"/>
        <color rgb="0063BE7B"/>
      </colorScale>
    </cfRule>
  </conditionalFormatting>
  <conditionalFormatting sqref="C3:C35">
    <cfRule type="colorScale" priority="5">
      <colorScale>
        <cfvo type="num" val="0"/>
        <cfvo type="num" val="50"/>
        <cfvo type="num" val="100"/>
        <color rgb="00F8696B"/>
        <color rgb="00FFEB84"/>
        <color rgb="0063BE7B"/>
      </colorScale>
    </cfRule>
  </conditionalFormatting>
  <conditionalFormatting sqref="D3:D35">
    <cfRule type="colorScale" priority="6">
      <colorScale>
        <cfvo type="num" val="0"/>
        <cfvo type="num" val="50"/>
        <cfvo type="num" val="100"/>
        <color rgb="00F8696B"/>
        <color rgb="00FFEB84"/>
        <color rgb="0063BE7B"/>
      </colorScale>
    </cfRule>
  </conditionalFormatting>
  <conditionalFormatting sqref="E3:E35">
    <cfRule type="colorScale" priority="7">
      <colorScale>
        <cfvo type="num" val="0"/>
        <cfvo type="num" val="50"/>
        <cfvo type="num" val="100"/>
        <color rgb="00F8696B"/>
        <color rgb="00FFEB84"/>
        <color rgb="0063BE7B"/>
      </colorScale>
    </cfRule>
  </conditionalFormatting>
  <conditionalFormatting sqref="G3:G35">
    <cfRule type="expression" priority="8" dxfId="12" stopIfTrue="1">
      <formula>ISNUMBER(SEARCH("copy writer",LOWER(SUBSTITUTE(G3,"/",""))))</formula>
    </cfRule>
    <cfRule type="expression" priority="9" dxfId="13" stopIfTrue="1">
      <formula>ISNUMBER(SEARCH("developer",LOWER(SUBSTITUTE(G3,"/",""))))</formula>
    </cfRule>
    <cfRule type="expression" priority="10" dxfId="14" stopIfTrue="1">
      <formula>ISNUMBER(SEARCH("server",LOWER(SUBSTITUTE(G3,"/",""))))</formula>
    </cfRule>
  </conditionalFormatting>
  <conditionalFormatting sqref="A3:A35">
    <cfRule type="cellIs" priority="11" operator="equal" dxfId="15">
      <formula>"Needs Copy"</formula>
    </cfRule>
    <cfRule type="cellIs" priority="12" operator="equal" dxfId="16">
      <formula>"Needs Optimisation"</formula>
    </cfRule>
    <cfRule type="cellIs" priority="13" operator="equal" dxfId="17">
      <formula>"Complete"</formula>
    </cfRule>
    <cfRule type="cellIs" priority="14" operator="equal" dxfId="17">
      <formula>"Ready to Publish"</formula>
    </cfRule>
  </conditionalFormatting>
  <conditionalFormatting sqref="L3:L35">
    <cfRule type="expression" priority="15" dxfId="18" stopIfTrue="1">
      <formula>OR(ISNUMBER(SEARCH("OK",L3)),ISNUMBER(SEARCH("Perfect",L3)))</formula>
    </cfRule>
    <cfRule type="expression" priority="16" dxfId="15" stopIfTrue="1">
      <formula>OR(ISNUMBER(SEARCH("FIX",L3)),ISNUMBER(SEARCH("MISSING",L3)))</formula>
    </cfRule>
    <cfRule type="expression" priority="17" dxfId="16" stopIfTrue="1">
      <formula>OR(ISNUMBER(SEARCH("SHORT",L3)),ISNUMBER(SEARCH("LONG",L3)),ISNUMBER(SEARCH("REVIEW",L3)),LEFT(L3,3)="Tip")</formula>
    </cfRule>
  </conditionalFormatting>
  <conditionalFormatting sqref="N3:N35">
    <cfRule type="expression" priority="18" dxfId="18" stopIfTrue="1">
      <formula>OR(ISNUMBER(SEARCH("OK",N3)),ISNUMBER(SEARCH("Perfect",N3)))</formula>
    </cfRule>
    <cfRule type="expression" priority="19" dxfId="15" stopIfTrue="1">
      <formula>OR(ISNUMBER(SEARCH("FIX",N3)),ISNUMBER(SEARCH("MISSING",N3)))</formula>
    </cfRule>
    <cfRule type="expression" priority="20" dxfId="16" stopIfTrue="1">
      <formula>OR(ISNUMBER(SEARCH("SHORT",N3)),ISNUMBER(SEARCH("LONG",N3)),ISNUMBER(SEARCH("REVIEW",N3)),LEFT(N3,3)="Tip")</formula>
    </cfRule>
  </conditionalFormatting>
  <conditionalFormatting sqref="P3:P35">
    <cfRule type="expression" priority="21" dxfId="18" stopIfTrue="1">
      <formula>OR(ISNUMBER(SEARCH("OK",P3)),ISNUMBER(SEARCH("Perfect",P3)))</formula>
    </cfRule>
    <cfRule type="expression" priority="22" dxfId="15" stopIfTrue="1">
      <formula>OR(ISNUMBER(SEARCH("FIX",P3)),ISNUMBER(SEARCH("MISSING",P3)))</formula>
    </cfRule>
    <cfRule type="expression" priority="23" dxfId="16" stopIfTrue="1">
      <formula>OR(ISNUMBER(SEARCH("SHORT",P3)),ISNUMBER(SEARCH("LONG",P3)),ISNUMBER(SEARCH("REVIEW",P3)),LEFT(P3,3)="Tip")</formula>
    </cfRule>
  </conditionalFormatting>
  <conditionalFormatting sqref="R3:R35">
    <cfRule type="expression" priority="24" dxfId="18" stopIfTrue="1">
      <formula>OR(ISNUMBER(SEARCH("OK",R3)),ISNUMBER(SEARCH("Perfect",R3)))</formula>
    </cfRule>
    <cfRule type="expression" priority="25" dxfId="15" stopIfTrue="1">
      <formula>OR(ISNUMBER(SEARCH("FIX",R3)),ISNUMBER(SEARCH("MISSING",R3)))</formula>
    </cfRule>
    <cfRule type="expression" priority="26" dxfId="16" stopIfTrue="1">
      <formula>OR(ISNUMBER(SEARCH("SHORT",R3)),ISNUMBER(SEARCH("LONG",R3)),ISNUMBER(SEARCH("REVIEW",R3)),LEFT(R3,3)="Tip")</formula>
    </cfRule>
  </conditionalFormatting>
  <conditionalFormatting sqref="T3:T35">
    <cfRule type="expression" priority="27" dxfId="18" stopIfTrue="1">
      <formula>OR(ISNUMBER(SEARCH("OK",T3)),ISNUMBER(SEARCH("Perfect",T3)))</formula>
    </cfRule>
    <cfRule type="expression" priority="28" dxfId="15" stopIfTrue="1">
      <formula>OR(ISNUMBER(SEARCH("FIX",T3)),ISNUMBER(SEARCH("MISSING",T3)))</formula>
    </cfRule>
    <cfRule type="expression" priority="29" dxfId="16" stopIfTrue="1">
      <formula>OR(ISNUMBER(SEARCH("SHORT",T3)),ISNUMBER(SEARCH("LONG",T3)),ISNUMBER(SEARCH("REVIEW",T3)),LEFT(T3,3)="Tip")</formula>
    </cfRule>
  </conditionalFormatting>
  <conditionalFormatting sqref="V3:V35">
    <cfRule type="expression" priority="30" dxfId="18" stopIfTrue="1">
      <formula>OR(ISNUMBER(SEARCH("OK",V3)),ISNUMBER(SEARCH("Perfect",V3)))</formula>
    </cfRule>
    <cfRule type="expression" priority="31" dxfId="15" stopIfTrue="1">
      <formula>OR(ISNUMBER(SEARCH("FIX",V3)),ISNUMBER(SEARCH("MISSING",V3)))</formula>
    </cfRule>
    <cfRule type="expression" priority="32" dxfId="16" stopIfTrue="1">
      <formula>OR(ISNUMBER(SEARCH("SHORT",V3)),ISNUMBER(SEARCH("LONG",V3)),ISNUMBER(SEARCH("REVIEW",V3)),LEFT(V3,3)="Tip")</formula>
    </cfRule>
  </conditionalFormatting>
  <conditionalFormatting sqref="X3:X35">
    <cfRule type="expression" priority="33" dxfId="18" stopIfTrue="1">
      <formula>OR(ISNUMBER(SEARCH("OK",X3)),ISNUMBER(SEARCH("Perfect",X3)))</formula>
    </cfRule>
    <cfRule type="expression" priority="34" dxfId="15" stopIfTrue="1">
      <formula>OR(ISNUMBER(SEARCH("FIX",X3)),ISNUMBER(SEARCH("MISSING",X3)))</formula>
    </cfRule>
    <cfRule type="expression" priority="35" dxfId="16" stopIfTrue="1">
      <formula>OR(ISNUMBER(SEARCH("SHORT",X3)),ISNUMBER(SEARCH("LONG",X3)),ISNUMBER(SEARCH("REVIEW",X3)),LEFT(X3,3)="Tip")</formula>
    </cfRule>
  </conditionalFormatting>
  <conditionalFormatting sqref="Z3:Z35">
    <cfRule type="expression" priority="36" dxfId="18" stopIfTrue="1">
      <formula>OR(ISNUMBER(SEARCH("OK",Z3)),ISNUMBER(SEARCH("Perfect",Z3)))</formula>
    </cfRule>
    <cfRule type="expression" priority="37" dxfId="15" stopIfTrue="1">
      <formula>OR(ISNUMBER(SEARCH("FIX",Z3)),ISNUMBER(SEARCH("MISSING",Z3)))</formula>
    </cfRule>
    <cfRule type="expression" priority="38" dxfId="16" stopIfTrue="1">
      <formula>OR(ISNUMBER(SEARCH("SHORT",Z3)),ISNUMBER(SEARCH("LONG",Z3)),ISNUMBER(SEARCH("REVIEW",Z3)),LEFT(Z3,3)="Tip")</formula>
    </cfRule>
  </conditionalFormatting>
  <conditionalFormatting sqref="AC3:AC35">
    <cfRule type="expression" priority="39" dxfId="8" stopIfTrue="1">
      <formula>OR(ISNUMBER(SEARCH("Outlier",AC3)),ISNUMBER(SEARCH("Legacy",AC3)),ISNUMBER(SEARCH("legacy",AC3)),ISNUMBER(SEARCH("Generic",AC3)),ISNUMBER(SEARCH("Missing",AC3)))</formula>
    </cfRule>
  </conditionalFormatting>
  <conditionalFormatting sqref="AK3:AK35">
    <cfRule type="colorScale" priority="40">
      <colorScale>
        <cfvo type="num" val="0"/>
        <cfvo type="num" val="50"/>
        <cfvo type="num" val="100"/>
        <color rgb="00F8696B"/>
        <color rgb="00FFEB84"/>
        <color rgb="0063BE7B"/>
      </colorScale>
    </cfRule>
  </conditionalFormatting>
  <dataValidations count="2">
    <dataValidation sqref="F3:F35" showDropDown="0" showInputMessage="1" showErrorMessage="0" allowBlank="1" promptTitle="Workflow status" prompt="Track workflow state: To Do → In Progress → In Review → Done" type="list">
      <formula1>"To Do,In Progress,In Review,Done"</formula1>
    </dataValidation>
    <dataValidation sqref="G3:G35" showDropDown="0" showInputMessage="0" showErrorMessage="1" allowBlank="0" errorTitle="Invalid owner" error="Choose Copy Writer, Developer, or Server/Host." type="list" errorStyle="stop">
      <formula1>"Copy Writer,Developer,Server/Host"</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tabColor rgb="0027AE60"/>
    <outlinePr summaryBelow="1" summaryRight="1"/>
    <pageSetUpPr fitToPage="1"/>
  </sheetPr>
  <dimension ref="A1:S85"/>
  <sheetViews>
    <sheetView showGridLines="0" tabSelected="0" workbookViewId="0">
      <pane xSplit="4" ySplit="1" topLeftCell="E2" activePane="bottomRight" state="frozen"/>
      <selection pane="topRight"/>
      <selection pane="bottomLeft"/>
      <selection pane="bottomRight"/>
      <selection pane="bottomLeft"/>
      <selection pane="bottomRight"/>
      <selection pane="bottomLeft"/>
      <selection pane="bottomRight"/>
      <selection pane="bottomLeft"/>
      <selection pane="bottomRight" activeCell="A1" sqref="A1"/>
    </sheetView>
  </sheetViews>
  <sheetFormatPr baseColWidth="8" defaultRowHeight="15"/>
  <cols>
    <col width="22" customWidth="1" min="1" max="1"/>
    <col width="11" customWidth="1" min="2" max="2"/>
    <col width="10" customWidth="1" min="3" max="3"/>
    <col width="45" customWidth="1" min="4" max="4"/>
    <col width="10" customWidth="1" min="5" max="5"/>
    <col width="21" customWidth="1" min="6" max="6"/>
    <col width="18" customWidth="1" min="7" max="7"/>
    <col width="16" customWidth="1" min="8" max="8"/>
    <col width="22" customWidth="1" min="9" max="9"/>
    <col width="16" customWidth="1" min="10" max="10"/>
    <col width="16" customWidth="1" min="11" max="11"/>
    <col width="22" customWidth="1" min="12" max="12"/>
    <col width="22" customWidth="1" min="13" max="13"/>
    <col width="16" customWidth="1" min="14" max="14"/>
    <col width="16" customWidth="1" min="15" max="15"/>
    <col width="16" customWidth="1" min="16" max="16"/>
    <col width="16" customWidth="1" min="17" max="17"/>
    <col width="16" customWidth="1" min="18" max="18"/>
    <col width="16" customWidth="1" min="19" max="19"/>
  </cols>
  <sheetData>
    <row r="1" ht="42" customHeight="1">
      <c r="A1" s="57" t="inlineStr">
        <is>
          <t>← Return to Executive Briefing</t>
        </is>
      </c>
      <c r="B1" s="58" t="n"/>
      <c r="C1" s="59">
        <f>IFERROR(INDEX('Audit Run Details'!$B:$B,MATCH("Target Site",'Audit Run Details'!$A:$A,0)),"") &amp; " — " &amp; IFERROR(INDEX('Audit Run Details'!$B:$B,MATCH("Total URLs",'Audit Run Details'!$A:$A,0)),"") &amp; " URLs crawled — " &amp; LEFT(IFERROR(INDEX('Audit Run Details'!$B:$B,MATCH("Run Timestamp",'Audit Run Details'!$A:$A,0)),""),10)</f>
        <v/>
      </c>
      <c r="D1" s="58" t="n"/>
      <c r="E1" s="58" t="n"/>
      <c r="F1" s="60" t="n"/>
      <c r="G1" s="60" t="n"/>
      <c r="H1" s="60" t="n"/>
      <c r="I1" s="60" t="n"/>
      <c r="J1" s="60" t="n"/>
      <c r="K1" s="60" t="n"/>
      <c r="L1" s="60" t="n"/>
      <c r="M1" s="60" t="n"/>
      <c r="N1" s="60" t="n"/>
      <c r="O1" s="60" t="n"/>
      <c r="P1" s="60" t="n"/>
      <c r="Q1" s="60" t="n"/>
      <c r="R1" s="60" t="n"/>
      <c r="S1" s="60" t="n"/>
    </row>
    <row r="2" ht="22" customHeight="1">
      <c r="A2" s="26" t="inlineStr">
        <is>
          <t>Primary</t>
        </is>
      </c>
      <c r="B2" s="26" t="inlineStr">
        <is>
          <t>Secondary</t>
        </is>
      </c>
      <c r="C2" s="26" t="inlineStr">
        <is>
          <t>Tertiary</t>
        </is>
      </c>
      <c r="D2" s="26" t="inlineStr">
        <is>
          <t>Page link</t>
        </is>
      </c>
      <c r="E2" s="26" t="inlineStr">
        <is>
          <t>Copy Doc</t>
        </is>
      </c>
      <c r="F2" s="61" t="inlineStr">
        <is>
          <t>Copywriter Sign off</t>
        </is>
      </c>
      <c r="G2" s="61" t="inlineStr">
        <is>
          <t>Copy First Check</t>
        </is>
      </c>
      <c r="H2" s="61" t="inlineStr">
        <is>
          <t>2nd Revisions</t>
        </is>
      </c>
      <c r="I2" s="61" t="inlineStr">
        <is>
          <t>Client copy sign off</t>
        </is>
      </c>
      <c r="J2" s="61" t="inlineStr">
        <is>
          <t>Web design off</t>
        </is>
      </c>
      <c r="K2" s="61" t="inlineStr">
        <is>
          <t>UXI sign off</t>
        </is>
      </c>
      <c r="L2" s="61" t="inlineStr">
        <is>
          <t>Visual Design sign off</t>
        </is>
      </c>
      <c r="M2" s="61" t="inlineStr">
        <is>
          <t>Client final sign off</t>
        </is>
      </c>
      <c r="N2" s="61" t="inlineStr">
        <is>
          <t>Optimisations</t>
        </is>
      </c>
      <c r="O2" s="61" t="inlineStr">
        <is>
          <t>Desktop</t>
        </is>
      </c>
      <c r="P2" s="61" t="inlineStr">
        <is>
          <t>Tablet</t>
        </is>
      </c>
      <c r="Q2" s="61" t="inlineStr">
        <is>
          <t>Mobile</t>
        </is>
      </c>
      <c r="R2" s="61" t="inlineStr">
        <is>
          <t>SEO</t>
        </is>
      </c>
      <c r="S2" s="61" t="inlineStr">
        <is>
          <t>Performance</t>
        </is>
      </c>
    </row>
    <row r="3" ht="22" customHeight="1">
      <c r="A3" s="32" t="inlineStr">
        <is>
          <t>Home</t>
        </is>
      </c>
      <c r="B3" s="28" t="inlineStr"/>
      <c r="C3" s="28" t="inlineStr"/>
      <c r="D3" s="28" t="inlineStr">
        <is>
          <t>https://africanmarketingconfederation.org/</t>
        </is>
      </c>
      <c r="E3" s="28" t="inlineStr"/>
      <c r="F3" s="62" t="inlineStr">
        <is>
          <t>Not signed off</t>
        </is>
      </c>
      <c r="G3" s="62" t="inlineStr">
        <is>
          <t>Not signed off</t>
        </is>
      </c>
      <c r="H3" s="62" t="inlineStr">
        <is>
          <t>Not signed off</t>
        </is>
      </c>
      <c r="I3" s="62" t="inlineStr">
        <is>
          <t>Not signed off</t>
        </is>
      </c>
      <c r="J3" s="62" t="inlineStr">
        <is>
          <t>Not signed off</t>
        </is>
      </c>
      <c r="K3" s="62" t="inlineStr">
        <is>
          <t>Not signed off</t>
        </is>
      </c>
      <c r="L3" s="62" t="inlineStr">
        <is>
          <t>Not signed off</t>
        </is>
      </c>
      <c r="M3" s="62" t="inlineStr">
        <is>
          <t>Not signed off</t>
        </is>
      </c>
      <c r="N3" s="62" t="inlineStr">
        <is>
          <t>Not signed off</t>
        </is>
      </c>
      <c r="O3" s="62" t="inlineStr">
        <is>
          <t>Not signed off</t>
        </is>
      </c>
      <c r="P3" s="62" t="inlineStr">
        <is>
          <t>Not signed off</t>
        </is>
      </c>
      <c r="Q3" s="62" t="inlineStr">
        <is>
          <t>Not signed off</t>
        </is>
      </c>
      <c r="R3" s="62" t="inlineStr">
        <is>
          <t>Not signed off</t>
        </is>
      </c>
      <c r="S3" s="62" t="inlineStr">
        <is>
          <t>Not signed off</t>
        </is>
      </c>
    </row>
    <row r="4" ht="22" customHeight="1">
      <c r="A4" s="32" t="inlineStr">
        <is>
          <t>discovered-via-bfs-1</t>
        </is>
      </c>
      <c r="B4" s="30" t="inlineStr"/>
      <c r="C4" s="30" t="inlineStr"/>
      <c r="D4" s="30" t="inlineStr">
        <is>
          <t>https://africanmarketingconfederation.org/discovered-via-bfs-1</t>
        </is>
      </c>
      <c r="E4" s="30" t="inlineStr"/>
      <c r="F4" s="63" t="inlineStr">
        <is>
          <t>Not signed off</t>
        </is>
      </c>
      <c r="G4" s="63" t="inlineStr">
        <is>
          <t>Not signed off</t>
        </is>
      </c>
      <c r="H4" s="63" t="inlineStr">
        <is>
          <t>Not signed off</t>
        </is>
      </c>
      <c r="I4" s="63" t="inlineStr">
        <is>
          <t>Not signed off</t>
        </is>
      </c>
      <c r="J4" s="63" t="inlineStr">
        <is>
          <t>Not signed off</t>
        </is>
      </c>
      <c r="K4" s="63" t="inlineStr">
        <is>
          <t>Not signed off</t>
        </is>
      </c>
      <c r="L4" s="63" t="inlineStr">
        <is>
          <t>Not signed off</t>
        </is>
      </c>
      <c r="M4" s="63" t="inlineStr">
        <is>
          <t>Not signed off</t>
        </is>
      </c>
      <c r="N4" s="63" t="inlineStr">
        <is>
          <t>Not signed off</t>
        </is>
      </c>
      <c r="O4" s="63" t="inlineStr">
        <is>
          <t>Not signed off</t>
        </is>
      </c>
      <c r="P4" s="63" t="inlineStr">
        <is>
          <t>Not signed off</t>
        </is>
      </c>
      <c r="Q4" s="63" t="inlineStr">
        <is>
          <t>Not signed off</t>
        </is>
      </c>
      <c r="R4" s="63" t="inlineStr">
        <is>
          <t>Not signed off</t>
        </is>
      </c>
      <c r="S4" s="63" t="inlineStr">
        <is>
          <t>Not signed off</t>
        </is>
      </c>
    </row>
    <row r="5" ht="22" customHeight="1">
      <c r="A5" s="32" t="inlineStr">
        <is>
          <t>discovered-via-bfs-2</t>
        </is>
      </c>
      <c r="B5" s="28" t="inlineStr"/>
      <c r="C5" s="28" t="inlineStr"/>
      <c r="D5" s="28" t="inlineStr">
        <is>
          <t>https://africanmarketingconfederation.org/discovered-via-bfs-2</t>
        </is>
      </c>
      <c r="E5" s="28" t="inlineStr"/>
      <c r="F5" s="62" t="inlineStr">
        <is>
          <t>Not signed off</t>
        </is>
      </c>
      <c r="G5" s="62" t="inlineStr">
        <is>
          <t>Not signed off</t>
        </is>
      </c>
      <c r="H5" s="62" t="inlineStr">
        <is>
          <t>Not signed off</t>
        </is>
      </c>
      <c r="I5" s="62" t="inlineStr">
        <is>
          <t>Not signed off</t>
        </is>
      </c>
      <c r="J5" s="62" t="inlineStr">
        <is>
          <t>Not signed off</t>
        </is>
      </c>
      <c r="K5" s="62" t="inlineStr">
        <is>
          <t>Not signed off</t>
        </is>
      </c>
      <c r="L5" s="62" t="inlineStr">
        <is>
          <t>Not signed off</t>
        </is>
      </c>
      <c r="M5" s="62" t="inlineStr">
        <is>
          <t>Not signed off</t>
        </is>
      </c>
      <c r="N5" s="62" t="inlineStr">
        <is>
          <t>Not signed off</t>
        </is>
      </c>
      <c r="O5" s="62" t="inlineStr">
        <is>
          <t>Not signed off</t>
        </is>
      </c>
      <c r="P5" s="62" t="inlineStr">
        <is>
          <t>Not signed off</t>
        </is>
      </c>
      <c r="Q5" s="62" t="inlineStr">
        <is>
          <t>Not signed off</t>
        </is>
      </c>
      <c r="R5" s="62" t="inlineStr">
        <is>
          <t>Not signed off</t>
        </is>
      </c>
      <c r="S5" s="62" t="inlineStr">
        <is>
          <t>Not signed off</t>
        </is>
      </c>
    </row>
    <row r="6" ht="22" customHeight="1">
      <c r="A6" s="32" t="inlineStr">
        <is>
          <t>discovered-via-bfs-3</t>
        </is>
      </c>
      <c r="B6" s="30" t="inlineStr"/>
      <c r="C6" s="30" t="inlineStr"/>
      <c r="D6" s="30" t="inlineStr">
        <is>
          <t>https://africanmarketingconfederation.org/discovered-via-bfs-3</t>
        </is>
      </c>
      <c r="E6" s="30" t="inlineStr"/>
      <c r="F6" s="63" t="inlineStr">
        <is>
          <t>Not signed off</t>
        </is>
      </c>
      <c r="G6" s="63" t="inlineStr">
        <is>
          <t>Not signed off</t>
        </is>
      </c>
      <c r="H6" s="63" t="inlineStr">
        <is>
          <t>Not signed off</t>
        </is>
      </c>
      <c r="I6" s="63" t="inlineStr">
        <is>
          <t>Not signed off</t>
        </is>
      </c>
      <c r="J6" s="63" t="inlineStr">
        <is>
          <t>Not signed off</t>
        </is>
      </c>
      <c r="K6" s="63" t="inlineStr">
        <is>
          <t>Not signed off</t>
        </is>
      </c>
      <c r="L6" s="63" t="inlineStr">
        <is>
          <t>Not signed off</t>
        </is>
      </c>
      <c r="M6" s="63" t="inlineStr">
        <is>
          <t>Not signed off</t>
        </is>
      </c>
      <c r="N6" s="63" t="inlineStr">
        <is>
          <t>Not signed off</t>
        </is>
      </c>
      <c r="O6" s="63" t="inlineStr">
        <is>
          <t>Not signed off</t>
        </is>
      </c>
      <c r="P6" s="63" t="inlineStr">
        <is>
          <t>Not signed off</t>
        </is>
      </c>
      <c r="Q6" s="63" t="inlineStr">
        <is>
          <t>Not signed off</t>
        </is>
      </c>
      <c r="R6" s="63" t="inlineStr">
        <is>
          <t>Not signed off</t>
        </is>
      </c>
      <c r="S6" s="63" t="inlineStr">
        <is>
          <t>Not signed off</t>
        </is>
      </c>
    </row>
    <row r="7" ht="22" customHeight="1">
      <c r="A7" s="32" t="inlineStr"/>
      <c r="B7" s="28" t="inlineStr">
        <is>
          <t>page-1</t>
        </is>
      </c>
      <c r="C7" s="28" t="inlineStr"/>
      <c r="D7" s="28" t="inlineStr">
        <is>
          <t>https://africanmarketingconfederation.org/smoke-archive/page-1</t>
        </is>
      </c>
      <c r="E7" s="28" t="inlineStr"/>
      <c r="F7" s="62" t="inlineStr">
        <is>
          <t>Not signed off</t>
        </is>
      </c>
      <c r="G7" s="62" t="inlineStr">
        <is>
          <t>Not signed off</t>
        </is>
      </c>
      <c r="H7" s="62" t="inlineStr">
        <is>
          <t>Not signed off</t>
        </is>
      </c>
      <c r="I7" s="62" t="inlineStr">
        <is>
          <t>Not signed off</t>
        </is>
      </c>
      <c r="J7" s="62" t="inlineStr">
        <is>
          <t>Not signed off</t>
        </is>
      </c>
      <c r="K7" s="62" t="inlineStr">
        <is>
          <t>Not signed off</t>
        </is>
      </c>
      <c r="L7" s="62" t="inlineStr">
        <is>
          <t>Not signed off</t>
        </is>
      </c>
      <c r="M7" s="62" t="inlineStr">
        <is>
          <t>Not signed off</t>
        </is>
      </c>
      <c r="N7" s="62" t="inlineStr">
        <is>
          <t>Not signed off</t>
        </is>
      </c>
      <c r="O7" s="62" t="inlineStr">
        <is>
          <t>Not signed off</t>
        </is>
      </c>
      <c r="P7" s="62" t="inlineStr">
        <is>
          <t>Not signed off</t>
        </is>
      </c>
      <c r="Q7" s="62" t="inlineStr">
        <is>
          <t>Not signed off</t>
        </is>
      </c>
      <c r="R7" s="62" t="inlineStr">
        <is>
          <t>Not signed off</t>
        </is>
      </c>
      <c r="S7" s="62" t="inlineStr">
        <is>
          <t>Not signed off</t>
        </is>
      </c>
    </row>
    <row r="8" ht="22" customHeight="1">
      <c r="A8" s="32" t="inlineStr"/>
      <c r="B8" s="30" t="inlineStr">
        <is>
          <t>page-10</t>
        </is>
      </c>
      <c r="C8" s="30" t="inlineStr"/>
      <c r="D8" s="30" t="inlineStr">
        <is>
          <t>https://africanmarketingconfederation.org/smoke-archive/page-10</t>
        </is>
      </c>
      <c r="E8" s="30" t="inlineStr"/>
      <c r="F8" s="63" t="inlineStr">
        <is>
          <t>Not signed off</t>
        </is>
      </c>
      <c r="G8" s="63" t="inlineStr">
        <is>
          <t>Not signed off</t>
        </is>
      </c>
      <c r="H8" s="63" t="inlineStr">
        <is>
          <t>Not signed off</t>
        </is>
      </c>
      <c r="I8" s="63" t="inlineStr">
        <is>
          <t>Not signed off</t>
        </is>
      </c>
      <c r="J8" s="63" t="inlineStr">
        <is>
          <t>Not signed off</t>
        </is>
      </c>
      <c r="K8" s="63" t="inlineStr">
        <is>
          <t>Not signed off</t>
        </is>
      </c>
      <c r="L8" s="63" t="inlineStr">
        <is>
          <t>Not signed off</t>
        </is>
      </c>
      <c r="M8" s="63" t="inlineStr">
        <is>
          <t>Not signed off</t>
        </is>
      </c>
      <c r="N8" s="63" t="inlineStr">
        <is>
          <t>Not signed off</t>
        </is>
      </c>
      <c r="O8" s="63" t="inlineStr">
        <is>
          <t>Not signed off</t>
        </is>
      </c>
      <c r="P8" s="63" t="inlineStr">
        <is>
          <t>Not signed off</t>
        </is>
      </c>
      <c r="Q8" s="63" t="inlineStr">
        <is>
          <t>Not signed off</t>
        </is>
      </c>
      <c r="R8" s="63" t="inlineStr">
        <is>
          <t>Not signed off</t>
        </is>
      </c>
      <c r="S8" s="63" t="inlineStr">
        <is>
          <t>Not signed off</t>
        </is>
      </c>
    </row>
    <row r="9" ht="22" customHeight="1">
      <c r="A9" s="32" t="inlineStr"/>
      <c r="B9" s="28" t="inlineStr">
        <is>
          <t>page-11</t>
        </is>
      </c>
      <c r="C9" s="28" t="inlineStr"/>
      <c r="D9" s="28" t="inlineStr">
        <is>
          <t>https://africanmarketingconfederation.org/smoke-archive/page-11</t>
        </is>
      </c>
      <c r="E9" s="28" t="inlineStr"/>
      <c r="F9" s="62" t="inlineStr">
        <is>
          <t>Not signed off</t>
        </is>
      </c>
      <c r="G9" s="62" t="inlineStr">
        <is>
          <t>Not signed off</t>
        </is>
      </c>
      <c r="H9" s="62" t="inlineStr">
        <is>
          <t>Not signed off</t>
        </is>
      </c>
      <c r="I9" s="62" t="inlineStr">
        <is>
          <t>Not signed off</t>
        </is>
      </c>
      <c r="J9" s="62" t="inlineStr">
        <is>
          <t>Not signed off</t>
        </is>
      </c>
      <c r="K9" s="62" t="inlineStr">
        <is>
          <t>Not signed off</t>
        </is>
      </c>
      <c r="L9" s="62" t="inlineStr">
        <is>
          <t>Not signed off</t>
        </is>
      </c>
      <c r="M9" s="62" t="inlineStr">
        <is>
          <t>Not signed off</t>
        </is>
      </c>
      <c r="N9" s="62" t="inlineStr">
        <is>
          <t>Not signed off</t>
        </is>
      </c>
      <c r="O9" s="62" t="inlineStr">
        <is>
          <t>Not signed off</t>
        </is>
      </c>
      <c r="P9" s="62" t="inlineStr">
        <is>
          <t>Not signed off</t>
        </is>
      </c>
      <c r="Q9" s="62" t="inlineStr">
        <is>
          <t>Not signed off</t>
        </is>
      </c>
      <c r="R9" s="62" t="inlineStr">
        <is>
          <t>Not signed off</t>
        </is>
      </c>
      <c r="S9" s="62" t="inlineStr">
        <is>
          <t>Not signed off</t>
        </is>
      </c>
    </row>
    <row r="10" ht="22" customHeight="1">
      <c r="A10" s="32" t="inlineStr"/>
      <c r="B10" s="30" t="inlineStr">
        <is>
          <t>page-12</t>
        </is>
      </c>
      <c r="C10" s="30" t="inlineStr"/>
      <c r="D10" s="30" t="inlineStr">
        <is>
          <t>https://africanmarketingconfederation.org/smoke-archive/page-12</t>
        </is>
      </c>
      <c r="E10" s="30" t="inlineStr"/>
      <c r="F10" s="63" t="inlineStr">
        <is>
          <t>Not signed off</t>
        </is>
      </c>
      <c r="G10" s="63" t="inlineStr">
        <is>
          <t>Not signed off</t>
        </is>
      </c>
      <c r="H10" s="63" t="inlineStr">
        <is>
          <t>Not signed off</t>
        </is>
      </c>
      <c r="I10" s="63" t="inlineStr">
        <is>
          <t>Not signed off</t>
        </is>
      </c>
      <c r="J10" s="63" t="inlineStr">
        <is>
          <t>Not signed off</t>
        </is>
      </c>
      <c r="K10" s="63" t="inlineStr">
        <is>
          <t>Not signed off</t>
        </is>
      </c>
      <c r="L10" s="63" t="inlineStr">
        <is>
          <t>Not signed off</t>
        </is>
      </c>
      <c r="M10" s="63" t="inlineStr">
        <is>
          <t>Not signed off</t>
        </is>
      </c>
      <c r="N10" s="63" t="inlineStr">
        <is>
          <t>Not signed off</t>
        </is>
      </c>
      <c r="O10" s="63" t="inlineStr">
        <is>
          <t>Not signed off</t>
        </is>
      </c>
      <c r="P10" s="63" t="inlineStr">
        <is>
          <t>Not signed off</t>
        </is>
      </c>
      <c r="Q10" s="63" t="inlineStr">
        <is>
          <t>Not signed off</t>
        </is>
      </c>
      <c r="R10" s="63" t="inlineStr">
        <is>
          <t>Not signed off</t>
        </is>
      </c>
      <c r="S10" s="63" t="inlineStr">
        <is>
          <t>Not signed off</t>
        </is>
      </c>
    </row>
    <row r="11" ht="22" customHeight="1">
      <c r="A11" s="32" t="inlineStr"/>
      <c r="B11" s="28" t="inlineStr">
        <is>
          <t>page-13</t>
        </is>
      </c>
      <c r="C11" s="28" t="inlineStr"/>
      <c r="D11" s="28" t="inlineStr">
        <is>
          <t>https://africanmarketingconfederation.org/smoke-archive/page-13</t>
        </is>
      </c>
      <c r="E11" s="28" t="inlineStr"/>
      <c r="F11" s="62" t="inlineStr">
        <is>
          <t>Not signed off</t>
        </is>
      </c>
      <c r="G11" s="62" t="inlineStr">
        <is>
          <t>Not signed off</t>
        </is>
      </c>
      <c r="H11" s="62" t="inlineStr">
        <is>
          <t>Not signed off</t>
        </is>
      </c>
      <c r="I11" s="62" t="inlineStr">
        <is>
          <t>Not signed off</t>
        </is>
      </c>
      <c r="J11" s="62" t="inlineStr">
        <is>
          <t>Not signed off</t>
        </is>
      </c>
      <c r="K11" s="62" t="inlineStr">
        <is>
          <t>Not signed off</t>
        </is>
      </c>
      <c r="L11" s="62" t="inlineStr">
        <is>
          <t>Not signed off</t>
        </is>
      </c>
      <c r="M11" s="62" t="inlineStr">
        <is>
          <t>Not signed off</t>
        </is>
      </c>
      <c r="N11" s="62" t="inlineStr">
        <is>
          <t>Not signed off</t>
        </is>
      </c>
      <c r="O11" s="62" t="inlineStr">
        <is>
          <t>Not signed off</t>
        </is>
      </c>
      <c r="P11" s="62" t="inlineStr">
        <is>
          <t>Not signed off</t>
        </is>
      </c>
      <c r="Q11" s="62" t="inlineStr">
        <is>
          <t>Not signed off</t>
        </is>
      </c>
      <c r="R11" s="62" t="inlineStr">
        <is>
          <t>Not signed off</t>
        </is>
      </c>
      <c r="S11" s="62" t="inlineStr">
        <is>
          <t>Not signed off</t>
        </is>
      </c>
    </row>
    <row r="12" ht="22" customHeight="1">
      <c r="A12" s="32" t="inlineStr"/>
      <c r="B12" s="30" t="inlineStr">
        <is>
          <t>page-14</t>
        </is>
      </c>
      <c r="C12" s="30" t="inlineStr"/>
      <c r="D12" s="30" t="inlineStr">
        <is>
          <t>https://africanmarketingconfederation.org/smoke-archive/page-14</t>
        </is>
      </c>
      <c r="E12" s="30" t="inlineStr"/>
      <c r="F12" s="63" t="inlineStr">
        <is>
          <t>Not signed off</t>
        </is>
      </c>
      <c r="G12" s="63" t="inlineStr">
        <is>
          <t>Not signed off</t>
        </is>
      </c>
      <c r="H12" s="63" t="inlineStr">
        <is>
          <t>Not signed off</t>
        </is>
      </c>
      <c r="I12" s="63" t="inlineStr">
        <is>
          <t>Not signed off</t>
        </is>
      </c>
      <c r="J12" s="63" t="inlineStr">
        <is>
          <t>Not signed off</t>
        </is>
      </c>
      <c r="K12" s="63" t="inlineStr">
        <is>
          <t>Not signed off</t>
        </is>
      </c>
      <c r="L12" s="63" t="inlineStr">
        <is>
          <t>Not signed off</t>
        </is>
      </c>
      <c r="M12" s="63" t="inlineStr">
        <is>
          <t>Not signed off</t>
        </is>
      </c>
      <c r="N12" s="63" t="inlineStr">
        <is>
          <t>Not signed off</t>
        </is>
      </c>
      <c r="O12" s="63" t="inlineStr">
        <is>
          <t>Not signed off</t>
        </is>
      </c>
      <c r="P12" s="63" t="inlineStr">
        <is>
          <t>Not signed off</t>
        </is>
      </c>
      <c r="Q12" s="63" t="inlineStr">
        <is>
          <t>Not signed off</t>
        </is>
      </c>
      <c r="R12" s="63" t="inlineStr">
        <is>
          <t>Not signed off</t>
        </is>
      </c>
      <c r="S12" s="63" t="inlineStr">
        <is>
          <t>Not signed off</t>
        </is>
      </c>
    </row>
    <row r="13" ht="22" customHeight="1">
      <c r="A13" s="32" t="inlineStr"/>
      <c r="B13" s="28" t="inlineStr">
        <is>
          <t>page-15</t>
        </is>
      </c>
      <c r="C13" s="28" t="inlineStr"/>
      <c r="D13" s="28" t="inlineStr">
        <is>
          <t>https://africanmarketingconfederation.org/smoke-archive/page-15</t>
        </is>
      </c>
      <c r="E13" s="28" t="inlineStr"/>
      <c r="F13" s="62" t="inlineStr">
        <is>
          <t>Not signed off</t>
        </is>
      </c>
      <c r="G13" s="62" t="inlineStr">
        <is>
          <t>Not signed off</t>
        </is>
      </c>
      <c r="H13" s="62" t="inlineStr">
        <is>
          <t>Not signed off</t>
        </is>
      </c>
      <c r="I13" s="62" t="inlineStr">
        <is>
          <t>Not signed off</t>
        </is>
      </c>
      <c r="J13" s="62" t="inlineStr">
        <is>
          <t>Not signed off</t>
        </is>
      </c>
      <c r="K13" s="62" t="inlineStr">
        <is>
          <t>Not signed off</t>
        </is>
      </c>
      <c r="L13" s="62" t="inlineStr">
        <is>
          <t>Not signed off</t>
        </is>
      </c>
      <c r="M13" s="62" t="inlineStr">
        <is>
          <t>Not signed off</t>
        </is>
      </c>
      <c r="N13" s="62" t="inlineStr">
        <is>
          <t>Not signed off</t>
        </is>
      </c>
      <c r="O13" s="62" t="inlineStr">
        <is>
          <t>Not signed off</t>
        </is>
      </c>
      <c r="P13" s="62" t="inlineStr">
        <is>
          <t>Not signed off</t>
        </is>
      </c>
      <c r="Q13" s="62" t="inlineStr">
        <is>
          <t>Not signed off</t>
        </is>
      </c>
      <c r="R13" s="62" t="inlineStr">
        <is>
          <t>Not signed off</t>
        </is>
      </c>
      <c r="S13" s="62" t="inlineStr">
        <is>
          <t>Not signed off</t>
        </is>
      </c>
    </row>
    <row r="14" ht="22" customHeight="1">
      <c r="A14" s="32" t="inlineStr"/>
      <c r="B14" s="30" t="inlineStr">
        <is>
          <t>page-16</t>
        </is>
      </c>
      <c r="C14" s="30" t="inlineStr"/>
      <c r="D14" s="30" t="inlineStr">
        <is>
          <t>https://africanmarketingconfederation.org/smoke-archive/page-16</t>
        </is>
      </c>
      <c r="E14" s="30" t="inlineStr"/>
      <c r="F14" s="63" t="inlineStr">
        <is>
          <t>Not signed off</t>
        </is>
      </c>
      <c r="G14" s="63" t="inlineStr">
        <is>
          <t>Not signed off</t>
        </is>
      </c>
      <c r="H14" s="63" t="inlineStr">
        <is>
          <t>Not signed off</t>
        </is>
      </c>
      <c r="I14" s="63" t="inlineStr">
        <is>
          <t>Not signed off</t>
        </is>
      </c>
      <c r="J14" s="63" t="inlineStr">
        <is>
          <t>Not signed off</t>
        </is>
      </c>
      <c r="K14" s="63" t="inlineStr">
        <is>
          <t>Not signed off</t>
        </is>
      </c>
      <c r="L14" s="63" t="inlineStr">
        <is>
          <t>Not signed off</t>
        </is>
      </c>
      <c r="M14" s="63" t="inlineStr">
        <is>
          <t>Not signed off</t>
        </is>
      </c>
      <c r="N14" s="63" t="inlineStr">
        <is>
          <t>Not signed off</t>
        </is>
      </c>
      <c r="O14" s="63" t="inlineStr">
        <is>
          <t>Not signed off</t>
        </is>
      </c>
      <c r="P14" s="63" t="inlineStr">
        <is>
          <t>Not signed off</t>
        </is>
      </c>
      <c r="Q14" s="63" t="inlineStr">
        <is>
          <t>Not signed off</t>
        </is>
      </c>
      <c r="R14" s="63" t="inlineStr">
        <is>
          <t>Not signed off</t>
        </is>
      </c>
      <c r="S14" s="63" t="inlineStr">
        <is>
          <t>Not signed off</t>
        </is>
      </c>
    </row>
    <row r="15" ht="22" customHeight="1">
      <c r="A15" s="32" t="inlineStr"/>
      <c r="B15" s="28" t="inlineStr">
        <is>
          <t>page-17</t>
        </is>
      </c>
      <c r="C15" s="28" t="inlineStr"/>
      <c r="D15" s="28" t="inlineStr">
        <is>
          <t>https://africanmarketingconfederation.org/smoke-archive/page-17</t>
        </is>
      </c>
      <c r="E15" s="28" t="inlineStr"/>
      <c r="F15" s="62" t="inlineStr">
        <is>
          <t>Not signed off</t>
        </is>
      </c>
      <c r="G15" s="62" t="inlineStr">
        <is>
          <t>Not signed off</t>
        </is>
      </c>
      <c r="H15" s="62" t="inlineStr">
        <is>
          <t>Not signed off</t>
        </is>
      </c>
      <c r="I15" s="62" t="inlineStr">
        <is>
          <t>Not signed off</t>
        </is>
      </c>
      <c r="J15" s="62" t="inlineStr">
        <is>
          <t>Not signed off</t>
        </is>
      </c>
      <c r="K15" s="62" t="inlineStr">
        <is>
          <t>Not signed off</t>
        </is>
      </c>
      <c r="L15" s="62" t="inlineStr">
        <is>
          <t>Not signed off</t>
        </is>
      </c>
      <c r="M15" s="62" t="inlineStr">
        <is>
          <t>Not signed off</t>
        </is>
      </c>
      <c r="N15" s="62" t="inlineStr">
        <is>
          <t>Not signed off</t>
        </is>
      </c>
      <c r="O15" s="62" t="inlineStr">
        <is>
          <t>Not signed off</t>
        </is>
      </c>
      <c r="P15" s="62" t="inlineStr">
        <is>
          <t>Not signed off</t>
        </is>
      </c>
      <c r="Q15" s="62" t="inlineStr">
        <is>
          <t>Not signed off</t>
        </is>
      </c>
      <c r="R15" s="62" t="inlineStr">
        <is>
          <t>Not signed off</t>
        </is>
      </c>
      <c r="S15" s="62" t="inlineStr">
        <is>
          <t>Not signed off</t>
        </is>
      </c>
    </row>
    <row r="16" ht="22" customHeight="1">
      <c r="A16" s="32" t="inlineStr"/>
      <c r="B16" s="30" t="inlineStr">
        <is>
          <t>page-18</t>
        </is>
      </c>
      <c r="C16" s="30" t="inlineStr"/>
      <c r="D16" s="30" t="inlineStr">
        <is>
          <t>https://africanmarketingconfederation.org/smoke-archive/page-18</t>
        </is>
      </c>
      <c r="E16" s="30" t="inlineStr"/>
      <c r="F16" s="63" t="inlineStr">
        <is>
          <t>Not signed off</t>
        </is>
      </c>
      <c r="G16" s="63" t="inlineStr">
        <is>
          <t>Not signed off</t>
        </is>
      </c>
      <c r="H16" s="63" t="inlineStr">
        <is>
          <t>Not signed off</t>
        </is>
      </c>
      <c r="I16" s="63" t="inlineStr">
        <is>
          <t>Not signed off</t>
        </is>
      </c>
      <c r="J16" s="63" t="inlineStr">
        <is>
          <t>Not signed off</t>
        </is>
      </c>
      <c r="K16" s="63" t="inlineStr">
        <is>
          <t>Not signed off</t>
        </is>
      </c>
      <c r="L16" s="63" t="inlineStr">
        <is>
          <t>Not signed off</t>
        </is>
      </c>
      <c r="M16" s="63" t="inlineStr">
        <is>
          <t>Not signed off</t>
        </is>
      </c>
      <c r="N16" s="63" t="inlineStr">
        <is>
          <t>Not signed off</t>
        </is>
      </c>
      <c r="O16" s="63" t="inlineStr">
        <is>
          <t>Not signed off</t>
        </is>
      </c>
      <c r="P16" s="63" t="inlineStr">
        <is>
          <t>Not signed off</t>
        </is>
      </c>
      <c r="Q16" s="63" t="inlineStr">
        <is>
          <t>Not signed off</t>
        </is>
      </c>
      <c r="R16" s="63" t="inlineStr">
        <is>
          <t>Not signed off</t>
        </is>
      </c>
      <c r="S16" s="63" t="inlineStr">
        <is>
          <t>Not signed off</t>
        </is>
      </c>
    </row>
    <row r="17" ht="22" customHeight="1">
      <c r="A17" s="32" t="inlineStr"/>
      <c r="B17" s="28" t="inlineStr">
        <is>
          <t>page-19</t>
        </is>
      </c>
      <c r="C17" s="28" t="inlineStr"/>
      <c r="D17" s="28" t="inlineStr">
        <is>
          <t>https://africanmarketingconfederation.org/smoke-archive/page-19</t>
        </is>
      </c>
      <c r="E17" s="28" t="inlineStr"/>
      <c r="F17" s="62" t="inlineStr">
        <is>
          <t>Not signed off</t>
        </is>
      </c>
      <c r="G17" s="62" t="inlineStr">
        <is>
          <t>Not signed off</t>
        </is>
      </c>
      <c r="H17" s="62" t="inlineStr">
        <is>
          <t>Not signed off</t>
        </is>
      </c>
      <c r="I17" s="62" t="inlineStr">
        <is>
          <t>Not signed off</t>
        </is>
      </c>
      <c r="J17" s="62" t="inlineStr">
        <is>
          <t>Not signed off</t>
        </is>
      </c>
      <c r="K17" s="62" t="inlineStr">
        <is>
          <t>Not signed off</t>
        </is>
      </c>
      <c r="L17" s="62" t="inlineStr">
        <is>
          <t>Not signed off</t>
        </is>
      </c>
      <c r="M17" s="62" t="inlineStr">
        <is>
          <t>Not signed off</t>
        </is>
      </c>
      <c r="N17" s="62" t="inlineStr">
        <is>
          <t>Not signed off</t>
        </is>
      </c>
      <c r="O17" s="62" t="inlineStr">
        <is>
          <t>Not signed off</t>
        </is>
      </c>
      <c r="P17" s="62" t="inlineStr">
        <is>
          <t>Not signed off</t>
        </is>
      </c>
      <c r="Q17" s="62" t="inlineStr">
        <is>
          <t>Not signed off</t>
        </is>
      </c>
      <c r="R17" s="62" t="inlineStr">
        <is>
          <t>Not signed off</t>
        </is>
      </c>
      <c r="S17" s="62" t="inlineStr">
        <is>
          <t>Not signed off</t>
        </is>
      </c>
    </row>
    <row r="18" ht="22" customHeight="1">
      <c r="A18" s="32" t="inlineStr"/>
      <c r="B18" s="30" t="inlineStr">
        <is>
          <t>page-2</t>
        </is>
      </c>
      <c r="C18" s="30" t="inlineStr"/>
      <c r="D18" s="30" t="inlineStr">
        <is>
          <t>https://africanmarketingconfederation.org/smoke-archive/page-2</t>
        </is>
      </c>
      <c r="E18" s="30" t="inlineStr"/>
      <c r="F18" s="63" t="inlineStr">
        <is>
          <t>Not signed off</t>
        </is>
      </c>
      <c r="G18" s="63" t="inlineStr">
        <is>
          <t>Not signed off</t>
        </is>
      </c>
      <c r="H18" s="63" t="inlineStr">
        <is>
          <t>Not signed off</t>
        </is>
      </c>
      <c r="I18" s="63" t="inlineStr">
        <is>
          <t>Not signed off</t>
        </is>
      </c>
      <c r="J18" s="63" t="inlineStr">
        <is>
          <t>Not signed off</t>
        </is>
      </c>
      <c r="K18" s="63" t="inlineStr">
        <is>
          <t>Not signed off</t>
        </is>
      </c>
      <c r="L18" s="63" t="inlineStr">
        <is>
          <t>Not signed off</t>
        </is>
      </c>
      <c r="M18" s="63" t="inlineStr">
        <is>
          <t>Not signed off</t>
        </is>
      </c>
      <c r="N18" s="63" t="inlineStr">
        <is>
          <t>Not signed off</t>
        </is>
      </c>
      <c r="O18" s="63" t="inlineStr">
        <is>
          <t>Not signed off</t>
        </is>
      </c>
      <c r="P18" s="63" t="inlineStr">
        <is>
          <t>Not signed off</t>
        </is>
      </c>
      <c r="Q18" s="63" t="inlineStr">
        <is>
          <t>Not signed off</t>
        </is>
      </c>
      <c r="R18" s="63" t="inlineStr">
        <is>
          <t>Not signed off</t>
        </is>
      </c>
      <c r="S18" s="63" t="inlineStr">
        <is>
          <t>Not signed off</t>
        </is>
      </c>
    </row>
    <row r="19" ht="22" customHeight="1">
      <c r="A19" s="32" t="inlineStr"/>
      <c r="B19" s="28" t="inlineStr">
        <is>
          <t>page-20</t>
        </is>
      </c>
      <c r="C19" s="28" t="inlineStr"/>
      <c r="D19" s="28" t="inlineStr">
        <is>
          <t>https://africanmarketingconfederation.org/smoke-archive/page-20</t>
        </is>
      </c>
      <c r="E19" s="28" t="inlineStr"/>
      <c r="F19" s="62" t="inlineStr">
        <is>
          <t>Not signed off</t>
        </is>
      </c>
      <c r="G19" s="62" t="inlineStr">
        <is>
          <t>Not signed off</t>
        </is>
      </c>
      <c r="H19" s="62" t="inlineStr">
        <is>
          <t>Not signed off</t>
        </is>
      </c>
      <c r="I19" s="62" t="inlineStr">
        <is>
          <t>Not signed off</t>
        </is>
      </c>
      <c r="J19" s="62" t="inlineStr">
        <is>
          <t>Not signed off</t>
        </is>
      </c>
      <c r="K19" s="62" t="inlineStr">
        <is>
          <t>Not signed off</t>
        </is>
      </c>
      <c r="L19" s="62" t="inlineStr">
        <is>
          <t>Not signed off</t>
        </is>
      </c>
      <c r="M19" s="62" t="inlineStr">
        <is>
          <t>Not signed off</t>
        </is>
      </c>
      <c r="N19" s="62" t="inlineStr">
        <is>
          <t>Not signed off</t>
        </is>
      </c>
      <c r="O19" s="62" t="inlineStr">
        <is>
          <t>Not signed off</t>
        </is>
      </c>
      <c r="P19" s="62" t="inlineStr">
        <is>
          <t>Not signed off</t>
        </is>
      </c>
      <c r="Q19" s="62" t="inlineStr">
        <is>
          <t>Not signed off</t>
        </is>
      </c>
      <c r="R19" s="62" t="inlineStr">
        <is>
          <t>Not signed off</t>
        </is>
      </c>
      <c r="S19" s="62" t="inlineStr">
        <is>
          <t>Not signed off</t>
        </is>
      </c>
    </row>
    <row r="20" ht="22" customHeight="1">
      <c r="A20" s="32" t="inlineStr"/>
      <c r="B20" s="30" t="inlineStr">
        <is>
          <t>page-21</t>
        </is>
      </c>
      <c r="C20" s="30" t="inlineStr"/>
      <c r="D20" s="30" t="inlineStr">
        <is>
          <t>https://africanmarketingconfederation.org/smoke-archive/page-21</t>
        </is>
      </c>
      <c r="E20" s="30" t="inlineStr"/>
      <c r="F20" s="63" t="inlineStr">
        <is>
          <t>Not signed off</t>
        </is>
      </c>
      <c r="G20" s="63" t="inlineStr">
        <is>
          <t>Not signed off</t>
        </is>
      </c>
      <c r="H20" s="63" t="inlineStr">
        <is>
          <t>Not signed off</t>
        </is>
      </c>
      <c r="I20" s="63" t="inlineStr">
        <is>
          <t>Not signed off</t>
        </is>
      </c>
      <c r="J20" s="63" t="inlineStr">
        <is>
          <t>Not signed off</t>
        </is>
      </c>
      <c r="K20" s="63" t="inlineStr">
        <is>
          <t>Not signed off</t>
        </is>
      </c>
      <c r="L20" s="63" t="inlineStr">
        <is>
          <t>Not signed off</t>
        </is>
      </c>
      <c r="M20" s="63" t="inlineStr">
        <is>
          <t>Not signed off</t>
        </is>
      </c>
      <c r="N20" s="63" t="inlineStr">
        <is>
          <t>Not signed off</t>
        </is>
      </c>
      <c r="O20" s="63" t="inlineStr">
        <is>
          <t>Not signed off</t>
        </is>
      </c>
      <c r="P20" s="63" t="inlineStr">
        <is>
          <t>Not signed off</t>
        </is>
      </c>
      <c r="Q20" s="63" t="inlineStr">
        <is>
          <t>Not signed off</t>
        </is>
      </c>
      <c r="R20" s="63" t="inlineStr">
        <is>
          <t>Not signed off</t>
        </is>
      </c>
      <c r="S20" s="63" t="inlineStr">
        <is>
          <t>Not signed off</t>
        </is>
      </c>
    </row>
    <row r="21" ht="22" customHeight="1">
      <c r="A21" s="32" t="inlineStr"/>
      <c r="B21" s="28" t="inlineStr">
        <is>
          <t>page-22</t>
        </is>
      </c>
      <c r="C21" s="28" t="inlineStr"/>
      <c r="D21" s="28" t="inlineStr">
        <is>
          <t>https://africanmarketingconfederation.org/smoke-archive/page-22</t>
        </is>
      </c>
      <c r="E21" s="28" t="inlineStr"/>
      <c r="F21" s="62" t="inlineStr">
        <is>
          <t>Not signed off</t>
        </is>
      </c>
      <c r="G21" s="62" t="inlineStr">
        <is>
          <t>Not signed off</t>
        </is>
      </c>
      <c r="H21" s="62" t="inlineStr">
        <is>
          <t>Not signed off</t>
        </is>
      </c>
      <c r="I21" s="62" t="inlineStr">
        <is>
          <t>Not signed off</t>
        </is>
      </c>
      <c r="J21" s="62" t="inlineStr">
        <is>
          <t>Not signed off</t>
        </is>
      </c>
      <c r="K21" s="62" t="inlineStr">
        <is>
          <t>Not signed off</t>
        </is>
      </c>
      <c r="L21" s="62" t="inlineStr">
        <is>
          <t>Not signed off</t>
        </is>
      </c>
      <c r="M21" s="62" t="inlineStr">
        <is>
          <t>Not signed off</t>
        </is>
      </c>
      <c r="N21" s="62" t="inlineStr">
        <is>
          <t>Not signed off</t>
        </is>
      </c>
      <c r="O21" s="62" t="inlineStr">
        <is>
          <t>Not signed off</t>
        </is>
      </c>
      <c r="P21" s="62" t="inlineStr">
        <is>
          <t>Not signed off</t>
        </is>
      </c>
      <c r="Q21" s="62" t="inlineStr">
        <is>
          <t>Not signed off</t>
        </is>
      </c>
      <c r="R21" s="62" t="inlineStr">
        <is>
          <t>Not signed off</t>
        </is>
      </c>
      <c r="S21" s="62" t="inlineStr">
        <is>
          <t>Not signed off</t>
        </is>
      </c>
    </row>
    <row r="22" ht="22" customHeight="1">
      <c r="A22" s="32" t="inlineStr"/>
      <c r="B22" s="30" t="inlineStr">
        <is>
          <t>page-23</t>
        </is>
      </c>
      <c r="C22" s="30" t="inlineStr"/>
      <c r="D22" s="30" t="inlineStr">
        <is>
          <t>https://africanmarketingconfederation.org/smoke-archive/page-23</t>
        </is>
      </c>
      <c r="E22" s="30" t="inlineStr"/>
      <c r="F22" s="63" t="inlineStr">
        <is>
          <t>Not signed off</t>
        </is>
      </c>
      <c r="G22" s="63" t="inlineStr">
        <is>
          <t>Not signed off</t>
        </is>
      </c>
      <c r="H22" s="63" t="inlineStr">
        <is>
          <t>Not signed off</t>
        </is>
      </c>
      <c r="I22" s="63" t="inlineStr">
        <is>
          <t>Not signed off</t>
        </is>
      </c>
      <c r="J22" s="63" t="inlineStr">
        <is>
          <t>Not signed off</t>
        </is>
      </c>
      <c r="K22" s="63" t="inlineStr">
        <is>
          <t>Not signed off</t>
        </is>
      </c>
      <c r="L22" s="63" t="inlineStr">
        <is>
          <t>Not signed off</t>
        </is>
      </c>
      <c r="M22" s="63" t="inlineStr">
        <is>
          <t>Not signed off</t>
        </is>
      </c>
      <c r="N22" s="63" t="inlineStr">
        <is>
          <t>Not signed off</t>
        </is>
      </c>
      <c r="O22" s="63" t="inlineStr">
        <is>
          <t>Not signed off</t>
        </is>
      </c>
      <c r="P22" s="63" t="inlineStr">
        <is>
          <t>Not signed off</t>
        </is>
      </c>
      <c r="Q22" s="63" t="inlineStr">
        <is>
          <t>Not signed off</t>
        </is>
      </c>
      <c r="R22" s="63" t="inlineStr">
        <is>
          <t>Not signed off</t>
        </is>
      </c>
      <c r="S22" s="63" t="inlineStr">
        <is>
          <t>Not signed off</t>
        </is>
      </c>
    </row>
    <row r="23" ht="22" customHeight="1">
      <c r="A23" s="32" t="inlineStr"/>
      <c r="B23" s="28" t="inlineStr">
        <is>
          <t>page-24</t>
        </is>
      </c>
      <c r="C23" s="28" t="inlineStr"/>
      <c r="D23" s="28" t="inlineStr">
        <is>
          <t>https://africanmarketingconfederation.org/smoke-archive/page-24</t>
        </is>
      </c>
      <c r="E23" s="28" t="inlineStr"/>
      <c r="F23" s="62" t="inlineStr">
        <is>
          <t>Not signed off</t>
        </is>
      </c>
      <c r="G23" s="62" t="inlineStr">
        <is>
          <t>Not signed off</t>
        </is>
      </c>
      <c r="H23" s="62" t="inlineStr">
        <is>
          <t>Not signed off</t>
        </is>
      </c>
      <c r="I23" s="62" t="inlineStr">
        <is>
          <t>Not signed off</t>
        </is>
      </c>
      <c r="J23" s="62" t="inlineStr">
        <is>
          <t>Not signed off</t>
        </is>
      </c>
      <c r="K23" s="62" t="inlineStr">
        <is>
          <t>Not signed off</t>
        </is>
      </c>
      <c r="L23" s="62" t="inlineStr">
        <is>
          <t>Not signed off</t>
        </is>
      </c>
      <c r="M23" s="62" t="inlineStr">
        <is>
          <t>Not signed off</t>
        </is>
      </c>
      <c r="N23" s="62" t="inlineStr">
        <is>
          <t>Not signed off</t>
        </is>
      </c>
      <c r="O23" s="62" t="inlineStr">
        <is>
          <t>Not signed off</t>
        </is>
      </c>
      <c r="P23" s="62" t="inlineStr">
        <is>
          <t>Not signed off</t>
        </is>
      </c>
      <c r="Q23" s="62" t="inlineStr">
        <is>
          <t>Not signed off</t>
        </is>
      </c>
      <c r="R23" s="62" t="inlineStr">
        <is>
          <t>Not signed off</t>
        </is>
      </c>
      <c r="S23" s="62" t="inlineStr">
        <is>
          <t>Not signed off</t>
        </is>
      </c>
    </row>
    <row r="24" ht="22" customHeight="1">
      <c r="A24" s="32" t="inlineStr"/>
      <c r="B24" s="30" t="inlineStr">
        <is>
          <t>page-25</t>
        </is>
      </c>
      <c r="C24" s="30" t="inlineStr"/>
      <c r="D24" s="30" t="inlineStr">
        <is>
          <t>https://africanmarketingconfederation.org/smoke-archive/page-25</t>
        </is>
      </c>
      <c r="E24" s="30" t="inlineStr"/>
      <c r="F24" s="63" t="inlineStr">
        <is>
          <t>Not signed off</t>
        </is>
      </c>
      <c r="G24" s="63" t="inlineStr">
        <is>
          <t>Not signed off</t>
        </is>
      </c>
      <c r="H24" s="63" t="inlineStr">
        <is>
          <t>Not signed off</t>
        </is>
      </c>
      <c r="I24" s="63" t="inlineStr">
        <is>
          <t>Not signed off</t>
        </is>
      </c>
      <c r="J24" s="63" t="inlineStr">
        <is>
          <t>Not signed off</t>
        </is>
      </c>
      <c r="K24" s="63" t="inlineStr">
        <is>
          <t>Not signed off</t>
        </is>
      </c>
      <c r="L24" s="63" t="inlineStr">
        <is>
          <t>Not signed off</t>
        </is>
      </c>
      <c r="M24" s="63" t="inlineStr">
        <is>
          <t>Not signed off</t>
        </is>
      </c>
      <c r="N24" s="63" t="inlineStr">
        <is>
          <t>Not signed off</t>
        </is>
      </c>
      <c r="O24" s="63" t="inlineStr">
        <is>
          <t>Not signed off</t>
        </is>
      </c>
      <c r="P24" s="63" t="inlineStr">
        <is>
          <t>Not signed off</t>
        </is>
      </c>
      <c r="Q24" s="63" t="inlineStr">
        <is>
          <t>Not signed off</t>
        </is>
      </c>
      <c r="R24" s="63" t="inlineStr">
        <is>
          <t>Not signed off</t>
        </is>
      </c>
      <c r="S24" s="63" t="inlineStr">
        <is>
          <t>Not signed off</t>
        </is>
      </c>
    </row>
    <row r="25" ht="22" customHeight="1">
      <c r="A25" s="32" t="inlineStr"/>
      <c r="B25" s="28" t="inlineStr">
        <is>
          <t>page-26</t>
        </is>
      </c>
      <c r="C25" s="28" t="inlineStr"/>
      <c r="D25" s="28" t="inlineStr">
        <is>
          <t>https://africanmarketingconfederation.org/smoke-archive/page-26</t>
        </is>
      </c>
      <c r="E25" s="28" t="inlineStr"/>
      <c r="F25" s="62" t="inlineStr">
        <is>
          <t>Not signed off</t>
        </is>
      </c>
      <c r="G25" s="62" t="inlineStr">
        <is>
          <t>Not signed off</t>
        </is>
      </c>
      <c r="H25" s="62" t="inlineStr">
        <is>
          <t>Not signed off</t>
        </is>
      </c>
      <c r="I25" s="62" t="inlineStr">
        <is>
          <t>Not signed off</t>
        </is>
      </c>
      <c r="J25" s="62" t="inlineStr">
        <is>
          <t>Not signed off</t>
        </is>
      </c>
      <c r="K25" s="62" t="inlineStr">
        <is>
          <t>Not signed off</t>
        </is>
      </c>
      <c r="L25" s="62" t="inlineStr">
        <is>
          <t>Not signed off</t>
        </is>
      </c>
      <c r="M25" s="62" t="inlineStr">
        <is>
          <t>Not signed off</t>
        </is>
      </c>
      <c r="N25" s="62" t="inlineStr">
        <is>
          <t>Not signed off</t>
        </is>
      </c>
      <c r="O25" s="62" t="inlineStr">
        <is>
          <t>Not signed off</t>
        </is>
      </c>
      <c r="P25" s="62" t="inlineStr">
        <is>
          <t>Not signed off</t>
        </is>
      </c>
      <c r="Q25" s="62" t="inlineStr">
        <is>
          <t>Not signed off</t>
        </is>
      </c>
      <c r="R25" s="62" t="inlineStr">
        <is>
          <t>Not signed off</t>
        </is>
      </c>
      <c r="S25" s="62" t="inlineStr">
        <is>
          <t>Not signed off</t>
        </is>
      </c>
    </row>
    <row r="26" ht="22" customHeight="1">
      <c r="A26" s="32" t="inlineStr"/>
      <c r="B26" s="30" t="inlineStr">
        <is>
          <t>page-27</t>
        </is>
      </c>
      <c r="C26" s="30" t="inlineStr"/>
      <c r="D26" s="30" t="inlineStr">
        <is>
          <t>https://africanmarketingconfederation.org/smoke-archive/page-27</t>
        </is>
      </c>
      <c r="E26" s="30" t="inlineStr"/>
      <c r="F26" s="63" t="inlineStr">
        <is>
          <t>Not signed off</t>
        </is>
      </c>
      <c r="G26" s="63" t="inlineStr">
        <is>
          <t>Not signed off</t>
        </is>
      </c>
      <c r="H26" s="63" t="inlineStr">
        <is>
          <t>Not signed off</t>
        </is>
      </c>
      <c r="I26" s="63" t="inlineStr">
        <is>
          <t>Not signed off</t>
        </is>
      </c>
      <c r="J26" s="63" t="inlineStr">
        <is>
          <t>Not signed off</t>
        </is>
      </c>
      <c r="K26" s="63" t="inlineStr">
        <is>
          <t>Not signed off</t>
        </is>
      </c>
      <c r="L26" s="63" t="inlineStr">
        <is>
          <t>Not signed off</t>
        </is>
      </c>
      <c r="M26" s="63" t="inlineStr">
        <is>
          <t>Not signed off</t>
        </is>
      </c>
      <c r="N26" s="63" t="inlineStr">
        <is>
          <t>Not signed off</t>
        </is>
      </c>
      <c r="O26" s="63" t="inlineStr">
        <is>
          <t>Not signed off</t>
        </is>
      </c>
      <c r="P26" s="63" t="inlineStr">
        <is>
          <t>Not signed off</t>
        </is>
      </c>
      <c r="Q26" s="63" t="inlineStr">
        <is>
          <t>Not signed off</t>
        </is>
      </c>
      <c r="R26" s="63" t="inlineStr">
        <is>
          <t>Not signed off</t>
        </is>
      </c>
      <c r="S26" s="63" t="inlineStr">
        <is>
          <t>Not signed off</t>
        </is>
      </c>
    </row>
    <row r="27" ht="22" customHeight="1">
      <c r="A27" s="32" t="inlineStr"/>
      <c r="B27" s="28" t="inlineStr">
        <is>
          <t>page-28</t>
        </is>
      </c>
      <c r="C27" s="28" t="inlineStr"/>
      <c r="D27" s="28" t="inlineStr">
        <is>
          <t>https://africanmarketingconfederation.org/smoke-archive/page-28</t>
        </is>
      </c>
      <c r="E27" s="28" t="inlineStr"/>
      <c r="F27" s="62" t="inlineStr">
        <is>
          <t>Not signed off</t>
        </is>
      </c>
      <c r="G27" s="62" t="inlineStr">
        <is>
          <t>Not signed off</t>
        </is>
      </c>
      <c r="H27" s="62" t="inlineStr">
        <is>
          <t>Not signed off</t>
        </is>
      </c>
      <c r="I27" s="62" t="inlineStr">
        <is>
          <t>Not signed off</t>
        </is>
      </c>
      <c r="J27" s="62" t="inlineStr">
        <is>
          <t>Not signed off</t>
        </is>
      </c>
      <c r="K27" s="62" t="inlineStr">
        <is>
          <t>Not signed off</t>
        </is>
      </c>
      <c r="L27" s="62" t="inlineStr">
        <is>
          <t>Not signed off</t>
        </is>
      </c>
      <c r="M27" s="62" t="inlineStr">
        <is>
          <t>Not signed off</t>
        </is>
      </c>
      <c r="N27" s="62" t="inlineStr">
        <is>
          <t>Not signed off</t>
        </is>
      </c>
      <c r="O27" s="62" t="inlineStr">
        <is>
          <t>Not signed off</t>
        </is>
      </c>
      <c r="P27" s="62" t="inlineStr">
        <is>
          <t>Not signed off</t>
        </is>
      </c>
      <c r="Q27" s="62" t="inlineStr">
        <is>
          <t>Not signed off</t>
        </is>
      </c>
      <c r="R27" s="62" t="inlineStr">
        <is>
          <t>Not signed off</t>
        </is>
      </c>
      <c r="S27" s="62" t="inlineStr">
        <is>
          <t>Not signed off</t>
        </is>
      </c>
    </row>
    <row r="28" ht="22" customHeight="1">
      <c r="A28" s="32" t="inlineStr"/>
      <c r="B28" s="30" t="inlineStr">
        <is>
          <t>page-29</t>
        </is>
      </c>
      <c r="C28" s="30" t="inlineStr"/>
      <c r="D28" s="30" t="inlineStr">
        <is>
          <t>https://africanmarketingconfederation.org/smoke-archive/page-29</t>
        </is>
      </c>
      <c r="E28" s="30" t="inlineStr"/>
      <c r="F28" s="63" t="inlineStr">
        <is>
          <t>Not signed off</t>
        </is>
      </c>
      <c r="G28" s="63" t="inlineStr">
        <is>
          <t>Not signed off</t>
        </is>
      </c>
      <c r="H28" s="63" t="inlineStr">
        <is>
          <t>Not signed off</t>
        </is>
      </c>
      <c r="I28" s="63" t="inlineStr">
        <is>
          <t>Not signed off</t>
        </is>
      </c>
      <c r="J28" s="63" t="inlineStr">
        <is>
          <t>Not signed off</t>
        </is>
      </c>
      <c r="K28" s="63" t="inlineStr">
        <is>
          <t>Not signed off</t>
        </is>
      </c>
      <c r="L28" s="63" t="inlineStr">
        <is>
          <t>Not signed off</t>
        </is>
      </c>
      <c r="M28" s="63" t="inlineStr">
        <is>
          <t>Not signed off</t>
        </is>
      </c>
      <c r="N28" s="63" t="inlineStr">
        <is>
          <t>Not signed off</t>
        </is>
      </c>
      <c r="O28" s="63" t="inlineStr">
        <is>
          <t>Not signed off</t>
        </is>
      </c>
      <c r="P28" s="63" t="inlineStr">
        <is>
          <t>Not signed off</t>
        </is>
      </c>
      <c r="Q28" s="63" t="inlineStr">
        <is>
          <t>Not signed off</t>
        </is>
      </c>
      <c r="R28" s="63" t="inlineStr">
        <is>
          <t>Not signed off</t>
        </is>
      </c>
      <c r="S28" s="63" t="inlineStr">
        <is>
          <t>Not signed off</t>
        </is>
      </c>
    </row>
    <row r="29" ht="22" customHeight="1">
      <c r="A29" s="32" t="inlineStr"/>
      <c r="B29" s="28" t="inlineStr">
        <is>
          <t>page-3</t>
        </is>
      </c>
      <c r="C29" s="28" t="inlineStr"/>
      <c r="D29" s="28" t="inlineStr">
        <is>
          <t>https://africanmarketingconfederation.org/smoke-archive/page-3</t>
        </is>
      </c>
      <c r="E29" s="28" t="inlineStr"/>
      <c r="F29" s="62" t="inlineStr">
        <is>
          <t>Not signed off</t>
        </is>
      </c>
      <c r="G29" s="62" t="inlineStr">
        <is>
          <t>Not signed off</t>
        </is>
      </c>
      <c r="H29" s="62" t="inlineStr">
        <is>
          <t>Not signed off</t>
        </is>
      </c>
      <c r="I29" s="62" t="inlineStr">
        <is>
          <t>Not signed off</t>
        </is>
      </c>
      <c r="J29" s="62" t="inlineStr">
        <is>
          <t>Not signed off</t>
        </is>
      </c>
      <c r="K29" s="62" t="inlineStr">
        <is>
          <t>Not signed off</t>
        </is>
      </c>
      <c r="L29" s="62" t="inlineStr">
        <is>
          <t>Not signed off</t>
        </is>
      </c>
      <c r="M29" s="62" t="inlineStr">
        <is>
          <t>Not signed off</t>
        </is>
      </c>
      <c r="N29" s="62" t="inlineStr">
        <is>
          <t>Not signed off</t>
        </is>
      </c>
      <c r="O29" s="62" t="inlineStr">
        <is>
          <t>Not signed off</t>
        </is>
      </c>
      <c r="P29" s="62" t="inlineStr">
        <is>
          <t>Not signed off</t>
        </is>
      </c>
      <c r="Q29" s="62" t="inlineStr">
        <is>
          <t>Not signed off</t>
        </is>
      </c>
      <c r="R29" s="62" t="inlineStr">
        <is>
          <t>Not signed off</t>
        </is>
      </c>
      <c r="S29" s="62" t="inlineStr">
        <is>
          <t>Not signed off</t>
        </is>
      </c>
    </row>
    <row r="30" ht="22" customHeight="1">
      <c r="A30" s="32" t="inlineStr"/>
      <c r="B30" s="30" t="inlineStr">
        <is>
          <t>page-30</t>
        </is>
      </c>
      <c r="C30" s="30" t="inlineStr"/>
      <c r="D30" s="30" t="inlineStr">
        <is>
          <t>https://africanmarketingconfederation.org/smoke-archive/page-30</t>
        </is>
      </c>
      <c r="E30" s="30" t="inlineStr"/>
      <c r="F30" s="63" t="inlineStr">
        <is>
          <t>Not signed off</t>
        </is>
      </c>
      <c r="G30" s="63" t="inlineStr">
        <is>
          <t>Not signed off</t>
        </is>
      </c>
      <c r="H30" s="63" t="inlineStr">
        <is>
          <t>Not signed off</t>
        </is>
      </c>
      <c r="I30" s="63" t="inlineStr">
        <is>
          <t>Not signed off</t>
        </is>
      </c>
      <c r="J30" s="63" t="inlineStr">
        <is>
          <t>Not signed off</t>
        </is>
      </c>
      <c r="K30" s="63" t="inlineStr">
        <is>
          <t>Not signed off</t>
        </is>
      </c>
      <c r="L30" s="63" t="inlineStr">
        <is>
          <t>Not signed off</t>
        </is>
      </c>
      <c r="M30" s="63" t="inlineStr">
        <is>
          <t>Not signed off</t>
        </is>
      </c>
      <c r="N30" s="63" t="inlineStr">
        <is>
          <t>Not signed off</t>
        </is>
      </c>
      <c r="O30" s="63" t="inlineStr">
        <is>
          <t>Not signed off</t>
        </is>
      </c>
      <c r="P30" s="63" t="inlineStr">
        <is>
          <t>Not signed off</t>
        </is>
      </c>
      <c r="Q30" s="63" t="inlineStr">
        <is>
          <t>Not signed off</t>
        </is>
      </c>
      <c r="R30" s="63" t="inlineStr">
        <is>
          <t>Not signed off</t>
        </is>
      </c>
      <c r="S30" s="63" t="inlineStr">
        <is>
          <t>Not signed off</t>
        </is>
      </c>
    </row>
    <row r="31" ht="22" customHeight="1">
      <c r="A31" s="32" t="inlineStr"/>
      <c r="B31" s="28" t="inlineStr">
        <is>
          <t>page-31</t>
        </is>
      </c>
      <c r="C31" s="28" t="inlineStr"/>
      <c r="D31" s="28" t="inlineStr">
        <is>
          <t>https://africanmarketingconfederation.org/smoke-archive/page-31</t>
        </is>
      </c>
      <c r="E31" s="28" t="inlineStr"/>
      <c r="F31" s="62" t="inlineStr">
        <is>
          <t>Not signed off</t>
        </is>
      </c>
      <c r="G31" s="62" t="inlineStr">
        <is>
          <t>Not signed off</t>
        </is>
      </c>
      <c r="H31" s="62" t="inlineStr">
        <is>
          <t>Not signed off</t>
        </is>
      </c>
      <c r="I31" s="62" t="inlineStr">
        <is>
          <t>Not signed off</t>
        </is>
      </c>
      <c r="J31" s="62" t="inlineStr">
        <is>
          <t>Not signed off</t>
        </is>
      </c>
      <c r="K31" s="62" t="inlineStr">
        <is>
          <t>Not signed off</t>
        </is>
      </c>
      <c r="L31" s="62" t="inlineStr">
        <is>
          <t>Not signed off</t>
        </is>
      </c>
      <c r="M31" s="62" t="inlineStr">
        <is>
          <t>Not signed off</t>
        </is>
      </c>
      <c r="N31" s="62" t="inlineStr">
        <is>
          <t>Not signed off</t>
        </is>
      </c>
      <c r="O31" s="62" t="inlineStr">
        <is>
          <t>Not signed off</t>
        </is>
      </c>
      <c r="P31" s="62" t="inlineStr">
        <is>
          <t>Not signed off</t>
        </is>
      </c>
      <c r="Q31" s="62" t="inlineStr">
        <is>
          <t>Not signed off</t>
        </is>
      </c>
      <c r="R31" s="62" t="inlineStr">
        <is>
          <t>Not signed off</t>
        </is>
      </c>
      <c r="S31" s="62" t="inlineStr">
        <is>
          <t>Not signed off</t>
        </is>
      </c>
    </row>
    <row r="32" ht="22" customHeight="1">
      <c r="A32" s="32" t="inlineStr"/>
      <c r="B32" s="30" t="inlineStr">
        <is>
          <t>page-32</t>
        </is>
      </c>
      <c r="C32" s="30" t="inlineStr"/>
      <c r="D32" s="30" t="inlineStr">
        <is>
          <t>https://africanmarketingconfederation.org/smoke-archive/page-32</t>
        </is>
      </c>
      <c r="E32" s="30" t="inlineStr"/>
      <c r="F32" s="63" t="inlineStr">
        <is>
          <t>Not signed off</t>
        </is>
      </c>
      <c r="G32" s="63" t="inlineStr">
        <is>
          <t>Not signed off</t>
        </is>
      </c>
      <c r="H32" s="63" t="inlineStr">
        <is>
          <t>Not signed off</t>
        </is>
      </c>
      <c r="I32" s="63" t="inlineStr">
        <is>
          <t>Not signed off</t>
        </is>
      </c>
      <c r="J32" s="63" t="inlineStr">
        <is>
          <t>Not signed off</t>
        </is>
      </c>
      <c r="K32" s="63" t="inlineStr">
        <is>
          <t>Not signed off</t>
        </is>
      </c>
      <c r="L32" s="63" t="inlineStr">
        <is>
          <t>Not signed off</t>
        </is>
      </c>
      <c r="M32" s="63" t="inlineStr">
        <is>
          <t>Not signed off</t>
        </is>
      </c>
      <c r="N32" s="63" t="inlineStr">
        <is>
          <t>Not signed off</t>
        </is>
      </c>
      <c r="O32" s="63" t="inlineStr">
        <is>
          <t>Not signed off</t>
        </is>
      </c>
      <c r="P32" s="63" t="inlineStr">
        <is>
          <t>Not signed off</t>
        </is>
      </c>
      <c r="Q32" s="63" t="inlineStr">
        <is>
          <t>Not signed off</t>
        </is>
      </c>
      <c r="R32" s="63" t="inlineStr">
        <is>
          <t>Not signed off</t>
        </is>
      </c>
      <c r="S32" s="63" t="inlineStr">
        <is>
          <t>Not signed off</t>
        </is>
      </c>
    </row>
    <row r="33" ht="22" customHeight="1">
      <c r="A33" s="32" t="inlineStr"/>
      <c r="B33" s="28" t="inlineStr">
        <is>
          <t>page-33</t>
        </is>
      </c>
      <c r="C33" s="28" t="inlineStr"/>
      <c r="D33" s="28" t="inlineStr">
        <is>
          <t>https://africanmarketingconfederation.org/smoke-archive/page-33</t>
        </is>
      </c>
      <c r="E33" s="28" t="inlineStr"/>
      <c r="F33" s="62" t="inlineStr">
        <is>
          <t>Not signed off</t>
        </is>
      </c>
      <c r="G33" s="62" t="inlineStr">
        <is>
          <t>Not signed off</t>
        </is>
      </c>
      <c r="H33" s="62" t="inlineStr">
        <is>
          <t>Not signed off</t>
        </is>
      </c>
      <c r="I33" s="62" t="inlineStr">
        <is>
          <t>Not signed off</t>
        </is>
      </c>
      <c r="J33" s="62" t="inlineStr">
        <is>
          <t>Not signed off</t>
        </is>
      </c>
      <c r="K33" s="62" t="inlineStr">
        <is>
          <t>Not signed off</t>
        </is>
      </c>
      <c r="L33" s="62" t="inlineStr">
        <is>
          <t>Not signed off</t>
        </is>
      </c>
      <c r="M33" s="62" t="inlineStr">
        <is>
          <t>Not signed off</t>
        </is>
      </c>
      <c r="N33" s="62" t="inlineStr">
        <is>
          <t>Not signed off</t>
        </is>
      </c>
      <c r="O33" s="62" t="inlineStr">
        <is>
          <t>Not signed off</t>
        </is>
      </c>
      <c r="P33" s="62" t="inlineStr">
        <is>
          <t>Not signed off</t>
        </is>
      </c>
      <c r="Q33" s="62" t="inlineStr">
        <is>
          <t>Not signed off</t>
        </is>
      </c>
      <c r="R33" s="62" t="inlineStr">
        <is>
          <t>Not signed off</t>
        </is>
      </c>
      <c r="S33" s="62" t="inlineStr">
        <is>
          <t>Not signed off</t>
        </is>
      </c>
    </row>
    <row r="34" ht="22" customHeight="1">
      <c r="A34" s="32" t="inlineStr"/>
      <c r="B34" s="30" t="inlineStr">
        <is>
          <t>page-34</t>
        </is>
      </c>
      <c r="C34" s="30" t="inlineStr"/>
      <c r="D34" s="30" t="inlineStr">
        <is>
          <t>https://africanmarketingconfederation.org/smoke-archive/page-34</t>
        </is>
      </c>
      <c r="E34" s="30" t="inlineStr"/>
      <c r="F34" s="63" t="inlineStr">
        <is>
          <t>Not signed off</t>
        </is>
      </c>
      <c r="G34" s="63" t="inlineStr">
        <is>
          <t>Not signed off</t>
        </is>
      </c>
      <c r="H34" s="63" t="inlineStr">
        <is>
          <t>Not signed off</t>
        </is>
      </c>
      <c r="I34" s="63" t="inlineStr">
        <is>
          <t>Not signed off</t>
        </is>
      </c>
      <c r="J34" s="63" t="inlineStr">
        <is>
          <t>Not signed off</t>
        </is>
      </c>
      <c r="K34" s="63" t="inlineStr">
        <is>
          <t>Not signed off</t>
        </is>
      </c>
      <c r="L34" s="63" t="inlineStr">
        <is>
          <t>Not signed off</t>
        </is>
      </c>
      <c r="M34" s="63" t="inlineStr">
        <is>
          <t>Not signed off</t>
        </is>
      </c>
      <c r="N34" s="63" t="inlineStr">
        <is>
          <t>Not signed off</t>
        </is>
      </c>
      <c r="O34" s="63" t="inlineStr">
        <is>
          <t>Not signed off</t>
        </is>
      </c>
      <c r="P34" s="63" t="inlineStr">
        <is>
          <t>Not signed off</t>
        </is>
      </c>
      <c r="Q34" s="63" t="inlineStr">
        <is>
          <t>Not signed off</t>
        </is>
      </c>
      <c r="R34" s="63" t="inlineStr">
        <is>
          <t>Not signed off</t>
        </is>
      </c>
      <c r="S34" s="63" t="inlineStr">
        <is>
          <t>Not signed off</t>
        </is>
      </c>
    </row>
    <row r="35" ht="22" customHeight="1">
      <c r="A35" s="32" t="inlineStr"/>
      <c r="B35" s="28" t="inlineStr">
        <is>
          <t>page-35</t>
        </is>
      </c>
      <c r="C35" s="28" t="inlineStr"/>
      <c r="D35" s="28" t="inlineStr">
        <is>
          <t>https://africanmarketingconfederation.org/smoke-archive/page-35</t>
        </is>
      </c>
      <c r="E35" s="28" t="inlineStr"/>
      <c r="F35" s="62" t="inlineStr">
        <is>
          <t>Not signed off</t>
        </is>
      </c>
      <c r="G35" s="62" t="inlineStr">
        <is>
          <t>Not signed off</t>
        </is>
      </c>
      <c r="H35" s="62" t="inlineStr">
        <is>
          <t>Not signed off</t>
        </is>
      </c>
      <c r="I35" s="62" t="inlineStr">
        <is>
          <t>Not signed off</t>
        </is>
      </c>
      <c r="J35" s="62" t="inlineStr">
        <is>
          <t>Not signed off</t>
        </is>
      </c>
      <c r="K35" s="62" t="inlineStr">
        <is>
          <t>Not signed off</t>
        </is>
      </c>
      <c r="L35" s="62" t="inlineStr">
        <is>
          <t>Not signed off</t>
        </is>
      </c>
      <c r="M35" s="62" t="inlineStr">
        <is>
          <t>Not signed off</t>
        </is>
      </c>
      <c r="N35" s="62" t="inlineStr">
        <is>
          <t>Not signed off</t>
        </is>
      </c>
      <c r="O35" s="62" t="inlineStr">
        <is>
          <t>Not signed off</t>
        </is>
      </c>
      <c r="P35" s="62" t="inlineStr">
        <is>
          <t>Not signed off</t>
        </is>
      </c>
      <c r="Q35" s="62" t="inlineStr">
        <is>
          <t>Not signed off</t>
        </is>
      </c>
      <c r="R35" s="62" t="inlineStr">
        <is>
          <t>Not signed off</t>
        </is>
      </c>
      <c r="S35" s="62" t="inlineStr">
        <is>
          <t>Not signed off</t>
        </is>
      </c>
    </row>
    <row r="36" ht="22" customHeight="1">
      <c r="A36" s="32" t="inlineStr"/>
      <c r="B36" s="30" t="inlineStr">
        <is>
          <t>page-36</t>
        </is>
      </c>
      <c r="C36" s="30" t="inlineStr"/>
      <c r="D36" s="30" t="inlineStr">
        <is>
          <t>https://africanmarketingconfederation.org/smoke-archive/page-36</t>
        </is>
      </c>
      <c r="E36" s="30" t="inlineStr"/>
      <c r="F36" s="63" t="inlineStr">
        <is>
          <t>Not signed off</t>
        </is>
      </c>
      <c r="G36" s="63" t="inlineStr">
        <is>
          <t>Not signed off</t>
        </is>
      </c>
      <c r="H36" s="63" t="inlineStr">
        <is>
          <t>Not signed off</t>
        </is>
      </c>
      <c r="I36" s="63" t="inlineStr">
        <is>
          <t>Not signed off</t>
        </is>
      </c>
      <c r="J36" s="63" t="inlineStr">
        <is>
          <t>Not signed off</t>
        </is>
      </c>
      <c r="K36" s="63" t="inlineStr">
        <is>
          <t>Not signed off</t>
        </is>
      </c>
      <c r="L36" s="63" t="inlineStr">
        <is>
          <t>Not signed off</t>
        </is>
      </c>
      <c r="M36" s="63" t="inlineStr">
        <is>
          <t>Not signed off</t>
        </is>
      </c>
      <c r="N36" s="63" t="inlineStr">
        <is>
          <t>Not signed off</t>
        </is>
      </c>
      <c r="O36" s="63" t="inlineStr">
        <is>
          <t>Not signed off</t>
        </is>
      </c>
      <c r="P36" s="63" t="inlineStr">
        <is>
          <t>Not signed off</t>
        </is>
      </c>
      <c r="Q36" s="63" t="inlineStr">
        <is>
          <t>Not signed off</t>
        </is>
      </c>
      <c r="R36" s="63" t="inlineStr">
        <is>
          <t>Not signed off</t>
        </is>
      </c>
      <c r="S36" s="63" t="inlineStr">
        <is>
          <t>Not signed off</t>
        </is>
      </c>
    </row>
    <row r="37" ht="22" customHeight="1">
      <c r="A37" s="32" t="inlineStr"/>
      <c r="B37" s="28" t="inlineStr">
        <is>
          <t>page-37</t>
        </is>
      </c>
      <c r="C37" s="28" t="inlineStr"/>
      <c r="D37" s="28" t="inlineStr">
        <is>
          <t>https://africanmarketingconfederation.org/smoke-archive/page-37</t>
        </is>
      </c>
      <c r="E37" s="28" t="inlineStr"/>
      <c r="F37" s="62" t="inlineStr">
        <is>
          <t>Not signed off</t>
        </is>
      </c>
      <c r="G37" s="62" t="inlineStr">
        <is>
          <t>Not signed off</t>
        </is>
      </c>
      <c r="H37" s="62" t="inlineStr">
        <is>
          <t>Not signed off</t>
        </is>
      </c>
      <c r="I37" s="62" t="inlineStr">
        <is>
          <t>Not signed off</t>
        </is>
      </c>
      <c r="J37" s="62" t="inlineStr">
        <is>
          <t>Not signed off</t>
        </is>
      </c>
      <c r="K37" s="62" t="inlineStr">
        <is>
          <t>Not signed off</t>
        </is>
      </c>
      <c r="L37" s="62" t="inlineStr">
        <is>
          <t>Not signed off</t>
        </is>
      </c>
      <c r="M37" s="62" t="inlineStr">
        <is>
          <t>Not signed off</t>
        </is>
      </c>
      <c r="N37" s="62" t="inlineStr">
        <is>
          <t>Not signed off</t>
        </is>
      </c>
      <c r="O37" s="62" t="inlineStr">
        <is>
          <t>Not signed off</t>
        </is>
      </c>
      <c r="P37" s="62" t="inlineStr">
        <is>
          <t>Not signed off</t>
        </is>
      </c>
      <c r="Q37" s="62" t="inlineStr">
        <is>
          <t>Not signed off</t>
        </is>
      </c>
      <c r="R37" s="62" t="inlineStr">
        <is>
          <t>Not signed off</t>
        </is>
      </c>
      <c r="S37" s="62" t="inlineStr">
        <is>
          <t>Not signed off</t>
        </is>
      </c>
    </row>
    <row r="38" ht="22" customHeight="1">
      <c r="A38" s="32" t="inlineStr"/>
      <c r="B38" s="30" t="inlineStr">
        <is>
          <t>page-38</t>
        </is>
      </c>
      <c r="C38" s="30" t="inlineStr"/>
      <c r="D38" s="30" t="inlineStr">
        <is>
          <t>https://africanmarketingconfederation.org/smoke-archive/page-38</t>
        </is>
      </c>
      <c r="E38" s="30" t="inlineStr"/>
      <c r="F38" s="63" t="inlineStr">
        <is>
          <t>Not signed off</t>
        </is>
      </c>
      <c r="G38" s="63" t="inlineStr">
        <is>
          <t>Not signed off</t>
        </is>
      </c>
      <c r="H38" s="63" t="inlineStr">
        <is>
          <t>Not signed off</t>
        </is>
      </c>
      <c r="I38" s="63" t="inlineStr">
        <is>
          <t>Not signed off</t>
        </is>
      </c>
      <c r="J38" s="63" t="inlineStr">
        <is>
          <t>Not signed off</t>
        </is>
      </c>
      <c r="K38" s="63" t="inlineStr">
        <is>
          <t>Not signed off</t>
        </is>
      </c>
      <c r="L38" s="63" t="inlineStr">
        <is>
          <t>Not signed off</t>
        </is>
      </c>
      <c r="M38" s="63" t="inlineStr">
        <is>
          <t>Not signed off</t>
        </is>
      </c>
      <c r="N38" s="63" t="inlineStr">
        <is>
          <t>Not signed off</t>
        </is>
      </c>
      <c r="O38" s="63" t="inlineStr">
        <is>
          <t>Not signed off</t>
        </is>
      </c>
      <c r="P38" s="63" t="inlineStr">
        <is>
          <t>Not signed off</t>
        </is>
      </c>
      <c r="Q38" s="63" t="inlineStr">
        <is>
          <t>Not signed off</t>
        </is>
      </c>
      <c r="R38" s="63" t="inlineStr">
        <is>
          <t>Not signed off</t>
        </is>
      </c>
      <c r="S38" s="63" t="inlineStr">
        <is>
          <t>Not signed off</t>
        </is>
      </c>
    </row>
    <row r="39" ht="22" customHeight="1">
      <c r="A39" s="32" t="inlineStr"/>
      <c r="B39" s="28" t="inlineStr">
        <is>
          <t>page-39</t>
        </is>
      </c>
      <c r="C39" s="28" t="inlineStr"/>
      <c r="D39" s="28" t="inlineStr">
        <is>
          <t>https://africanmarketingconfederation.org/smoke-archive/page-39</t>
        </is>
      </c>
      <c r="E39" s="28" t="inlineStr"/>
      <c r="F39" s="62" t="inlineStr">
        <is>
          <t>Not signed off</t>
        </is>
      </c>
      <c r="G39" s="62" t="inlineStr">
        <is>
          <t>Not signed off</t>
        </is>
      </c>
      <c r="H39" s="62" t="inlineStr">
        <is>
          <t>Not signed off</t>
        </is>
      </c>
      <c r="I39" s="62" t="inlineStr">
        <is>
          <t>Not signed off</t>
        </is>
      </c>
      <c r="J39" s="62" t="inlineStr">
        <is>
          <t>Not signed off</t>
        </is>
      </c>
      <c r="K39" s="62" t="inlineStr">
        <is>
          <t>Not signed off</t>
        </is>
      </c>
      <c r="L39" s="62" t="inlineStr">
        <is>
          <t>Not signed off</t>
        </is>
      </c>
      <c r="M39" s="62" t="inlineStr">
        <is>
          <t>Not signed off</t>
        </is>
      </c>
      <c r="N39" s="62" t="inlineStr">
        <is>
          <t>Not signed off</t>
        </is>
      </c>
      <c r="O39" s="62" t="inlineStr">
        <is>
          <t>Not signed off</t>
        </is>
      </c>
      <c r="P39" s="62" t="inlineStr">
        <is>
          <t>Not signed off</t>
        </is>
      </c>
      <c r="Q39" s="62" t="inlineStr">
        <is>
          <t>Not signed off</t>
        </is>
      </c>
      <c r="R39" s="62" t="inlineStr">
        <is>
          <t>Not signed off</t>
        </is>
      </c>
      <c r="S39" s="62" t="inlineStr">
        <is>
          <t>Not signed off</t>
        </is>
      </c>
    </row>
    <row r="40" ht="22" customHeight="1">
      <c r="A40" s="32" t="inlineStr"/>
      <c r="B40" s="30" t="inlineStr">
        <is>
          <t>page-4</t>
        </is>
      </c>
      <c r="C40" s="30" t="inlineStr"/>
      <c r="D40" s="30" t="inlineStr">
        <is>
          <t>https://africanmarketingconfederation.org/smoke-archive/page-4</t>
        </is>
      </c>
      <c r="E40" s="30" t="inlineStr"/>
      <c r="F40" s="63" t="inlineStr">
        <is>
          <t>Not signed off</t>
        </is>
      </c>
      <c r="G40" s="63" t="inlineStr">
        <is>
          <t>Not signed off</t>
        </is>
      </c>
      <c r="H40" s="63" t="inlineStr">
        <is>
          <t>Not signed off</t>
        </is>
      </c>
      <c r="I40" s="63" t="inlineStr">
        <is>
          <t>Not signed off</t>
        </is>
      </c>
      <c r="J40" s="63" t="inlineStr">
        <is>
          <t>Not signed off</t>
        </is>
      </c>
      <c r="K40" s="63" t="inlineStr">
        <is>
          <t>Not signed off</t>
        </is>
      </c>
      <c r="L40" s="63" t="inlineStr">
        <is>
          <t>Not signed off</t>
        </is>
      </c>
      <c r="M40" s="63" t="inlineStr">
        <is>
          <t>Not signed off</t>
        </is>
      </c>
      <c r="N40" s="63" t="inlineStr">
        <is>
          <t>Not signed off</t>
        </is>
      </c>
      <c r="O40" s="63" t="inlineStr">
        <is>
          <t>Not signed off</t>
        </is>
      </c>
      <c r="P40" s="63" t="inlineStr">
        <is>
          <t>Not signed off</t>
        </is>
      </c>
      <c r="Q40" s="63" t="inlineStr">
        <is>
          <t>Not signed off</t>
        </is>
      </c>
      <c r="R40" s="63" t="inlineStr">
        <is>
          <t>Not signed off</t>
        </is>
      </c>
      <c r="S40" s="63" t="inlineStr">
        <is>
          <t>Not signed off</t>
        </is>
      </c>
    </row>
    <row r="41" ht="22" customHeight="1">
      <c r="A41" s="32" t="inlineStr"/>
      <c r="B41" s="28" t="inlineStr">
        <is>
          <t>page-40</t>
        </is>
      </c>
      <c r="C41" s="28" t="inlineStr"/>
      <c r="D41" s="28" t="inlineStr">
        <is>
          <t>https://africanmarketingconfederation.org/smoke-archive/page-40</t>
        </is>
      </c>
      <c r="E41" s="28" t="inlineStr"/>
      <c r="F41" s="62" t="inlineStr">
        <is>
          <t>Not signed off</t>
        </is>
      </c>
      <c r="G41" s="62" t="inlineStr">
        <is>
          <t>Not signed off</t>
        </is>
      </c>
      <c r="H41" s="62" t="inlineStr">
        <is>
          <t>Not signed off</t>
        </is>
      </c>
      <c r="I41" s="62" t="inlineStr">
        <is>
          <t>Not signed off</t>
        </is>
      </c>
      <c r="J41" s="62" t="inlineStr">
        <is>
          <t>Not signed off</t>
        </is>
      </c>
      <c r="K41" s="62" t="inlineStr">
        <is>
          <t>Not signed off</t>
        </is>
      </c>
      <c r="L41" s="62" t="inlineStr">
        <is>
          <t>Not signed off</t>
        </is>
      </c>
      <c r="M41" s="62" t="inlineStr">
        <is>
          <t>Not signed off</t>
        </is>
      </c>
      <c r="N41" s="62" t="inlineStr">
        <is>
          <t>Not signed off</t>
        </is>
      </c>
      <c r="O41" s="62" t="inlineStr">
        <is>
          <t>Not signed off</t>
        </is>
      </c>
      <c r="P41" s="62" t="inlineStr">
        <is>
          <t>Not signed off</t>
        </is>
      </c>
      <c r="Q41" s="62" t="inlineStr">
        <is>
          <t>Not signed off</t>
        </is>
      </c>
      <c r="R41" s="62" t="inlineStr">
        <is>
          <t>Not signed off</t>
        </is>
      </c>
      <c r="S41" s="62" t="inlineStr">
        <is>
          <t>Not signed off</t>
        </is>
      </c>
    </row>
    <row r="42" ht="22" customHeight="1">
      <c r="A42" s="32" t="inlineStr"/>
      <c r="B42" s="30" t="inlineStr">
        <is>
          <t>page-41</t>
        </is>
      </c>
      <c r="C42" s="30" t="inlineStr"/>
      <c r="D42" s="30" t="inlineStr">
        <is>
          <t>https://africanmarketingconfederation.org/smoke-archive/page-41</t>
        </is>
      </c>
      <c r="E42" s="30" t="inlineStr"/>
      <c r="F42" s="63" t="inlineStr">
        <is>
          <t>Not signed off</t>
        </is>
      </c>
      <c r="G42" s="63" t="inlineStr">
        <is>
          <t>Not signed off</t>
        </is>
      </c>
      <c r="H42" s="63" t="inlineStr">
        <is>
          <t>Not signed off</t>
        </is>
      </c>
      <c r="I42" s="63" t="inlineStr">
        <is>
          <t>Not signed off</t>
        </is>
      </c>
      <c r="J42" s="63" t="inlineStr">
        <is>
          <t>Not signed off</t>
        </is>
      </c>
      <c r="K42" s="63" t="inlineStr">
        <is>
          <t>Not signed off</t>
        </is>
      </c>
      <c r="L42" s="63" t="inlineStr">
        <is>
          <t>Not signed off</t>
        </is>
      </c>
      <c r="M42" s="63" t="inlineStr">
        <is>
          <t>Not signed off</t>
        </is>
      </c>
      <c r="N42" s="63" t="inlineStr">
        <is>
          <t>Not signed off</t>
        </is>
      </c>
      <c r="O42" s="63" t="inlineStr">
        <is>
          <t>Not signed off</t>
        </is>
      </c>
      <c r="P42" s="63" t="inlineStr">
        <is>
          <t>Not signed off</t>
        </is>
      </c>
      <c r="Q42" s="63" t="inlineStr">
        <is>
          <t>Not signed off</t>
        </is>
      </c>
      <c r="R42" s="63" t="inlineStr">
        <is>
          <t>Not signed off</t>
        </is>
      </c>
      <c r="S42" s="63" t="inlineStr">
        <is>
          <t>Not signed off</t>
        </is>
      </c>
    </row>
    <row r="43" ht="22" customHeight="1">
      <c r="A43" s="32" t="inlineStr"/>
      <c r="B43" s="28" t="inlineStr">
        <is>
          <t>page-42</t>
        </is>
      </c>
      <c r="C43" s="28" t="inlineStr"/>
      <c r="D43" s="28" t="inlineStr">
        <is>
          <t>https://africanmarketingconfederation.org/smoke-archive/page-42</t>
        </is>
      </c>
      <c r="E43" s="28" t="inlineStr"/>
      <c r="F43" s="62" t="inlineStr">
        <is>
          <t>Not signed off</t>
        </is>
      </c>
      <c r="G43" s="62" t="inlineStr">
        <is>
          <t>Not signed off</t>
        </is>
      </c>
      <c r="H43" s="62" t="inlineStr">
        <is>
          <t>Not signed off</t>
        </is>
      </c>
      <c r="I43" s="62" t="inlineStr">
        <is>
          <t>Not signed off</t>
        </is>
      </c>
      <c r="J43" s="62" t="inlineStr">
        <is>
          <t>Not signed off</t>
        </is>
      </c>
      <c r="K43" s="62" t="inlineStr">
        <is>
          <t>Not signed off</t>
        </is>
      </c>
      <c r="L43" s="62" t="inlineStr">
        <is>
          <t>Not signed off</t>
        </is>
      </c>
      <c r="M43" s="62" t="inlineStr">
        <is>
          <t>Not signed off</t>
        </is>
      </c>
      <c r="N43" s="62" t="inlineStr">
        <is>
          <t>Not signed off</t>
        </is>
      </c>
      <c r="O43" s="62" t="inlineStr">
        <is>
          <t>Not signed off</t>
        </is>
      </c>
      <c r="P43" s="62" t="inlineStr">
        <is>
          <t>Not signed off</t>
        </is>
      </c>
      <c r="Q43" s="62" t="inlineStr">
        <is>
          <t>Not signed off</t>
        </is>
      </c>
      <c r="R43" s="62" t="inlineStr">
        <is>
          <t>Not signed off</t>
        </is>
      </c>
      <c r="S43" s="62" t="inlineStr">
        <is>
          <t>Not signed off</t>
        </is>
      </c>
    </row>
    <row r="44" ht="22" customHeight="1">
      <c r="A44" s="32" t="inlineStr"/>
      <c r="B44" s="30" t="inlineStr">
        <is>
          <t>page-43</t>
        </is>
      </c>
      <c r="C44" s="30" t="inlineStr"/>
      <c r="D44" s="30" t="inlineStr">
        <is>
          <t>https://africanmarketingconfederation.org/smoke-archive/page-43</t>
        </is>
      </c>
      <c r="E44" s="30" t="inlineStr"/>
      <c r="F44" s="63" t="inlineStr">
        <is>
          <t>Not signed off</t>
        </is>
      </c>
      <c r="G44" s="63" t="inlineStr">
        <is>
          <t>Not signed off</t>
        </is>
      </c>
      <c r="H44" s="63" t="inlineStr">
        <is>
          <t>Not signed off</t>
        </is>
      </c>
      <c r="I44" s="63" t="inlineStr">
        <is>
          <t>Not signed off</t>
        </is>
      </c>
      <c r="J44" s="63" t="inlineStr">
        <is>
          <t>Not signed off</t>
        </is>
      </c>
      <c r="K44" s="63" t="inlineStr">
        <is>
          <t>Not signed off</t>
        </is>
      </c>
      <c r="L44" s="63" t="inlineStr">
        <is>
          <t>Not signed off</t>
        </is>
      </c>
      <c r="M44" s="63" t="inlineStr">
        <is>
          <t>Not signed off</t>
        </is>
      </c>
      <c r="N44" s="63" t="inlineStr">
        <is>
          <t>Not signed off</t>
        </is>
      </c>
      <c r="O44" s="63" t="inlineStr">
        <is>
          <t>Not signed off</t>
        </is>
      </c>
      <c r="P44" s="63" t="inlineStr">
        <is>
          <t>Not signed off</t>
        </is>
      </c>
      <c r="Q44" s="63" t="inlineStr">
        <is>
          <t>Not signed off</t>
        </is>
      </c>
      <c r="R44" s="63" t="inlineStr">
        <is>
          <t>Not signed off</t>
        </is>
      </c>
      <c r="S44" s="63" t="inlineStr">
        <is>
          <t>Not signed off</t>
        </is>
      </c>
    </row>
    <row r="45" ht="22" customHeight="1">
      <c r="A45" s="32" t="inlineStr"/>
      <c r="B45" s="28" t="inlineStr">
        <is>
          <t>page-44</t>
        </is>
      </c>
      <c r="C45" s="28" t="inlineStr"/>
      <c r="D45" s="28" t="inlineStr">
        <is>
          <t>https://africanmarketingconfederation.org/smoke-archive/page-44</t>
        </is>
      </c>
      <c r="E45" s="28" t="inlineStr"/>
      <c r="F45" s="62" t="inlineStr">
        <is>
          <t>Not signed off</t>
        </is>
      </c>
      <c r="G45" s="62" t="inlineStr">
        <is>
          <t>Not signed off</t>
        </is>
      </c>
      <c r="H45" s="62" t="inlineStr">
        <is>
          <t>Not signed off</t>
        </is>
      </c>
      <c r="I45" s="62" t="inlineStr">
        <is>
          <t>Not signed off</t>
        </is>
      </c>
      <c r="J45" s="62" t="inlineStr">
        <is>
          <t>Not signed off</t>
        </is>
      </c>
      <c r="K45" s="62" t="inlineStr">
        <is>
          <t>Not signed off</t>
        </is>
      </c>
      <c r="L45" s="62" t="inlineStr">
        <is>
          <t>Not signed off</t>
        </is>
      </c>
      <c r="M45" s="62" t="inlineStr">
        <is>
          <t>Not signed off</t>
        </is>
      </c>
      <c r="N45" s="62" t="inlineStr">
        <is>
          <t>Not signed off</t>
        </is>
      </c>
      <c r="O45" s="62" t="inlineStr">
        <is>
          <t>Not signed off</t>
        </is>
      </c>
      <c r="P45" s="62" t="inlineStr">
        <is>
          <t>Not signed off</t>
        </is>
      </c>
      <c r="Q45" s="62" t="inlineStr">
        <is>
          <t>Not signed off</t>
        </is>
      </c>
      <c r="R45" s="62" t="inlineStr">
        <is>
          <t>Not signed off</t>
        </is>
      </c>
      <c r="S45" s="62" t="inlineStr">
        <is>
          <t>Not signed off</t>
        </is>
      </c>
    </row>
    <row r="46" ht="22" customHeight="1">
      <c r="A46" s="32" t="inlineStr"/>
      <c r="B46" s="30" t="inlineStr">
        <is>
          <t>page-45</t>
        </is>
      </c>
      <c r="C46" s="30" t="inlineStr"/>
      <c r="D46" s="30" t="inlineStr">
        <is>
          <t>https://africanmarketingconfederation.org/smoke-archive/page-45</t>
        </is>
      </c>
      <c r="E46" s="30" t="inlineStr"/>
      <c r="F46" s="63" t="inlineStr">
        <is>
          <t>Not signed off</t>
        </is>
      </c>
      <c r="G46" s="63" t="inlineStr">
        <is>
          <t>Not signed off</t>
        </is>
      </c>
      <c r="H46" s="63" t="inlineStr">
        <is>
          <t>Not signed off</t>
        </is>
      </c>
      <c r="I46" s="63" t="inlineStr">
        <is>
          <t>Not signed off</t>
        </is>
      </c>
      <c r="J46" s="63" t="inlineStr">
        <is>
          <t>Not signed off</t>
        </is>
      </c>
      <c r="K46" s="63" t="inlineStr">
        <is>
          <t>Not signed off</t>
        </is>
      </c>
      <c r="L46" s="63" t="inlineStr">
        <is>
          <t>Not signed off</t>
        </is>
      </c>
      <c r="M46" s="63" t="inlineStr">
        <is>
          <t>Not signed off</t>
        </is>
      </c>
      <c r="N46" s="63" t="inlineStr">
        <is>
          <t>Not signed off</t>
        </is>
      </c>
      <c r="O46" s="63" t="inlineStr">
        <is>
          <t>Not signed off</t>
        </is>
      </c>
      <c r="P46" s="63" t="inlineStr">
        <is>
          <t>Not signed off</t>
        </is>
      </c>
      <c r="Q46" s="63" t="inlineStr">
        <is>
          <t>Not signed off</t>
        </is>
      </c>
      <c r="R46" s="63" t="inlineStr">
        <is>
          <t>Not signed off</t>
        </is>
      </c>
      <c r="S46" s="63" t="inlineStr">
        <is>
          <t>Not signed off</t>
        </is>
      </c>
    </row>
    <row r="47" ht="22" customHeight="1">
      <c r="A47" s="32" t="inlineStr"/>
      <c r="B47" s="28" t="inlineStr">
        <is>
          <t>page-46</t>
        </is>
      </c>
      <c r="C47" s="28" t="inlineStr"/>
      <c r="D47" s="28" t="inlineStr">
        <is>
          <t>https://africanmarketingconfederation.org/smoke-archive/page-46</t>
        </is>
      </c>
      <c r="E47" s="28" t="inlineStr"/>
      <c r="F47" s="62" t="inlineStr">
        <is>
          <t>Not signed off</t>
        </is>
      </c>
      <c r="G47" s="62" t="inlineStr">
        <is>
          <t>Not signed off</t>
        </is>
      </c>
      <c r="H47" s="62" t="inlineStr">
        <is>
          <t>Not signed off</t>
        </is>
      </c>
      <c r="I47" s="62" t="inlineStr">
        <is>
          <t>Not signed off</t>
        </is>
      </c>
      <c r="J47" s="62" t="inlineStr">
        <is>
          <t>Not signed off</t>
        </is>
      </c>
      <c r="K47" s="62" t="inlineStr">
        <is>
          <t>Not signed off</t>
        </is>
      </c>
      <c r="L47" s="62" t="inlineStr">
        <is>
          <t>Not signed off</t>
        </is>
      </c>
      <c r="M47" s="62" t="inlineStr">
        <is>
          <t>Not signed off</t>
        </is>
      </c>
      <c r="N47" s="62" t="inlineStr">
        <is>
          <t>Not signed off</t>
        </is>
      </c>
      <c r="O47" s="62" t="inlineStr">
        <is>
          <t>Not signed off</t>
        </is>
      </c>
      <c r="P47" s="62" t="inlineStr">
        <is>
          <t>Not signed off</t>
        </is>
      </c>
      <c r="Q47" s="62" t="inlineStr">
        <is>
          <t>Not signed off</t>
        </is>
      </c>
      <c r="R47" s="62" t="inlineStr">
        <is>
          <t>Not signed off</t>
        </is>
      </c>
      <c r="S47" s="62" t="inlineStr">
        <is>
          <t>Not signed off</t>
        </is>
      </c>
    </row>
    <row r="48" ht="22" customHeight="1">
      <c r="A48" s="32" t="inlineStr"/>
      <c r="B48" s="30" t="inlineStr">
        <is>
          <t>page-47</t>
        </is>
      </c>
      <c r="C48" s="30" t="inlineStr"/>
      <c r="D48" s="30" t="inlineStr">
        <is>
          <t>https://africanmarketingconfederation.org/smoke-archive/page-47</t>
        </is>
      </c>
      <c r="E48" s="30" t="inlineStr"/>
      <c r="F48" s="63" t="inlineStr">
        <is>
          <t>Not signed off</t>
        </is>
      </c>
      <c r="G48" s="63" t="inlineStr">
        <is>
          <t>Not signed off</t>
        </is>
      </c>
      <c r="H48" s="63" t="inlineStr">
        <is>
          <t>Not signed off</t>
        </is>
      </c>
      <c r="I48" s="63" t="inlineStr">
        <is>
          <t>Not signed off</t>
        </is>
      </c>
      <c r="J48" s="63" t="inlineStr">
        <is>
          <t>Not signed off</t>
        </is>
      </c>
      <c r="K48" s="63" t="inlineStr">
        <is>
          <t>Not signed off</t>
        </is>
      </c>
      <c r="L48" s="63" t="inlineStr">
        <is>
          <t>Not signed off</t>
        </is>
      </c>
      <c r="M48" s="63" t="inlineStr">
        <is>
          <t>Not signed off</t>
        </is>
      </c>
      <c r="N48" s="63" t="inlineStr">
        <is>
          <t>Not signed off</t>
        </is>
      </c>
      <c r="O48" s="63" t="inlineStr">
        <is>
          <t>Not signed off</t>
        </is>
      </c>
      <c r="P48" s="63" t="inlineStr">
        <is>
          <t>Not signed off</t>
        </is>
      </c>
      <c r="Q48" s="63" t="inlineStr">
        <is>
          <t>Not signed off</t>
        </is>
      </c>
      <c r="R48" s="63" t="inlineStr">
        <is>
          <t>Not signed off</t>
        </is>
      </c>
      <c r="S48" s="63" t="inlineStr">
        <is>
          <t>Not signed off</t>
        </is>
      </c>
    </row>
    <row r="49" ht="22" customHeight="1">
      <c r="A49" s="32" t="inlineStr"/>
      <c r="B49" s="28" t="inlineStr">
        <is>
          <t>page-48</t>
        </is>
      </c>
      <c r="C49" s="28" t="inlineStr"/>
      <c r="D49" s="28" t="inlineStr">
        <is>
          <t>https://africanmarketingconfederation.org/smoke-archive/page-48</t>
        </is>
      </c>
      <c r="E49" s="28" t="inlineStr"/>
      <c r="F49" s="62" t="inlineStr">
        <is>
          <t>Not signed off</t>
        </is>
      </c>
      <c r="G49" s="62" t="inlineStr">
        <is>
          <t>Not signed off</t>
        </is>
      </c>
      <c r="H49" s="62" t="inlineStr">
        <is>
          <t>Not signed off</t>
        </is>
      </c>
      <c r="I49" s="62" t="inlineStr">
        <is>
          <t>Not signed off</t>
        </is>
      </c>
      <c r="J49" s="62" t="inlineStr">
        <is>
          <t>Not signed off</t>
        </is>
      </c>
      <c r="K49" s="62" t="inlineStr">
        <is>
          <t>Not signed off</t>
        </is>
      </c>
      <c r="L49" s="62" t="inlineStr">
        <is>
          <t>Not signed off</t>
        </is>
      </c>
      <c r="M49" s="62" t="inlineStr">
        <is>
          <t>Not signed off</t>
        </is>
      </c>
      <c r="N49" s="62" t="inlineStr">
        <is>
          <t>Not signed off</t>
        </is>
      </c>
      <c r="O49" s="62" t="inlineStr">
        <is>
          <t>Not signed off</t>
        </is>
      </c>
      <c r="P49" s="62" t="inlineStr">
        <is>
          <t>Not signed off</t>
        </is>
      </c>
      <c r="Q49" s="62" t="inlineStr">
        <is>
          <t>Not signed off</t>
        </is>
      </c>
      <c r="R49" s="62" t="inlineStr">
        <is>
          <t>Not signed off</t>
        </is>
      </c>
      <c r="S49" s="62" t="inlineStr">
        <is>
          <t>Not signed off</t>
        </is>
      </c>
    </row>
    <row r="50" ht="22" customHeight="1">
      <c r="A50" s="32" t="inlineStr"/>
      <c r="B50" s="30" t="inlineStr">
        <is>
          <t>page-49</t>
        </is>
      </c>
      <c r="C50" s="30" t="inlineStr"/>
      <c r="D50" s="30" t="inlineStr">
        <is>
          <t>https://africanmarketingconfederation.org/smoke-archive/page-49</t>
        </is>
      </c>
      <c r="E50" s="30" t="inlineStr"/>
      <c r="F50" s="63" t="inlineStr">
        <is>
          <t>Not signed off</t>
        </is>
      </c>
      <c r="G50" s="63" t="inlineStr">
        <is>
          <t>Not signed off</t>
        </is>
      </c>
      <c r="H50" s="63" t="inlineStr">
        <is>
          <t>Not signed off</t>
        </is>
      </c>
      <c r="I50" s="63" t="inlineStr">
        <is>
          <t>Not signed off</t>
        </is>
      </c>
      <c r="J50" s="63" t="inlineStr">
        <is>
          <t>Not signed off</t>
        </is>
      </c>
      <c r="K50" s="63" t="inlineStr">
        <is>
          <t>Not signed off</t>
        </is>
      </c>
      <c r="L50" s="63" t="inlineStr">
        <is>
          <t>Not signed off</t>
        </is>
      </c>
      <c r="M50" s="63" t="inlineStr">
        <is>
          <t>Not signed off</t>
        </is>
      </c>
      <c r="N50" s="63" t="inlineStr">
        <is>
          <t>Not signed off</t>
        </is>
      </c>
      <c r="O50" s="63" t="inlineStr">
        <is>
          <t>Not signed off</t>
        </is>
      </c>
      <c r="P50" s="63" t="inlineStr">
        <is>
          <t>Not signed off</t>
        </is>
      </c>
      <c r="Q50" s="63" t="inlineStr">
        <is>
          <t>Not signed off</t>
        </is>
      </c>
      <c r="R50" s="63" t="inlineStr">
        <is>
          <t>Not signed off</t>
        </is>
      </c>
      <c r="S50" s="63" t="inlineStr">
        <is>
          <t>Not signed off</t>
        </is>
      </c>
    </row>
    <row r="51" ht="22" customHeight="1">
      <c r="A51" s="32" t="inlineStr"/>
      <c r="B51" s="28" t="inlineStr">
        <is>
          <t>page-5</t>
        </is>
      </c>
      <c r="C51" s="28" t="inlineStr"/>
      <c r="D51" s="28" t="inlineStr">
        <is>
          <t>https://africanmarketingconfederation.org/smoke-archive/page-5</t>
        </is>
      </c>
      <c r="E51" s="28" t="inlineStr"/>
      <c r="F51" s="62" t="inlineStr">
        <is>
          <t>Not signed off</t>
        </is>
      </c>
      <c r="G51" s="62" t="inlineStr">
        <is>
          <t>Not signed off</t>
        </is>
      </c>
      <c r="H51" s="62" t="inlineStr">
        <is>
          <t>Not signed off</t>
        </is>
      </c>
      <c r="I51" s="62" t="inlineStr">
        <is>
          <t>Not signed off</t>
        </is>
      </c>
      <c r="J51" s="62" t="inlineStr">
        <is>
          <t>Not signed off</t>
        </is>
      </c>
      <c r="K51" s="62" t="inlineStr">
        <is>
          <t>Not signed off</t>
        </is>
      </c>
      <c r="L51" s="62" t="inlineStr">
        <is>
          <t>Not signed off</t>
        </is>
      </c>
      <c r="M51" s="62" t="inlineStr">
        <is>
          <t>Not signed off</t>
        </is>
      </c>
      <c r="N51" s="62" t="inlineStr">
        <is>
          <t>Not signed off</t>
        </is>
      </c>
      <c r="O51" s="62" t="inlineStr">
        <is>
          <t>Not signed off</t>
        </is>
      </c>
      <c r="P51" s="62" t="inlineStr">
        <is>
          <t>Not signed off</t>
        </is>
      </c>
      <c r="Q51" s="62" t="inlineStr">
        <is>
          <t>Not signed off</t>
        </is>
      </c>
      <c r="R51" s="62" t="inlineStr">
        <is>
          <t>Not signed off</t>
        </is>
      </c>
      <c r="S51" s="62" t="inlineStr">
        <is>
          <t>Not signed off</t>
        </is>
      </c>
    </row>
    <row r="52" ht="22" customHeight="1">
      <c r="A52" s="32" t="inlineStr"/>
      <c r="B52" s="30" t="inlineStr">
        <is>
          <t>page-50</t>
        </is>
      </c>
      <c r="C52" s="30" t="inlineStr"/>
      <c r="D52" s="30" t="inlineStr">
        <is>
          <t>https://africanmarketingconfederation.org/smoke-archive/page-50</t>
        </is>
      </c>
      <c r="E52" s="30" t="inlineStr"/>
      <c r="F52" s="63" t="inlineStr">
        <is>
          <t>Not signed off</t>
        </is>
      </c>
      <c r="G52" s="63" t="inlineStr">
        <is>
          <t>Not signed off</t>
        </is>
      </c>
      <c r="H52" s="63" t="inlineStr">
        <is>
          <t>Not signed off</t>
        </is>
      </c>
      <c r="I52" s="63" t="inlineStr">
        <is>
          <t>Not signed off</t>
        </is>
      </c>
      <c r="J52" s="63" t="inlineStr">
        <is>
          <t>Not signed off</t>
        </is>
      </c>
      <c r="K52" s="63" t="inlineStr">
        <is>
          <t>Not signed off</t>
        </is>
      </c>
      <c r="L52" s="63" t="inlineStr">
        <is>
          <t>Not signed off</t>
        </is>
      </c>
      <c r="M52" s="63" t="inlineStr">
        <is>
          <t>Not signed off</t>
        </is>
      </c>
      <c r="N52" s="63" t="inlineStr">
        <is>
          <t>Not signed off</t>
        </is>
      </c>
      <c r="O52" s="63" t="inlineStr">
        <is>
          <t>Not signed off</t>
        </is>
      </c>
      <c r="P52" s="63" t="inlineStr">
        <is>
          <t>Not signed off</t>
        </is>
      </c>
      <c r="Q52" s="63" t="inlineStr">
        <is>
          <t>Not signed off</t>
        </is>
      </c>
      <c r="R52" s="63" t="inlineStr">
        <is>
          <t>Not signed off</t>
        </is>
      </c>
      <c r="S52" s="63" t="inlineStr">
        <is>
          <t>Not signed off</t>
        </is>
      </c>
    </row>
    <row r="53" ht="22" customHeight="1">
      <c r="A53" s="32" t="inlineStr"/>
      <c r="B53" s="28" t="inlineStr">
        <is>
          <t>page-51</t>
        </is>
      </c>
      <c r="C53" s="28" t="inlineStr"/>
      <c r="D53" s="28" t="inlineStr">
        <is>
          <t>https://africanmarketingconfederation.org/smoke-archive/page-51</t>
        </is>
      </c>
      <c r="E53" s="28" t="inlineStr"/>
      <c r="F53" s="62" t="inlineStr">
        <is>
          <t>Not signed off</t>
        </is>
      </c>
      <c r="G53" s="62" t="inlineStr">
        <is>
          <t>Not signed off</t>
        </is>
      </c>
      <c r="H53" s="62" t="inlineStr">
        <is>
          <t>Not signed off</t>
        </is>
      </c>
      <c r="I53" s="62" t="inlineStr">
        <is>
          <t>Not signed off</t>
        </is>
      </c>
      <c r="J53" s="62" t="inlineStr">
        <is>
          <t>Not signed off</t>
        </is>
      </c>
      <c r="K53" s="62" t="inlineStr">
        <is>
          <t>Not signed off</t>
        </is>
      </c>
      <c r="L53" s="62" t="inlineStr">
        <is>
          <t>Not signed off</t>
        </is>
      </c>
      <c r="M53" s="62" t="inlineStr">
        <is>
          <t>Not signed off</t>
        </is>
      </c>
      <c r="N53" s="62" t="inlineStr">
        <is>
          <t>Not signed off</t>
        </is>
      </c>
      <c r="O53" s="62" t="inlineStr">
        <is>
          <t>Not signed off</t>
        </is>
      </c>
      <c r="P53" s="62" t="inlineStr">
        <is>
          <t>Not signed off</t>
        </is>
      </c>
      <c r="Q53" s="62" t="inlineStr">
        <is>
          <t>Not signed off</t>
        </is>
      </c>
      <c r="R53" s="62" t="inlineStr">
        <is>
          <t>Not signed off</t>
        </is>
      </c>
      <c r="S53" s="62" t="inlineStr">
        <is>
          <t>Not signed off</t>
        </is>
      </c>
    </row>
    <row r="54" ht="22" customHeight="1">
      <c r="A54" s="32" t="inlineStr"/>
      <c r="B54" s="30" t="inlineStr">
        <is>
          <t>page-52</t>
        </is>
      </c>
      <c r="C54" s="30" t="inlineStr"/>
      <c r="D54" s="30" t="inlineStr">
        <is>
          <t>https://africanmarketingconfederation.org/smoke-archive/page-52</t>
        </is>
      </c>
      <c r="E54" s="30" t="inlineStr"/>
      <c r="F54" s="63" t="inlineStr">
        <is>
          <t>Not signed off</t>
        </is>
      </c>
      <c r="G54" s="63" t="inlineStr">
        <is>
          <t>Not signed off</t>
        </is>
      </c>
      <c r="H54" s="63" t="inlineStr">
        <is>
          <t>Not signed off</t>
        </is>
      </c>
      <c r="I54" s="63" t="inlineStr">
        <is>
          <t>Not signed off</t>
        </is>
      </c>
      <c r="J54" s="63" t="inlineStr">
        <is>
          <t>Not signed off</t>
        </is>
      </c>
      <c r="K54" s="63" t="inlineStr">
        <is>
          <t>Not signed off</t>
        </is>
      </c>
      <c r="L54" s="63" t="inlineStr">
        <is>
          <t>Not signed off</t>
        </is>
      </c>
      <c r="M54" s="63" t="inlineStr">
        <is>
          <t>Not signed off</t>
        </is>
      </c>
      <c r="N54" s="63" t="inlineStr">
        <is>
          <t>Not signed off</t>
        </is>
      </c>
      <c r="O54" s="63" t="inlineStr">
        <is>
          <t>Not signed off</t>
        </is>
      </c>
      <c r="P54" s="63" t="inlineStr">
        <is>
          <t>Not signed off</t>
        </is>
      </c>
      <c r="Q54" s="63" t="inlineStr">
        <is>
          <t>Not signed off</t>
        </is>
      </c>
      <c r="R54" s="63" t="inlineStr">
        <is>
          <t>Not signed off</t>
        </is>
      </c>
      <c r="S54" s="63" t="inlineStr">
        <is>
          <t>Not signed off</t>
        </is>
      </c>
    </row>
    <row r="55" ht="22" customHeight="1">
      <c r="A55" s="32" t="inlineStr"/>
      <c r="B55" s="28" t="inlineStr">
        <is>
          <t>page-53</t>
        </is>
      </c>
      <c r="C55" s="28" t="inlineStr"/>
      <c r="D55" s="28" t="inlineStr">
        <is>
          <t>https://africanmarketingconfederation.org/smoke-archive/page-53</t>
        </is>
      </c>
      <c r="E55" s="28" t="inlineStr"/>
      <c r="F55" s="62" t="inlineStr">
        <is>
          <t>Not signed off</t>
        </is>
      </c>
      <c r="G55" s="62" t="inlineStr">
        <is>
          <t>Not signed off</t>
        </is>
      </c>
      <c r="H55" s="62" t="inlineStr">
        <is>
          <t>Not signed off</t>
        </is>
      </c>
      <c r="I55" s="62" t="inlineStr">
        <is>
          <t>Not signed off</t>
        </is>
      </c>
      <c r="J55" s="62" t="inlineStr">
        <is>
          <t>Not signed off</t>
        </is>
      </c>
      <c r="K55" s="62" t="inlineStr">
        <is>
          <t>Not signed off</t>
        </is>
      </c>
      <c r="L55" s="62" t="inlineStr">
        <is>
          <t>Not signed off</t>
        </is>
      </c>
      <c r="M55" s="62" t="inlineStr">
        <is>
          <t>Not signed off</t>
        </is>
      </c>
      <c r="N55" s="62" t="inlineStr">
        <is>
          <t>Not signed off</t>
        </is>
      </c>
      <c r="O55" s="62" t="inlineStr">
        <is>
          <t>Not signed off</t>
        </is>
      </c>
      <c r="P55" s="62" t="inlineStr">
        <is>
          <t>Not signed off</t>
        </is>
      </c>
      <c r="Q55" s="62" t="inlineStr">
        <is>
          <t>Not signed off</t>
        </is>
      </c>
      <c r="R55" s="62" t="inlineStr">
        <is>
          <t>Not signed off</t>
        </is>
      </c>
      <c r="S55" s="62" t="inlineStr">
        <is>
          <t>Not signed off</t>
        </is>
      </c>
    </row>
    <row r="56" ht="22" customHeight="1">
      <c r="A56" s="32" t="inlineStr"/>
      <c r="B56" s="30" t="inlineStr">
        <is>
          <t>page-54</t>
        </is>
      </c>
      <c r="C56" s="30" t="inlineStr"/>
      <c r="D56" s="30" t="inlineStr">
        <is>
          <t>https://africanmarketingconfederation.org/smoke-archive/page-54</t>
        </is>
      </c>
      <c r="E56" s="30" t="inlineStr"/>
      <c r="F56" s="63" t="inlineStr">
        <is>
          <t>Not signed off</t>
        </is>
      </c>
      <c r="G56" s="63" t="inlineStr">
        <is>
          <t>Not signed off</t>
        </is>
      </c>
      <c r="H56" s="63" t="inlineStr">
        <is>
          <t>Not signed off</t>
        </is>
      </c>
      <c r="I56" s="63" t="inlineStr">
        <is>
          <t>Not signed off</t>
        </is>
      </c>
      <c r="J56" s="63" t="inlineStr">
        <is>
          <t>Not signed off</t>
        </is>
      </c>
      <c r="K56" s="63" t="inlineStr">
        <is>
          <t>Not signed off</t>
        </is>
      </c>
      <c r="L56" s="63" t="inlineStr">
        <is>
          <t>Not signed off</t>
        </is>
      </c>
      <c r="M56" s="63" t="inlineStr">
        <is>
          <t>Not signed off</t>
        </is>
      </c>
      <c r="N56" s="63" t="inlineStr">
        <is>
          <t>Not signed off</t>
        </is>
      </c>
      <c r="O56" s="63" t="inlineStr">
        <is>
          <t>Not signed off</t>
        </is>
      </c>
      <c r="P56" s="63" t="inlineStr">
        <is>
          <t>Not signed off</t>
        </is>
      </c>
      <c r="Q56" s="63" t="inlineStr">
        <is>
          <t>Not signed off</t>
        </is>
      </c>
      <c r="R56" s="63" t="inlineStr">
        <is>
          <t>Not signed off</t>
        </is>
      </c>
      <c r="S56" s="63" t="inlineStr">
        <is>
          <t>Not signed off</t>
        </is>
      </c>
    </row>
    <row r="57" ht="22" customHeight="1">
      <c r="A57" s="32" t="inlineStr"/>
      <c r="B57" s="28" t="inlineStr">
        <is>
          <t>page-55</t>
        </is>
      </c>
      <c r="C57" s="28" t="inlineStr"/>
      <c r="D57" s="28" t="inlineStr">
        <is>
          <t>https://africanmarketingconfederation.org/smoke-archive/page-55</t>
        </is>
      </c>
      <c r="E57" s="28" t="inlineStr"/>
      <c r="F57" s="62" t="inlineStr">
        <is>
          <t>Not signed off</t>
        </is>
      </c>
      <c r="G57" s="62" t="inlineStr">
        <is>
          <t>Not signed off</t>
        </is>
      </c>
      <c r="H57" s="62" t="inlineStr">
        <is>
          <t>Not signed off</t>
        </is>
      </c>
      <c r="I57" s="62" t="inlineStr">
        <is>
          <t>Not signed off</t>
        </is>
      </c>
      <c r="J57" s="62" t="inlineStr">
        <is>
          <t>Not signed off</t>
        </is>
      </c>
      <c r="K57" s="62" t="inlineStr">
        <is>
          <t>Not signed off</t>
        </is>
      </c>
      <c r="L57" s="62" t="inlineStr">
        <is>
          <t>Not signed off</t>
        </is>
      </c>
      <c r="M57" s="62" t="inlineStr">
        <is>
          <t>Not signed off</t>
        </is>
      </c>
      <c r="N57" s="62" t="inlineStr">
        <is>
          <t>Not signed off</t>
        </is>
      </c>
      <c r="O57" s="62" t="inlineStr">
        <is>
          <t>Not signed off</t>
        </is>
      </c>
      <c r="P57" s="62" t="inlineStr">
        <is>
          <t>Not signed off</t>
        </is>
      </c>
      <c r="Q57" s="62" t="inlineStr">
        <is>
          <t>Not signed off</t>
        </is>
      </c>
      <c r="R57" s="62" t="inlineStr">
        <is>
          <t>Not signed off</t>
        </is>
      </c>
      <c r="S57" s="62" t="inlineStr">
        <is>
          <t>Not signed off</t>
        </is>
      </c>
    </row>
    <row r="58" ht="22" customHeight="1">
      <c r="A58" s="32" t="inlineStr"/>
      <c r="B58" s="30" t="inlineStr">
        <is>
          <t>page-56</t>
        </is>
      </c>
      <c r="C58" s="30" t="inlineStr"/>
      <c r="D58" s="30" t="inlineStr">
        <is>
          <t>https://africanmarketingconfederation.org/smoke-archive/page-56</t>
        </is>
      </c>
      <c r="E58" s="30" t="inlineStr"/>
      <c r="F58" s="63" t="inlineStr">
        <is>
          <t>Not signed off</t>
        </is>
      </c>
      <c r="G58" s="63" t="inlineStr">
        <is>
          <t>Not signed off</t>
        </is>
      </c>
      <c r="H58" s="63" t="inlineStr">
        <is>
          <t>Not signed off</t>
        </is>
      </c>
      <c r="I58" s="63" t="inlineStr">
        <is>
          <t>Not signed off</t>
        </is>
      </c>
      <c r="J58" s="63" t="inlineStr">
        <is>
          <t>Not signed off</t>
        </is>
      </c>
      <c r="K58" s="63" t="inlineStr">
        <is>
          <t>Not signed off</t>
        </is>
      </c>
      <c r="L58" s="63" t="inlineStr">
        <is>
          <t>Not signed off</t>
        </is>
      </c>
      <c r="M58" s="63" t="inlineStr">
        <is>
          <t>Not signed off</t>
        </is>
      </c>
      <c r="N58" s="63" t="inlineStr">
        <is>
          <t>Not signed off</t>
        </is>
      </c>
      <c r="O58" s="63" t="inlineStr">
        <is>
          <t>Not signed off</t>
        </is>
      </c>
      <c r="P58" s="63" t="inlineStr">
        <is>
          <t>Not signed off</t>
        </is>
      </c>
      <c r="Q58" s="63" t="inlineStr">
        <is>
          <t>Not signed off</t>
        </is>
      </c>
      <c r="R58" s="63" t="inlineStr">
        <is>
          <t>Not signed off</t>
        </is>
      </c>
      <c r="S58" s="63" t="inlineStr">
        <is>
          <t>Not signed off</t>
        </is>
      </c>
    </row>
    <row r="59" ht="22" customHeight="1">
      <c r="A59" s="32" t="inlineStr"/>
      <c r="B59" s="28" t="inlineStr">
        <is>
          <t>page-57</t>
        </is>
      </c>
      <c r="C59" s="28" t="inlineStr"/>
      <c r="D59" s="28" t="inlineStr">
        <is>
          <t>https://africanmarketingconfederation.org/smoke-archive/page-57</t>
        </is>
      </c>
      <c r="E59" s="28" t="inlineStr"/>
      <c r="F59" s="62" t="inlineStr">
        <is>
          <t>Not signed off</t>
        </is>
      </c>
      <c r="G59" s="62" t="inlineStr">
        <is>
          <t>Not signed off</t>
        </is>
      </c>
      <c r="H59" s="62" t="inlineStr">
        <is>
          <t>Not signed off</t>
        </is>
      </c>
      <c r="I59" s="62" t="inlineStr">
        <is>
          <t>Not signed off</t>
        </is>
      </c>
      <c r="J59" s="62" t="inlineStr">
        <is>
          <t>Not signed off</t>
        </is>
      </c>
      <c r="K59" s="62" t="inlineStr">
        <is>
          <t>Not signed off</t>
        </is>
      </c>
      <c r="L59" s="62" t="inlineStr">
        <is>
          <t>Not signed off</t>
        </is>
      </c>
      <c r="M59" s="62" t="inlineStr">
        <is>
          <t>Not signed off</t>
        </is>
      </c>
      <c r="N59" s="62" t="inlineStr">
        <is>
          <t>Not signed off</t>
        </is>
      </c>
      <c r="O59" s="62" t="inlineStr">
        <is>
          <t>Not signed off</t>
        </is>
      </c>
      <c r="P59" s="62" t="inlineStr">
        <is>
          <t>Not signed off</t>
        </is>
      </c>
      <c r="Q59" s="62" t="inlineStr">
        <is>
          <t>Not signed off</t>
        </is>
      </c>
      <c r="R59" s="62" t="inlineStr">
        <is>
          <t>Not signed off</t>
        </is>
      </c>
      <c r="S59" s="62" t="inlineStr">
        <is>
          <t>Not signed off</t>
        </is>
      </c>
    </row>
    <row r="60" ht="22" customHeight="1">
      <c r="A60" s="32" t="inlineStr"/>
      <c r="B60" s="30" t="inlineStr">
        <is>
          <t>page-58</t>
        </is>
      </c>
      <c r="C60" s="30" t="inlineStr"/>
      <c r="D60" s="30" t="inlineStr">
        <is>
          <t>https://africanmarketingconfederation.org/smoke-archive/page-58</t>
        </is>
      </c>
      <c r="E60" s="30" t="inlineStr"/>
      <c r="F60" s="63" t="inlineStr">
        <is>
          <t>Not signed off</t>
        </is>
      </c>
      <c r="G60" s="63" t="inlineStr">
        <is>
          <t>Not signed off</t>
        </is>
      </c>
      <c r="H60" s="63" t="inlineStr">
        <is>
          <t>Not signed off</t>
        </is>
      </c>
      <c r="I60" s="63" t="inlineStr">
        <is>
          <t>Not signed off</t>
        </is>
      </c>
      <c r="J60" s="63" t="inlineStr">
        <is>
          <t>Not signed off</t>
        </is>
      </c>
      <c r="K60" s="63" t="inlineStr">
        <is>
          <t>Not signed off</t>
        </is>
      </c>
      <c r="L60" s="63" t="inlineStr">
        <is>
          <t>Not signed off</t>
        </is>
      </c>
      <c r="M60" s="63" t="inlineStr">
        <is>
          <t>Not signed off</t>
        </is>
      </c>
      <c r="N60" s="63" t="inlineStr">
        <is>
          <t>Not signed off</t>
        </is>
      </c>
      <c r="O60" s="63" t="inlineStr">
        <is>
          <t>Not signed off</t>
        </is>
      </c>
      <c r="P60" s="63" t="inlineStr">
        <is>
          <t>Not signed off</t>
        </is>
      </c>
      <c r="Q60" s="63" t="inlineStr">
        <is>
          <t>Not signed off</t>
        </is>
      </c>
      <c r="R60" s="63" t="inlineStr">
        <is>
          <t>Not signed off</t>
        </is>
      </c>
      <c r="S60" s="63" t="inlineStr">
        <is>
          <t>Not signed off</t>
        </is>
      </c>
    </row>
    <row r="61" ht="22" customHeight="1">
      <c r="A61" s="32" t="inlineStr"/>
      <c r="B61" s="28" t="inlineStr">
        <is>
          <t>page-59</t>
        </is>
      </c>
      <c r="C61" s="28" t="inlineStr"/>
      <c r="D61" s="28" t="inlineStr">
        <is>
          <t>https://africanmarketingconfederation.org/smoke-archive/page-59</t>
        </is>
      </c>
      <c r="E61" s="28" t="inlineStr"/>
      <c r="F61" s="62" t="inlineStr">
        <is>
          <t>Not signed off</t>
        </is>
      </c>
      <c r="G61" s="62" t="inlineStr">
        <is>
          <t>Not signed off</t>
        </is>
      </c>
      <c r="H61" s="62" t="inlineStr">
        <is>
          <t>Not signed off</t>
        </is>
      </c>
      <c r="I61" s="62" t="inlineStr">
        <is>
          <t>Not signed off</t>
        </is>
      </c>
      <c r="J61" s="62" t="inlineStr">
        <is>
          <t>Not signed off</t>
        </is>
      </c>
      <c r="K61" s="62" t="inlineStr">
        <is>
          <t>Not signed off</t>
        </is>
      </c>
      <c r="L61" s="62" t="inlineStr">
        <is>
          <t>Not signed off</t>
        </is>
      </c>
      <c r="M61" s="62" t="inlineStr">
        <is>
          <t>Not signed off</t>
        </is>
      </c>
      <c r="N61" s="62" t="inlineStr">
        <is>
          <t>Not signed off</t>
        </is>
      </c>
      <c r="O61" s="62" t="inlineStr">
        <is>
          <t>Not signed off</t>
        </is>
      </c>
      <c r="P61" s="62" t="inlineStr">
        <is>
          <t>Not signed off</t>
        </is>
      </c>
      <c r="Q61" s="62" t="inlineStr">
        <is>
          <t>Not signed off</t>
        </is>
      </c>
      <c r="R61" s="62" t="inlineStr">
        <is>
          <t>Not signed off</t>
        </is>
      </c>
      <c r="S61" s="62" t="inlineStr">
        <is>
          <t>Not signed off</t>
        </is>
      </c>
    </row>
    <row r="62" ht="22" customHeight="1">
      <c r="A62" s="32" t="inlineStr"/>
      <c r="B62" s="30" t="inlineStr">
        <is>
          <t>page-6</t>
        </is>
      </c>
      <c r="C62" s="30" t="inlineStr"/>
      <c r="D62" s="30" t="inlineStr">
        <is>
          <t>https://africanmarketingconfederation.org/smoke-archive/page-6</t>
        </is>
      </c>
      <c r="E62" s="30" t="inlineStr"/>
      <c r="F62" s="63" t="inlineStr">
        <is>
          <t>Not signed off</t>
        </is>
      </c>
      <c r="G62" s="63" t="inlineStr">
        <is>
          <t>Not signed off</t>
        </is>
      </c>
      <c r="H62" s="63" t="inlineStr">
        <is>
          <t>Not signed off</t>
        </is>
      </c>
      <c r="I62" s="63" t="inlineStr">
        <is>
          <t>Not signed off</t>
        </is>
      </c>
      <c r="J62" s="63" t="inlineStr">
        <is>
          <t>Not signed off</t>
        </is>
      </c>
      <c r="K62" s="63" t="inlineStr">
        <is>
          <t>Not signed off</t>
        </is>
      </c>
      <c r="L62" s="63" t="inlineStr">
        <is>
          <t>Not signed off</t>
        </is>
      </c>
      <c r="M62" s="63" t="inlineStr">
        <is>
          <t>Not signed off</t>
        </is>
      </c>
      <c r="N62" s="63" t="inlineStr">
        <is>
          <t>Not signed off</t>
        </is>
      </c>
      <c r="O62" s="63" t="inlineStr">
        <is>
          <t>Not signed off</t>
        </is>
      </c>
      <c r="P62" s="63" t="inlineStr">
        <is>
          <t>Not signed off</t>
        </is>
      </c>
      <c r="Q62" s="63" t="inlineStr">
        <is>
          <t>Not signed off</t>
        </is>
      </c>
      <c r="R62" s="63" t="inlineStr">
        <is>
          <t>Not signed off</t>
        </is>
      </c>
      <c r="S62" s="63" t="inlineStr">
        <is>
          <t>Not signed off</t>
        </is>
      </c>
    </row>
    <row r="63" ht="22" customHeight="1">
      <c r="A63" s="32" t="inlineStr"/>
      <c r="B63" s="28" t="inlineStr">
        <is>
          <t>page-60</t>
        </is>
      </c>
      <c r="C63" s="28" t="inlineStr"/>
      <c r="D63" s="28" t="inlineStr">
        <is>
          <t>https://africanmarketingconfederation.org/smoke-archive/page-60</t>
        </is>
      </c>
      <c r="E63" s="28" t="inlineStr"/>
      <c r="F63" s="62" t="inlineStr">
        <is>
          <t>Not signed off</t>
        </is>
      </c>
      <c r="G63" s="62" t="inlineStr">
        <is>
          <t>Not signed off</t>
        </is>
      </c>
      <c r="H63" s="62" t="inlineStr">
        <is>
          <t>Not signed off</t>
        </is>
      </c>
      <c r="I63" s="62" t="inlineStr">
        <is>
          <t>Not signed off</t>
        </is>
      </c>
      <c r="J63" s="62" t="inlineStr">
        <is>
          <t>Not signed off</t>
        </is>
      </c>
      <c r="K63" s="62" t="inlineStr">
        <is>
          <t>Not signed off</t>
        </is>
      </c>
      <c r="L63" s="62" t="inlineStr">
        <is>
          <t>Not signed off</t>
        </is>
      </c>
      <c r="M63" s="62" t="inlineStr">
        <is>
          <t>Not signed off</t>
        </is>
      </c>
      <c r="N63" s="62" t="inlineStr">
        <is>
          <t>Not signed off</t>
        </is>
      </c>
      <c r="O63" s="62" t="inlineStr">
        <is>
          <t>Not signed off</t>
        </is>
      </c>
      <c r="P63" s="62" t="inlineStr">
        <is>
          <t>Not signed off</t>
        </is>
      </c>
      <c r="Q63" s="62" t="inlineStr">
        <is>
          <t>Not signed off</t>
        </is>
      </c>
      <c r="R63" s="62" t="inlineStr">
        <is>
          <t>Not signed off</t>
        </is>
      </c>
      <c r="S63" s="62" t="inlineStr">
        <is>
          <t>Not signed off</t>
        </is>
      </c>
    </row>
    <row r="64" ht="22" customHeight="1">
      <c r="A64" s="32" t="inlineStr"/>
      <c r="B64" s="30" t="inlineStr">
        <is>
          <t>page-61</t>
        </is>
      </c>
      <c r="C64" s="30" t="inlineStr"/>
      <c r="D64" s="30" t="inlineStr">
        <is>
          <t>https://africanmarketingconfederation.org/smoke-archive/page-61</t>
        </is>
      </c>
      <c r="E64" s="30" t="inlineStr"/>
      <c r="F64" s="63" t="inlineStr">
        <is>
          <t>Not signed off</t>
        </is>
      </c>
      <c r="G64" s="63" t="inlineStr">
        <is>
          <t>Not signed off</t>
        </is>
      </c>
      <c r="H64" s="63" t="inlineStr">
        <is>
          <t>Not signed off</t>
        </is>
      </c>
      <c r="I64" s="63" t="inlineStr">
        <is>
          <t>Not signed off</t>
        </is>
      </c>
      <c r="J64" s="63" t="inlineStr">
        <is>
          <t>Not signed off</t>
        </is>
      </c>
      <c r="K64" s="63" t="inlineStr">
        <is>
          <t>Not signed off</t>
        </is>
      </c>
      <c r="L64" s="63" t="inlineStr">
        <is>
          <t>Not signed off</t>
        </is>
      </c>
      <c r="M64" s="63" t="inlineStr">
        <is>
          <t>Not signed off</t>
        </is>
      </c>
      <c r="N64" s="63" t="inlineStr">
        <is>
          <t>Not signed off</t>
        </is>
      </c>
      <c r="O64" s="63" t="inlineStr">
        <is>
          <t>Not signed off</t>
        </is>
      </c>
      <c r="P64" s="63" t="inlineStr">
        <is>
          <t>Not signed off</t>
        </is>
      </c>
      <c r="Q64" s="63" t="inlineStr">
        <is>
          <t>Not signed off</t>
        </is>
      </c>
      <c r="R64" s="63" t="inlineStr">
        <is>
          <t>Not signed off</t>
        </is>
      </c>
      <c r="S64" s="63" t="inlineStr">
        <is>
          <t>Not signed off</t>
        </is>
      </c>
    </row>
    <row r="65" ht="22" customHeight="1">
      <c r="A65" s="32" t="inlineStr"/>
      <c r="B65" s="28" t="inlineStr">
        <is>
          <t>page-62</t>
        </is>
      </c>
      <c r="C65" s="28" t="inlineStr"/>
      <c r="D65" s="28" t="inlineStr">
        <is>
          <t>https://africanmarketingconfederation.org/smoke-archive/page-62</t>
        </is>
      </c>
      <c r="E65" s="28" t="inlineStr"/>
      <c r="F65" s="62" t="inlineStr">
        <is>
          <t>Not signed off</t>
        </is>
      </c>
      <c r="G65" s="62" t="inlineStr">
        <is>
          <t>Not signed off</t>
        </is>
      </c>
      <c r="H65" s="62" t="inlineStr">
        <is>
          <t>Not signed off</t>
        </is>
      </c>
      <c r="I65" s="62" t="inlineStr">
        <is>
          <t>Not signed off</t>
        </is>
      </c>
      <c r="J65" s="62" t="inlineStr">
        <is>
          <t>Not signed off</t>
        </is>
      </c>
      <c r="K65" s="62" t="inlineStr">
        <is>
          <t>Not signed off</t>
        </is>
      </c>
      <c r="L65" s="62" t="inlineStr">
        <is>
          <t>Not signed off</t>
        </is>
      </c>
      <c r="M65" s="62" t="inlineStr">
        <is>
          <t>Not signed off</t>
        </is>
      </c>
      <c r="N65" s="62" t="inlineStr">
        <is>
          <t>Not signed off</t>
        </is>
      </c>
      <c r="O65" s="62" t="inlineStr">
        <is>
          <t>Not signed off</t>
        </is>
      </c>
      <c r="P65" s="62" t="inlineStr">
        <is>
          <t>Not signed off</t>
        </is>
      </c>
      <c r="Q65" s="62" t="inlineStr">
        <is>
          <t>Not signed off</t>
        </is>
      </c>
      <c r="R65" s="62" t="inlineStr">
        <is>
          <t>Not signed off</t>
        </is>
      </c>
      <c r="S65" s="62" t="inlineStr">
        <is>
          <t>Not signed off</t>
        </is>
      </c>
    </row>
    <row r="66" ht="22" customHeight="1">
      <c r="A66" s="32" t="inlineStr"/>
      <c r="B66" s="30" t="inlineStr">
        <is>
          <t>page-63</t>
        </is>
      </c>
      <c r="C66" s="30" t="inlineStr"/>
      <c r="D66" s="30" t="inlineStr">
        <is>
          <t>https://africanmarketingconfederation.org/smoke-archive/page-63</t>
        </is>
      </c>
      <c r="E66" s="30" t="inlineStr"/>
      <c r="F66" s="63" t="inlineStr">
        <is>
          <t>Not signed off</t>
        </is>
      </c>
      <c r="G66" s="63" t="inlineStr">
        <is>
          <t>Not signed off</t>
        </is>
      </c>
      <c r="H66" s="63" t="inlineStr">
        <is>
          <t>Not signed off</t>
        </is>
      </c>
      <c r="I66" s="63" t="inlineStr">
        <is>
          <t>Not signed off</t>
        </is>
      </c>
      <c r="J66" s="63" t="inlineStr">
        <is>
          <t>Not signed off</t>
        </is>
      </c>
      <c r="K66" s="63" t="inlineStr">
        <is>
          <t>Not signed off</t>
        </is>
      </c>
      <c r="L66" s="63" t="inlineStr">
        <is>
          <t>Not signed off</t>
        </is>
      </c>
      <c r="M66" s="63" t="inlineStr">
        <is>
          <t>Not signed off</t>
        </is>
      </c>
      <c r="N66" s="63" t="inlineStr">
        <is>
          <t>Not signed off</t>
        </is>
      </c>
      <c r="O66" s="63" t="inlineStr">
        <is>
          <t>Not signed off</t>
        </is>
      </c>
      <c r="P66" s="63" t="inlineStr">
        <is>
          <t>Not signed off</t>
        </is>
      </c>
      <c r="Q66" s="63" t="inlineStr">
        <is>
          <t>Not signed off</t>
        </is>
      </c>
      <c r="R66" s="63" t="inlineStr">
        <is>
          <t>Not signed off</t>
        </is>
      </c>
      <c r="S66" s="63" t="inlineStr">
        <is>
          <t>Not signed off</t>
        </is>
      </c>
    </row>
    <row r="67" ht="22" customHeight="1">
      <c r="A67" s="32" t="inlineStr"/>
      <c r="B67" s="28" t="inlineStr">
        <is>
          <t>page-64</t>
        </is>
      </c>
      <c r="C67" s="28" t="inlineStr"/>
      <c r="D67" s="28" t="inlineStr">
        <is>
          <t>https://africanmarketingconfederation.org/smoke-archive/page-64</t>
        </is>
      </c>
      <c r="E67" s="28" t="inlineStr"/>
      <c r="F67" s="62" t="inlineStr">
        <is>
          <t>Not signed off</t>
        </is>
      </c>
      <c r="G67" s="62" t="inlineStr">
        <is>
          <t>Not signed off</t>
        </is>
      </c>
      <c r="H67" s="62" t="inlineStr">
        <is>
          <t>Not signed off</t>
        </is>
      </c>
      <c r="I67" s="62" t="inlineStr">
        <is>
          <t>Not signed off</t>
        </is>
      </c>
      <c r="J67" s="62" t="inlineStr">
        <is>
          <t>Not signed off</t>
        </is>
      </c>
      <c r="K67" s="62" t="inlineStr">
        <is>
          <t>Not signed off</t>
        </is>
      </c>
      <c r="L67" s="62" t="inlineStr">
        <is>
          <t>Not signed off</t>
        </is>
      </c>
      <c r="M67" s="62" t="inlineStr">
        <is>
          <t>Not signed off</t>
        </is>
      </c>
      <c r="N67" s="62" t="inlineStr">
        <is>
          <t>Not signed off</t>
        </is>
      </c>
      <c r="O67" s="62" t="inlineStr">
        <is>
          <t>Not signed off</t>
        </is>
      </c>
      <c r="P67" s="62" t="inlineStr">
        <is>
          <t>Not signed off</t>
        </is>
      </c>
      <c r="Q67" s="62" t="inlineStr">
        <is>
          <t>Not signed off</t>
        </is>
      </c>
      <c r="R67" s="62" t="inlineStr">
        <is>
          <t>Not signed off</t>
        </is>
      </c>
      <c r="S67" s="62" t="inlineStr">
        <is>
          <t>Not signed off</t>
        </is>
      </c>
    </row>
    <row r="68" ht="22" customHeight="1">
      <c r="A68" s="32" t="inlineStr"/>
      <c r="B68" s="30" t="inlineStr">
        <is>
          <t>page-65</t>
        </is>
      </c>
      <c r="C68" s="30" t="inlineStr"/>
      <c r="D68" s="30" t="inlineStr">
        <is>
          <t>https://africanmarketingconfederation.org/smoke-archive/page-65</t>
        </is>
      </c>
      <c r="E68" s="30" t="inlineStr"/>
      <c r="F68" s="63" t="inlineStr">
        <is>
          <t>Not signed off</t>
        </is>
      </c>
      <c r="G68" s="63" t="inlineStr">
        <is>
          <t>Not signed off</t>
        </is>
      </c>
      <c r="H68" s="63" t="inlineStr">
        <is>
          <t>Not signed off</t>
        </is>
      </c>
      <c r="I68" s="63" t="inlineStr">
        <is>
          <t>Not signed off</t>
        </is>
      </c>
      <c r="J68" s="63" t="inlineStr">
        <is>
          <t>Not signed off</t>
        </is>
      </c>
      <c r="K68" s="63" t="inlineStr">
        <is>
          <t>Not signed off</t>
        </is>
      </c>
      <c r="L68" s="63" t="inlineStr">
        <is>
          <t>Not signed off</t>
        </is>
      </c>
      <c r="M68" s="63" t="inlineStr">
        <is>
          <t>Not signed off</t>
        </is>
      </c>
      <c r="N68" s="63" t="inlineStr">
        <is>
          <t>Not signed off</t>
        </is>
      </c>
      <c r="O68" s="63" t="inlineStr">
        <is>
          <t>Not signed off</t>
        </is>
      </c>
      <c r="P68" s="63" t="inlineStr">
        <is>
          <t>Not signed off</t>
        </is>
      </c>
      <c r="Q68" s="63" t="inlineStr">
        <is>
          <t>Not signed off</t>
        </is>
      </c>
      <c r="R68" s="63" t="inlineStr">
        <is>
          <t>Not signed off</t>
        </is>
      </c>
      <c r="S68" s="63" t="inlineStr">
        <is>
          <t>Not signed off</t>
        </is>
      </c>
    </row>
    <row r="69" ht="22" customHeight="1">
      <c r="A69" s="32" t="inlineStr"/>
      <c r="B69" s="28" t="inlineStr">
        <is>
          <t>page-66</t>
        </is>
      </c>
      <c r="C69" s="28" t="inlineStr"/>
      <c r="D69" s="28" t="inlineStr">
        <is>
          <t>https://africanmarketingconfederation.org/smoke-archive/page-66</t>
        </is>
      </c>
      <c r="E69" s="28" t="inlineStr"/>
      <c r="F69" s="62" t="inlineStr">
        <is>
          <t>Not signed off</t>
        </is>
      </c>
      <c r="G69" s="62" t="inlineStr">
        <is>
          <t>Not signed off</t>
        </is>
      </c>
      <c r="H69" s="62" t="inlineStr">
        <is>
          <t>Not signed off</t>
        </is>
      </c>
      <c r="I69" s="62" t="inlineStr">
        <is>
          <t>Not signed off</t>
        </is>
      </c>
      <c r="J69" s="62" t="inlineStr">
        <is>
          <t>Not signed off</t>
        </is>
      </c>
      <c r="K69" s="62" t="inlineStr">
        <is>
          <t>Not signed off</t>
        </is>
      </c>
      <c r="L69" s="62" t="inlineStr">
        <is>
          <t>Not signed off</t>
        </is>
      </c>
      <c r="M69" s="62" t="inlineStr">
        <is>
          <t>Not signed off</t>
        </is>
      </c>
      <c r="N69" s="62" t="inlineStr">
        <is>
          <t>Not signed off</t>
        </is>
      </c>
      <c r="O69" s="62" t="inlineStr">
        <is>
          <t>Not signed off</t>
        </is>
      </c>
      <c r="P69" s="62" t="inlineStr">
        <is>
          <t>Not signed off</t>
        </is>
      </c>
      <c r="Q69" s="62" t="inlineStr">
        <is>
          <t>Not signed off</t>
        </is>
      </c>
      <c r="R69" s="62" t="inlineStr">
        <is>
          <t>Not signed off</t>
        </is>
      </c>
      <c r="S69" s="62" t="inlineStr">
        <is>
          <t>Not signed off</t>
        </is>
      </c>
    </row>
    <row r="70" ht="22" customHeight="1">
      <c r="A70" s="32" t="inlineStr"/>
      <c r="B70" s="30" t="inlineStr">
        <is>
          <t>page-67</t>
        </is>
      </c>
      <c r="C70" s="30" t="inlineStr"/>
      <c r="D70" s="30" t="inlineStr">
        <is>
          <t>https://africanmarketingconfederation.org/smoke-archive/page-67</t>
        </is>
      </c>
      <c r="E70" s="30" t="inlineStr"/>
      <c r="F70" s="63" t="inlineStr">
        <is>
          <t>Not signed off</t>
        </is>
      </c>
      <c r="G70" s="63" t="inlineStr">
        <is>
          <t>Not signed off</t>
        </is>
      </c>
      <c r="H70" s="63" t="inlineStr">
        <is>
          <t>Not signed off</t>
        </is>
      </c>
      <c r="I70" s="63" t="inlineStr">
        <is>
          <t>Not signed off</t>
        </is>
      </c>
      <c r="J70" s="63" t="inlineStr">
        <is>
          <t>Not signed off</t>
        </is>
      </c>
      <c r="K70" s="63" t="inlineStr">
        <is>
          <t>Not signed off</t>
        </is>
      </c>
      <c r="L70" s="63" t="inlineStr">
        <is>
          <t>Not signed off</t>
        </is>
      </c>
      <c r="M70" s="63" t="inlineStr">
        <is>
          <t>Not signed off</t>
        </is>
      </c>
      <c r="N70" s="63" t="inlineStr">
        <is>
          <t>Not signed off</t>
        </is>
      </c>
      <c r="O70" s="63" t="inlineStr">
        <is>
          <t>Not signed off</t>
        </is>
      </c>
      <c r="P70" s="63" t="inlineStr">
        <is>
          <t>Not signed off</t>
        </is>
      </c>
      <c r="Q70" s="63" t="inlineStr">
        <is>
          <t>Not signed off</t>
        </is>
      </c>
      <c r="R70" s="63" t="inlineStr">
        <is>
          <t>Not signed off</t>
        </is>
      </c>
      <c r="S70" s="63" t="inlineStr">
        <is>
          <t>Not signed off</t>
        </is>
      </c>
    </row>
    <row r="71" ht="22" customHeight="1">
      <c r="A71" s="32" t="inlineStr"/>
      <c r="B71" s="28" t="inlineStr">
        <is>
          <t>page-68</t>
        </is>
      </c>
      <c r="C71" s="28" t="inlineStr"/>
      <c r="D71" s="28" t="inlineStr">
        <is>
          <t>https://africanmarketingconfederation.org/smoke-archive/page-68</t>
        </is>
      </c>
      <c r="E71" s="28" t="inlineStr"/>
      <c r="F71" s="62" t="inlineStr">
        <is>
          <t>Not signed off</t>
        </is>
      </c>
      <c r="G71" s="62" t="inlineStr">
        <is>
          <t>Not signed off</t>
        </is>
      </c>
      <c r="H71" s="62" t="inlineStr">
        <is>
          <t>Not signed off</t>
        </is>
      </c>
      <c r="I71" s="62" t="inlineStr">
        <is>
          <t>Not signed off</t>
        </is>
      </c>
      <c r="J71" s="62" t="inlineStr">
        <is>
          <t>Not signed off</t>
        </is>
      </c>
      <c r="K71" s="62" t="inlineStr">
        <is>
          <t>Not signed off</t>
        </is>
      </c>
      <c r="L71" s="62" t="inlineStr">
        <is>
          <t>Not signed off</t>
        </is>
      </c>
      <c r="M71" s="62" t="inlineStr">
        <is>
          <t>Not signed off</t>
        </is>
      </c>
      <c r="N71" s="62" t="inlineStr">
        <is>
          <t>Not signed off</t>
        </is>
      </c>
      <c r="O71" s="62" t="inlineStr">
        <is>
          <t>Not signed off</t>
        </is>
      </c>
      <c r="P71" s="62" t="inlineStr">
        <is>
          <t>Not signed off</t>
        </is>
      </c>
      <c r="Q71" s="62" t="inlineStr">
        <is>
          <t>Not signed off</t>
        </is>
      </c>
      <c r="R71" s="62" t="inlineStr">
        <is>
          <t>Not signed off</t>
        </is>
      </c>
      <c r="S71" s="62" t="inlineStr">
        <is>
          <t>Not signed off</t>
        </is>
      </c>
    </row>
    <row r="72" ht="22" customHeight="1">
      <c r="A72" s="32" t="inlineStr"/>
      <c r="B72" s="30" t="inlineStr">
        <is>
          <t>page-69</t>
        </is>
      </c>
      <c r="C72" s="30" t="inlineStr"/>
      <c r="D72" s="30" t="inlineStr">
        <is>
          <t>https://africanmarketingconfederation.org/smoke-archive/page-69</t>
        </is>
      </c>
      <c r="E72" s="30" t="inlineStr"/>
      <c r="F72" s="63" t="inlineStr">
        <is>
          <t>Not signed off</t>
        </is>
      </c>
      <c r="G72" s="63" t="inlineStr">
        <is>
          <t>Not signed off</t>
        </is>
      </c>
      <c r="H72" s="63" t="inlineStr">
        <is>
          <t>Not signed off</t>
        </is>
      </c>
      <c r="I72" s="63" t="inlineStr">
        <is>
          <t>Not signed off</t>
        </is>
      </c>
      <c r="J72" s="63" t="inlineStr">
        <is>
          <t>Not signed off</t>
        </is>
      </c>
      <c r="K72" s="63" t="inlineStr">
        <is>
          <t>Not signed off</t>
        </is>
      </c>
      <c r="L72" s="63" t="inlineStr">
        <is>
          <t>Not signed off</t>
        </is>
      </c>
      <c r="M72" s="63" t="inlineStr">
        <is>
          <t>Not signed off</t>
        </is>
      </c>
      <c r="N72" s="63" t="inlineStr">
        <is>
          <t>Not signed off</t>
        </is>
      </c>
      <c r="O72" s="63" t="inlineStr">
        <is>
          <t>Not signed off</t>
        </is>
      </c>
      <c r="P72" s="63" t="inlineStr">
        <is>
          <t>Not signed off</t>
        </is>
      </c>
      <c r="Q72" s="63" t="inlineStr">
        <is>
          <t>Not signed off</t>
        </is>
      </c>
      <c r="R72" s="63" t="inlineStr">
        <is>
          <t>Not signed off</t>
        </is>
      </c>
      <c r="S72" s="63" t="inlineStr">
        <is>
          <t>Not signed off</t>
        </is>
      </c>
    </row>
    <row r="73" ht="22" customHeight="1">
      <c r="A73" s="32" t="inlineStr"/>
      <c r="B73" s="28" t="inlineStr">
        <is>
          <t>page-7</t>
        </is>
      </c>
      <c r="C73" s="28" t="inlineStr"/>
      <c r="D73" s="28" t="inlineStr">
        <is>
          <t>https://africanmarketingconfederation.org/smoke-archive/page-7</t>
        </is>
      </c>
      <c r="E73" s="28" t="inlineStr"/>
      <c r="F73" s="62" t="inlineStr">
        <is>
          <t>Not signed off</t>
        </is>
      </c>
      <c r="G73" s="62" t="inlineStr">
        <is>
          <t>Not signed off</t>
        </is>
      </c>
      <c r="H73" s="62" t="inlineStr">
        <is>
          <t>Not signed off</t>
        </is>
      </c>
      <c r="I73" s="62" t="inlineStr">
        <is>
          <t>Not signed off</t>
        </is>
      </c>
      <c r="J73" s="62" t="inlineStr">
        <is>
          <t>Not signed off</t>
        </is>
      </c>
      <c r="K73" s="62" t="inlineStr">
        <is>
          <t>Not signed off</t>
        </is>
      </c>
      <c r="L73" s="62" t="inlineStr">
        <is>
          <t>Not signed off</t>
        </is>
      </c>
      <c r="M73" s="62" t="inlineStr">
        <is>
          <t>Not signed off</t>
        </is>
      </c>
      <c r="N73" s="62" t="inlineStr">
        <is>
          <t>Not signed off</t>
        </is>
      </c>
      <c r="O73" s="62" t="inlineStr">
        <is>
          <t>Not signed off</t>
        </is>
      </c>
      <c r="P73" s="62" t="inlineStr">
        <is>
          <t>Not signed off</t>
        </is>
      </c>
      <c r="Q73" s="62" t="inlineStr">
        <is>
          <t>Not signed off</t>
        </is>
      </c>
      <c r="R73" s="62" t="inlineStr">
        <is>
          <t>Not signed off</t>
        </is>
      </c>
      <c r="S73" s="62" t="inlineStr">
        <is>
          <t>Not signed off</t>
        </is>
      </c>
    </row>
    <row r="74" ht="22" customHeight="1">
      <c r="A74" s="32" t="inlineStr"/>
      <c r="B74" s="30" t="inlineStr">
        <is>
          <t>page-70</t>
        </is>
      </c>
      <c r="C74" s="30" t="inlineStr"/>
      <c r="D74" s="30" t="inlineStr">
        <is>
          <t>https://africanmarketingconfederation.org/smoke-archive/page-70</t>
        </is>
      </c>
      <c r="E74" s="30" t="inlineStr"/>
      <c r="F74" s="63" t="inlineStr">
        <is>
          <t>Not signed off</t>
        </is>
      </c>
      <c r="G74" s="63" t="inlineStr">
        <is>
          <t>Not signed off</t>
        </is>
      </c>
      <c r="H74" s="63" t="inlineStr">
        <is>
          <t>Not signed off</t>
        </is>
      </c>
      <c r="I74" s="63" t="inlineStr">
        <is>
          <t>Not signed off</t>
        </is>
      </c>
      <c r="J74" s="63" t="inlineStr">
        <is>
          <t>Not signed off</t>
        </is>
      </c>
      <c r="K74" s="63" t="inlineStr">
        <is>
          <t>Not signed off</t>
        </is>
      </c>
      <c r="L74" s="63" t="inlineStr">
        <is>
          <t>Not signed off</t>
        </is>
      </c>
      <c r="M74" s="63" t="inlineStr">
        <is>
          <t>Not signed off</t>
        </is>
      </c>
      <c r="N74" s="63" t="inlineStr">
        <is>
          <t>Not signed off</t>
        </is>
      </c>
      <c r="O74" s="63" t="inlineStr">
        <is>
          <t>Not signed off</t>
        </is>
      </c>
      <c r="P74" s="63" t="inlineStr">
        <is>
          <t>Not signed off</t>
        </is>
      </c>
      <c r="Q74" s="63" t="inlineStr">
        <is>
          <t>Not signed off</t>
        </is>
      </c>
      <c r="R74" s="63" t="inlineStr">
        <is>
          <t>Not signed off</t>
        </is>
      </c>
      <c r="S74" s="63" t="inlineStr">
        <is>
          <t>Not signed off</t>
        </is>
      </c>
    </row>
    <row r="75" ht="22" customHeight="1">
      <c r="A75" s="32" t="inlineStr"/>
      <c r="B75" s="28" t="inlineStr">
        <is>
          <t>page-71</t>
        </is>
      </c>
      <c r="C75" s="28" t="inlineStr"/>
      <c r="D75" s="28" t="inlineStr">
        <is>
          <t>https://africanmarketingconfederation.org/smoke-archive/page-71</t>
        </is>
      </c>
      <c r="E75" s="28" t="inlineStr"/>
      <c r="F75" s="62" t="inlineStr">
        <is>
          <t>Not signed off</t>
        </is>
      </c>
      <c r="G75" s="62" t="inlineStr">
        <is>
          <t>Not signed off</t>
        </is>
      </c>
      <c r="H75" s="62" t="inlineStr">
        <is>
          <t>Not signed off</t>
        </is>
      </c>
      <c r="I75" s="62" t="inlineStr">
        <is>
          <t>Not signed off</t>
        </is>
      </c>
      <c r="J75" s="62" t="inlineStr">
        <is>
          <t>Not signed off</t>
        </is>
      </c>
      <c r="K75" s="62" t="inlineStr">
        <is>
          <t>Not signed off</t>
        </is>
      </c>
      <c r="L75" s="62" t="inlineStr">
        <is>
          <t>Not signed off</t>
        </is>
      </c>
      <c r="M75" s="62" t="inlineStr">
        <is>
          <t>Not signed off</t>
        </is>
      </c>
      <c r="N75" s="62" t="inlineStr">
        <is>
          <t>Not signed off</t>
        </is>
      </c>
      <c r="O75" s="62" t="inlineStr">
        <is>
          <t>Not signed off</t>
        </is>
      </c>
      <c r="P75" s="62" t="inlineStr">
        <is>
          <t>Not signed off</t>
        </is>
      </c>
      <c r="Q75" s="62" t="inlineStr">
        <is>
          <t>Not signed off</t>
        </is>
      </c>
      <c r="R75" s="62" t="inlineStr">
        <is>
          <t>Not signed off</t>
        </is>
      </c>
      <c r="S75" s="62" t="inlineStr">
        <is>
          <t>Not signed off</t>
        </is>
      </c>
    </row>
    <row r="76" ht="22" customHeight="1">
      <c r="A76" s="32" t="inlineStr"/>
      <c r="B76" s="30" t="inlineStr">
        <is>
          <t>page-72</t>
        </is>
      </c>
      <c r="C76" s="30" t="inlineStr"/>
      <c r="D76" s="30" t="inlineStr">
        <is>
          <t>https://africanmarketingconfederation.org/smoke-archive/page-72</t>
        </is>
      </c>
      <c r="E76" s="30" t="inlineStr"/>
      <c r="F76" s="63" t="inlineStr">
        <is>
          <t>Not signed off</t>
        </is>
      </c>
      <c r="G76" s="63" t="inlineStr">
        <is>
          <t>Not signed off</t>
        </is>
      </c>
      <c r="H76" s="63" t="inlineStr">
        <is>
          <t>Not signed off</t>
        </is>
      </c>
      <c r="I76" s="63" t="inlineStr">
        <is>
          <t>Not signed off</t>
        </is>
      </c>
      <c r="J76" s="63" t="inlineStr">
        <is>
          <t>Not signed off</t>
        </is>
      </c>
      <c r="K76" s="63" t="inlineStr">
        <is>
          <t>Not signed off</t>
        </is>
      </c>
      <c r="L76" s="63" t="inlineStr">
        <is>
          <t>Not signed off</t>
        </is>
      </c>
      <c r="M76" s="63" t="inlineStr">
        <is>
          <t>Not signed off</t>
        </is>
      </c>
      <c r="N76" s="63" t="inlineStr">
        <is>
          <t>Not signed off</t>
        </is>
      </c>
      <c r="O76" s="63" t="inlineStr">
        <is>
          <t>Not signed off</t>
        </is>
      </c>
      <c r="P76" s="63" t="inlineStr">
        <is>
          <t>Not signed off</t>
        </is>
      </c>
      <c r="Q76" s="63" t="inlineStr">
        <is>
          <t>Not signed off</t>
        </is>
      </c>
      <c r="R76" s="63" t="inlineStr">
        <is>
          <t>Not signed off</t>
        </is>
      </c>
      <c r="S76" s="63" t="inlineStr">
        <is>
          <t>Not signed off</t>
        </is>
      </c>
    </row>
    <row r="77" ht="22" customHeight="1">
      <c r="A77" s="32" t="inlineStr"/>
      <c r="B77" s="28" t="inlineStr">
        <is>
          <t>page-73</t>
        </is>
      </c>
      <c r="C77" s="28" t="inlineStr"/>
      <c r="D77" s="28" t="inlineStr">
        <is>
          <t>https://africanmarketingconfederation.org/smoke-archive/page-73</t>
        </is>
      </c>
      <c r="E77" s="28" t="inlineStr"/>
      <c r="F77" s="62" t="inlineStr">
        <is>
          <t>Not signed off</t>
        </is>
      </c>
      <c r="G77" s="62" t="inlineStr">
        <is>
          <t>Not signed off</t>
        </is>
      </c>
      <c r="H77" s="62" t="inlineStr">
        <is>
          <t>Not signed off</t>
        </is>
      </c>
      <c r="I77" s="62" t="inlineStr">
        <is>
          <t>Not signed off</t>
        </is>
      </c>
      <c r="J77" s="62" t="inlineStr">
        <is>
          <t>Not signed off</t>
        </is>
      </c>
      <c r="K77" s="62" t="inlineStr">
        <is>
          <t>Not signed off</t>
        </is>
      </c>
      <c r="L77" s="62" t="inlineStr">
        <is>
          <t>Not signed off</t>
        </is>
      </c>
      <c r="M77" s="62" t="inlineStr">
        <is>
          <t>Not signed off</t>
        </is>
      </c>
      <c r="N77" s="62" t="inlineStr">
        <is>
          <t>Not signed off</t>
        </is>
      </c>
      <c r="O77" s="62" t="inlineStr">
        <is>
          <t>Not signed off</t>
        </is>
      </c>
      <c r="P77" s="62" t="inlineStr">
        <is>
          <t>Not signed off</t>
        </is>
      </c>
      <c r="Q77" s="62" t="inlineStr">
        <is>
          <t>Not signed off</t>
        </is>
      </c>
      <c r="R77" s="62" t="inlineStr">
        <is>
          <t>Not signed off</t>
        </is>
      </c>
      <c r="S77" s="62" t="inlineStr">
        <is>
          <t>Not signed off</t>
        </is>
      </c>
    </row>
    <row r="78" ht="22" customHeight="1">
      <c r="A78" s="32" t="inlineStr"/>
      <c r="B78" s="30" t="inlineStr">
        <is>
          <t>page-74</t>
        </is>
      </c>
      <c r="C78" s="30" t="inlineStr"/>
      <c r="D78" s="30" t="inlineStr">
        <is>
          <t>https://africanmarketingconfederation.org/smoke-archive/page-74</t>
        </is>
      </c>
      <c r="E78" s="30" t="inlineStr"/>
      <c r="F78" s="63" t="inlineStr">
        <is>
          <t>Not signed off</t>
        </is>
      </c>
      <c r="G78" s="63" t="inlineStr">
        <is>
          <t>Not signed off</t>
        </is>
      </c>
      <c r="H78" s="63" t="inlineStr">
        <is>
          <t>Not signed off</t>
        </is>
      </c>
      <c r="I78" s="63" t="inlineStr">
        <is>
          <t>Not signed off</t>
        </is>
      </c>
      <c r="J78" s="63" t="inlineStr">
        <is>
          <t>Not signed off</t>
        </is>
      </c>
      <c r="K78" s="63" t="inlineStr">
        <is>
          <t>Not signed off</t>
        </is>
      </c>
      <c r="L78" s="63" t="inlineStr">
        <is>
          <t>Not signed off</t>
        </is>
      </c>
      <c r="M78" s="63" t="inlineStr">
        <is>
          <t>Not signed off</t>
        </is>
      </c>
      <c r="N78" s="63" t="inlineStr">
        <is>
          <t>Not signed off</t>
        </is>
      </c>
      <c r="O78" s="63" t="inlineStr">
        <is>
          <t>Not signed off</t>
        </is>
      </c>
      <c r="P78" s="63" t="inlineStr">
        <is>
          <t>Not signed off</t>
        </is>
      </c>
      <c r="Q78" s="63" t="inlineStr">
        <is>
          <t>Not signed off</t>
        </is>
      </c>
      <c r="R78" s="63" t="inlineStr">
        <is>
          <t>Not signed off</t>
        </is>
      </c>
      <c r="S78" s="63" t="inlineStr">
        <is>
          <t>Not signed off</t>
        </is>
      </c>
    </row>
    <row r="79" ht="22" customHeight="1">
      <c r="A79" s="32" t="inlineStr"/>
      <c r="B79" s="28" t="inlineStr">
        <is>
          <t>page-75</t>
        </is>
      </c>
      <c r="C79" s="28" t="inlineStr"/>
      <c r="D79" s="28" t="inlineStr">
        <is>
          <t>https://africanmarketingconfederation.org/smoke-archive/page-75</t>
        </is>
      </c>
      <c r="E79" s="28" t="inlineStr"/>
      <c r="F79" s="62" t="inlineStr">
        <is>
          <t>Not signed off</t>
        </is>
      </c>
      <c r="G79" s="62" t="inlineStr">
        <is>
          <t>Not signed off</t>
        </is>
      </c>
      <c r="H79" s="62" t="inlineStr">
        <is>
          <t>Not signed off</t>
        </is>
      </c>
      <c r="I79" s="62" t="inlineStr">
        <is>
          <t>Not signed off</t>
        </is>
      </c>
      <c r="J79" s="62" t="inlineStr">
        <is>
          <t>Not signed off</t>
        </is>
      </c>
      <c r="K79" s="62" t="inlineStr">
        <is>
          <t>Not signed off</t>
        </is>
      </c>
      <c r="L79" s="62" t="inlineStr">
        <is>
          <t>Not signed off</t>
        </is>
      </c>
      <c r="M79" s="62" t="inlineStr">
        <is>
          <t>Not signed off</t>
        </is>
      </c>
      <c r="N79" s="62" t="inlineStr">
        <is>
          <t>Not signed off</t>
        </is>
      </c>
      <c r="O79" s="62" t="inlineStr">
        <is>
          <t>Not signed off</t>
        </is>
      </c>
      <c r="P79" s="62" t="inlineStr">
        <is>
          <t>Not signed off</t>
        </is>
      </c>
      <c r="Q79" s="62" t="inlineStr">
        <is>
          <t>Not signed off</t>
        </is>
      </c>
      <c r="R79" s="62" t="inlineStr">
        <is>
          <t>Not signed off</t>
        </is>
      </c>
      <c r="S79" s="62" t="inlineStr">
        <is>
          <t>Not signed off</t>
        </is>
      </c>
    </row>
    <row r="80" ht="22" customHeight="1">
      <c r="A80" s="32" t="inlineStr"/>
      <c r="B80" s="30" t="inlineStr">
        <is>
          <t>page-76</t>
        </is>
      </c>
      <c r="C80" s="30" t="inlineStr"/>
      <c r="D80" s="30" t="inlineStr">
        <is>
          <t>https://africanmarketingconfederation.org/smoke-archive/page-76</t>
        </is>
      </c>
      <c r="E80" s="30" t="inlineStr"/>
      <c r="F80" s="63" t="inlineStr">
        <is>
          <t>Not signed off</t>
        </is>
      </c>
      <c r="G80" s="63" t="inlineStr">
        <is>
          <t>Not signed off</t>
        </is>
      </c>
      <c r="H80" s="63" t="inlineStr">
        <is>
          <t>Not signed off</t>
        </is>
      </c>
      <c r="I80" s="63" t="inlineStr">
        <is>
          <t>Not signed off</t>
        </is>
      </c>
      <c r="J80" s="63" t="inlineStr">
        <is>
          <t>Not signed off</t>
        </is>
      </c>
      <c r="K80" s="63" t="inlineStr">
        <is>
          <t>Not signed off</t>
        </is>
      </c>
      <c r="L80" s="63" t="inlineStr">
        <is>
          <t>Not signed off</t>
        </is>
      </c>
      <c r="M80" s="63" t="inlineStr">
        <is>
          <t>Not signed off</t>
        </is>
      </c>
      <c r="N80" s="63" t="inlineStr">
        <is>
          <t>Not signed off</t>
        </is>
      </c>
      <c r="O80" s="63" t="inlineStr">
        <is>
          <t>Not signed off</t>
        </is>
      </c>
      <c r="P80" s="63" t="inlineStr">
        <is>
          <t>Not signed off</t>
        </is>
      </c>
      <c r="Q80" s="63" t="inlineStr">
        <is>
          <t>Not signed off</t>
        </is>
      </c>
      <c r="R80" s="63" t="inlineStr">
        <is>
          <t>Not signed off</t>
        </is>
      </c>
      <c r="S80" s="63" t="inlineStr">
        <is>
          <t>Not signed off</t>
        </is>
      </c>
    </row>
    <row r="81" ht="22" customHeight="1">
      <c r="A81" s="32" t="inlineStr"/>
      <c r="B81" s="28" t="inlineStr">
        <is>
          <t>page-77</t>
        </is>
      </c>
      <c r="C81" s="28" t="inlineStr"/>
      <c r="D81" s="28" t="inlineStr">
        <is>
          <t>https://africanmarketingconfederation.org/smoke-archive/page-77</t>
        </is>
      </c>
      <c r="E81" s="28" t="inlineStr"/>
      <c r="F81" s="62" t="inlineStr">
        <is>
          <t>Not signed off</t>
        </is>
      </c>
      <c r="G81" s="62" t="inlineStr">
        <is>
          <t>Not signed off</t>
        </is>
      </c>
      <c r="H81" s="62" t="inlineStr">
        <is>
          <t>Not signed off</t>
        </is>
      </c>
      <c r="I81" s="62" t="inlineStr">
        <is>
          <t>Not signed off</t>
        </is>
      </c>
      <c r="J81" s="62" t="inlineStr">
        <is>
          <t>Not signed off</t>
        </is>
      </c>
      <c r="K81" s="62" t="inlineStr">
        <is>
          <t>Not signed off</t>
        </is>
      </c>
      <c r="L81" s="62" t="inlineStr">
        <is>
          <t>Not signed off</t>
        </is>
      </c>
      <c r="M81" s="62" t="inlineStr">
        <is>
          <t>Not signed off</t>
        </is>
      </c>
      <c r="N81" s="62" t="inlineStr">
        <is>
          <t>Not signed off</t>
        </is>
      </c>
      <c r="O81" s="62" t="inlineStr">
        <is>
          <t>Not signed off</t>
        </is>
      </c>
      <c r="P81" s="62" t="inlineStr">
        <is>
          <t>Not signed off</t>
        </is>
      </c>
      <c r="Q81" s="62" t="inlineStr">
        <is>
          <t>Not signed off</t>
        </is>
      </c>
      <c r="R81" s="62" t="inlineStr">
        <is>
          <t>Not signed off</t>
        </is>
      </c>
      <c r="S81" s="62" t="inlineStr">
        <is>
          <t>Not signed off</t>
        </is>
      </c>
    </row>
    <row r="82" ht="22" customHeight="1">
      <c r="A82" s="32" t="inlineStr"/>
      <c r="B82" s="30" t="inlineStr">
        <is>
          <t>page-78</t>
        </is>
      </c>
      <c r="C82" s="30" t="inlineStr"/>
      <c r="D82" s="30" t="inlineStr">
        <is>
          <t>https://africanmarketingconfederation.org/smoke-archive/page-78</t>
        </is>
      </c>
      <c r="E82" s="30" t="inlineStr"/>
      <c r="F82" s="63" t="inlineStr">
        <is>
          <t>Not signed off</t>
        </is>
      </c>
      <c r="G82" s="63" t="inlineStr">
        <is>
          <t>Not signed off</t>
        </is>
      </c>
      <c r="H82" s="63" t="inlineStr">
        <is>
          <t>Not signed off</t>
        </is>
      </c>
      <c r="I82" s="63" t="inlineStr">
        <is>
          <t>Not signed off</t>
        </is>
      </c>
      <c r="J82" s="63" t="inlineStr">
        <is>
          <t>Not signed off</t>
        </is>
      </c>
      <c r="K82" s="63" t="inlineStr">
        <is>
          <t>Not signed off</t>
        </is>
      </c>
      <c r="L82" s="63" t="inlineStr">
        <is>
          <t>Not signed off</t>
        </is>
      </c>
      <c r="M82" s="63" t="inlineStr">
        <is>
          <t>Not signed off</t>
        </is>
      </c>
      <c r="N82" s="63" t="inlineStr">
        <is>
          <t>Not signed off</t>
        </is>
      </c>
      <c r="O82" s="63" t="inlineStr">
        <is>
          <t>Not signed off</t>
        </is>
      </c>
      <c r="P82" s="63" t="inlineStr">
        <is>
          <t>Not signed off</t>
        </is>
      </c>
      <c r="Q82" s="63" t="inlineStr">
        <is>
          <t>Not signed off</t>
        </is>
      </c>
      <c r="R82" s="63" t="inlineStr">
        <is>
          <t>Not signed off</t>
        </is>
      </c>
      <c r="S82" s="63" t="inlineStr">
        <is>
          <t>Not signed off</t>
        </is>
      </c>
    </row>
    <row r="83" ht="22" customHeight="1">
      <c r="A83" s="32" t="inlineStr"/>
      <c r="B83" s="28" t="inlineStr">
        <is>
          <t>page-79</t>
        </is>
      </c>
      <c r="C83" s="28" t="inlineStr"/>
      <c r="D83" s="28" t="inlineStr">
        <is>
          <t>https://africanmarketingconfederation.org/smoke-archive/page-79</t>
        </is>
      </c>
      <c r="E83" s="28" t="inlineStr"/>
      <c r="F83" s="62" t="inlineStr">
        <is>
          <t>Not signed off</t>
        </is>
      </c>
      <c r="G83" s="62" t="inlineStr">
        <is>
          <t>Not signed off</t>
        </is>
      </c>
      <c r="H83" s="62" t="inlineStr">
        <is>
          <t>Not signed off</t>
        </is>
      </c>
      <c r="I83" s="62" t="inlineStr">
        <is>
          <t>Not signed off</t>
        </is>
      </c>
      <c r="J83" s="62" t="inlineStr">
        <is>
          <t>Not signed off</t>
        </is>
      </c>
      <c r="K83" s="62" t="inlineStr">
        <is>
          <t>Not signed off</t>
        </is>
      </c>
      <c r="L83" s="62" t="inlineStr">
        <is>
          <t>Not signed off</t>
        </is>
      </c>
      <c r="M83" s="62" t="inlineStr">
        <is>
          <t>Not signed off</t>
        </is>
      </c>
      <c r="N83" s="62" t="inlineStr">
        <is>
          <t>Not signed off</t>
        </is>
      </c>
      <c r="O83" s="62" t="inlineStr">
        <is>
          <t>Not signed off</t>
        </is>
      </c>
      <c r="P83" s="62" t="inlineStr">
        <is>
          <t>Not signed off</t>
        </is>
      </c>
      <c r="Q83" s="62" t="inlineStr">
        <is>
          <t>Not signed off</t>
        </is>
      </c>
      <c r="R83" s="62" t="inlineStr">
        <is>
          <t>Not signed off</t>
        </is>
      </c>
      <c r="S83" s="62" t="inlineStr">
        <is>
          <t>Not signed off</t>
        </is>
      </c>
    </row>
    <row r="84" ht="22" customHeight="1">
      <c r="A84" s="32" t="inlineStr"/>
      <c r="B84" s="30" t="inlineStr">
        <is>
          <t>page-8</t>
        </is>
      </c>
      <c r="C84" s="30" t="inlineStr"/>
      <c r="D84" s="30" t="inlineStr">
        <is>
          <t>https://africanmarketingconfederation.org/smoke-archive/page-8</t>
        </is>
      </c>
      <c r="E84" s="30" t="inlineStr"/>
      <c r="F84" s="63" t="inlineStr">
        <is>
          <t>Not signed off</t>
        </is>
      </c>
      <c r="G84" s="63" t="inlineStr">
        <is>
          <t>Not signed off</t>
        </is>
      </c>
      <c r="H84" s="63" t="inlineStr">
        <is>
          <t>Not signed off</t>
        </is>
      </c>
      <c r="I84" s="63" t="inlineStr">
        <is>
          <t>Not signed off</t>
        </is>
      </c>
      <c r="J84" s="63" t="inlineStr">
        <is>
          <t>Not signed off</t>
        </is>
      </c>
      <c r="K84" s="63" t="inlineStr">
        <is>
          <t>Not signed off</t>
        </is>
      </c>
      <c r="L84" s="63" t="inlineStr">
        <is>
          <t>Not signed off</t>
        </is>
      </c>
      <c r="M84" s="63" t="inlineStr">
        <is>
          <t>Not signed off</t>
        </is>
      </c>
      <c r="N84" s="63" t="inlineStr">
        <is>
          <t>Not signed off</t>
        </is>
      </c>
      <c r="O84" s="63" t="inlineStr">
        <is>
          <t>Not signed off</t>
        </is>
      </c>
      <c r="P84" s="63" t="inlineStr">
        <is>
          <t>Not signed off</t>
        </is>
      </c>
      <c r="Q84" s="63" t="inlineStr">
        <is>
          <t>Not signed off</t>
        </is>
      </c>
      <c r="R84" s="63" t="inlineStr">
        <is>
          <t>Not signed off</t>
        </is>
      </c>
      <c r="S84" s="63" t="inlineStr">
        <is>
          <t>Not signed off</t>
        </is>
      </c>
    </row>
    <row r="85" ht="22" customHeight="1">
      <c r="A85" s="32" t="inlineStr"/>
      <c r="B85" s="28" t="inlineStr">
        <is>
          <t>page-9</t>
        </is>
      </c>
      <c r="C85" s="28" t="inlineStr"/>
      <c r="D85" s="28" t="inlineStr">
        <is>
          <t>https://africanmarketingconfederation.org/smoke-archive/page-9</t>
        </is>
      </c>
      <c r="E85" s="28" t="inlineStr"/>
      <c r="F85" s="62" t="inlineStr">
        <is>
          <t>Not signed off</t>
        </is>
      </c>
      <c r="G85" s="62" t="inlineStr">
        <is>
          <t>Not signed off</t>
        </is>
      </c>
      <c r="H85" s="62" t="inlineStr">
        <is>
          <t>Not signed off</t>
        </is>
      </c>
      <c r="I85" s="62" t="inlineStr">
        <is>
          <t>Not signed off</t>
        </is>
      </c>
      <c r="J85" s="62" t="inlineStr">
        <is>
          <t>Not signed off</t>
        </is>
      </c>
      <c r="K85" s="62" t="inlineStr">
        <is>
          <t>Not signed off</t>
        </is>
      </c>
      <c r="L85" s="62" t="inlineStr">
        <is>
          <t>Not signed off</t>
        </is>
      </c>
      <c r="M85" s="62" t="inlineStr">
        <is>
          <t>Not signed off</t>
        </is>
      </c>
      <c r="N85" s="62" t="inlineStr">
        <is>
          <t>Not signed off</t>
        </is>
      </c>
      <c r="O85" s="62" t="inlineStr">
        <is>
          <t>Not signed off</t>
        </is>
      </c>
      <c r="P85" s="62" t="inlineStr">
        <is>
          <t>Not signed off</t>
        </is>
      </c>
      <c r="Q85" s="62" t="inlineStr">
        <is>
          <t>Not signed off</t>
        </is>
      </c>
      <c r="R85" s="62" t="inlineStr">
        <is>
          <t>Not signed off</t>
        </is>
      </c>
      <c r="S85" s="62" t="inlineStr">
        <is>
          <t>Not signed off</t>
        </is>
      </c>
    </row>
  </sheetData>
  <autoFilter ref="A1:S85"/>
  <mergeCells count="2">
    <mergeCell ref="A1:B1"/>
    <mergeCell ref="C1:H1"/>
  </mergeCells>
  <conditionalFormatting sqref="F2:S85">
    <cfRule type="expression" priority="1" dxfId="18" stopIfTrue="1">
      <formula>LOWER(F2)="signed off"</formula>
    </cfRule>
    <cfRule type="expression" priority="2" dxfId="19" stopIfTrue="1">
      <formula>LOWER(F2)="in progress"</formula>
    </cfRule>
    <cfRule type="expression" priority="3" dxfId="20" stopIfTrue="1">
      <formula>LOWER(F2)="not signed off"</formula>
    </cfRule>
  </conditionalFormatting>
  <dataValidations count="1">
    <dataValidation sqref="F2:F85 G2:G85 H2:H85 I2:I85 J2:J85 K2:K85 L2:L85 M2:M85 N2:N85 O2:O85 P2:P85 Q2:Q85 R2:R85 S2:S85" showDropDown="0" showInputMessage="0" showErrorMessage="1" allowBlank="0" errorTitle="Invalid status" error="Select: Signed off, In progress, or Not signed off." type="list">
      <formula1>"Signed off,In progress,Not signed off"</formula1>
    </dataValidation>
  </dataValidations>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27AE60"/>
    <outlinePr summaryBelow="1" summaryRight="1"/>
    <pageSetUpPr fitToPage="1"/>
  </sheetPr>
  <dimension ref="A1:L35"/>
  <sheetViews>
    <sheetView showGridLines="0" tabSelected="0" workbookViewId="0">
      <pane xSplit="2" ySplit="2" topLeftCell="C3" activePane="bottomRight" state="frozen"/>
      <selection pane="topRight"/>
      <selection pane="bottomLeft"/>
      <selection pane="bottomRight"/>
      <selection pane="bottomLeft"/>
    </sheetView>
  </sheetViews>
  <sheetFormatPr baseColWidth="8" defaultRowHeight="15"/>
  <cols>
    <col width="45" customWidth="1" min="1" max="1"/>
    <col width="14" customWidth="1" min="2" max="2"/>
    <col width="11" customWidth="1" min="3" max="3"/>
    <col width="16" customWidth="1" min="4" max="4"/>
    <col width="16" customWidth="1" min="5" max="5"/>
    <col width="11" customWidth="1" min="6" max="6"/>
    <col width="22" customWidth="1" min="7" max="7"/>
    <col width="22" customWidth="1" min="8" max="8"/>
    <col width="21" customWidth="1" min="9" max="9"/>
    <col width="18" customWidth="1" min="10" max="10"/>
    <col width="15" customWidth="1" min="11" max="11"/>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6" t="inlineStr">
        <is>
          <t>JS Dependent</t>
        </is>
      </c>
      <c r="C2" s="26" t="inlineStr">
        <is>
          <t>Raw Words</t>
        </is>
      </c>
      <c r="D2" s="26" t="inlineStr">
        <is>
          <t>Rendered Words</t>
        </is>
      </c>
      <c r="E2" s="27" t="inlineStr">
        <is>
          <t>Field LCP (ms)</t>
        </is>
      </c>
      <c r="F2" s="27" t="inlineStr">
        <is>
          <t>Field CLS</t>
        </is>
      </c>
      <c r="G2" s="26" t="inlineStr">
        <is>
          <t>Anchor Text Diversity</t>
        </is>
      </c>
      <c r="H2" s="26" t="inlineStr">
        <is>
          <t>Potential Traffic Lift</t>
        </is>
      </c>
      <c r="I2" s="26" t="inlineStr">
        <is>
          <t>AEO Visibility Gain</t>
        </is>
      </c>
      <c r="J2" s="26" t="inlineStr">
        <is>
          <t>Instant Priority</t>
        </is>
      </c>
      <c r="K2" s="26" t="inlineStr">
        <is>
          <t>Search Intent</t>
        </is>
      </c>
      <c r="L2" s="26" t="inlineStr">
        <is>
          <t>Open in Main</t>
        </is>
      </c>
    </row>
    <row r="3" ht="18" customHeight="1">
      <c r="A3" s="35" t="inlineStr">
        <is>
          <t>https://africanmarketingconfederation.org/discovered-via-bfs-1</t>
        </is>
      </c>
      <c r="B3" s="28" t="b">
        <v>0</v>
      </c>
      <c r="C3" s="28" t="n">
        <v>351</v>
      </c>
      <c r="D3" s="28" t="n">
        <v>351</v>
      </c>
      <c r="E3" s="28" t="n">
        <v>2400</v>
      </c>
      <c r="F3" s="28" t="n">
        <v>0.04</v>
      </c>
      <c r="G3" s="28" t="inlineStr"/>
      <c r="H3" s="28" t="n">
        <v>0</v>
      </c>
      <c r="I3" s="28" t="n">
        <v>0</v>
      </c>
      <c r="J3" s="28" t="inlineStr">
        <is>
          <t>Standard</t>
        </is>
      </c>
      <c r="K3" s="28" t="inlineStr">
        <is>
          <t>Informational</t>
        </is>
      </c>
      <c r="L3">
        <f>IFERROR(HYPERLINK("#'Main'!B"&amp;MATCH(TRIM(A3),'Main'!B:B,0),"Open"),HYPERLINK("#'Main'!B1","Open"))</f>
        <v/>
      </c>
    </row>
    <row r="4" ht="18" customHeight="1">
      <c r="A4" s="37" t="inlineStr">
        <is>
          <t>https://africanmarketingconfederation.org/smoke-archive/page-10</t>
        </is>
      </c>
      <c r="B4" s="30" t="b">
        <v>0</v>
      </c>
      <c r="C4" s="30" t="n">
        <v>330</v>
      </c>
      <c r="D4" s="30" t="n">
        <v>330</v>
      </c>
      <c r="E4" s="30" t="n">
        <v>2400</v>
      </c>
      <c r="F4" s="30" t="n">
        <v>0.04</v>
      </c>
      <c r="G4" s="30" t="inlineStr"/>
      <c r="H4" s="30" t="n">
        <v>0</v>
      </c>
      <c r="I4" s="30" t="n">
        <v>0</v>
      </c>
      <c r="J4" s="30" t="inlineStr">
        <is>
          <t>Standard</t>
        </is>
      </c>
      <c r="K4" s="30" t="inlineStr">
        <is>
          <t>Informational</t>
        </is>
      </c>
      <c r="L4" s="38">
        <f>IFERROR(HYPERLINK("#'Main'!B"&amp;MATCH(TRIM(A4),'Main'!B:B,0),"Open"),HYPERLINK("#'Main'!B1","Open"))</f>
        <v/>
      </c>
    </row>
    <row r="5" ht="18" customHeight="1">
      <c r="A5" s="35" t="inlineStr">
        <is>
          <t>https://africanmarketingconfederation.org/smoke-archive/page-12</t>
        </is>
      </c>
      <c r="B5" s="28" t="b">
        <v>0</v>
      </c>
      <c r="C5" s="28" t="n">
        <v>332</v>
      </c>
      <c r="D5" s="28" t="n">
        <v>332</v>
      </c>
      <c r="E5" s="28" t="n">
        <v>2400</v>
      </c>
      <c r="F5" s="28" t="n">
        <v>0.04</v>
      </c>
      <c r="G5" s="28" t="inlineStr"/>
      <c r="H5" s="28" t="n">
        <v>0</v>
      </c>
      <c r="I5" s="28" t="n">
        <v>0</v>
      </c>
      <c r="J5" s="28" t="inlineStr">
        <is>
          <t>Standard</t>
        </is>
      </c>
      <c r="K5" s="28" t="inlineStr">
        <is>
          <t>Informational</t>
        </is>
      </c>
      <c r="L5">
        <f>IFERROR(HYPERLINK("#'Main'!B"&amp;MATCH(TRIM(A5),'Main'!B:B,0),"Open"),HYPERLINK("#'Main'!B1","Open"))</f>
        <v/>
      </c>
    </row>
    <row r="6" ht="18" customHeight="1">
      <c r="A6" s="37" t="inlineStr">
        <is>
          <t>https://africanmarketingconfederation.org/smoke-archive/page-15</t>
        </is>
      </c>
      <c r="B6" s="30" t="b">
        <v>0</v>
      </c>
      <c r="C6" s="30" t="n">
        <v>335</v>
      </c>
      <c r="D6" s="30" t="n">
        <v>335</v>
      </c>
      <c r="E6" s="30" t="n">
        <v>2400</v>
      </c>
      <c r="F6" s="30" t="n">
        <v>0.04</v>
      </c>
      <c r="G6" s="30" t="inlineStr"/>
      <c r="H6" s="30" t="n">
        <v>0</v>
      </c>
      <c r="I6" s="30" t="n">
        <v>0</v>
      </c>
      <c r="J6" s="30" t="inlineStr">
        <is>
          <t>Standard</t>
        </is>
      </c>
      <c r="K6" s="30" t="inlineStr">
        <is>
          <t>Informational</t>
        </is>
      </c>
      <c r="L6" s="38">
        <f>IFERROR(HYPERLINK("#'Main'!B"&amp;MATCH(TRIM(A6),'Main'!B:B,0),"Open"),HYPERLINK("#'Main'!B1","Open"))</f>
        <v/>
      </c>
    </row>
    <row r="7" ht="18" customHeight="1">
      <c r="A7" s="35" t="inlineStr">
        <is>
          <t>https://africanmarketingconfederation.org/smoke-archive/page-16</t>
        </is>
      </c>
      <c r="B7" s="28" t="b">
        <v>0</v>
      </c>
      <c r="C7" s="28" t="n">
        <v>336</v>
      </c>
      <c r="D7" s="28" t="n">
        <v>336</v>
      </c>
      <c r="E7" s="28" t="n">
        <v>2400</v>
      </c>
      <c r="F7" s="28" t="n">
        <v>0.04</v>
      </c>
      <c r="G7" s="28" t="inlineStr"/>
      <c r="H7" s="28" t="n">
        <v>0</v>
      </c>
      <c r="I7" s="28" t="n">
        <v>0</v>
      </c>
      <c r="J7" s="28" t="inlineStr">
        <is>
          <t>Standard</t>
        </is>
      </c>
      <c r="K7" s="28" t="inlineStr">
        <is>
          <t>Informational</t>
        </is>
      </c>
      <c r="L7">
        <f>IFERROR(HYPERLINK("#'Main'!B"&amp;MATCH(TRIM(A7),'Main'!B:B,0),"Open"),HYPERLINK("#'Main'!B1","Open"))</f>
        <v/>
      </c>
    </row>
    <row r="8" ht="18" customHeight="1">
      <c r="A8" s="37" t="inlineStr">
        <is>
          <t>https://africanmarketingconfederation.org/smoke-archive/page-18</t>
        </is>
      </c>
      <c r="B8" s="30" t="b">
        <v>0</v>
      </c>
      <c r="C8" s="30" t="n">
        <v>338</v>
      </c>
      <c r="D8" s="30" t="n">
        <v>338</v>
      </c>
      <c r="E8" s="30" t="n">
        <v>2400</v>
      </c>
      <c r="F8" s="30" t="n">
        <v>0.04</v>
      </c>
      <c r="G8" s="30" t="inlineStr"/>
      <c r="H8" s="30" t="n">
        <v>0</v>
      </c>
      <c r="I8" s="30" t="n">
        <v>0</v>
      </c>
      <c r="J8" s="30" t="inlineStr">
        <is>
          <t>Standard</t>
        </is>
      </c>
      <c r="K8" s="30" t="inlineStr">
        <is>
          <t>Informational</t>
        </is>
      </c>
      <c r="L8" s="38">
        <f>IFERROR(HYPERLINK("#'Main'!B"&amp;MATCH(TRIM(A8),'Main'!B:B,0),"Open"),HYPERLINK("#'Main'!B1","Open"))</f>
        <v/>
      </c>
    </row>
    <row r="9" ht="18" customHeight="1">
      <c r="A9" s="35" t="inlineStr">
        <is>
          <t>https://africanmarketingconfederation.org/smoke-archive/page-20</t>
        </is>
      </c>
      <c r="B9" s="28" t="b">
        <v>0</v>
      </c>
      <c r="C9" s="28" t="n">
        <v>340</v>
      </c>
      <c r="D9" s="28" t="n">
        <v>340</v>
      </c>
      <c r="E9" s="28" t="n">
        <v>2400</v>
      </c>
      <c r="F9" s="28" t="n">
        <v>0.04</v>
      </c>
      <c r="G9" s="28" t="inlineStr"/>
      <c r="H9" s="28" t="n">
        <v>0</v>
      </c>
      <c r="I9" s="28" t="n">
        <v>0</v>
      </c>
      <c r="J9" s="28" t="inlineStr">
        <is>
          <t>Standard</t>
        </is>
      </c>
      <c r="K9" s="28" t="inlineStr">
        <is>
          <t>Informational</t>
        </is>
      </c>
      <c r="L9">
        <f>IFERROR(HYPERLINK("#'Main'!B"&amp;MATCH(TRIM(A9),'Main'!B:B,0),"Open"),HYPERLINK("#'Main'!B1","Open"))</f>
        <v/>
      </c>
    </row>
    <row r="10" ht="18" customHeight="1">
      <c r="A10" s="37" t="inlineStr">
        <is>
          <t>https://africanmarketingconfederation.org/smoke-archive/page-24</t>
        </is>
      </c>
      <c r="B10" s="30" t="b">
        <v>0</v>
      </c>
      <c r="C10" s="30" t="n">
        <v>344</v>
      </c>
      <c r="D10" s="30" t="n">
        <v>344</v>
      </c>
      <c r="E10" s="30" t="n">
        <v>2400</v>
      </c>
      <c r="F10" s="30" t="n">
        <v>0.04</v>
      </c>
      <c r="G10" s="30" t="inlineStr"/>
      <c r="H10" s="30" t="n">
        <v>0</v>
      </c>
      <c r="I10" s="30" t="n">
        <v>0</v>
      </c>
      <c r="J10" s="30" t="inlineStr">
        <is>
          <t>Standard</t>
        </is>
      </c>
      <c r="K10" s="30" t="inlineStr">
        <is>
          <t>Informational</t>
        </is>
      </c>
      <c r="L10" s="38">
        <f>IFERROR(HYPERLINK("#'Main'!B"&amp;MATCH(TRIM(A10),'Main'!B:B,0),"Open"),HYPERLINK("#'Main'!B1","Open"))</f>
        <v/>
      </c>
    </row>
    <row r="11" ht="18" customHeight="1">
      <c r="A11" s="35" t="inlineStr">
        <is>
          <t>https://africanmarketingconfederation.org/smoke-archive/page-25</t>
        </is>
      </c>
      <c r="B11" s="28" t="b">
        <v>0</v>
      </c>
      <c r="C11" s="28" t="n">
        <v>345</v>
      </c>
      <c r="D11" s="28" t="n">
        <v>345</v>
      </c>
      <c r="E11" s="28" t="n">
        <v>2400</v>
      </c>
      <c r="F11" s="28" t="n">
        <v>0.04</v>
      </c>
      <c r="G11" s="28" t="inlineStr"/>
      <c r="H11" s="28" t="n">
        <v>0</v>
      </c>
      <c r="I11" s="28" t="n">
        <v>0</v>
      </c>
      <c r="J11" s="28" t="inlineStr">
        <is>
          <t>Standard</t>
        </is>
      </c>
      <c r="K11" s="28" t="inlineStr">
        <is>
          <t>Informational</t>
        </is>
      </c>
      <c r="L11">
        <f>IFERROR(HYPERLINK("#'Main'!B"&amp;MATCH(TRIM(A11),'Main'!B:B,0),"Open"),HYPERLINK("#'Main'!B1","Open"))</f>
        <v/>
      </c>
    </row>
    <row r="12" ht="18" customHeight="1">
      <c r="A12" s="37" t="inlineStr">
        <is>
          <t>https://africanmarketingconfederation.org/smoke-archive/page-27</t>
        </is>
      </c>
      <c r="B12" s="30" t="b">
        <v>0</v>
      </c>
      <c r="C12" s="30" t="n">
        <v>347</v>
      </c>
      <c r="D12" s="30" t="n">
        <v>347</v>
      </c>
      <c r="E12" s="30" t="n">
        <v>2400</v>
      </c>
      <c r="F12" s="30" t="n">
        <v>0.04</v>
      </c>
      <c r="G12" s="30" t="inlineStr"/>
      <c r="H12" s="30" t="n">
        <v>0</v>
      </c>
      <c r="I12" s="30" t="n">
        <v>0</v>
      </c>
      <c r="J12" s="30" t="inlineStr">
        <is>
          <t>Standard</t>
        </is>
      </c>
      <c r="K12" s="30" t="inlineStr">
        <is>
          <t>Informational</t>
        </is>
      </c>
      <c r="L12" s="38">
        <f>IFERROR(HYPERLINK("#'Main'!B"&amp;MATCH(TRIM(A12),'Main'!B:B,0),"Open"),HYPERLINK("#'Main'!B1","Open"))</f>
        <v/>
      </c>
    </row>
    <row r="13" ht="18" customHeight="1">
      <c r="A13" s="35" t="inlineStr">
        <is>
          <t>https://africanmarketingconfederation.org/smoke-archive/page-30</t>
        </is>
      </c>
      <c r="B13" s="28" t="b">
        <v>0</v>
      </c>
      <c r="C13" s="28" t="n">
        <v>350</v>
      </c>
      <c r="D13" s="28" t="n">
        <v>350</v>
      </c>
      <c r="E13" s="28" t="n">
        <v>2400</v>
      </c>
      <c r="F13" s="28" t="n">
        <v>0.04</v>
      </c>
      <c r="G13" s="28" t="inlineStr"/>
      <c r="H13" s="28" t="n">
        <v>0</v>
      </c>
      <c r="I13" s="28" t="n">
        <v>0</v>
      </c>
      <c r="J13" s="28" t="inlineStr">
        <is>
          <t>Standard</t>
        </is>
      </c>
      <c r="K13" s="28" t="inlineStr">
        <is>
          <t>Informational</t>
        </is>
      </c>
      <c r="L13">
        <f>IFERROR(HYPERLINK("#'Main'!B"&amp;MATCH(TRIM(A13),'Main'!B:B,0),"Open"),HYPERLINK("#'Main'!B1","Open"))</f>
        <v/>
      </c>
    </row>
    <row r="14" ht="18" customHeight="1">
      <c r="A14" s="37" t="inlineStr">
        <is>
          <t>https://africanmarketingconfederation.org/smoke-archive/page-32</t>
        </is>
      </c>
      <c r="B14" s="30" t="b">
        <v>0</v>
      </c>
      <c r="C14" s="30" t="n">
        <v>352</v>
      </c>
      <c r="D14" s="30" t="n">
        <v>352</v>
      </c>
      <c r="E14" s="30" t="n">
        <v>2400</v>
      </c>
      <c r="F14" s="30" t="n">
        <v>0.04</v>
      </c>
      <c r="G14" s="30" t="inlineStr"/>
      <c r="H14" s="30" t="n">
        <v>0</v>
      </c>
      <c r="I14" s="30" t="n">
        <v>0</v>
      </c>
      <c r="J14" s="30" t="inlineStr">
        <is>
          <t>Standard</t>
        </is>
      </c>
      <c r="K14" s="30" t="inlineStr">
        <is>
          <t>Informational</t>
        </is>
      </c>
      <c r="L14" s="38">
        <f>IFERROR(HYPERLINK("#'Main'!B"&amp;MATCH(TRIM(A14),'Main'!B:B,0),"Open"),HYPERLINK("#'Main'!B1","Open"))</f>
        <v/>
      </c>
    </row>
    <row r="15" ht="18" customHeight="1">
      <c r="A15" s="35" t="inlineStr">
        <is>
          <t>https://africanmarketingconfederation.org/smoke-archive/page-35</t>
        </is>
      </c>
      <c r="B15" s="28" t="b">
        <v>0</v>
      </c>
      <c r="C15" s="28" t="n">
        <v>355</v>
      </c>
      <c r="D15" s="28" t="n">
        <v>355</v>
      </c>
      <c r="E15" s="28" t="n">
        <v>2400</v>
      </c>
      <c r="F15" s="28" t="n">
        <v>0.04</v>
      </c>
      <c r="G15" s="28" t="inlineStr"/>
      <c r="H15" s="28" t="n">
        <v>0</v>
      </c>
      <c r="I15" s="28" t="n">
        <v>0</v>
      </c>
      <c r="J15" s="28" t="inlineStr">
        <is>
          <t>Standard</t>
        </is>
      </c>
      <c r="K15" s="28" t="inlineStr">
        <is>
          <t>Informational</t>
        </is>
      </c>
      <c r="L15">
        <f>IFERROR(HYPERLINK("#'Main'!B"&amp;MATCH(TRIM(A15),'Main'!B:B,0),"Open"),HYPERLINK("#'Main'!B1","Open"))</f>
        <v/>
      </c>
    </row>
    <row r="16" ht="18" customHeight="1">
      <c r="A16" s="37" t="inlineStr">
        <is>
          <t>https://africanmarketingconfederation.org/smoke-archive/page-36</t>
        </is>
      </c>
      <c r="B16" s="30" t="b">
        <v>0</v>
      </c>
      <c r="C16" s="30" t="n">
        <v>356</v>
      </c>
      <c r="D16" s="30" t="n">
        <v>356</v>
      </c>
      <c r="E16" s="30" t="n">
        <v>2400</v>
      </c>
      <c r="F16" s="30" t="n">
        <v>0.04</v>
      </c>
      <c r="G16" s="30" t="inlineStr"/>
      <c r="H16" s="30" t="n">
        <v>0</v>
      </c>
      <c r="I16" s="30" t="n">
        <v>0</v>
      </c>
      <c r="J16" s="30" t="inlineStr">
        <is>
          <t>Standard</t>
        </is>
      </c>
      <c r="K16" s="30" t="inlineStr">
        <is>
          <t>Informational</t>
        </is>
      </c>
      <c r="L16" s="38">
        <f>IFERROR(HYPERLINK("#'Main'!B"&amp;MATCH(TRIM(A16),'Main'!B:B,0),"Open"),HYPERLINK("#'Main'!B1","Open"))</f>
        <v/>
      </c>
    </row>
    <row r="17" ht="18" customHeight="1">
      <c r="A17" s="35" t="inlineStr">
        <is>
          <t>https://africanmarketingconfederation.org/smoke-archive/page-40</t>
        </is>
      </c>
      <c r="B17" s="28" t="b">
        <v>0</v>
      </c>
      <c r="C17" s="28" t="n">
        <v>360</v>
      </c>
      <c r="D17" s="28" t="n">
        <v>360</v>
      </c>
      <c r="E17" s="28" t="n">
        <v>2400</v>
      </c>
      <c r="F17" s="28" t="n">
        <v>0.04</v>
      </c>
      <c r="G17" s="28" t="inlineStr"/>
      <c r="H17" s="28" t="n">
        <v>0</v>
      </c>
      <c r="I17" s="28" t="n">
        <v>0</v>
      </c>
      <c r="J17" s="28" t="inlineStr">
        <is>
          <t>Standard</t>
        </is>
      </c>
      <c r="K17" s="28" t="inlineStr">
        <is>
          <t>Informational</t>
        </is>
      </c>
      <c r="L17">
        <f>IFERROR(HYPERLINK("#'Main'!B"&amp;MATCH(TRIM(A17),'Main'!B:B,0),"Open"),HYPERLINK("#'Main'!B1","Open"))</f>
        <v/>
      </c>
    </row>
    <row r="18" ht="18" customHeight="1">
      <c r="A18" s="37" t="inlineStr">
        <is>
          <t>https://africanmarketingconfederation.org/smoke-archive/page-42</t>
        </is>
      </c>
      <c r="B18" s="30" t="b">
        <v>0</v>
      </c>
      <c r="C18" s="30" t="n">
        <v>362</v>
      </c>
      <c r="D18" s="30" t="n">
        <v>362</v>
      </c>
      <c r="E18" s="30" t="n">
        <v>2400</v>
      </c>
      <c r="F18" s="30" t="n">
        <v>0.04</v>
      </c>
      <c r="G18" s="30" t="inlineStr"/>
      <c r="H18" s="30" t="n">
        <v>0</v>
      </c>
      <c r="I18" s="30" t="n">
        <v>0</v>
      </c>
      <c r="J18" s="30" t="inlineStr">
        <is>
          <t>Standard</t>
        </is>
      </c>
      <c r="K18" s="30" t="inlineStr">
        <is>
          <t>Informational</t>
        </is>
      </c>
      <c r="L18" s="38">
        <f>IFERROR(HYPERLINK("#'Main'!B"&amp;MATCH(TRIM(A18),'Main'!B:B,0),"Open"),HYPERLINK("#'Main'!B1","Open"))</f>
        <v/>
      </c>
    </row>
    <row r="19" ht="18" customHeight="1">
      <c r="A19" s="35" t="inlineStr">
        <is>
          <t>https://africanmarketingconfederation.org/smoke-archive/page-45</t>
        </is>
      </c>
      <c r="B19" s="28" t="b">
        <v>0</v>
      </c>
      <c r="C19" s="28" t="n">
        <v>365</v>
      </c>
      <c r="D19" s="28" t="n">
        <v>365</v>
      </c>
      <c r="E19" s="28" t="n">
        <v>2400</v>
      </c>
      <c r="F19" s="28" t="n">
        <v>0.04</v>
      </c>
      <c r="G19" s="28" t="inlineStr"/>
      <c r="H19" s="28" t="n">
        <v>0</v>
      </c>
      <c r="I19" s="28" t="n">
        <v>0</v>
      </c>
      <c r="J19" s="28" t="inlineStr">
        <is>
          <t>Standard</t>
        </is>
      </c>
      <c r="K19" s="28" t="inlineStr">
        <is>
          <t>Informational</t>
        </is>
      </c>
      <c r="L19">
        <f>IFERROR(HYPERLINK("#'Main'!B"&amp;MATCH(TRIM(A19),'Main'!B:B,0),"Open"),HYPERLINK("#'Main'!B1","Open"))</f>
        <v/>
      </c>
    </row>
    <row r="20" ht="18" customHeight="1">
      <c r="A20" s="37" t="inlineStr">
        <is>
          <t>https://africanmarketingconfederation.org/smoke-archive/page-48</t>
        </is>
      </c>
      <c r="B20" s="30" t="b">
        <v>0</v>
      </c>
      <c r="C20" s="30" t="n">
        <v>368</v>
      </c>
      <c r="D20" s="30" t="n">
        <v>368</v>
      </c>
      <c r="E20" s="30" t="n">
        <v>2400</v>
      </c>
      <c r="F20" s="30" t="n">
        <v>0.04</v>
      </c>
      <c r="G20" s="30" t="inlineStr"/>
      <c r="H20" s="30" t="n">
        <v>0</v>
      </c>
      <c r="I20" s="30" t="n">
        <v>0</v>
      </c>
      <c r="J20" s="30" t="inlineStr">
        <is>
          <t>Standard</t>
        </is>
      </c>
      <c r="K20" s="30" t="inlineStr">
        <is>
          <t>Informational</t>
        </is>
      </c>
      <c r="L20" s="38">
        <f>IFERROR(HYPERLINK("#'Main'!B"&amp;MATCH(TRIM(A20),'Main'!B:B,0),"Open"),HYPERLINK("#'Main'!B1","Open"))</f>
        <v/>
      </c>
    </row>
    <row r="21" ht="18" customHeight="1">
      <c r="A21" s="35" t="inlineStr">
        <is>
          <t>https://africanmarketingconfederation.org/smoke-archive/page-5</t>
        </is>
      </c>
      <c r="B21" s="28" t="b">
        <v>0</v>
      </c>
      <c r="C21" s="28" t="n">
        <v>325</v>
      </c>
      <c r="D21" s="28" t="n">
        <v>325</v>
      </c>
      <c r="E21" s="28" t="n">
        <v>2400</v>
      </c>
      <c r="F21" s="28" t="n">
        <v>0.04</v>
      </c>
      <c r="G21" s="28" t="inlineStr"/>
      <c r="H21" s="28" t="n">
        <v>0</v>
      </c>
      <c r="I21" s="28" t="n">
        <v>0</v>
      </c>
      <c r="J21" s="28" t="inlineStr">
        <is>
          <t>Standard</t>
        </is>
      </c>
      <c r="K21" s="28" t="inlineStr">
        <is>
          <t>Informational</t>
        </is>
      </c>
      <c r="L21">
        <f>IFERROR(HYPERLINK("#'Main'!B"&amp;MATCH(TRIM(A21),'Main'!B:B,0),"Open"),HYPERLINK("#'Main'!B1","Open"))</f>
        <v/>
      </c>
    </row>
    <row r="22" ht="18" customHeight="1">
      <c r="A22" s="37" t="inlineStr">
        <is>
          <t>https://africanmarketingconfederation.org/smoke-archive/page-50</t>
        </is>
      </c>
      <c r="B22" s="30" t="b">
        <v>0</v>
      </c>
      <c r="C22" s="30" t="n">
        <v>320</v>
      </c>
      <c r="D22" s="30" t="n">
        <v>320</v>
      </c>
      <c r="E22" s="30" t="n">
        <v>2400</v>
      </c>
      <c r="F22" s="30" t="n">
        <v>0.04</v>
      </c>
      <c r="G22" s="30" t="inlineStr"/>
      <c r="H22" s="30" t="n">
        <v>0</v>
      </c>
      <c r="I22" s="30" t="n">
        <v>0</v>
      </c>
      <c r="J22" s="30" t="inlineStr">
        <is>
          <t>Standard</t>
        </is>
      </c>
      <c r="K22" s="30" t="inlineStr">
        <is>
          <t>Informational</t>
        </is>
      </c>
      <c r="L22" s="38">
        <f>IFERROR(HYPERLINK("#'Main'!B"&amp;MATCH(TRIM(A22),'Main'!B:B,0),"Open"),HYPERLINK("#'Main'!B1","Open"))</f>
        <v/>
      </c>
    </row>
    <row r="23" ht="18" customHeight="1">
      <c r="A23" s="35" t="inlineStr">
        <is>
          <t>https://africanmarketingconfederation.org/smoke-archive/page-54</t>
        </is>
      </c>
      <c r="B23" s="28" t="b">
        <v>0</v>
      </c>
      <c r="C23" s="28" t="n">
        <v>324</v>
      </c>
      <c r="D23" s="28" t="n">
        <v>324</v>
      </c>
      <c r="E23" s="28" t="n">
        <v>2400</v>
      </c>
      <c r="F23" s="28" t="n">
        <v>0.04</v>
      </c>
      <c r="G23" s="28" t="inlineStr"/>
      <c r="H23" s="28" t="n">
        <v>0</v>
      </c>
      <c r="I23" s="28" t="n">
        <v>0</v>
      </c>
      <c r="J23" s="28" t="inlineStr">
        <is>
          <t>Standard</t>
        </is>
      </c>
      <c r="K23" s="28" t="inlineStr">
        <is>
          <t>Informational</t>
        </is>
      </c>
      <c r="L23">
        <f>IFERROR(HYPERLINK("#'Main'!B"&amp;MATCH(TRIM(A23),'Main'!B:B,0),"Open"),HYPERLINK("#'Main'!B1","Open"))</f>
        <v/>
      </c>
    </row>
    <row r="24" ht="18" customHeight="1">
      <c r="A24" s="37" t="inlineStr">
        <is>
          <t>https://africanmarketingconfederation.org/smoke-archive/page-55</t>
        </is>
      </c>
      <c r="B24" s="30" t="b">
        <v>0</v>
      </c>
      <c r="C24" s="30" t="n">
        <v>325</v>
      </c>
      <c r="D24" s="30" t="n">
        <v>325</v>
      </c>
      <c r="E24" s="30" t="n">
        <v>2400</v>
      </c>
      <c r="F24" s="30" t="n">
        <v>0.04</v>
      </c>
      <c r="G24" s="30" t="inlineStr"/>
      <c r="H24" s="30" t="n">
        <v>0</v>
      </c>
      <c r="I24" s="30" t="n">
        <v>0</v>
      </c>
      <c r="J24" s="30" t="inlineStr">
        <is>
          <t>Standard</t>
        </is>
      </c>
      <c r="K24" s="30" t="inlineStr">
        <is>
          <t>Informational</t>
        </is>
      </c>
      <c r="L24" s="38">
        <f>IFERROR(HYPERLINK("#'Main'!B"&amp;MATCH(TRIM(A24),'Main'!B:B,0),"Open"),HYPERLINK("#'Main'!B1","Open"))</f>
        <v/>
      </c>
    </row>
    <row r="25" ht="18" customHeight="1">
      <c r="A25" s="35" t="inlineStr">
        <is>
          <t>https://africanmarketingconfederation.org/smoke-archive/page-56</t>
        </is>
      </c>
      <c r="B25" s="28" t="b">
        <v>0</v>
      </c>
      <c r="C25" s="28" t="n">
        <v>326</v>
      </c>
      <c r="D25" s="28" t="n">
        <v>326</v>
      </c>
      <c r="E25" s="28" t="n">
        <v>2400</v>
      </c>
      <c r="F25" s="28" t="n">
        <v>0.04</v>
      </c>
      <c r="G25" s="28" t="inlineStr"/>
      <c r="H25" s="28" t="n">
        <v>0</v>
      </c>
      <c r="I25" s="28" t="n">
        <v>0</v>
      </c>
      <c r="J25" s="28" t="inlineStr">
        <is>
          <t>Standard</t>
        </is>
      </c>
      <c r="K25" s="28" t="inlineStr">
        <is>
          <t>Informational</t>
        </is>
      </c>
      <c r="L25">
        <f>IFERROR(HYPERLINK("#'Main'!B"&amp;MATCH(TRIM(A25),'Main'!B:B,0),"Open"),HYPERLINK("#'Main'!B1","Open"))</f>
        <v/>
      </c>
    </row>
    <row r="26" ht="18" customHeight="1">
      <c r="A26" s="37" t="inlineStr">
        <is>
          <t>https://africanmarketingconfederation.org/smoke-archive/page-6</t>
        </is>
      </c>
      <c r="B26" s="30" t="b">
        <v>0</v>
      </c>
      <c r="C26" s="30" t="n">
        <v>326</v>
      </c>
      <c r="D26" s="30" t="n">
        <v>326</v>
      </c>
      <c r="E26" s="30" t="n">
        <v>2400</v>
      </c>
      <c r="F26" s="30" t="n">
        <v>0.04</v>
      </c>
      <c r="G26" s="30" t="inlineStr"/>
      <c r="H26" s="30" t="n">
        <v>0</v>
      </c>
      <c r="I26" s="30" t="n">
        <v>0</v>
      </c>
      <c r="J26" s="30" t="inlineStr">
        <is>
          <t>Standard</t>
        </is>
      </c>
      <c r="K26" s="30" t="inlineStr">
        <is>
          <t>Informational</t>
        </is>
      </c>
      <c r="L26" s="38">
        <f>IFERROR(HYPERLINK("#'Main'!B"&amp;MATCH(TRIM(A26),'Main'!B:B,0),"Open"),HYPERLINK("#'Main'!B1","Open"))</f>
        <v/>
      </c>
    </row>
    <row r="27" ht="18" customHeight="1">
      <c r="A27" s="35" t="inlineStr">
        <is>
          <t>https://africanmarketingconfederation.org/smoke-archive/page-60</t>
        </is>
      </c>
      <c r="B27" s="28" t="b">
        <v>0</v>
      </c>
      <c r="C27" s="28" t="n">
        <v>330</v>
      </c>
      <c r="D27" s="28" t="n">
        <v>330</v>
      </c>
      <c r="E27" s="28" t="n">
        <v>2400</v>
      </c>
      <c r="F27" s="28" t="n">
        <v>0.04</v>
      </c>
      <c r="G27" s="28" t="inlineStr"/>
      <c r="H27" s="28" t="n">
        <v>0</v>
      </c>
      <c r="I27" s="28" t="n">
        <v>0</v>
      </c>
      <c r="J27" s="28" t="inlineStr">
        <is>
          <t>Standard</t>
        </is>
      </c>
      <c r="K27" s="28" t="inlineStr">
        <is>
          <t>Informational</t>
        </is>
      </c>
      <c r="L27">
        <f>IFERROR(HYPERLINK("#'Main'!B"&amp;MATCH(TRIM(A27),'Main'!B:B,0),"Open"),HYPERLINK("#'Main'!B1","Open"))</f>
        <v/>
      </c>
    </row>
    <row r="28" ht="18" customHeight="1">
      <c r="A28" s="37" t="inlineStr">
        <is>
          <t>https://africanmarketingconfederation.org/smoke-archive/page-63</t>
        </is>
      </c>
      <c r="B28" s="30" t="b">
        <v>0</v>
      </c>
      <c r="C28" s="30" t="n">
        <v>333</v>
      </c>
      <c r="D28" s="30" t="n">
        <v>333</v>
      </c>
      <c r="E28" s="30" t="n">
        <v>2400</v>
      </c>
      <c r="F28" s="30" t="n">
        <v>0.04</v>
      </c>
      <c r="G28" s="30" t="inlineStr"/>
      <c r="H28" s="30" t="n">
        <v>0</v>
      </c>
      <c r="I28" s="30" t="n">
        <v>0</v>
      </c>
      <c r="J28" s="30" t="inlineStr">
        <is>
          <t>Standard</t>
        </is>
      </c>
      <c r="K28" s="30" t="inlineStr">
        <is>
          <t>Informational</t>
        </is>
      </c>
      <c r="L28" s="38">
        <f>IFERROR(HYPERLINK("#'Main'!B"&amp;MATCH(TRIM(A28),'Main'!B:B,0),"Open"),HYPERLINK("#'Main'!B1","Open"))</f>
        <v/>
      </c>
    </row>
    <row r="29" ht="18" customHeight="1">
      <c r="A29" s="35" t="inlineStr">
        <is>
          <t>https://africanmarketingconfederation.org/smoke-archive/page-64</t>
        </is>
      </c>
      <c r="B29" s="28" t="b">
        <v>0</v>
      </c>
      <c r="C29" s="28" t="n">
        <v>334</v>
      </c>
      <c r="D29" s="28" t="n">
        <v>334</v>
      </c>
      <c r="E29" s="28" t="n">
        <v>2400</v>
      </c>
      <c r="F29" s="28" t="n">
        <v>0.04</v>
      </c>
      <c r="G29" s="28" t="inlineStr"/>
      <c r="H29" s="28" t="n">
        <v>0</v>
      </c>
      <c r="I29" s="28" t="n">
        <v>0</v>
      </c>
      <c r="J29" s="28" t="inlineStr">
        <is>
          <t>Standard</t>
        </is>
      </c>
      <c r="K29" s="28" t="inlineStr">
        <is>
          <t>Informational</t>
        </is>
      </c>
      <c r="L29">
        <f>IFERROR(HYPERLINK("#'Main'!B"&amp;MATCH(TRIM(A29),'Main'!B:B,0),"Open"),HYPERLINK("#'Main'!B1","Open"))</f>
        <v/>
      </c>
    </row>
    <row r="30" ht="18" customHeight="1">
      <c r="A30" s="37" t="inlineStr">
        <is>
          <t>https://africanmarketingconfederation.org/smoke-archive/page-66</t>
        </is>
      </c>
      <c r="B30" s="30" t="b">
        <v>0</v>
      </c>
      <c r="C30" s="30" t="n">
        <v>336</v>
      </c>
      <c r="D30" s="30" t="n">
        <v>336</v>
      </c>
      <c r="E30" s="30" t="n">
        <v>2400</v>
      </c>
      <c r="F30" s="30" t="n">
        <v>0.04</v>
      </c>
      <c r="G30" s="30" t="inlineStr"/>
      <c r="H30" s="30" t="n">
        <v>0</v>
      </c>
      <c r="I30" s="30" t="n">
        <v>0</v>
      </c>
      <c r="J30" s="30" t="inlineStr">
        <is>
          <t>Standard</t>
        </is>
      </c>
      <c r="K30" s="30" t="inlineStr">
        <is>
          <t>Informational</t>
        </is>
      </c>
      <c r="L30" s="38">
        <f>IFERROR(HYPERLINK("#'Main'!B"&amp;MATCH(TRIM(A30),'Main'!B:B,0),"Open"),HYPERLINK("#'Main'!B1","Open"))</f>
        <v/>
      </c>
    </row>
    <row r="31" ht="18" customHeight="1">
      <c r="A31" s="35" t="inlineStr">
        <is>
          <t>https://africanmarketingconfederation.org/smoke-archive/page-70</t>
        </is>
      </c>
      <c r="B31" s="28" t="b">
        <v>0</v>
      </c>
      <c r="C31" s="28" t="n">
        <v>340</v>
      </c>
      <c r="D31" s="28" t="n">
        <v>340</v>
      </c>
      <c r="E31" s="28" t="n">
        <v>2400</v>
      </c>
      <c r="F31" s="28" t="n">
        <v>0.04</v>
      </c>
      <c r="G31" s="28" t="inlineStr"/>
      <c r="H31" s="28" t="n">
        <v>0</v>
      </c>
      <c r="I31" s="28" t="n">
        <v>0</v>
      </c>
      <c r="J31" s="28" t="inlineStr">
        <is>
          <t>Standard</t>
        </is>
      </c>
      <c r="K31" s="28" t="inlineStr">
        <is>
          <t>Informational</t>
        </is>
      </c>
      <c r="L31">
        <f>IFERROR(HYPERLINK("#'Main'!B"&amp;MATCH(TRIM(A31),'Main'!B:B,0),"Open"),HYPERLINK("#'Main'!B1","Open"))</f>
        <v/>
      </c>
    </row>
    <row r="32" ht="18" customHeight="1">
      <c r="A32" s="37" t="inlineStr">
        <is>
          <t>https://africanmarketingconfederation.org/smoke-archive/page-72</t>
        </is>
      </c>
      <c r="B32" s="30" t="b">
        <v>0</v>
      </c>
      <c r="C32" s="30" t="n">
        <v>342</v>
      </c>
      <c r="D32" s="30" t="n">
        <v>342</v>
      </c>
      <c r="E32" s="30" t="n">
        <v>2400</v>
      </c>
      <c r="F32" s="30" t="n">
        <v>0.04</v>
      </c>
      <c r="G32" s="30" t="inlineStr"/>
      <c r="H32" s="30" t="n">
        <v>0</v>
      </c>
      <c r="I32" s="30" t="n">
        <v>0</v>
      </c>
      <c r="J32" s="30" t="inlineStr">
        <is>
          <t>Standard</t>
        </is>
      </c>
      <c r="K32" s="30" t="inlineStr">
        <is>
          <t>Informational</t>
        </is>
      </c>
      <c r="L32" s="38">
        <f>IFERROR(HYPERLINK("#'Main'!B"&amp;MATCH(TRIM(A32),'Main'!B:B,0),"Open"),HYPERLINK("#'Main'!B1","Open"))</f>
        <v/>
      </c>
    </row>
    <row r="33" ht="18" customHeight="1">
      <c r="A33" s="35" t="inlineStr">
        <is>
          <t>https://africanmarketingconfederation.org/smoke-archive/page-75</t>
        </is>
      </c>
      <c r="B33" s="28" t="b">
        <v>0</v>
      </c>
      <c r="C33" s="28" t="n">
        <v>345</v>
      </c>
      <c r="D33" s="28" t="n">
        <v>345</v>
      </c>
      <c r="E33" s="28" t="n">
        <v>2400</v>
      </c>
      <c r="F33" s="28" t="n">
        <v>0.04</v>
      </c>
      <c r="G33" s="28" t="inlineStr"/>
      <c r="H33" s="28" t="n">
        <v>0</v>
      </c>
      <c r="I33" s="28" t="n">
        <v>0</v>
      </c>
      <c r="J33" s="28" t="inlineStr">
        <is>
          <t>Standard</t>
        </is>
      </c>
      <c r="K33" s="28" t="inlineStr">
        <is>
          <t>Informational</t>
        </is>
      </c>
      <c r="L33">
        <f>IFERROR(HYPERLINK("#'Main'!B"&amp;MATCH(TRIM(A33),'Main'!B:B,0),"Open"),HYPERLINK("#'Main'!B1","Open"))</f>
        <v/>
      </c>
    </row>
    <row r="34" ht="18" customHeight="1">
      <c r="A34" s="37" t="inlineStr">
        <is>
          <t>https://africanmarketingconfederation.org/smoke-archive/page-8</t>
        </is>
      </c>
      <c r="B34" s="30" t="b">
        <v>0</v>
      </c>
      <c r="C34" s="30" t="n">
        <v>328</v>
      </c>
      <c r="D34" s="30" t="n">
        <v>328</v>
      </c>
      <c r="E34" s="30" t="n">
        <v>2400</v>
      </c>
      <c r="F34" s="30" t="n">
        <v>0.04</v>
      </c>
      <c r="G34" s="30" t="inlineStr"/>
      <c r="H34" s="30" t="n">
        <v>0</v>
      </c>
      <c r="I34" s="30" t="n">
        <v>0</v>
      </c>
      <c r="J34" s="30" t="inlineStr">
        <is>
          <t>Standard</t>
        </is>
      </c>
      <c r="K34" s="30" t="inlineStr">
        <is>
          <t>Informational</t>
        </is>
      </c>
      <c r="L34" s="38">
        <f>IFERROR(HYPERLINK("#'Main'!B"&amp;MATCH(TRIM(A34),'Main'!B:B,0),"Open"),HYPERLINK("#'Main'!B1","Open"))</f>
        <v/>
      </c>
    </row>
    <row r="35" ht="18" customHeight="1">
      <c r="A35" s="35" t="inlineStr">
        <is>
          <t>https://africanmarketingconfederation.org/smoke-archive/page-9</t>
        </is>
      </c>
      <c r="B35" s="28" t="b">
        <v>0</v>
      </c>
      <c r="C35" s="28" t="n">
        <v>329</v>
      </c>
      <c r="D35" s="28" t="n">
        <v>329</v>
      </c>
      <c r="E35" s="28" t="n">
        <v>2400</v>
      </c>
      <c r="F35" s="28" t="n">
        <v>0.04</v>
      </c>
      <c r="G35" s="28" t="inlineStr"/>
      <c r="H35" s="28" t="n">
        <v>0</v>
      </c>
      <c r="I35" s="28" t="n">
        <v>0</v>
      </c>
      <c r="J35" s="28" t="inlineStr">
        <is>
          <t>Standard</t>
        </is>
      </c>
      <c r="K35" s="28" t="inlineStr">
        <is>
          <t>Informational</t>
        </is>
      </c>
      <c r="L35">
        <f>IFERROR(HYPERLINK("#'Main'!B"&amp;MATCH(TRIM(A35),'Main'!B:B,0),"Open"),HYPERLINK("#'Main'!B1","Open"))</f>
        <v/>
      </c>
    </row>
  </sheetData>
  <autoFilter ref="A2:L35"/>
  <mergeCells count="2">
    <mergeCell ref="A1:B1"/>
    <mergeCell ref="C1:H1"/>
  </mergeCells>
  <conditionalFormatting sqref="A3:K35">
    <cfRule type="expression" priority="1" dxfId="3" stopIfTrue="0">
      <formula>MOD(ROW(),2)=0</formula>
    </cfRule>
  </conditionalFormatting>
  <conditionalFormatting sqref="A3:L35">
    <cfRule type="expression" priority="2" dxfId="21" stopIfTrue="0">
      <formula>UPPER($J3)="CRITICAL"</formula>
    </cfRule>
  </conditionalFormatting>
  <conditionalFormatting sqref="J3:J35">
    <cfRule type="cellIs" priority="3" operator="equal" dxfId="21" stopIfTrue="0">
      <formula>"CRITICAL"</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tabColor rgb="00E67E22"/>
    <outlinePr summaryBelow="1" summaryRight="1"/>
    <pageSetUpPr fitToPage="1"/>
  </sheetPr>
  <dimension ref="A1:HI85"/>
  <sheetViews>
    <sheetView showGridLines="0" tabSelected="0" zoomScale="85" workbookViewId="0">
      <pane xSplit="2" ySplit="2" topLeftCell="C3" activePane="bottomRight" state="frozen"/>
      <selection pane="topRight"/>
      <selection pane="bottomLeft"/>
      <selection pane="bottomRight"/>
      <selection pane="bottomLeft"/>
      <selection pane="bottomRight"/>
      <selection pane="bottomLeft"/>
      <selection pane="bottomRight"/>
      <selection pane="bottomLeft"/>
    </sheetView>
  </sheetViews>
  <sheetFormatPr baseColWidth="8" defaultRowHeight="15"/>
  <cols>
    <col width="13" customWidth="1" min="1" max="1"/>
    <col width="45" customWidth="1" min="2" max="2"/>
    <col width="13" customWidth="1" min="3" max="3"/>
    <col width="15" customWidth="1" min="4" max="4"/>
    <col width="15" customWidth="1" min="5" max="5"/>
    <col width="16" customWidth="1" min="6" max="6"/>
    <col width="37" customWidth="1" min="7" max="7"/>
    <col width="19" customWidth="1" min="8" max="8"/>
    <col width="18" customWidth="1" min="9" max="9"/>
    <col width="16" customWidth="1" min="10" max="10"/>
    <col width="15" customWidth="1" min="11" max="11"/>
    <col hidden="1" outlineLevel="2" width="13" customWidth="1" min="12" max="65"/>
    <col width="10" customWidth="1" min="13" max="13"/>
    <col width="14" customWidth="1" min="14" max="14"/>
    <col width="17" customWidth="1" min="15" max="15"/>
    <col width="17" customWidth="1" min="16" max="16"/>
    <col width="12" customWidth="1" min="17" max="17"/>
    <col width="14" customWidth="1" min="18" max="18"/>
    <col width="14" customWidth="1" min="19" max="19"/>
    <col width="15" customWidth="1" min="20" max="20"/>
    <col width="19" customWidth="1" min="21" max="21"/>
    <col width="19" customWidth="1" min="22" max="22"/>
    <col width="19" customWidth="1" min="23" max="23"/>
    <col width="21" customWidth="1" min="24" max="24"/>
    <col width="17" customWidth="1" min="25" max="25"/>
    <col width="22" customWidth="1" min="26" max="26"/>
    <col width="19" customWidth="1" min="27" max="27"/>
    <col width="18" customWidth="1" min="28" max="28"/>
    <col width="22" customWidth="1" min="29" max="29"/>
    <col width="22" customWidth="1" min="30" max="30"/>
    <col width="22" customWidth="1" min="31" max="31"/>
    <col width="22" customWidth="1" min="32" max="32"/>
    <col width="16" customWidth="1" min="33" max="33"/>
    <col width="12" customWidth="1" min="34" max="34"/>
    <col width="17" customWidth="1" min="35" max="35"/>
    <col width="22" customWidth="1" min="36" max="36"/>
    <col width="18"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19" customWidth="1" min="49" max="49"/>
    <col width="22" customWidth="1" min="50" max="50"/>
    <col width="22" customWidth="1" min="51" max="51"/>
    <col width="22" customWidth="1" min="52" max="52"/>
    <col width="22" customWidth="1" min="53" max="53"/>
    <col width="22" customWidth="1" min="54" max="54"/>
    <col width="22" customWidth="1" min="55" max="55"/>
    <col width="16" customWidth="1" min="56" max="56"/>
    <col width="18" customWidth="1" min="57" max="57"/>
    <col width="19"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hidden="1" outlineLevel="2" width="18" customWidth="1" min="66" max="67"/>
    <col width="19" customWidth="1" min="67" max="67"/>
    <col width="22" customWidth="1" min="68" max="68"/>
    <col hidden="1" outlineLevel="2" width="14" customWidth="1" min="69" max="70"/>
    <col width="18" customWidth="1" min="70" max="70"/>
    <col hidden="1" outlineLevel="2" width="48" customWidth="1" min="71" max="71"/>
    <col hidden="1" outlineLevel="2" width="19" customWidth="1" min="72" max="72"/>
    <col width="15" customWidth="1" min="73" max="73"/>
    <col hidden="1" outlineLevel="2" width="12" customWidth="1" min="74" max="85"/>
    <col width="11" customWidth="1" min="75" max="75"/>
    <col width="12" customWidth="1" min="76" max="76"/>
    <col width="11" customWidth="1" min="77" max="77"/>
    <col width="12" customWidth="1" min="78" max="78"/>
    <col width="11" customWidth="1" min="79" max="79"/>
    <col width="12" customWidth="1" min="80" max="80"/>
    <col width="11" customWidth="1" min="81" max="81"/>
    <col width="12" customWidth="1" min="82" max="82"/>
    <col width="11" customWidth="1" min="83" max="83"/>
    <col width="12" customWidth="1" min="84" max="84"/>
    <col width="11" customWidth="1" min="85" max="85"/>
    <col hidden="1" outlineLevel="2" width="12" customWidth="1" min="86" max="91"/>
    <col width="17" customWidth="1" min="87" max="87"/>
    <col width="21" customWidth="1" min="88" max="88"/>
    <col width="19" customWidth="1" min="89" max="89"/>
    <col width="48" customWidth="1" min="90" max="90"/>
    <col width="55" customWidth="1" min="91" max="91"/>
    <col hidden="1" outlineLevel="2" width="13" customWidth="1" min="92" max="98"/>
    <col width="14" customWidth="1" min="93" max="93"/>
    <col width="19" customWidth="1" min="94" max="94"/>
    <col width="19" customWidth="1" min="95" max="95"/>
    <col width="17" customWidth="1" min="96" max="96"/>
    <col width="18" customWidth="1" min="97" max="97"/>
    <col width="45" customWidth="1" min="98" max="98"/>
    <col width="16" customWidth="1" min="99" max="99"/>
    <col hidden="1" outlineLevel="2" width="18" customWidth="1" min="100" max="102"/>
    <col width="12" customWidth="1" min="101" max="101"/>
    <col width="11" customWidth="1" min="102" max="102"/>
    <col hidden="1" outlineLevel="2" width="16" customWidth="1" min="103" max="112"/>
    <col width="14" customWidth="1" min="104" max="104"/>
    <col width="20" customWidth="1" min="105" max="105"/>
    <col width="20" customWidth="1" min="106" max="106"/>
    <col width="22" customWidth="1" min="107" max="107"/>
    <col width="20" customWidth="1" min="108" max="108"/>
    <col width="22" customWidth="1" min="109" max="109"/>
    <col width="22" customWidth="1" min="110" max="110"/>
    <col width="22" customWidth="1" min="111" max="111"/>
    <col width="22" customWidth="1" min="112" max="112"/>
    <col hidden="1" outlineLevel="2" width="22" customWidth="1" min="113" max="130"/>
    <col width="20" customWidth="1" min="114" max="114"/>
    <col width="13" customWidth="1" min="115" max="115"/>
    <col width="20" customWidth="1" min="116" max="116"/>
    <col width="13" customWidth="1" min="117" max="117"/>
    <col width="22" customWidth="1" min="118" max="118"/>
    <col width="22" customWidth="1" min="119" max="119"/>
    <col width="19" customWidth="1" min="120" max="120"/>
    <col width="18" customWidth="1" min="121" max="121"/>
    <col width="18" customWidth="1" min="122" max="122"/>
    <col width="22" customWidth="1" min="123" max="123"/>
    <col width="16" customWidth="1" min="124" max="124"/>
    <col width="18" customWidth="1" min="125" max="125"/>
    <col width="22" customWidth="1" min="126" max="126"/>
    <col width="18" customWidth="1" min="127" max="127"/>
    <col width="19" customWidth="1" min="128" max="128"/>
    <col width="21" customWidth="1" min="129" max="129"/>
    <col width="22" customWidth="1" min="130" max="130"/>
    <col hidden="1" outlineLevel="2" width="17" customWidth="1" min="131" max="136"/>
    <col width="19" customWidth="1" min="132" max="132"/>
    <col width="19" customWidth="1" min="133" max="133"/>
    <col width="22" customWidth="1" min="134" max="134"/>
    <col width="22" customWidth="1" min="135" max="135"/>
    <col width="14" customWidth="1" min="136" max="136"/>
    <col width="16" customWidth="1" min="137" max="137"/>
    <col width="20" customWidth="1" min="138" max="138"/>
    <col width="20" customWidth="1" min="139" max="139"/>
    <col width="20" customWidth="1" min="140" max="140"/>
    <col width="18" customWidth="1" min="141" max="141"/>
    <col hidden="1" outlineLevel="2" width="16" customWidth="1" min="142" max="157"/>
    <col width="37" customWidth="1" min="143" max="143"/>
    <col width="10" customWidth="1" min="144" max="144"/>
    <col width="10" customWidth="1" min="145" max="145"/>
    <col width="45" customWidth="1" min="146" max="146"/>
    <col width="16" customWidth="1" min="147" max="147"/>
    <col width="17" customWidth="1" min="148" max="148"/>
    <col width="13" customWidth="1" min="149" max="149"/>
    <col width="22" customWidth="1" min="150" max="150"/>
    <col width="17" customWidth="1" min="151" max="151"/>
    <col width="21" customWidth="1" min="152" max="152"/>
    <col width="15" customWidth="1" min="153" max="153"/>
    <col width="21" customWidth="1" min="154" max="154"/>
    <col width="15" customWidth="1" min="155" max="155"/>
    <col width="22" customWidth="1" min="156" max="156"/>
    <col width="21" customWidth="1" min="157" max="157"/>
    <col hidden="1" outlineLevel="2" width="45" customWidth="1" min="158" max="164"/>
    <col width="16" customWidth="1" min="159" max="159"/>
    <col width="22" customWidth="1" min="160" max="160"/>
    <col width="21" customWidth="1" min="161" max="161"/>
    <col width="18" customWidth="1" min="162" max="162"/>
    <col width="22" customWidth="1" min="163" max="163"/>
    <col width="20" customWidth="1" min="164" max="164"/>
    <col hidden="1" outlineLevel="2" width="22" customWidth="1" min="165" max="170"/>
    <col width="48" customWidth="1" min="166" max="166"/>
    <col width="17" customWidth="1" min="167" max="167"/>
    <col width="22" customWidth="1" min="168" max="168"/>
    <col width="22" customWidth="1" min="169" max="169"/>
    <col width="22" customWidth="1" min="170" max="170"/>
    <col hidden="1" outlineLevel="2" width="18" customWidth="1" min="171" max="176"/>
    <col width="21" customWidth="1" min="172" max="172"/>
    <col width="22" customWidth="1" min="173" max="173"/>
    <col width="22" customWidth="1" min="174" max="174"/>
    <col width="21" customWidth="1" min="175" max="175"/>
    <col width="22" customWidth="1" min="176" max="176"/>
    <col hidden="1" outlineLevel="2" width="22" customWidth="1" min="177" max="182"/>
    <col width="21" customWidth="1" min="178" max="178"/>
    <col width="20" customWidth="1" min="179" max="179"/>
    <col width="22" customWidth="1" min="180" max="180"/>
    <col width="22" customWidth="1" min="181" max="181"/>
    <col width="21" customWidth="1" min="182" max="182"/>
    <col width="22" customWidth="1" min="183" max="183"/>
    <col width="21" customWidth="1" min="184" max="184"/>
    <col width="22" customWidth="1" min="185" max="185"/>
    <col width="22" customWidth="1" min="186" max="186"/>
    <col width="17" customWidth="1" min="187" max="187"/>
    <col width="16" customWidth="1" min="188" max="188"/>
    <col width="17" customWidth="1" min="189" max="189"/>
    <col width="21" customWidth="1" min="190" max="190"/>
    <col width="22" customWidth="1" min="191" max="191"/>
    <col width="13" customWidth="1" min="192" max="192"/>
    <col width="20" customWidth="1" min="193" max="193"/>
    <col width="19" customWidth="1" min="194" max="194"/>
    <col width="19" customWidth="1" min="195" max="195"/>
    <col width="22" customWidth="1" min="196" max="196"/>
    <col width="19" customWidth="1" min="197" max="197"/>
    <col width="22" customWidth="1" min="198" max="198"/>
    <col width="22" customWidth="1" min="199" max="199"/>
    <col width="22" customWidth="1" min="200" max="200"/>
    <col width="21" customWidth="1" min="201" max="201"/>
    <col width="21" customWidth="1" min="202" max="202"/>
    <col width="13" customWidth="1" min="203" max="203"/>
    <col width="22" customWidth="1" min="204" max="204"/>
    <col width="22" customWidth="1" min="205" max="205"/>
    <col width="22" customWidth="1" min="206" max="206"/>
    <col width="22" customWidth="1" min="207" max="207"/>
    <col width="22" customWidth="1" min="208" max="208"/>
    <col width="22" customWidth="1" min="209" max="209"/>
    <col width="43" customWidth="1" min="210" max="210"/>
    <col width="18" customWidth="1" min="211" max="211"/>
    <col width="15" customWidth="1" min="212" max="212"/>
    <col width="22" customWidth="1" min="213" max="213"/>
    <col width="21" customWidth="1" min="214" max="214"/>
    <col width="21" customWidth="1" min="215" max="215"/>
    <col width="16" customWidth="1" min="216" max="216"/>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Health Icon</t>
        </is>
      </c>
      <c r="B2" s="26" t="inlineStr">
        <is>
          <t>URL</t>
        </is>
      </c>
      <c r="C2" s="27" t="inlineStr">
        <is>
          <t>Status Code</t>
        </is>
      </c>
      <c r="D2" s="26" t="inlineStr">
        <is>
          <t>Indexability</t>
        </is>
      </c>
      <c r="E2" s="27" t="inlineStr">
        <is>
          <t>Load Time (s)</t>
        </is>
      </c>
      <c r="F2" s="64" t="inlineStr">
        <is>
          <t>Title</t>
        </is>
      </c>
      <c r="G2" s="64" t="inlineStr">
        <is>
          <t>Meta Description</t>
        </is>
      </c>
      <c r="H2" s="27" t="inlineStr">
        <is>
          <t>Word Count (Body)</t>
        </is>
      </c>
      <c r="I2" s="27" t="inlineStr">
        <is>
          <t>SEO Health Score</t>
        </is>
      </c>
      <c r="J2" s="26" t="inlineStr">
        <is>
          <t>Severity Badge</t>
        </is>
      </c>
      <c r="K2" s="26" t="inlineStr">
        <is>
          <t>Action Needed</t>
        </is>
      </c>
      <c r="L2" s="65" t="inlineStr">
        <is>
          <t>CWV LCP (s)</t>
        </is>
      </c>
      <c r="M2" s="65" t="inlineStr">
        <is>
          <t>CWV CLS</t>
        </is>
      </c>
      <c r="N2" s="66" t="inlineStr">
        <is>
          <t>Field vs Lab</t>
        </is>
      </c>
      <c r="O2" s="66" t="inlineStr">
        <is>
          <t>CWV Data Source</t>
        </is>
      </c>
      <c r="P2" s="66" t="inlineStr">
        <is>
          <t>PSI Data Status</t>
        </is>
      </c>
      <c r="Q2" s="66" t="inlineStr">
        <is>
          <t>CrUX Level</t>
        </is>
      </c>
      <c r="R2" s="65" t="inlineStr">
        <is>
          <t>CWV INP (ms)</t>
        </is>
      </c>
      <c r="S2" s="65" t="inlineStr">
        <is>
          <t>CWV FCP (ms)</t>
        </is>
      </c>
      <c r="T2" s="65" t="inlineStr">
        <is>
          <t>CWV TTFB (ms)</t>
        </is>
      </c>
      <c r="U2" s="65" t="inlineStr">
        <is>
          <t>CrUX LCP Category</t>
        </is>
      </c>
      <c r="V2" s="65" t="inlineStr">
        <is>
          <t>CrUX CLS Category</t>
        </is>
      </c>
      <c r="W2" s="65" t="inlineStr">
        <is>
          <t>CrUX INP Category</t>
        </is>
      </c>
      <c r="X2" s="65" t="inlineStr">
        <is>
          <t>Origin CrUX LCP (s)</t>
        </is>
      </c>
      <c r="Y2" s="65" t="inlineStr">
        <is>
          <t>Origin CrUX CLS</t>
        </is>
      </c>
      <c r="Z2" s="65" t="inlineStr">
        <is>
          <t>Origin CrUX INP (ms)</t>
        </is>
      </c>
      <c r="AA2" s="65" t="inlineStr">
        <is>
          <t>Desktop PSI Score</t>
        </is>
      </c>
      <c r="AB2" s="65" t="inlineStr">
        <is>
          <t>Mobile PSI Score</t>
        </is>
      </c>
      <c r="AC2" s="66" t="inlineStr">
        <is>
          <t>Lighthouse Performance (Mobile)</t>
        </is>
      </c>
      <c r="AD2" s="66" t="inlineStr">
        <is>
          <t>Lighthouse Accessibility (Mobile)</t>
        </is>
      </c>
      <c r="AE2" s="66" t="inlineStr">
        <is>
          <t>Lighthouse Best Practices (Mobile)</t>
        </is>
      </c>
      <c r="AF2" s="65" t="inlineStr">
        <is>
          <t>Lighthouse SEO Score (Mobile)</t>
        </is>
      </c>
      <c r="AG2" s="65" t="inlineStr">
        <is>
          <t>Mobile LCP (s)</t>
        </is>
      </c>
      <c r="AH2" s="65" t="inlineStr">
        <is>
          <t>Mobile CLS</t>
        </is>
      </c>
      <c r="AI2" s="65" t="inlineStr">
        <is>
          <t>Mobile TTFB (s)</t>
        </is>
      </c>
      <c r="AJ2" s="65" t="inlineStr">
        <is>
          <t>Lab LCP (Mobile) (s)</t>
        </is>
      </c>
      <c r="AK2" s="65" t="inlineStr">
        <is>
          <t>Lab CLS (Mobile)</t>
        </is>
      </c>
      <c r="AL2" s="66" t="inlineStr">
        <is>
          <t>Lab TBT (Mobile) (ms)</t>
        </is>
      </c>
      <c r="AM2" s="65" t="inlineStr">
        <is>
          <t>Lab INP (Mobile) (ms)</t>
        </is>
      </c>
      <c r="AN2" s="65" t="inlineStr">
        <is>
          <t>Lab FCP (Mobile) (s)</t>
        </is>
      </c>
      <c r="AO2" s="65" t="inlineStr">
        <is>
          <t>Lab Speed Index (Mobile) (s)</t>
        </is>
      </c>
      <c r="AP2" s="65" t="inlineStr">
        <is>
          <t>Lab TTI (Mobile) (s)</t>
        </is>
      </c>
      <c r="AQ2" s="65" t="inlineStr">
        <is>
          <t>Lab TTFB (Mobile) (ms)</t>
        </is>
      </c>
      <c r="AR2" s="66" t="inlineStr">
        <is>
          <t>Lighthouse Performance (Desktop)</t>
        </is>
      </c>
      <c r="AS2" s="66" t="inlineStr">
        <is>
          <t>Lighthouse Accessibility (Desktop)</t>
        </is>
      </c>
      <c r="AT2" s="66" t="inlineStr">
        <is>
          <t>Lighthouse Best Practices (Desktop)</t>
        </is>
      </c>
      <c r="AU2" s="65" t="inlineStr">
        <is>
          <t>Lighthouse SEO Score (Desktop)</t>
        </is>
      </c>
      <c r="AV2" s="65" t="inlineStr">
        <is>
          <t>Lab LCP (Desktop) (s)</t>
        </is>
      </c>
      <c r="AW2" s="65" t="inlineStr">
        <is>
          <t>Lab CLS (Desktop)</t>
        </is>
      </c>
      <c r="AX2" s="66" t="inlineStr">
        <is>
          <t>Lab TBT (Desktop) (ms)</t>
        </is>
      </c>
      <c r="AY2" s="65" t="inlineStr">
        <is>
          <t>Lab INP (Desktop) (ms)</t>
        </is>
      </c>
      <c r="AZ2" s="65" t="inlineStr">
        <is>
          <t>Lab FCP (Desktop) (s)</t>
        </is>
      </c>
      <c r="BA2" s="65" t="inlineStr">
        <is>
          <t>Lab Speed Index (Desktop) (s)</t>
        </is>
      </c>
      <c r="BB2" s="65" t="inlineStr">
        <is>
          <t>Lab TTI (Desktop) (s)</t>
        </is>
      </c>
      <c r="BC2" s="65" t="inlineStr">
        <is>
          <t>Lab TTFB (Desktop) (ms)</t>
        </is>
      </c>
      <c r="BD2" s="65" t="inlineStr">
        <is>
          <t>Page Size (KB)</t>
        </is>
      </c>
      <c r="BE2" s="65" t="inlineStr">
        <is>
          <t>DOM Size (nodes)</t>
        </is>
      </c>
      <c r="BF2" s="66" t="inlineStr">
        <is>
          <t>JS Execution (ms)</t>
        </is>
      </c>
      <c r="BG2" s="65" t="inlineStr">
        <is>
          <t>Network Request Count</t>
        </is>
      </c>
      <c r="BH2" s="66" t="inlineStr">
        <is>
          <t>Has Text Compression</t>
        </is>
      </c>
      <c r="BI2" s="66" t="inlineStr">
        <is>
          <t>Has Long Cache TTL Issues</t>
        </is>
      </c>
      <c r="BJ2" s="66" t="inlineStr">
        <is>
          <t>Has Render Blocking Resources</t>
        </is>
      </c>
      <c r="BK2" s="66" t="inlineStr">
        <is>
          <t>Uses Modern Image Formats</t>
        </is>
      </c>
      <c r="BL2" s="66" t="inlineStr">
        <is>
          <t>Reachable from Homepage</t>
        </is>
      </c>
      <c r="BM2" s="65" t="inlineStr">
        <is>
          <t>Regional Authority Score</t>
        </is>
      </c>
      <c r="BN2" s="64" t="inlineStr">
        <is>
          <t>Extraction State</t>
        </is>
      </c>
      <c r="BO2" s="64" t="inlineStr">
        <is>
          <t>Extraction Source</t>
        </is>
      </c>
      <c r="BP2" s="26" t="inlineStr">
        <is>
          <t>Extraction Source Fallback</t>
        </is>
      </c>
      <c r="BQ2" s="67" t="inlineStr">
        <is>
          <t>Title Length</t>
        </is>
      </c>
      <c r="BR2" s="67" t="inlineStr">
        <is>
          <t>Meta Desc Length</t>
        </is>
      </c>
      <c r="BS2" s="68" t="inlineStr">
        <is>
          <t>OG-Image</t>
        </is>
      </c>
      <c r="BT2" s="69" t="inlineStr">
        <is>
          <t>Has Valid JSON-LD</t>
        </is>
      </c>
      <c r="BU2" s="26" t="inlineStr">
        <is>
          <t>Meta Keywords</t>
        </is>
      </c>
      <c r="BV2" s="69" t="inlineStr">
        <is>
          <t>H1 Content</t>
        </is>
      </c>
      <c r="BW2" s="70" t="inlineStr">
        <is>
          <t>H1 Length</t>
        </is>
      </c>
      <c r="BX2" s="69" t="inlineStr">
        <is>
          <t>H2 Content</t>
        </is>
      </c>
      <c r="BY2" s="70" t="inlineStr">
        <is>
          <t>H2 Length</t>
        </is>
      </c>
      <c r="BZ2" s="69" t="inlineStr">
        <is>
          <t>H3 Content</t>
        </is>
      </c>
      <c r="CA2" s="70" t="inlineStr">
        <is>
          <t>H3 Length</t>
        </is>
      </c>
      <c r="CB2" s="69" t="inlineStr">
        <is>
          <t>H4 Content</t>
        </is>
      </c>
      <c r="CC2" s="70" t="inlineStr">
        <is>
          <t>H4 Length</t>
        </is>
      </c>
      <c r="CD2" s="69" t="inlineStr">
        <is>
          <t>H5 Content</t>
        </is>
      </c>
      <c r="CE2" s="70" t="inlineStr">
        <is>
          <t>H5 Length</t>
        </is>
      </c>
      <c r="CF2" s="69" t="inlineStr">
        <is>
          <t>H6 Content</t>
        </is>
      </c>
      <c r="CG2" s="70" t="inlineStr">
        <is>
          <t>H6 Length</t>
        </is>
      </c>
      <c r="CH2" s="71" t="inlineStr">
        <is>
          <t>GSC Clicks</t>
        </is>
      </c>
      <c r="CI2" s="71" t="inlineStr">
        <is>
          <t>GSC Impressions</t>
        </is>
      </c>
      <c r="CJ2" s="71" t="inlineStr">
        <is>
          <t>GSC CTR</t>
        </is>
      </c>
      <c r="CK2" s="71" t="inlineStr">
        <is>
          <t>GSC Avg Position</t>
        </is>
      </c>
      <c r="CL2" s="72" t="inlineStr">
        <is>
          <t>GSC Data Freshness</t>
        </is>
      </c>
      <c r="CM2" s="72" t="inlineStr">
        <is>
          <t>GSC Coverage Note</t>
        </is>
      </c>
      <c r="CN2" s="73" t="inlineStr">
        <is>
          <t>Click Depth</t>
        </is>
      </c>
      <c r="CO2" s="68" t="inlineStr">
        <is>
          <t>Orphan Pages</t>
        </is>
      </c>
      <c r="CP2" s="73" t="inlineStr">
        <is>
          <t>Internal PageRank</t>
        </is>
      </c>
      <c r="CQ2" s="68" t="inlineStr">
        <is>
          <t>Found via Sitemap</t>
        </is>
      </c>
      <c r="CR2" s="68" t="inlineStr">
        <is>
          <t>Found via Crawl</t>
        </is>
      </c>
      <c r="CS2" s="68" t="inlineStr">
        <is>
          <t>Discovery Source</t>
        </is>
      </c>
      <c r="CT2" s="68" t="inlineStr">
        <is>
          <t>Discovered On URL</t>
        </is>
      </c>
      <c r="CU2" s="27" t="inlineStr">
        <is>
          <t>Discovery Rank</t>
        </is>
      </c>
      <c r="CV2" s="64" t="inlineStr">
        <is>
          <t>Technical Health</t>
        </is>
      </c>
      <c r="CW2" s="67" t="inlineStr">
        <is>
          <t>Copy Score</t>
        </is>
      </c>
      <c r="CX2" s="67" t="inlineStr">
        <is>
          <t>SEO Score</t>
        </is>
      </c>
      <c r="CY2" s="69" t="inlineStr">
        <is>
          <t>Schema Present</t>
        </is>
      </c>
      <c r="CZ2" s="69" t="inlineStr">
        <is>
          <t>Schema Valid</t>
        </is>
      </c>
      <c r="DA2" s="69" t="inlineStr">
        <is>
          <t>Schema Types Found</t>
        </is>
      </c>
      <c r="DB2" s="69" t="inlineStr">
        <is>
          <t>Schema Types Valid</t>
        </is>
      </c>
      <c r="DC2" s="69" t="inlineStr">
        <is>
          <t>Schema Types With Errors</t>
        </is>
      </c>
      <c r="DD2" s="70" t="inlineStr">
        <is>
          <t>Schema Error Count</t>
        </is>
      </c>
      <c r="DE2" s="70" t="inlineStr">
        <is>
          <t>Schema Warning Count</t>
        </is>
      </c>
      <c r="DF2" s="69" t="inlineStr">
        <is>
          <t>Schema Parse Error Detail</t>
        </is>
      </c>
      <c r="DG2" s="69" t="inlineStr">
        <is>
          <t>Schema Validation Summary</t>
        </is>
      </c>
      <c r="DH2" s="69" t="inlineStr">
        <is>
          <t>Schema Issues Detail</t>
        </is>
      </c>
      <c r="DI2" s="65" t="inlineStr">
        <is>
          <t>E-E-A-T Signal Score</t>
        </is>
      </c>
      <c r="DJ2" s="66" t="inlineStr">
        <is>
          <t>Schema Author Name</t>
        </is>
      </c>
      <c r="DK2" s="66" t="inlineStr">
        <is>
          <t>Meta Author</t>
        </is>
      </c>
      <c r="DL2" s="66" t="inlineStr">
        <is>
          <t>Has Byline Element</t>
        </is>
      </c>
      <c r="DM2" s="66" t="inlineStr">
        <is>
          <t>Byline Text</t>
        </is>
      </c>
      <c r="DN2" s="66" t="inlineStr">
        <is>
          <t>Schema Published Date</t>
        </is>
      </c>
      <c r="DO2" s="66" t="inlineStr">
        <is>
          <t>Schema Modified Date</t>
        </is>
      </c>
      <c r="DP2" s="66" t="inlineStr">
        <is>
          <t>OG Published Time</t>
        </is>
      </c>
      <c r="DQ2" s="66" t="inlineStr">
        <is>
          <t>OG Modified Time</t>
        </is>
      </c>
      <c r="DR2" s="66" t="inlineStr">
        <is>
          <t>Has Time Element</t>
        </is>
      </c>
      <c r="DS2" s="66" t="inlineStr">
        <is>
          <t>Has Privacy Policy Link</t>
        </is>
      </c>
      <c r="DT2" s="66" t="inlineStr">
        <is>
          <t>Has Terms Link</t>
        </is>
      </c>
      <c r="DU2" s="66" t="inlineStr">
        <is>
          <t>Has Social Links</t>
        </is>
      </c>
      <c r="DV2" s="65" t="inlineStr">
        <is>
          <t>Social Profile Link Count</t>
        </is>
      </c>
      <c r="DW2" s="66" t="inlineStr">
        <is>
          <t>Has Phone Number</t>
        </is>
      </c>
      <c r="DX2" s="66" t="inlineStr">
        <is>
          <t>Has Email Address</t>
        </is>
      </c>
      <c r="DY2" s="66" t="inlineStr">
        <is>
          <t>Links to About Page</t>
        </is>
      </c>
      <c r="DZ2" s="66" t="inlineStr">
        <is>
          <t>Has Authority External Links</t>
        </is>
      </c>
      <c r="EA2" s="72" t="inlineStr">
        <is>
          <t>Is Thin Content</t>
        </is>
      </c>
      <c r="EB2" s="72" t="inlineStr">
        <is>
          <t>Is Near Duplicate</t>
        </is>
      </c>
      <c r="EC2" s="72" t="inlineStr">
        <is>
          <t>Near Duplicate Of</t>
        </is>
      </c>
      <c r="ED2" s="71" t="inlineStr">
        <is>
          <t>Content Similarity Score</t>
        </is>
      </c>
      <c r="EE2" s="72" t="inlineStr">
        <is>
          <t>Is Draft or Test Page</t>
        </is>
      </c>
      <c r="EF2" s="72" t="inlineStr">
        <is>
          <t>Draft Signal</t>
        </is>
      </c>
      <c r="EG2" s="26" t="inlineStr">
        <is>
          <t>Published Date</t>
        </is>
      </c>
      <c r="EH2" s="26" t="inlineStr">
        <is>
          <t>Last Modified Date</t>
        </is>
      </c>
      <c r="EI2" s="26" t="inlineStr">
        <is>
          <t>HTTP Last-Modified</t>
        </is>
      </c>
      <c r="EJ2" s="27" t="inlineStr">
        <is>
          <t>Content Age (days)</t>
        </is>
      </c>
      <c r="EK2" s="26" t="inlineStr">
        <is>
          <t>Freshness Status</t>
        </is>
      </c>
      <c r="EL2" s="68" t="inlineStr">
        <is>
          <t>OG Title</t>
        </is>
      </c>
      <c r="EM2" s="68" t="inlineStr">
        <is>
          <t>OG Description</t>
        </is>
      </c>
      <c r="EN2" s="68" t="inlineStr">
        <is>
          <t>OG Type</t>
        </is>
      </c>
      <c r="EO2" s="68" t="inlineStr">
        <is>
          <t>OG URL</t>
        </is>
      </c>
      <c r="EP2" s="68" t="inlineStr">
        <is>
          <t>OG Image URL</t>
        </is>
      </c>
      <c r="EQ2" s="68" t="inlineStr">
        <is>
          <t>OG Image Width</t>
        </is>
      </c>
      <c r="ER2" s="68" t="inlineStr">
        <is>
          <t>OG Image Height</t>
        </is>
      </c>
      <c r="ES2" s="68" t="inlineStr">
        <is>
          <t>OG Image OK</t>
        </is>
      </c>
      <c r="ET2" s="68" t="inlineStr">
        <is>
          <t>OG Image Dimensions OK</t>
        </is>
      </c>
      <c r="EU2" s="68" t="inlineStr">
        <is>
          <t>OG URL Mismatch</t>
        </is>
      </c>
      <c r="EV2" s="68" t="inlineStr">
        <is>
          <t>Twitter Card Type</t>
        </is>
      </c>
      <c r="EW2" s="68" t="inlineStr">
        <is>
          <t>Twitter Title</t>
        </is>
      </c>
      <c r="EX2" s="68" t="inlineStr">
        <is>
          <t>Twitter Description</t>
        </is>
      </c>
      <c r="EY2" s="68" t="inlineStr">
        <is>
          <t>Twitter Image</t>
        </is>
      </c>
      <c r="EZ2" s="73" t="inlineStr">
        <is>
          <t>OG Completeness Score</t>
        </is>
      </c>
      <c r="FA2" s="68" t="inlineStr">
        <is>
          <t>Open Graph Complete</t>
        </is>
      </c>
      <c r="FB2" s="64" t="inlineStr">
        <is>
          <t>Final URL</t>
        </is>
      </c>
      <c r="FC2" s="64" t="inlineStr">
        <is>
          <t>Redirect Chain</t>
        </is>
      </c>
      <c r="FD2" s="67" t="inlineStr">
        <is>
          <t>Redirect Chain Length</t>
        </is>
      </c>
      <c r="FE2" s="64" t="inlineStr">
        <is>
          <t>Redirect Chain Hops</t>
        </is>
      </c>
      <c r="FF2" s="64" t="inlineStr">
        <is>
          <t>Has 302 in Chain</t>
        </is>
      </c>
      <c r="FG2" s="64" t="inlineStr">
        <is>
          <t>Has Mixed Redirect Types</t>
        </is>
      </c>
      <c r="FH2" s="64" t="inlineStr">
        <is>
          <t>Redirect Loop Flag</t>
        </is>
      </c>
      <c r="FI2" s="70" t="inlineStr">
        <is>
          <t>Canonical Chain Depth</t>
        </is>
      </c>
      <c r="FJ2" s="69" t="inlineStr">
        <is>
          <t>Canonical Chain Final</t>
        </is>
      </c>
      <c r="FK2" s="69" t="inlineStr">
        <is>
          <t>Canonical Chain</t>
        </is>
      </c>
      <c r="FL2" s="69" t="inlineStr">
        <is>
          <t>Canonical Loop Detected</t>
        </is>
      </c>
      <c r="FM2" s="70" t="inlineStr">
        <is>
          <t>Canonical Points to Redirect</t>
        </is>
      </c>
      <c r="FN2" s="70" t="inlineStr">
        <is>
          <t>Canonical Points to Non-200</t>
        </is>
      </c>
      <c r="FO2" s="72" t="inlineStr">
        <is>
          <t>GSC Index Status</t>
        </is>
      </c>
      <c r="FP2" s="72" t="inlineStr">
        <is>
          <t>GSC Last Crawl Date</t>
        </is>
      </c>
      <c r="FQ2" s="72" t="inlineStr">
        <is>
          <t>GSC Mobile Usability</t>
        </is>
      </c>
      <c r="FR2" s="72" t="inlineStr">
        <is>
          <t>GSC Rich Result Status</t>
        </is>
      </c>
      <c r="FS2" s="72" t="inlineStr">
        <is>
          <t>GSC Coverage Reason</t>
        </is>
      </c>
      <c r="FT2" s="71" t="inlineStr">
        <is>
          <t>Days Since Last Crawl</t>
        </is>
      </c>
      <c r="FU2" s="66" t="inlineStr">
        <is>
          <t>Robots.txt: Googlebot</t>
        </is>
      </c>
      <c r="FV2" s="66" t="inlineStr">
        <is>
          <t>Robots.txt: Bingbot</t>
        </is>
      </c>
      <c r="FW2" s="66" t="inlineStr">
        <is>
          <t>Robots.txt: GPTBot</t>
        </is>
      </c>
      <c r="FX2" s="66" t="inlineStr">
        <is>
          <t>Robots.txt: ClaudeBot</t>
        </is>
      </c>
      <c r="FY2" s="66" t="inlineStr">
        <is>
          <t>Robots.txt: PerplexityBot</t>
        </is>
      </c>
      <c r="FZ2" s="66" t="inlineStr">
        <is>
          <t>Crawl-Delay Applies</t>
        </is>
      </c>
      <c r="GA2" s="27" t="inlineStr">
        <is>
          <t>Third Party Script Count</t>
        </is>
      </c>
      <c r="GB2" s="26" t="inlineStr">
        <is>
          <t>Third Party Scripts</t>
        </is>
      </c>
      <c r="GC2" s="27" t="inlineStr">
        <is>
          <t>Third Party Total Size (KB)</t>
        </is>
      </c>
      <c r="GD2" s="26" t="inlineStr">
        <is>
          <t>Has Google Analytics</t>
        </is>
      </c>
      <c r="GE2" s="26" t="inlineStr">
        <is>
          <t>Has Tag Manager</t>
        </is>
      </c>
      <c r="GF2" s="26" t="inlineStr">
        <is>
          <t>Has Meta Pixel</t>
        </is>
      </c>
      <c r="GG2" s="26" t="inlineStr">
        <is>
          <t>Has Chat Widget</t>
        </is>
      </c>
      <c r="GH2" s="26" t="inlineStr">
        <is>
          <t>Has Consent Manager</t>
        </is>
      </c>
      <c r="GI2" s="26" t="inlineStr">
        <is>
          <t>Third Party JS Blocking</t>
        </is>
      </c>
      <c r="GJ2" s="27" t="inlineStr">
        <is>
          <t>Image Count</t>
        </is>
      </c>
      <c r="GK2" s="27" t="inlineStr">
        <is>
          <t>Broken Image Count</t>
        </is>
      </c>
      <c r="GL2" s="27" t="inlineStr">
        <is>
          <t>Large Image Count</t>
        </is>
      </c>
      <c r="GM2" s="26" t="inlineStr">
        <is>
          <t>Broken Image URLs</t>
        </is>
      </c>
      <c r="GN2" s="27" t="inlineStr">
        <is>
          <t>Oversized Image URLs</t>
        </is>
      </c>
      <c r="GO2" s="26" t="inlineStr">
        <is>
          <t>Has Broken Images</t>
        </is>
      </c>
      <c r="GP2" s="26" t="inlineStr">
        <is>
          <t>Hreflang Declared Languages</t>
        </is>
      </c>
      <c r="GQ2" s="26" t="inlineStr">
        <is>
          <t>Hreflang Alternate URLs</t>
        </is>
      </c>
      <c r="GR2" s="26" t="inlineStr">
        <is>
          <t>Hreflang Reciprocal Status</t>
        </is>
      </c>
      <c r="GS2" s="27" t="inlineStr">
        <is>
          <t>Hreflang Code Valid</t>
        </is>
      </c>
      <c r="GT2" s="27" t="inlineStr">
        <is>
          <t>PageRank Percentile</t>
        </is>
      </c>
      <c r="GU2" s="26" t="inlineStr">
        <is>
          <t>Equity Tier</t>
        </is>
      </c>
      <c r="GV2" s="27" t="inlineStr">
        <is>
          <t>Inbound Internal Link Count</t>
        </is>
      </c>
      <c r="GW2" s="27" t="inlineStr">
        <is>
          <t>Generic Inbound Anchor %</t>
        </is>
      </c>
      <c r="GX2" s="26" t="inlineStr">
        <is>
          <t>Generic Anchor Dominance</t>
        </is>
      </c>
      <c r="GY2" s="26" t="inlineStr">
        <is>
          <t>Featured Snippet Type</t>
        </is>
      </c>
      <c r="GZ2" s="26" t="inlineStr">
        <is>
          <t>Featured Snippet Readiness</t>
        </is>
      </c>
      <c r="HA2" s="27" t="inlineStr">
        <is>
          <t>GSC Position Opportunity</t>
        </is>
      </c>
      <c r="HB2" s="26" t="inlineStr">
        <is>
          <t>Top TF-IDF Terms</t>
        </is>
      </c>
      <c r="HC2" s="26" t="inlineStr">
        <is>
          <t>Keyword in Title</t>
        </is>
      </c>
      <c r="HD2" s="26" t="inlineStr">
        <is>
          <t>Keyword in H1</t>
        </is>
      </c>
      <c r="HE2" s="26" t="inlineStr">
        <is>
          <t>Keyword in First Paragraph</t>
        </is>
      </c>
      <c r="HF2" s="27" t="inlineStr">
        <is>
          <t>Keyword Density (%)</t>
        </is>
      </c>
      <c r="HG2" s="26" t="inlineStr">
        <is>
          <t>Has Rel Author Link</t>
        </is>
      </c>
      <c r="HH2" s="26" t="inlineStr">
        <is>
          <t>Has HTML Table</t>
        </is>
      </c>
      <c r="HI2" s="64" t="inlineStr">
        <is>
          <t>Technical View</t>
        </is>
      </c>
    </row>
    <row r="3" ht="18" customHeight="1">
      <c r="A3" s="28" t="inlineStr">
        <is>
          <t>FAIL 🔴</t>
        </is>
      </c>
      <c r="B3" s="35" t="inlineStr">
        <is>
          <t>https://africanmarketingconfederation.org/</t>
        </is>
      </c>
      <c r="C3" s="28" t="inlineStr"/>
      <c r="D3" s="28" t="inlineStr">
        <is>
          <t>Non-Indexable</t>
        </is>
      </c>
      <c r="E3" s="28" t="inlineStr"/>
      <c r="F3" s="28" t="inlineStr">
        <is>
          <t>Smoke title 0</t>
        </is>
      </c>
      <c r="G3" s="28" t="inlineStr">
        <is>
          <t>Smoke meta description for page 0.</t>
        </is>
      </c>
      <c r="H3" s="28" t="n">
        <v>320</v>
      </c>
      <c r="I3" s="28" t="n">
        <v>0</v>
      </c>
      <c r="J3" s="28" t="inlineStr">
        <is>
          <t>Critical</t>
        </is>
      </c>
      <c r="K3" s="28" t="inlineStr">
        <is>
          <t>Yes</t>
        </is>
      </c>
      <c r="L3" s="28" t="inlineStr"/>
      <c r="M3" s="28" t="inlineStr"/>
      <c r="N3" s="28" t="inlineStr">
        <is>
          <t>Lab only</t>
        </is>
      </c>
      <c r="O3" s="28" t="inlineStr">
        <is>
          <t>None</t>
        </is>
      </c>
      <c r="P3" s="28" t="inlineStr">
        <is>
          <t>PSI Lab</t>
        </is>
      </c>
      <c r="Q3" s="28" t="inlineStr">
        <is>
          <t>None</t>
        </is>
      </c>
      <c r="R3" s="28" t="inlineStr"/>
      <c r="S3" s="28" t="inlineStr"/>
      <c r="T3" s="28" t="inlineStr"/>
      <c r="U3" s="28" t="inlineStr"/>
      <c r="V3" s="28" t="inlineStr"/>
      <c r="W3" s="28" t="inlineStr"/>
      <c r="X3" s="28" t="inlineStr"/>
      <c r="Y3" s="28" t="inlineStr"/>
      <c r="Z3" s="28" t="inlineStr"/>
      <c r="AA3" s="28" t="n">
        <v>88</v>
      </c>
      <c r="AB3" s="28" t="n">
        <v>88</v>
      </c>
      <c r="AC3" s="28" t="n">
        <v>88</v>
      </c>
      <c r="AD3" s="28" t="n">
        <v>85</v>
      </c>
      <c r="AE3" s="28" t="n">
        <v>82</v>
      </c>
      <c r="AF3" s="28" t="n">
        <v>92</v>
      </c>
      <c r="AG3" s="28" t="n">
        <v>2.4</v>
      </c>
      <c r="AH3" s="28" t="n">
        <v>0.04</v>
      </c>
      <c r="AI3" s="28" t="n">
        <v>0.4</v>
      </c>
      <c r="AJ3" s="28" t="n">
        <v>2.4</v>
      </c>
      <c r="AK3" s="28" t="n">
        <v>0.04</v>
      </c>
      <c r="AL3" s="28" t="n">
        <v>180</v>
      </c>
      <c r="AM3" s="28" t="n">
        <v>120</v>
      </c>
      <c r="AN3" s="28" t="n">
        <v>1.8</v>
      </c>
      <c r="AO3" s="28" t="n">
        <v>3.2</v>
      </c>
      <c r="AP3" s="28" t="n">
        <v>4.1</v>
      </c>
      <c r="AQ3" s="28" t="n">
        <v>400</v>
      </c>
      <c r="AR3" s="28" t="n">
        <v>88</v>
      </c>
      <c r="AS3" s="28" t="n">
        <v>85</v>
      </c>
      <c r="AT3" s="28" t="n">
        <v>82</v>
      </c>
      <c r="AU3" s="28" t="n">
        <v>92</v>
      </c>
      <c r="AV3" s="28" t="n">
        <v>2.4</v>
      </c>
      <c r="AW3" s="28" t="n">
        <v>0.04</v>
      </c>
      <c r="AX3" s="28" t="n">
        <v>180</v>
      </c>
      <c r="AY3" s="28" t="n">
        <v>120</v>
      </c>
      <c r="AZ3" s="28" t="n">
        <v>1.8</v>
      </c>
      <c r="BA3" s="28" t="n">
        <v>3.2</v>
      </c>
      <c r="BB3" s="28" t="n">
        <v>4.1</v>
      </c>
      <c r="BC3" s="28" t="n">
        <v>400</v>
      </c>
      <c r="BD3" s="28" t="n">
        <v>500</v>
      </c>
      <c r="BE3" s="28" t="n">
        <v>842</v>
      </c>
      <c r="BF3" s="28" t="n">
        <v>1250</v>
      </c>
      <c r="BG3" s="28" t="n">
        <v>1</v>
      </c>
      <c r="BH3" s="28" t="b">
        <v>1</v>
      </c>
      <c r="BI3" s="34" t="b">
        <v>1</v>
      </c>
      <c r="BJ3" s="28" t="b">
        <v>1</v>
      </c>
      <c r="BK3" s="28" t="b">
        <v>1</v>
      </c>
      <c r="BL3" s="28" t="b">
        <v>1</v>
      </c>
      <c r="BM3" s="28" t="n">
        <v>65</v>
      </c>
      <c r="BN3" s="28" t="inlineStr">
        <is>
          <t>partial</t>
        </is>
      </c>
      <c r="BO3" s="28" t="inlineStr">
        <is>
          <t>rendered_browser</t>
        </is>
      </c>
      <c r="BP3" s="28" t="b">
        <v>0</v>
      </c>
      <c r="BQ3" s="28" t="n">
        <v>0</v>
      </c>
      <c r="BR3" s="28" t="n">
        <v>0</v>
      </c>
      <c r="BS3" s="28" t="inlineStr">
        <is>
          <t>https://africanmarketingconfederation.org/og-0.jpg</t>
        </is>
      </c>
      <c r="BT3" s="28" t="b">
        <v>0</v>
      </c>
      <c r="BU3" s="28" t="inlineStr"/>
      <c r="BV3" s="28" t="inlineStr"/>
      <c r="BW3" s="28" t="n">
        <v>0</v>
      </c>
      <c r="BX3" s="28" t="inlineStr"/>
      <c r="BY3" s="28" t="n">
        <v>0</v>
      </c>
      <c r="BZ3" s="28" t="inlineStr"/>
      <c r="CA3" s="28" t="n">
        <v>0</v>
      </c>
      <c r="CB3" s="28" t="inlineStr"/>
      <c r="CC3" s="28" t="n">
        <v>0</v>
      </c>
      <c r="CD3" s="28" t="inlineStr"/>
      <c r="CE3" s="28" t="n">
        <v>0</v>
      </c>
      <c r="CF3" s="28" t="inlineStr"/>
      <c r="CG3" s="28" t="n">
        <v>0</v>
      </c>
      <c r="CH3" s="28" t="n">
        <v>52</v>
      </c>
      <c r="CI3" s="28" t="n">
        <v>1524</v>
      </c>
      <c r="CJ3" s="28" t="n">
        <v>0.03412073490813648</v>
      </c>
      <c r="CK3" s="28" t="n">
        <v>5.610892388451443</v>
      </c>
      <c r="CL3" s="28" t="inlineStr">
        <is>
          <t>2026-06-01 to 2026-06-30 (30-day window; excludes today; typical GSC lag ~48h)</t>
        </is>
      </c>
      <c r="CM3" s="28" t="inlineStr">
        <is>
          <t>Matched in GSC — Search Analytics (30-day window)</t>
        </is>
      </c>
      <c r="CN3" s="28" t="n">
        <v>0</v>
      </c>
      <c r="CO3" s="28" t="b">
        <v>1</v>
      </c>
      <c r="CP3" s="28" t="n">
        <v>0.012048</v>
      </c>
      <c r="CQ3" s="28" t="b">
        <v>1</v>
      </c>
      <c r="CR3" s="28" t="b">
        <v>1</v>
      </c>
      <c r="CS3" s="28" t="inlineStr">
        <is>
          <t>Both</t>
        </is>
      </c>
      <c r="CT3" s="74" t="inlineStr"/>
      <c r="CU3" s="28" t="n">
        <v>1</v>
      </c>
      <c r="CV3" s="34">
        <f>IFERROR(INDEX(OFFSET('Technical Diagnostics'!$A$1,2,MATCH("SEO Health Score",'Technical Diagnostics'!$2:$2,0)-1,99998,1),MATCH(B3,OFFSET('Technical Diagnostics'!$A$1,2,MATCH("URL",'Technical Diagnostics'!$2:$2,0)-1,99998,1),0)),"")</f>
        <v/>
      </c>
      <c r="CW3" s="32" t="n">
        <v>100</v>
      </c>
      <c r="CX3" s="34" t="n">
        <v>25</v>
      </c>
      <c r="CY3" s="32" t="b">
        <v>1</v>
      </c>
      <c r="CZ3" s="28" t="b">
        <v>0</v>
      </c>
      <c r="DA3" s="28" t="inlineStr"/>
      <c r="DB3" s="28" t="inlineStr"/>
      <c r="DC3" s="28" t="inlineStr"/>
      <c r="DD3" s="28" t="n">
        <v>0</v>
      </c>
      <c r="DE3" s="28" t="n">
        <v>0</v>
      </c>
      <c r="DF3" s="28" t="inlineStr"/>
      <c r="DG3" s="28" t="inlineStr"/>
      <c r="DH3" s="28" t="inlineStr"/>
      <c r="DI3" s="28" t="n">
        <v>6</v>
      </c>
      <c r="DJ3" s="28" t="inlineStr">
        <is>
          <t>Author 0</t>
        </is>
      </c>
      <c r="DK3" s="28" t="inlineStr"/>
      <c r="DL3" s="28" t="b">
        <v>1</v>
      </c>
      <c r="DM3" s="28" t="inlineStr"/>
      <c r="DN3" s="28" t="inlineStr">
        <is>
          <t>2026-06-01</t>
        </is>
      </c>
      <c r="DO3" s="28" t="inlineStr"/>
      <c r="DP3" s="28" t="inlineStr">
        <is>
          <t>2026-06-01</t>
        </is>
      </c>
      <c r="DQ3" s="28" t="inlineStr"/>
      <c r="DR3" s="28" t="b">
        <v>0</v>
      </c>
      <c r="DS3" s="28" t="b">
        <v>1</v>
      </c>
      <c r="DT3" s="28" t="b">
        <v>1</v>
      </c>
      <c r="DU3" s="28" t="b">
        <v>0</v>
      </c>
      <c r="DV3" s="28" t="n">
        <v>0</v>
      </c>
      <c r="DW3" s="28" t="b">
        <v>0</v>
      </c>
      <c r="DX3" s="28" t="b">
        <v>0</v>
      </c>
      <c r="DY3" s="28" t="b">
        <v>0</v>
      </c>
      <c r="DZ3" s="28" t="b">
        <v>0</v>
      </c>
      <c r="EA3" s="32" t="b">
        <v>0</v>
      </c>
      <c r="EB3" s="28" t="b">
        <v>0</v>
      </c>
      <c r="EC3" s="28" t="inlineStr"/>
      <c r="ED3" s="28" t="inlineStr"/>
      <c r="EE3" s="28" t="b">
        <v>0</v>
      </c>
      <c r="EF3" s="28" t="inlineStr"/>
      <c r="EG3" s="28" t="inlineStr"/>
      <c r="EH3" s="28" t="inlineStr"/>
      <c r="EI3" s="28" t="inlineStr">
        <is>
          <t>2026-06-01</t>
        </is>
      </c>
      <c r="EJ3" s="28" t="inlineStr"/>
      <c r="EK3" s="28" t="inlineStr">
        <is>
          <t>Fresh</t>
        </is>
      </c>
      <c r="EL3" s="28" t="inlineStr">
        <is>
          <t>Smoke title 0</t>
        </is>
      </c>
      <c r="EM3" s="28" t="inlineStr">
        <is>
          <t>Smoke meta description for page 0.</t>
        </is>
      </c>
      <c r="EN3" s="28" t="inlineStr">
        <is>
          <t>article</t>
        </is>
      </c>
      <c r="EO3" s="74" t="inlineStr"/>
      <c r="EP3" s="74" t="inlineStr">
        <is>
          <t>https://africanmarketingconfederation.org/og-0.jpg</t>
        </is>
      </c>
      <c r="EQ3" s="28" t="inlineStr"/>
      <c r="ER3" s="28" t="inlineStr"/>
      <c r="ES3" s="28" t="inlineStr"/>
      <c r="ET3" s="28" t="inlineStr"/>
      <c r="EU3" s="75" t="b">
        <v>0</v>
      </c>
      <c r="EV3" s="28" t="inlineStr">
        <is>
          <t>summary_large_image</t>
        </is>
      </c>
      <c r="EW3" s="28" t="inlineStr"/>
      <c r="EX3" s="28" t="inlineStr"/>
      <c r="EY3" s="28" t="inlineStr"/>
      <c r="EZ3" s="28" t="n">
        <v>0</v>
      </c>
      <c r="FA3" s="40" t="b">
        <v>0</v>
      </c>
      <c r="FB3" s="74" t="inlineStr">
        <is>
          <t>https://africanmarketingconfederation.org/</t>
        </is>
      </c>
      <c r="FC3" s="28" t="inlineStr"/>
      <c r="FD3" s="28" t="n">
        <v>0</v>
      </c>
      <c r="FE3" s="20" t="inlineStr"/>
      <c r="FF3" s="28" t="b">
        <v>0</v>
      </c>
      <c r="FG3" s="28" t="b">
        <v>0</v>
      </c>
      <c r="FH3" s="32" t="b">
        <v>0</v>
      </c>
      <c r="FI3" s="28" t="n">
        <v>0</v>
      </c>
      <c r="FJ3" s="28" t="inlineStr">
        <is>
          <t>https://africanmarketingconfederation.org/</t>
        </is>
      </c>
      <c r="FK3" s="28" t="inlineStr"/>
      <c r="FL3" s="32" t="b">
        <v>0</v>
      </c>
      <c r="FM3" s="28" t="b">
        <v>0</v>
      </c>
      <c r="FN3" s="32" t="b">
        <v>0</v>
      </c>
      <c r="FO3" s="28" t="inlineStr"/>
      <c r="FP3" s="28" t="inlineStr"/>
      <c r="FQ3" s="28" t="inlineStr"/>
      <c r="FR3" s="28" t="inlineStr"/>
      <c r="FS3" s="28" t="inlineStr"/>
      <c r="FT3" s="28" t="inlineStr"/>
      <c r="FU3" s="28" t="inlineStr">
        <is>
          <t>Not specified</t>
        </is>
      </c>
      <c r="FV3" s="28" t="inlineStr">
        <is>
          <t>Not specified</t>
        </is>
      </c>
      <c r="FW3" s="28" t="inlineStr">
        <is>
          <t>Not specified</t>
        </is>
      </c>
      <c r="FX3" s="28" t="inlineStr">
        <is>
          <t>Not specified</t>
        </is>
      </c>
      <c r="FY3" s="28" t="inlineStr">
        <is>
          <t>Not specified</t>
        </is>
      </c>
      <c r="FZ3" s="28" t="b">
        <v>0</v>
      </c>
      <c r="GA3" s="28" t="n">
        <v>0</v>
      </c>
      <c r="GB3" s="28" t="inlineStr"/>
      <c r="GC3" s="28" t="inlineStr"/>
      <c r="GD3" s="28" t="b">
        <v>0</v>
      </c>
      <c r="GE3" s="28" t="b">
        <v>0</v>
      </c>
      <c r="GF3" s="28" t="b">
        <v>0</v>
      </c>
      <c r="GG3" s="28" t="b">
        <v>0</v>
      </c>
      <c r="GH3" s="28" t="b">
        <v>0</v>
      </c>
      <c r="GI3" s="28" t="b">
        <v>0</v>
      </c>
      <c r="GJ3" s="28" t="n">
        <v>0</v>
      </c>
      <c r="GK3" s="28" t="n">
        <v>0</v>
      </c>
      <c r="GL3" s="28" t="n">
        <v>0</v>
      </c>
      <c r="GM3" s="74" t="inlineStr"/>
      <c r="GN3" s="74" t="inlineStr"/>
      <c r="GO3" s="32" t="b">
        <v>0</v>
      </c>
      <c r="GP3" s="28" t="inlineStr"/>
      <c r="GQ3" s="74" t="inlineStr"/>
      <c r="GR3" s="28" t="inlineStr">
        <is>
          <t>Not Declared</t>
        </is>
      </c>
      <c r="GS3" s="28" t="b">
        <v>1</v>
      </c>
      <c r="GT3" s="28" t="n">
        <v>57.3</v>
      </c>
      <c r="GU3" s="28" t="inlineStr">
        <is>
          <t>Orphan</t>
        </is>
      </c>
      <c r="GV3" s="28" t="n">
        <v>0</v>
      </c>
      <c r="GW3" s="34" t="n">
        <v>0</v>
      </c>
      <c r="GX3" s="28" t="b">
        <v>0</v>
      </c>
      <c r="GY3" s="28" t="inlineStr">
        <is>
          <t>FAQ</t>
        </is>
      </c>
      <c r="GZ3" s="28" t="n">
        <v>9</v>
      </c>
      <c r="HA3" s="28" t="b">
        <v>1</v>
      </c>
      <c r="HB3" s="28" t="inlineStr">
        <is>
          <t>smoke, body, copy, intent, classification</t>
        </is>
      </c>
      <c r="HC3" s="28" t="b">
        <v>0</v>
      </c>
      <c r="HD3" s="28" t="b">
        <v>0</v>
      </c>
      <c r="HE3" s="28" t="b">
        <v>0</v>
      </c>
      <c r="HF3" s="34" t="n">
        <v>0</v>
      </c>
      <c r="HG3" s="28" t="b">
        <v>0</v>
      </c>
      <c r="HH3" s="28" t="b">
        <v>0</v>
      </c>
      <c r="HI3">
        <f>IFERROR(HYPERLINK("#'Technical Diagnostics'!A"&amp;MATCH(B3,'Technical Diagnostics'!A:A,0),"Open Technical"),HYPERLINK("#'Technical Diagnostics'!A1","Open Technical"))</f>
        <v/>
      </c>
    </row>
    <row r="4" ht="18" customHeight="1">
      <c r="A4" s="30" t="inlineStr">
        <is>
          <t>WARN 🟡</t>
        </is>
      </c>
      <c r="B4" s="37" t="inlineStr">
        <is>
          <t>https://africanmarketingconfederation.org/smoke-archive/page-1</t>
        </is>
      </c>
      <c r="C4" s="30" t="inlineStr"/>
      <c r="D4" s="30" t="inlineStr">
        <is>
          <t>Indexable</t>
        </is>
      </c>
      <c r="E4" s="30" t="inlineStr"/>
      <c r="F4" s="30" t="inlineStr">
        <is>
          <t>Smoke title 1</t>
        </is>
      </c>
      <c r="G4" s="30" t="inlineStr">
        <is>
          <t>Smoke meta description for page 1.</t>
        </is>
      </c>
      <c r="H4" s="30" t="n">
        <v>321</v>
      </c>
      <c r="I4" s="30" t="n">
        <v>80</v>
      </c>
      <c r="J4" s="30" t="inlineStr">
        <is>
          <t>Warning</t>
        </is>
      </c>
      <c r="K4" s="30" t="inlineStr">
        <is>
          <t>Yes</t>
        </is>
      </c>
      <c r="L4" s="30" t="inlineStr"/>
      <c r="M4" s="30" t="inlineStr"/>
      <c r="N4" s="30" t="inlineStr">
        <is>
          <t>Lab only</t>
        </is>
      </c>
      <c r="O4" s="30" t="inlineStr">
        <is>
          <t>None</t>
        </is>
      </c>
      <c r="P4" s="30" t="inlineStr">
        <is>
          <t>PSI Lab</t>
        </is>
      </c>
      <c r="Q4" s="30" t="inlineStr">
        <is>
          <t>None</t>
        </is>
      </c>
      <c r="R4" s="30" t="inlineStr"/>
      <c r="S4" s="30" t="inlineStr"/>
      <c r="T4" s="30" t="inlineStr"/>
      <c r="U4" s="30" t="inlineStr"/>
      <c r="V4" s="30" t="inlineStr"/>
      <c r="W4" s="30" t="inlineStr"/>
      <c r="X4" s="30" t="inlineStr"/>
      <c r="Y4" s="30" t="inlineStr"/>
      <c r="Z4" s="30" t="inlineStr"/>
      <c r="AA4" s="30" t="n">
        <v>88</v>
      </c>
      <c r="AB4" s="30" t="n">
        <v>88</v>
      </c>
      <c r="AC4" s="30" t="n">
        <v>88</v>
      </c>
      <c r="AD4" s="30" t="n">
        <v>85</v>
      </c>
      <c r="AE4" s="30" t="n">
        <v>82</v>
      </c>
      <c r="AF4" s="30" t="n">
        <v>92</v>
      </c>
      <c r="AG4" s="30" t="n">
        <v>2.4</v>
      </c>
      <c r="AH4" s="30" t="n">
        <v>0.04</v>
      </c>
      <c r="AI4" s="30" t="n">
        <v>0.4</v>
      </c>
      <c r="AJ4" s="30" t="n">
        <v>2.4</v>
      </c>
      <c r="AK4" s="30" t="n">
        <v>0.04</v>
      </c>
      <c r="AL4" s="30" t="n">
        <v>180</v>
      </c>
      <c r="AM4" s="30" t="n">
        <v>120</v>
      </c>
      <c r="AN4" s="30" t="n">
        <v>1.8</v>
      </c>
      <c r="AO4" s="30" t="n">
        <v>3.2</v>
      </c>
      <c r="AP4" s="30" t="n">
        <v>4.1</v>
      </c>
      <c r="AQ4" s="30" t="n">
        <v>400</v>
      </c>
      <c r="AR4" s="30" t="n">
        <v>88</v>
      </c>
      <c r="AS4" s="30" t="n">
        <v>85</v>
      </c>
      <c r="AT4" s="30" t="n">
        <v>82</v>
      </c>
      <c r="AU4" s="30" t="n">
        <v>92</v>
      </c>
      <c r="AV4" s="30" t="n">
        <v>2.4</v>
      </c>
      <c r="AW4" s="30" t="n">
        <v>0.04</v>
      </c>
      <c r="AX4" s="30" t="n">
        <v>180</v>
      </c>
      <c r="AY4" s="30" t="n">
        <v>120</v>
      </c>
      <c r="AZ4" s="30" t="n">
        <v>1.8</v>
      </c>
      <c r="BA4" s="30" t="n">
        <v>3.2</v>
      </c>
      <c r="BB4" s="30" t="n">
        <v>4.1</v>
      </c>
      <c r="BC4" s="30" t="n">
        <v>400</v>
      </c>
      <c r="BD4" s="30" t="n">
        <v>500</v>
      </c>
      <c r="BE4" s="30" t="n">
        <v>842</v>
      </c>
      <c r="BF4" s="30" t="n">
        <v>1250</v>
      </c>
      <c r="BG4" s="30" t="n">
        <v>1</v>
      </c>
      <c r="BH4" s="30" t="b">
        <v>1</v>
      </c>
      <c r="BI4" s="34" t="b">
        <v>1</v>
      </c>
      <c r="BJ4" s="30" t="b">
        <v>1</v>
      </c>
      <c r="BK4" s="30" t="b">
        <v>1</v>
      </c>
      <c r="BL4" s="30" t="b">
        <v>0</v>
      </c>
      <c r="BM4" s="30" t="n">
        <v>65</v>
      </c>
      <c r="BN4" s="30" t="inlineStr">
        <is>
          <t>complete</t>
        </is>
      </c>
      <c r="BO4" s="30" t="inlineStr">
        <is>
          <t>rendered_browser</t>
        </is>
      </c>
      <c r="BP4" s="30" t="b">
        <v>0</v>
      </c>
      <c r="BQ4" s="30" t="n">
        <v>0</v>
      </c>
      <c r="BR4" s="30" t="n">
        <v>0</v>
      </c>
      <c r="BS4" s="30" t="inlineStr"/>
      <c r="BT4" s="30" t="b">
        <v>0</v>
      </c>
      <c r="BU4" s="30" t="inlineStr"/>
      <c r="BV4" s="30" t="inlineStr"/>
      <c r="BW4" s="30" t="n">
        <v>0</v>
      </c>
      <c r="BX4" s="30" t="inlineStr"/>
      <c r="BY4" s="30" t="n">
        <v>0</v>
      </c>
      <c r="BZ4" s="30" t="inlineStr"/>
      <c r="CA4" s="30" t="n">
        <v>0</v>
      </c>
      <c r="CB4" s="30" t="inlineStr"/>
      <c r="CC4" s="30" t="n">
        <v>0</v>
      </c>
      <c r="CD4" s="30" t="inlineStr"/>
      <c r="CE4" s="30" t="n">
        <v>0</v>
      </c>
      <c r="CF4" s="30" t="inlineStr"/>
      <c r="CG4" s="30" t="n">
        <v>0</v>
      </c>
      <c r="CH4" s="30" t="inlineStr"/>
      <c r="CI4" s="30" t="inlineStr"/>
      <c r="CJ4" s="30" t="inlineStr"/>
      <c r="CK4" s="30" t="inlineStr"/>
      <c r="CL4" s="30" t="inlineStr">
        <is>
          <t>2026-06-01 to 2026-06-30 (30-day window; excludes today; typical GSC lag ~48h)</t>
        </is>
      </c>
      <c r="CM4" s="30" t="inlineStr">
        <is>
          <t>No Search Analytics row matched this URL in the 30-day export (compare Final URL with the page URL shown in GSC)</t>
        </is>
      </c>
      <c r="CN4" s="30" t="n">
        <v>-1</v>
      </c>
      <c r="CO4" s="30" t="b">
        <v>1</v>
      </c>
      <c r="CP4" s="30" t="n">
        <v>0.012048</v>
      </c>
      <c r="CQ4" s="30" t="b">
        <v>1</v>
      </c>
      <c r="CR4" s="30" t="b">
        <v>1</v>
      </c>
      <c r="CS4" s="30" t="inlineStr">
        <is>
          <t>Both</t>
        </is>
      </c>
      <c r="CT4" s="76" t="inlineStr"/>
      <c r="CU4" s="30" t="n">
        <v>2</v>
      </c>
      <c r="CV4" s="29">
        <f>IFERROR(INDEX(OFFSET('Technical Diagnostics'!$A$1,2,MATCH("SEO Health Score",'Technical Diagnostics'!$2:$2,0)-1,99998,1),MATCH(B4,OFFSET('Technical Diagnostics'!$A$1,2,MATCH("URL",'Technical Diagnostics'!$2:$2,0)-1,99998,1),0)),"")</f>
        <v/>
      </c>
      <c r="CW4" s="32" t="n">
        <v>100</v>
      </c>
      <c r="CX4" s="29" t="n">
        <v>85</v>
      </c>
      <c r="CY4" s="32" t="b">
        <v>1</v>
      </c>
      <c r="CZ4" s="30" t="b">
        <v>0</v>
      </c>
      <c r="DA4" s="30" t="inlineStr"/>
      <c r="DB4" s="30" t="inlineStr"/>
      <c r="DC4" s="30" t="inlineStr"/>
      <c r="DD4" s="30" t="n">
        <v>0</v>
      </c>
      <c r="DE4" s="30" t="n">
        <v>0</v>
      </c>
      <c r="DF4" s="30" t="inlineStr"/>
      <c r="DG4" s="30" t="inlineStr"/>
      <c r="DH4" s="30" t="inlineStr"/>
      <c r="DI4" s="30" t="n">
        <v>6</v>
      </c>
      <c r="DJ4" s="30" t="inlineStr">
        <is>
          <t>Author 1</t>
        </is>
      </c>
      <c r="DK4" s="30" t="inlineStr"/>
      <c r="DL4" s="30" t="b">
        <v>1</v>
      </c>
      <c r="DM4" s="30" t="inlineStr"/>
      <c r="DN4" s="30" t="inlineStr">
        <is>
          <t>2026-06-01</t>
        </is>
      </c>
      <c r="DO4" s="30" t="inlineStr"/>
      <c r="DP4" s="30" t="inlineStr">
        <is>
          <t>2026-06-01</t>
        </is>
      </c>
      <c r="DQ4" s="30" t="inlineStr"/>
      <c r="DR4" s="30" t="b">
        <v>0</v>
      </c>
      <c r="DS4" s="30" t="b">
        <v>1</v>
      </c>
      <c r="DT4" s="30" t="b">
        <v>1</v>
      </c>
      <c r="DU4" s="30" t="b">
        <v>0</v>
      </c>
      <c r="DV4" s="30" t="n">
        <v>0</v>
      </c>
      <c r="DW4" s="30" t="b">
        <v>0</v>
      </c>
      <c r="DX4" s="30" t="b">
        <v>0</v>
      </c>
      <c r="DY4" s="30" t="b">
        <v>0</v>
      </c>
      <c r="DZ4" s="30" t="b">
        <v>0</v>
      </c>
      <c r="EA4" s="32" t="b">
        <v>0</v>
      </c>
      <c r="EB4" s="30" t="b">
        <v>0</v>
      </c>
      <c r="EC4" s="30" t="inlineStr"/>
      <c r="ED4" s="30" t="inlineStr"/>
      <c r="EE4" s="30" t="b">
        <v>0</v>
      </c>
      <c r="EF4" s="30" t="inlineStr"/>
      <c r="EG4" s="30" t="inlineStr"/>
      <c r="EH4" s="30" t="inlineStr"/>
      <c r="EI4" s="30" t="inlineStr"/>
      <c r="EJ4" s="30" t="inlineStr"/>
      <c r="EK4" s="30" t="inlineStr">
        <is>
          <t>Fresh</t>
        </is>
      </c>
      <c r="EL4" s="30" t="inlineStr">
        <is>
          <t>Smoke title 1</t>
        </is>
      </c>
      <c r="EM4" s="30" t="inlineStr">
        <is>
          <t>Smoke meta description for page 1.</t>
        </is>
      </c>
      <c r="EN4" s="30" t="inlineStr">
        <is>
          <t>article</t>
        </is>
      </c>
      <c r="EO4" s="76" t="inlineStr"/>
      <c r="EP4" s="76" t="inlineStr"/>
      <c r="EQ4" s="30" t="inlineStr"/>
      <c r="ER4" s="30" t="inlineStr"/>
      <c r="ES4" s="30" t="inlineStr"/>
      <c r="ET4" s="30" t="inlineStr"/>
      <c r="EU4" s="75" t="b">
        <v>0</v>
      </c>
      <c r="EV4" s="30" t="inlineStr">
        <is>
          <t>summary_large_image</t>
        </is>
      </c>
      <c r="EW4" s="30" t="inlineStr"/>
      <c r="EX4" s="30" t="inlineStr"/>
      <c r="EY4" s="30" t="inlineStr"/>
      <c r="EZ4" s="30" t="n">
        <v>0</v>
      </c>
      <c r="FA4" s="40" t="b">
        <v>0</v>
      </c>
      <c r="FB4" s="76" t="inlineStr">
        <is>
          <t>https://africanmarketingconfederation.org/smoke-archive/page-1</t>
        </is>
      </c>
      <c r="FC4" s="30" t="inlineStr"/>
      <c r="FD4" s="30" t="n">
        <v>0</v>
      </c>
      <c r="FE4" s="31" t="inlineStr"/>
      <c r="FF4" s="30" t="b">
        <v>0</v>
      </c>
      <c r="FG4" s="30" t="b">
        <v>0</v>
      </c>
      <c r="FH4" s="32" t="b">
        <v>0</v>
      </c>
      <c r="FI4" s="30" t="n">
        <v>0</v>
      </c>
      <c r="FJ4" s="30" t="inlineStr">
        <is>
          <t>https://africanmarketingconfederation.org/smoke-archive/page-1</t>
        </is>
      </c>
      <c r="FK4" s="30" t="inlineStr"/>
      <c r="FL4" s="32" t="b">
        <v>0</v>
      </c>
      <c r="FM4" s="30" t="b">
        <v>0</v>
      </c>
      <c r="FN4" s="32" t="b">
        <v>0</v>
      </c>
      <c r="FO4" s="30" t="inlineStr"/>
      <c r="FP4" s="30" t="inlineStr"/>
      <c r="FQ4" s="30" t="inlineStr"/>
      <c r="FR4" s="30" t="inlineStr"/>
      <c r="FS4" s="30" t="inlineStr"/>
      <c r="FT4" s="30" t="inlineStr"/>
      <c r="FU4" s="30" t="inlineStr">
        <is>
          <t>Not specified</t>
        </is>
      </c>
      <c r="FV4" s="30" t="inlineStr">
        <is>
          <t>Not specified</t>
        </is>
      </c>
      <c r="FW4" s="30" t="inlineStr">
        <is>
          <t>Not specified</t>
        </is>
      </c>
      <c r="FX4" s="30" t="inlineStr">
        <is>
          <t>Not specified</t>
        </is>
      </c>
      <c r="FY4" s="30" t="inlineStr">
        <is>
          <t>Not specified</t>
        </is>
      </c>
      <c r="FZ4" s="30" t="b">
        <v>0</v>
      </c>
      <c r="GA4" s="30" t="n">
        <v>0</v>
      </c>
      <c r="GB4" s="30" t="inlineStr"/>
      <c r="GC4" s="30" t="inlineStr"/>
      <c r="GD4" s="30" t="b">
        <v>0</v>
      </c>
      <c r="GE4" s="30" t="b">
        <v>0</v>
      </c>
      <c r="GF4" s="30" t="b">
        <v>0</v>
      </c>
      <c r="GG4" s="30" t="b">
        <v>0</v>
      </c>
      <c r="GH4" s="30" t="b">
        <v>0</v>
      </c>
      <c r="GI4" s="30" t="b">
        <v>0</v>
      </c>
      <c r="GJ4" s="30" t="n">
        <v>0</v>
      </c>
      <c r="GK4" s="30" t="n">
        <v>0</v>
      </c>
      <c r="GL4" s="30" t="n">
        <v>0</v>
      </c>
      <c r="GM4" s="76" t="inlineStr"/>
      <c r="GN4" s="76" t="inlineStr"/>
      <c r="GO4" s="32" t="b">
        <v>0</v>
      </c>
      <c r="GP4" s="30" t="inlineStr"/>
      <c r="GQ4" s="76" t="inlineStr"/>
      <c r="GR4" s="30" t="inlineStr">
        <is>
          <t>Not Declared</t>
        </is>
      </c>
      <c r="GS4" s="30" t="b">
        <v>1</v>
      </c>
      <c r="GT4" s="30" t="n">
        <v>19.5</v>
      </c>
      <c r="GU4" s="30" t="inlineStr">
        <is>
          <t>Orphan</t>
        </is>
      </c>
      <c r="GV4" s="30" t="n">
        <v>0</v>
      </c>
      <c r="GW4" s="34" t="n">
        <v>0</v>
      </c>
      <c r="GX4" s="30" t="b">
        <v>0</v>
      </c>
      <c r="GY4" s="30" t="inlineStr">
        <is>
          <t>FAQ</t>
        </is>
      </c>
      <c r="GZ4" s="30" t="n">
        <v>9</v>
      </c>
      <c r="HA4" s="30" t="b">
        <v>0</v>
      </c>
      <c r="HB4" s="30" t="inlineStr">
        <is>
          <t>smoke, body, copy, intent, classification</t>
        </is>
      </c>
      <c r="HC4" s="30" t="b">
        <v>0</v>
      </c>
      <c r="HD4" s="30" t="b">
        <v>0</v>
      </c>
      <c r="HE4" s="30" t="b">
        <v>0</v>
      </c>
      <c r="HF4" s="34" t="n">
        <v>0</v>
      </c>
      <c r="HG4" s="30" t="b">
        <v>0</v>
      </c>
      <c r="HH4" s="30" t="b">
        <v>0</v>
      </c>
      <c r="HI4" s="38">
        <f>IFERROR(HYPERLINK("#'Technical Diagnostics'!A"&amp;MATCH(B4,'Technical Diagnostics'!A:A,0),"Open Technical"),HYPERLINK("#'Technical Diagnostics'!A1","Open Technical"))</f>
        <v/>
      </c>
    </row>
    <row r="5" ht="18" customHeight="1">
      <c r="A5" s="28" t="inlineStr">
        <is>
          <t>WARN 🟡</t>
        </is>
      </c>
      <c r="B5" s="35" t="inlineStr">
        <is>
          <t>https://africanmarketingconfederation.org/smoke-archive/page-2</t>
        </is>
      </c>
      <c r="C5" s="28" t="inlineStr"/>
      <c r="D5" s="28" t="inlineStr">
        <is>
          <t>Indexable</t>
        </is>
      </c>
      <c r="E5" s="28" t="inlineStr"/>
      <c r="F5" s="28" t="inlineStr">
        <is>
          <t>Smoke title 2</t>
        </is>
      </c>
      <c r="G5" s="28" t="inlineStr">
        <is>
          <t>Smoke meta description for page 2.</t>
        </is>
      </c>
      <c r="H5" s="28" t="n">
        <v>322</v>
      </c>
      <c r="I5" s="28" t="n">
        <v>80</v>
      </c>
      <c r="J5" s="28" t="inlineStr">
        <is>
          <t>Warning</t>
        </is>
      </c>
      <c r="K5" s="28" t="inlineStr">
        <is>
          <t>Yes</t>
        </is>
      </c>
      <c r="L5" s="28" t="inlineStr"/>
      <c r="M5" s="28" t="inlineStr"/>
      <c r="N5" s="28" t="inlineStr">
        <is>
          <t>Lab only</t>
        </is>
      </c>
      <c r="O5" s="28" t="inlineStr">
        <is>
          <t>None</t>
        </is>
      </c>
      <c r="P5" s="28" t="inlineStr">
        <is>
          <t>PSI Lab</t>
        </is>
      </c>
      <c r="Q5" s="28" t="inlineStr">
        <is>
          <t>None</t>
        </is>
      </c>
      <c r="R5" s="28" t="inlineStr"/>
      <c r="S5" s="28" t="inlineStr"/>
      <c r="T5" s="28" t="inlineStr"/>
      <c r="U5" s="28" t="inlineStr"/>
      <c r="V5" s="28" t="inlineStr"/>
      <c r="W5" s="28" t="inlineStr"/>
      <c r="X5" s="28" t="inlineStr"/>
      <c r="Y5" s="28" t="inlineStr"/>
      <c r="Z5" s="28" t="inlineStr"/>
      <c r="AA5" s="28" t="n">
        <v>88</v>
      </c>
      <c r="AB5" s="28" t="n">
        <v>88</v>
      </c>
      <c r="AC5" s="28" t="n">
        <v>88</v>
      </c>
      <c r="AD5" s="28" t="n">
        <v>85</v>
      </c>
      <c r="AE5" s="28" t="n">
        <v>82</v>
      </c>
      <c r="AF5" s="28" t="n">
        <v>92</v>
      </c>
      <c r="AG5" s="28" t="n">
        <v>2.4</v>
      </c>
      <c r="AH5" s="28" t="n">
        <v>0.04</v>
      </c>
      <c r="AI5" s="28" t="n">
        <v>0.4</v>
      </c>
      <c r="AJ5" s="28" t="n">
        <v>2.4</v>
      </c>
      <c r="AK5" s="28" t="n">
        <v>0.04</v>
      </c>
      <c r="AL5" s="28" t="n">
        <v>180</v>
      </c>
      <c r="AM5" s="28" t="n">
        <v>120</v>
      </c>
      <c r="AN5" s="28" t="n">
        <v>1.8</v>
      </c>
      <c r="AO5" s="28" t="n">
        <v>3.2</v>
      </c>
      <c r="AP5" s="28" t="n">
        <v>4.1</v>
      </c>
      <c r="AQ5" s="28" t="n">
        <v>400</v>
      </c>
      <c r="AR5" s="28" t="n">
        <v>88</v>
      </c>
      <c r="AS5" s="28" t="n">
        <v>85</v>
      </c>
      <c r="AT5" s="28" t="n">
        <v>82</v>
      </c>
      <c r="AU5" s="28" t="n">
        <v>92</v>
      </c>
      <c r="AV5" s="28" t="n">
        <v>2.4</v>
      </c>
      <c r="AW5" s="28" t="n">
        <v>0.04</v>
      </c>
      <c r="AX5" s="28" t="n">
        <v>180</v>
      </c>
      <c r="AY5" s="28" t="n">
        <v>120</v>
      </c>
      <c r="AZ5" s="28" t="n">
        <v>1.8</v>
      </c>
      <c r="BA5" s="28" t="n">
        <v>3.2</v>
      </c>
      <c r="BB5" s="28" t="n">
        <v>4.1</v>
      </c>
      <c r="BC5" s="28" t="n">
        <v>400</v>
      </c>
      <c r="BD5" s="28" t="n">
        <v>500</v>
      </c>
      <c r="BE5" s="28" t="n">
        <v>842</v>
      </c>
      <c r="BF5" s="28" t="n">
        <v>1250</v>
      </c>
      <c r="BG5" s="28" t="n">
        <v>1</v>
      </c>
      <c r="BH5" s="28" t="b">
        <v>1</v>
      </c>
      <c r="BI5" s="34" t="b">
        <v>1</v>
      </c>
      <c r="BJ5" s="28" t="b">
        <v>1</v>
      </c>
      <c r="BK5" s="28" t="b">
        <v>1</v>
      </c>
      <c r="BL5" s="28" t="b">
        <v>0</v>
      </c>
      <c r="BM5" s="28" t="n">
        <v>65</v>
      </c>
      <c r="BN5" s="28" t="inlineStr">
        <is>
          <t>complete</t>
        </is>
      </c>
      <c r="BO5" s="28" t="inlineStr">
        <is>
          <t>rendered_browser</t>
        </is>
      </c>
      <c r="BP5" s="28" t="b">
        <v>0</v>
      </c>
      <c r="BQ5" s="28" t="n">
        <v>0</v>
      </c>
      <c r="BR5" s="28" t="n">
        <v>0</v>
      </c>
      <c r="BS5" s="28" t="inlineStr"/>
      <c r="BT5" s="28" t="b">
        <v>0</v>
      </c>
      <c r="BU5" s="28" t="inlineStr"/>
      <c r="BV5" s="28" t="inlineStr"/>
      <c r="BW5" s="28" t="n">
        <v>0</v>
      </c>
      <c r="BX5" s="28" t="inlineStr"/>
      <c r="BY5" s="28" t="n">
        <v>0</v>
      </c>
      <c r="BZ5" s="28" t="inlineStr"/>
      <c r="CA5" s="28" t="n">
        <v>0</v>
      </c>
      <c r="CB5" s="28" t="inlineStr"/>
      <c r="CC5" s="28" t="n">
        <v>0</v>
      </c>
      <c r="CD5" s="28" t="inlineStr"/>
      <c r="CE5" s="28" t="n">
        <v>0</v>
      </c>
      <c r="CF5" s="28" t="inlineStr"/>
      <c r="CG5" s="28" t="n">
        <v>0</v>
      </c>
      <c r="CH5" s="28" t="inlineStr"/>
      <c r="CI5" s="28" t="inlineStr"/>
      <c r="CJ5" s="28" t="inlineStr"/>
      <c r="CK5" s="28" t="inlineStr"/>
      <c r="CL5" s="28" t="inlineStr">
        <is>
          <t>2026-06-01 to 2026-06-30 (30-day window; excludes today; typical GSC lag ~48h)</t>
        </is>
      </c>
      <c r="CM5" s="28" t="inlineStr">
        <is>
          <t>No Search Analytics row matched this URL in the 30-day export (compare Final URL with the page URL shown in GSC)</t>
        </is>
      </c>
      <c r="CN5" s="28" t="n">
        <v>-1</v>
      </c>
      <c r="CO5" s="28" t="b">
        <v>1</v>
      </c>
      <c r="CP5" s="28" t="n">
        <v>0.012048</v>
      </c>
      <c r="CQ5" s="28" t="b">
        <v>1</v>
      </c>
      <c r="CR5" s="28" t="b">
        <v>1</v>
      </c>
      <c r="CS5" s="28" t="inlineStr">
        <is>
          <t>Both</t>
        </is>
      </c>
      <c r="CT5" s="74" t="inlineStr"/>
      <c r="CU5" s="28" t="n">
        <v>3</v>
      </c>
      <c r="CV5" s="29">
        <f>IFERROR(INDEX(OFFSET('Technical Diagnostics'!$A$1,2,MATCH("SEO Health Score",'Technical Diagnostics'!$2:$2,0)-1,99998,1),MATCH(B5,OFFSET('Technical Diagnostics'!$A$1,2,MATCH("URL",'Technical Diagnostics'!$2:$2,0)-1,99998,1),0)),"")</f>
        <v/>
      </c>
      <c r="CW5" s="32" t="n">
        <v>100</v>
      </c>
      <c r="CX5" s="29" t="n">
        <v>85</v>
      </c>
      <c r="CY5" s="32" t="b">
        <v>1</v>
      </c>
      <c r="CZ5" s="28" t="b">
        <v>0</v>
      </c>
      <c r="DA5" s="28" t="inlineStr"/>
      <c r="DB5" s="28" t="inlineStr"/>
      <c r="DC5" s="28" t="inlineStr"/>
      <c r="DD5" s="28" t="n">
        <v>0</v>
      </c>
      <c r="DE5" s="28" t="n">
        <v>0</v>
      </c>
      <c r="DF5" s="28" t="inlineStr"/>
      <c r="DG5" s="28" t="inlineStr"/>
      <c r="DH5" s="28" t="inlineStr"/>
      <c r="DI5" s="28" t="n">
        <v>6</v>
      </c>
      <c r="DJ5" s="28" t="inlineStr">
        <is>
          <t>Author 2</t>
        </is>
      </c>
      <c r="DK5" s="28" t="inlineStr"/>
      <c r="DL5" s="28" t="b">
        <v>1</v>
      </c>
      <c r="DM5" s="28" t="inlineStr"/>
      <c r="DN5" s="28" t="inlineStr">
        <is>
          <t>2026-06-01</t>
        </is>
      </c>
      <c r="DO5" s="28" t="inlineStr"/>
      <c r="DP5" s="28" t="inlineStr">
        <is>
          <t>2026-06-01</t>
        </is>
      </c>
      <c r="DQ5" s="28" t="inlineStr"/>
      <c r="DR5" s="28" t="b">
        <v>0</v>
      </c>
      <c r="DS5" s="28" t="b">
        <v>1</v>
      </c>
      <c r="DT5" s="28" t="b">
        <v>1</v>
      </c>
      <c r="DU5" s="28" t="b">
        <v>0</v>
      </c>
      <c r="DV5" s="28" t="n">
        <v>0</v>
      </c>
      <c r="DW5" s="28" t="b">
        <v>0</v>
      </c>
      <c r="DX5" s="28" t="b">
        <v>0</v>
      </c>
      <c r="DY5" s="28" t="b">
        <v>0</v>
      </c>
      <c r="DZ5" s="28" t="b">
        <v>0</v>
      </c>
      <c r="EA5" s="32" t="b">
        <v>0</v>
      </c>
      <c r="EB5" s="28" t="b">
        <v>0</v>
      </c>
      <c r="EC5" s="28" t="inlineStr"/>
      <c r="ED5" s="28" t="inlineStr"/>
      <c r="EE5" s="28" t="b">
        <v>0</v>
      </c>
      <c r="EF5" s="28" t="inlineStr"/>
      <c r="EG5" s="28" t="inlineStr"/>
      <c r="EH5" s="28" t="inlineStr"/>
      <c r="EI5" s="28" t="inlineStr"/>
      <c r="EJ5" s="28" t="inlineStr"/>
      <c r="EK5" s="28" t="inlineStr">
        <is>
          <t>Fresh</t>
        </is>
      </c>
      <c r="EL5" s="28" t="inlineStr">
        <is>
          <t>Smoke title 2</t>
        </is>
      </c>
      <c r="EM5" s="28" t="inlineStr">
        <is>
          <t>Smoke meta description for page 2.</t>
        </is>
      </c>
      <c r="EN5" s="28" t="inlineStr">
        <is>
          <t>article</t>
        </is>
      </c>
      <c r="EO5" s="74" t="inlineStr"/>
      <c r="EP5" s="74" t="inlineStr"/>
      <c r="EQ5" s="28" t="inlineStr"/>
      <c r="ER5" s="28" t="inlineStr"/>
      <c r="ES5" s="28" t="inlineStr"/>
      <c r="ET5" s="28" t="inlineStr"/>
      <c r="EU5" s="75" t="b">
        <v>0</v>
      </c>
      <c r="EV5" s="28" t="inlineStr">
        <is>
          <t>summary_large_image</t>
        </is>
      </c>
      <c r="EW5" s="28" t="inlineStr"/>
      <c r="EX5" s="28" t="inlineStr"/>
      <c r="EY5" s="28" t="inlineStr"/>
      <c r="EZ5" s="28" t="n">
        <v>0</v>
      </c>
      <c r="FA5" s="40" t="b">
        <v>0</v>
      </c>
      <c r="FB5" s="74" t="inlineStr">
        <is>
          <t>https://africanmarketingconfederation.org/smoke-archive/page-2</t>
        </is>
      </c>
      <c r="FC5" s="28" t="inlineStr"/>
      <c r="FD5" s="28" t="n">
        <v>0</v>
      </c>
      <c r="FE5" s="20" t="inlineStr"/>
      <c r="FF5" s="28" t="b">
        <v>0</v>
      </c>
      <c r="FG5" s="28" t="b">
        <v>0</v>
      </c>
      <c r="FH5" s="32" t="b">
        <v>0</v>
      </c>
      <c r="FI5" s="28" t="n">
        <v>0</v>
      </c>
      <c r="FJ5" s="28" t="inlineStr">
        <is>
          <t>https://africanmarketingconfederation.org/smoke-archive/page-2</t>
        </is>
      </c>
      <c r="FK5" s="28" t="inlineStr"/>
      <c r="FL5" s="32" t="b">
        <v>0</v>
      </c>
      <c r="FM5" s="28" t="b">
        <v>0</v>
      </c>
      <c r="FN5" s="32" t="b">
        <v>0</v>
      </c>
      <c r="FO5" s="28" t="inlineStr"/>
      <c r="FP5" s="28" t="inlineStr"/>
      <c r="FQ5" s="28" t="inlineStr"/>
      <c r="FR5" s="28" t="inlineStr"/>
      <c r="FS5" s="28" t="inlineStr"/>
      <c r="FT5" s="28" t="inlineStr"/>
      <c r="FU5" s="28" t="inlineStr">
        <is>
          <t>Not specified</t>
        </is>
      </c>
      <c r="FV5" s="28" t="inlineStr">
        <is>
          <t>Not specified</t>
        </is>
      </c>
      <c r="FW5" s="28" t="inlineStr">
        <is>
          <t>Not specified</t>
        </is>
      </c>
      <c r="FX5" s="28" t="inlineStr">
        <is>
          <t>Not specified</t>
        </is>
      </c>
      <c r="FY5" s="28" t="inlineStr">
        <is>
          <t>Not specified</t>
        </is>
      </c>
      <c r="FZ5" s="28" t="b">
        <v>0</v>
      </c>
      <c r="GA5" s="28" t="n">
        <v>0</v>
      </c>
      <c r="GB5" s="28" t="inlineStr"/>
      <c r="GC5" s="28" t="inlineStr"/>
      <c r="GD5" s="28" t="b">
        <v>0</v>
      </c>
      <c r="GE5" s="28" t="b">
        <v>0</v>
      </c>
      <c r="GF5" s="28" t="b">
        <v>0</v>
      </c>
      <c r="GG5" s="28" t="b">
        <v>0</v>
      </c>
      <c r="GH5" s="28" t="b">
        <v>0</v>
      </c>
      <c r="GI5" s="28" t="b">
        <v>0</v>
      </c>
      <c r="GJ5" s="28" t="n">
        <v>0</v>
      </c>
      <c r="GK5" s="28" t="n">
        <v>0</v>
      </c>
      <c r="GL5" s="28" t="n">
        <v>0</v>
      </c>
      <c r="GM5" s="74" t="inlineStr"/>
      <c r="GN5" s="74" t="inlineStr"/>
      <c r="GO5" s="32" t="b">
        <v>0</v>
      </c>
      <c r="GP5" s="28" t="inlineStr"/>
      <c r="GQ5" s="74" t="inlineStr"/>
      <c r="GR5" s="28" t="inlineStr">
        <is>
          <t>Not Declared</t>
        </is>
      </c>
      <c r="GS5" s="28" t="b">
        <v>1</v>
      </c>
      <c r="GT5" s="28" t="n">
        <v>28</v>
      </c>
      <c r="GU5" s="28" t="inlineStr">
        <is>
          <t>Orphan</t>
        </is>
      </c>
      <c r="GV5" s="28" t="n">
        <v>0</v>
      </c>
      <c r="GW5" s="34" t="n">
        <v>0</v>
      </c>
      <c r="GX5" s="28" t="b">
        <v>0</v>
      </c>
      <c r="GY5" s="28" t="inlineStr">
        <is>
          <t>FAQ</t>
        </is>
      </c>
      <c r="GZ5" s="28" t="n">
        <v>9</v>
      </c>
      <c r="HA5" s="28" t="b">
        <v>0</v>
      </c>
      <c r="HB5" s="28" t="inlineStr">
        <is>
          <t>smoke, body, copy, intent, classification</t>
        </is>
      </c>
      <c r="HC5" s="28" t="b">
        <v>0</v>
      </c>
      <c r="HD5" s="28" t="b">
        <v>0</v>
      </c>
      <c r="HE5" s="28" t="b">
        <v>0</v>
      </c>
      <c r="HF5" s="34" t="n">
        <v>0</v>
      </c>
      <c r="HG5" s="28" t="b">
        <v>0</v>
      </c>
      <c r="HH5" s="28" t="b">
        <v>0</v>
      </c>
      <c r="HI5">
        <f>IFERROR(HYPERLINK("#'Technical Diagnostics'!A"&amp;MATCH(B5,'Technical Diagnostics'!A:A,0),"Open Technical"),HYPERLINK("#'Technical Diagnostics'!A1","Open Technical"))</f>
        <v/>
      </c>
    </row>
    <row r="6" ht="18" customHeight="1">
      <c r="A6" s="30" t="inlineStr">
        <is>
          <t>WARN 🟡</t>
        </is>
      </c>
      <c r="B6" s="37" t="inlineStr">
        <is>
          <t>https://africanmarketingconfederation.org/smoke-archive/page-3</t>
        </is>
      </c>
      <c r="C6" s="30" t="inlineStr"/>
      <c r="D6" s="30" t="inlineStr">
        <is>
          <t>Indexable</t>
        </is>
      </c>
      <c r="E6" s="30" t="inlineStr"/>
      <c r="F6" s="30" t="inlineStr">
        <is>
          <t>Smoke title 3</t>
        </is>
      </c>
      <c r="G6" s="30" t="inlineStr">
        <is>
          <t>Smoke meta description for page 3.</t>
        </is>
      </c>
      <c r="H6" s="30" t="n">
        <v>323</v>
      </c>
      <c r="I6" s="30" t="n">
        <v>80</v>
      </c>
      <c r="J6" s="30" t="inlineStr">
        <is>
          <t>Warning</t>
        </is>
      </c>
      <c r="K6" s="30" t="inlineStr">
        <is>
          <t>Yes</t>
        </is>
      </c>
      <c r="L6" s="30" t="inlineStr"/>
      <c r="M6" s="30" t="inlineStr"/>
      <c r="N6" s="30" t="inlineStr">
        <is>
          <t>Lab only</t>
        </is>
      </c>
      <c r="O6" s="30" t="inlineStr">
        <is>
          <t>None</t>
        </is>
      </c>
      <c r="P6" s="30" t="inlineStr">
        <is>
          <t>PSI Lab</t>
        </is>
      </c>
      <c r="Q6" s="30" t="inlineStr">
        <is>
          <t>None</t>
        </is>
      </c>
      <c r="R6" s="30" t="inlineStr"/>
      <c r="S6" s="30" t="inlineStr"/>
      <c r="T6" s="30" t="inlineStr"/>
      <c r="U6" s="30" t="inlineStr"/>
      <c r="V6" s="30" t="inlineStr"/>
      <c r="W6" s="30" t="inlineStr"/>
      <c r="X6" s="30" t="inlineStr"/>
      <c r="Y6" s="30" t="inlineStr"/>
      <c r="Z6" s="30" t="inlineStr"/>
      <c r="AA6" s="30" t="n">
        <v>88</v>
      </c>
      <c r="AB6" s="30" t="n">
        <v>88</v>
      </c>
      <c r="AC6" s="30" t="n">
        <v>88</v>
      </c>
      <c r="AD6" s="30" t="n">
        <v>85</v>
      </c>
      <c r="AE6" s="30" t="n">
        <v>82</v>
      </c>
      <c r="AF6" s="30" t="n">
        <v>92</v>
      </c>
      <c r="AG6" s="30" t="n">
        <v>2.4</v>
      </c>
      <c r="AH6" s="30" t="n">
        <v>0.04</v>
      </c>
      <c r="AI6" s="30" t="n">
        <v>0.4</v>
      </c>
      <c r="AJ6" s="30" t="n">
        <v>2.4</v>
      </c>
      <c r="AK6" s="30" t="n">
        <v>0.04</v>
      </c>
      <c r="AL6" s="30" t="n">
        <v>180</v>
      </c>
      <c r="AM6" s="30" t="n">
        <v>120</v>
      </c>
      <c r="AN6" s="30" t="n">
        <v>1.8</v>
      </c>
      <c r="AO6" s="30" t="n">
        <v>3.2</v>
      </c>
      <c r="AP6" s="30" t="n">
        <v>4.1</v>
      </c>
      <c r="AQ6" s="30" t="n">
        <v>400</v>
      </c>
      <c r="AR6" s="30" t="n">
        <v>88</v>
      </c>
      <c r="AS6" s="30" t="n">
        <v>85</v>
      </c>
      <c r="AT6" s="30" t="n">
        <v>82</v>
      </c>
      <c r="AU6" s="30" t="n">
        <v>92</v>
      </c>
      <c r="AV6" s="30" t="n">
        <v>2.4</v>
      </c>
      <c r="AW6" s="30" t="n">
        <v>0.04</v>
      </c>
      <c r="AX6" s="30" t="n">
        <v>180</v>
      </c>
      <c r="AY6" s="30" t="n">
        <v>120</v>
      </c>
      <c r="AZ6" s="30" t="n">
        <v>1.8</v>
      </c>
      <c r="BA6" s="30" t="n">
        <v>3.2</v>
      </c>
      <c r="BB6" s="30" t="n">
        <v>4.1</v>
      </c>
      <c r="BC6" s="30" t="n">
        <v>400</v>
      </c>
      <c r="BD6" s="30" t="n">
        <v>500</v>
      </c>
      <c r="BE6" s="30" t="n">
        <v>842</v>
      </c>
      <c r="BF6" s="30" t="n">
        <v>1250</v>
      </c>
      <c r="BG6" s="30" t="n">
        <v>1</v>
      </c>
      <c r="BH6" s="30" t="b">
        <v>1</v>
      </c>
      <c r="BI6" s="34" t="b">
        <v>1</v>
      </c>
      <c r="BJ6" s="30" t="b">
        <v>1</v>
      </c>
      <c r="BK6" s="30" t="b">
        <v>1</v>
      </c>
      <c r="BL6" s="30" t="b">
        <v>0</v>
      </c>
      <c r="BM6" s="30" t="n">
        <v>65</v>
      </c>
      <c r="BN6" s="30" t="inlineStr">
        <is>
          <t>complete</t>
        </is>
      </c>
      <c r="BO6" s="30" t="inlineStr">
        <is>
          <t>rendered_browser</t>
        </is>
      </c>
      <c r="BP6" s="30" t="b">
        <v>0</v>
      </c>
      <c r="BQ6" s="30" t="n">
        <v>0</v>
      </c>
      <c r="BR6" s="30" t="n">
        <v>0</v>
      </c>
      <c r="BS6" s="30" t="inlineStr"/>
      <c r="BT6" s="30" t="b">
        <v>0</v>
      </c>
      <c r="BU6" s="30" t="inlineStr"/>
      <c r="BV6" s="30" t="inlineStr"/>
      <c r="BW6" s="30" t="n">
        <v>0</v>
      </c>
      <c r="BX6" s="30" t="inlineStr"/>
      <c r="BY6" s="30" t="n">
        <v>0</v>
      </c>
      <c r="BZ6" s="30" t="inlineStr"/>
      <c r="CA6" s="30" t="n">
        <v>0</v>
      </c>
      <c r="CB6" s="30" t="inlineStr"/>
      <c r="CC6" s="30" t="n">
        <v>0</v>
      </c>
      <c r="CD6" s="30" t="inlineStr"/>
      <c r="CE6" s="30" t="n">
        <v>0</v>
      </c>
      <c r="CF6" s="30" t="inlineStr"/>
      <c r="CG6" s="30" t="n">
        <v>0</v>
      </c>
      <c r="CH6" s="30" t="inlineStr"/>
      <c r="CI6" s="30" t="inlineStr"/>
      <c r="CJ6" s="30" t="inlineStr"/>
      <c r="CK6" s="30" t="inlineStr"/>
      <c r="CL6" s="30" t="inlineStr">
        <is>
          <t>2026-06-01 to 2026-06-30 (30-day window; excludes today; typical GSC lag ~48h)</t>
        </is>
      </c>
      <c r="CM6" s="30" t="inlineStr">
        <is>
          <t>No Search Analytics row matched this URL in the 30-day export (compare Final URL with the page URL shown in GSC)</t>
        </is>
      </c>
      <c r="CN6" s="30" t="n">
        <v>-1</v>
      </c>
      <c r="CO6" s="30" t="b">
        <v>1</v>
      </c>
      <c r="CP6" s="30" t="n">
        <v>0.012048</v>
      </c>
      <c r="CQ6" s="30" t="b">
        <v>1</v>
      </c>
      <c r="CR6" s="30" t="b">
        <v>1</v>
      </c>
      <c r="CS6" s="30" t="inlineStr">
        <is>
          <t>Both</t>
        </is>
      </c>
      <c r="CT6" s="76" t="inlineStr"/>
      <c r="CU6" s="30" t="n">
        <v>4</v>
      </c>
      <c r="CV6" s="29">
        <f>IFERROR(INDEX(OFFSET('Technical Diagnostics'!$A$1,2,MATCH("SEO Health Score",'Technical Diagnostics'!$2:$2,0)-1,99998,1),MATCH(B6,OFFSET('Technical Diagnostics'!$A$1,2,MATCH("URL",'Technical Diagnostics'!$2:$2,0)-1,99998,1),0)),"")</f>
        <v/>
      </c>
      <c r="CW6" s="32" t="n">
        <v>100</v>
      </c>
      <c r="CX6" s="29" t="n">
        <v>85</v>
      </c>
      <c r="CY6" s="32" t="b">
        <v>1</v>
      </c>
      <c r="CZ6" s="30" t="b">
        <v>0</v>
      </c>
      <c r="DA6" s="30" t="inlineStr"/>
      <c r="DB6" s="30" t="inlineStr"/>
      <c r="DC6" s="30" t="inlineStr"/>
      <c r="DD6" s="30" t="n">
        <v>0</v>
      </c>
      <c r="DE6" s="30" t="n">
        <v>0</v>
      </c>
      <c r="DF6" s="30" t="inlineStr"/>
      <c r="DG6" s="30" t="inlineStr"/>
      <c r="DH6" s="30" t="inlineStr"/>
      <c r="DI6" s="30" t="n">
        <v>6</v>
      </c>
      <c r="DJ6" s="30" t="inlineStr">
        <is>
          <t>Author 3</t>
        </is>
      </c>
      <c r="DK6" s="30" t="inlineStr"/>
      <c r="DL6" s="30" t="b">
        <v>1</v>
      </c>
      <c r="DM6" s="30" t="inlineStr"/>
      <c r="DN6" s="30" t="inlineStr">
        <is>
          <t>2026-06-01</t>
        </is>
      </c>
      <c r="DO6" s="30" t="inlineStr"/>
      <c r="DP6" s="30" t="inlineStr">
        <is>
          <t>2026-06-01</t>
        </is>
      </c>
      <c r="DQ6" s="30" t="inlineStr"/>
      <c r="DR6" s="30" t="b">
        <v>0</v>
      </c>
      <c r="DS6" s="30" t="b">
        <v>1</v>
      </c>
      <c r="DT6" s="30" t="b">
        <v>1</v>
      </c>
      <c r="DU6" s="30" t="b">
        <v>0</v>
      </c>
      <c r="DV6" s="30" t="n">
        <v>0</v>
      </c>
      <c r="DW6" s="30" t="b">
        <v>0</v>
      </c>
      <c r="DX6" s="30" t="b">
        <v>0</v>
      </c>
      <c r="DY6" s="30" t="b">
        <v>0</v>
      </c>
      <c r="DZ6" s="30" t="b">
        <v>0</v>
      </c>
      <c r="EA6" s="32" t="b">
        <v>0</v>
      </c>
      <c r="EB6" s="30" t="b">
        <v>0</v>
      </c>
      <c r="EC6" s="30" t="inlineStr"/>
      <c r="ED6" s="30" t="inlineStr"/>
      <c r="EE6" s="30" t="b">
        <v>0</v>
      </c>
      <c r="EF6" s="30" t="inlineStr"/>
      <c r="EG6" s="30" t="inlineStr"/>
      <c r="EH6" s="30" t="inlineStr"/>
      <c r="EI6" s="30" t="inlineStr">
        <is>
          <t>2026-06-01</t>
        </is>
      </c>
      <c r="EJ6" s="30" t="inlineStr"/>
      <c r="EK6" s="30" t="inlineStr">
        <is>
          <t>Fresh</t>
        </is>
      </c>
      <c r="EL6" s="30" t="inlineStr">
        <is>
          <t>Smoke title 3</t>
        </is>
      </c>
      <c r="EM6" s="30" t="inlineStr">
        <is>
          <t>Smoke meta description for page 3.</t>
        </is>
      </c>
      <c r="EN6" s="30" t="inlineStr">
        <is>
          <t>article</t>
        </is>
      </c>
      <c r="EO6" s="76" t="inlineStr"/>
      <c r="EP6" s="76" t="inlineStr"/>
      <c r="EQ6" s="30" t="inlineStr"/>
      <c r="ER6" s="30" t="inlineStr"/>
      <c r="ES6" s="30" t="inlineStr"/>
      <c r="ET6" s="30" t="inlineStr"/>
      <c r="EU6" s="75" t="b">
        <v>0</v>
      </c>
      <c r="EV6" s="30" t="inlineStr">
        <is>
          <t>summary_large_image</t>
        </is>
      </c>
      <c r="EW6" s="30" t="inlineStr"/>
      <c r="EX6" s="30" t="inlineStr"/>
      <c r="EY6" s="30" t="inlineStr"/>
      <c r="EZ6" s="30" t="n">
        <v>0</v>
      </c>
      <c r="FA6" s="40" t="b">
        <v>0</v>
      </c>
      <c r="FB6" s="76" t="inlineStr">
        <is>
          <t>https://africanmarketingconfederation.org/smoke-archive/page-3</t>
        </is>
      </c>
      <c r="FC6" s="30" t="inlineStr"/>
      <c r="FD6" s="30" t="n">
        <v>0</v>
      </c>
      <c r="FE6" s="31" t="inlineStr"/>
      <c r="FF6" s="30" t="b">
        <v>0</v>
      </c>
      <c r="FG6" s="30" t="b">
        <v>0</v>
      </c>
      <c r="FH6" s="32" t="b">
        <v>0</v>
      </c>
      <c r="FI6" s="30" t="n">
        <v>0</v>
      </c>
      <c r="FJ6" s="30" t="inlineStr">
        <is>
          <t>https://africanmarketingconfederation.org/smoke-archive/page-3</t>
        </is>
      </c>
      <c r="FK6" s="30" t="inlineStr"/>
      <c r="FL6" s="32" t="b">
        <v>0</v>
      </c>
      <c r="FM6" s="30" t="b">
        <v>0</v>
      </c>
      <c r="FN6" s="32" t="b">
        <v>0</v>
      </c>
      <c r="FO6" s="30" t="inlineStr"/>
      <c r="FP6" s="30" t="inlineStr"/>
      <c r="FQ6" s="30" t="inlineStr"/>
      <c r="FR6" s="30" t="inlineStr"/>
      <c r="FS6" s="30" t="inlineStr"/>
      <c r="FT6" s="30" t="inlineStr"/>
      <c r="FU6" s="30" t="inlineStr">
        <is>
          <t>Not specified</t>
        </is>
      </c>
      <c r="FV6" s="30" t="inlineStr">
        <is>
          <t>Not specified</t>
        </is>
      </c>
      <c r="FW6" s="30" t="inlineStr">
        <is>
          <t>Not specified</t>
        </is>
      </c>
      <c r="FX6" s="30" t="inlineStr">
        <is>
          <t>Not specified</t>
        </is>
      </c>
      <c r="FY6" s="30" t="inlineStr">
        <is>
          <t>Not specified</t>
        </is>
      </c>
      <c r="FZ6" s="30" t="b">
        <v>0</v>
      </c>
      <c r="GA6" s="30" t="n">
        <v>0</v>
      </c>
      <c r="GB6" s="30" t="inlineStr"/>
      <c r="GC6" s="30" t="inlineStr"/>
      <c r="GD6" s="30" t="b">
        <v>0</v>
      </c>
      <c r="GE6" s="30" t="b">
        <v>0</v>
      </c>
      <c r="GF6" s="30" t="b">
        <v>0</v>
      </c>
      <c r="GG6" s="30" t="b">
        <v>0</v>
      </c>
      <c r="GH6" s="30" t="b">
        <v>0</v>
      </c>
      <c r="GI6" s="30" t="b">
        <v>0</v>
      </c>
      <c r="GJ6" s="30" t="n">
        <v>0</v>
      </c>
      <c r="GK6" s="30" t="n">
        <v>0</v>
      </c>
      <c r="GL6" s="30" t="n">
        <v>0</v>
      </c>
      <c r="GM6" s="76" t="inlineStr"/>
      <c r="GN6" s="76" t="inlineStr"/>
      <c r="GO6" s="32" t="b">
        <v>0</v>
      </c>
      <c r="GP6" s="30" t="inlineStr"/>
      <c r="GQ6" s="76" t="inlineStr"/>
      <c r="GR6" s="30" t="inlineStr">
        <is>
          <t>Not Declared</t>
        </is>
      </c>
      <c r="GS6" s="30" t="b">
        <v>1</v>
      </c>
      <c r="GT6" s="30" t="n">
        <v>23.2</v>
      </c>
      <c r="GU6" s="30" t="inlineStr">
        <is>
          <t>Orphan</t>
        </is>
      </c>
      <c r="GV6" s="30" t="n">
        <v>0</v>
      </c>
      <c r="GW6" s="34" t="n">
        <v>0</v>
      </c>
      <c r="GX6" s="30" t="b">
        <v>0</v>
      </c>
      <c r="GY6" s="30" t="inlineStr">
        <is>
          <t>FAQ</t>
        </is>
      </c>
      <c r="GZ6" s="30" t="n">
        <v>9</v>
      </c>
      <c r="HA6" s="30" t="b">
        <v>0</v>
      </c>
      <c r="HB6" s="30" t="inlineStr">
        <is>
          <t>smoke, body, copy, intent, classification</t>
        </is>
      </c>
      <c r="HC6" s="30" t="b">
        <v>0</v>
      </c>
      <c r="HD6" s="30" t="b">
        <v>0</v>
      </c>
      <c r="HE6" s="30" t="b">
        <v>0</v>
      </c>
      <c r="HF6" s="34" t="n">
        <v>0</v>
      </c>
      <c r="HG6" s="30" t="b">
        <v>0</v>
      </c>
      <c r="HH6" s="30" t="b">
        <v>0</v>
      </c>
      <c r="HI6" s="38">
        <f>IFERROR(HYPERLINK("#'Technical Diagnostics'!A"&amp;MATCH(B6,'Technical Diagnostics'!A:A,0),"Open Technical"),HYPERLINK("#'Technical Diagnostics'!A1","Open Technical"))</f>
        <v/>
      </c>
    </row>
    <row r="7" ht="18" customHeight="1">
      <c r="A7" s="28" t="inlineStr">
        <is>
          <t>OBS 🔵</t>
        </is>
      </c>
      <c r="B7" s="35" t="inlineStr">
        <is>
          <t>https://africanmarketingconfederation.org/smoke-archive/page-4</t>
        </is>
      </c>
      <c r="C7" s="28" t="inlineStr"/>
      <c r="D7" s="28" t="inlineStr">
        <is>
          <t>Indexable</t>
        </is>
      </c>
      <c r="E7" s="28" t="inlineStr"/>
      <c r="F7" s="28" t="inlineStr">
        <is>
          <t>Smoke title 4</t>
        </is>
      </c>
      <c r="G7" s="28" t="inlineStr">
        <is>
          <t>Smoke meta description for page 4.</t>
        </is>
      </c>
      <c r="H7" s="28" t="n">
        <v>324</v>
      </c>
      <c r="I7" s="28" t="n">
        <v>90</v>
      </c>
      <c r="J7" s="28" t="inlineStr">
        <is>
          <t>Observation</t>
        </is>
      </c>
      <c r="K7" s="28" t="inlineStr">
        <is>
          <t>No</t>
        </is>
      </c>
      <c r="L7" s="28" t="inlineStr"/>
      <c r="M7" s="28" t="inlineStr"/>
      <c r="N7" s="28" t="inlineStr">
        <is>
          <t>Lab only</t>
        </is>
      </c>
      <c r="O7" s="28" t="inlineStr">
        <is>
          <t>None</t>
        </is>
      </c>
      <c r="P7" s="28" t="inlineStr">
        <is>
          <t>PSI Lab</t>
        </is>
      </c>
      <c r="Q7" s="28" t="inlineStr">
        <is>
          <t>None</t>
        </is>
      </c>
      <c r="R7" s="28" t="inlineStr"/>
      <c r="S7" s="28" t="inlineStr"/>
      <c r="T7" s="28" t="inlineStr"/>
      <c r="U7" s="28" t="inlineStr"/>
      <c r="V7" s="28" t="inlineStr"/>
      <c r="W7" s="28" t="inlineStr"/>
      <c r="X7" s="28" t="inlineStr"/>
      <c r="Y7" s="28" t="inlineStr"/>
      <c r="Z7" s="28" t="inlineStr"/>
      <c r="AA7" s="28" t="n">
        <v>88</v>
      </c>
      <c r="AB7" s="28" t="n">
        <v>88</v>
      </c>
      <c r="AC7" s="28" t="n">
        <v>88</v>
      </c>
      <c r="AD7" s="28" t="n">
        <v>85</v>
      </c>
      <c r="AE7" s="28" t="n">
        <v>82</v>
      </c>
      <c r="AF7" s="28" t="n">
        <v>92</v>
      </c>
      <c r="AG7" s="28" t="n">
        <v>2.4</v>
      </c>
      <c r="AH7" s="28" t="n">
        <v>0.04</v>
      </c>
      <c r="AI7" s="28" t="n">
        <v>0.4</v>
      </c>
      <c r="AJ7" s="28" t="n">
        <v>2.4</v>
      </c>
      <c r="AK7" s="28" t="n">
        <v>0.04</v>
      </c>
      <c r="AL7" s="28" t="n">
        <v>180</v>
      </c>
      <c r="AM7" s="28" t="n">
        <v>120</v>
      </c>
      <c r="AN7" s="28" t="n">
        <v>1.8</v>
      </c>
      <c r="AO7" s="28" t="n">
        <v>3.2</v>
      </c>
      <c r="AP7" s="28" t="n">
        <v>4.1</v>
      </c>
      <c r="AQ7" s="28" t="n">
        <v>400</v>
      </c>
      <c r="AR7" s="28" t="n">
        <v>88</v>
      </c>
      <c r="AS7" s="28" t="n">
        <v>85</v>
      </c>
      <c r="AT7" s="28" t="n">
        <v>82</v>
      </c>
      <c r="AU7" s="28" t="n">
        <v>92</v>
      </c>
      <c r="AV7" s="28" t="n">
        <v>2.4</v>
      </c>
      <c r="AW7" s="28" t="n">
        <v>0.04</v>
      </c>
      <c r="AX7" s="28" t="n">
        <v>180</v>
      </c>
      <c r="AY7" s="28" t="n">
        <v>120</v>
      </c>
      <c r="AZ7" s="28" t="n">
        <v>1.8</v>
      </c>
      <c r="BA7" s="28" t="n">
        <v>3.2</v>
      </c>
      <c r="BB7" s="28" t="n">
        <v>4.1</v>
      </c>
      <c r="BC7" s="28" t="n">
        <v>400</v>
      </c>
      <c r="BD7" s="28" t="n">
        <v>500</v>
      </c>
      <c r="BE7" s="28" t="n">
        <v>842</v>
      </c>
      <c r="BF7" s="28" t="n">
        <v>1250</v>
      </c>
      <c r="BG7" s="28" t="n">
        <v>1</v>
      </c>
      <c r="BH7" s="28" t="b">
        <v>1</v>
      </c>
      <c r="BI7" s="34" t="b">
        <v>1</v>
      </c>
      <c r="BJ7" s="28" t="b">
        <v>1</v>
      </c>
      <c r="BK7" s="28" t="b">
        <v>1</v>
      </c>
      <c r="BL7" s="28" t="b">
        <v>0</v>
      </c>
      <c r="BM7" s="28" t="n">
        <v>65</v>
      </c>
      <c r="BN7" s="28" t="inlineStr">
        <is>
          <t>complete</t>
        </is>
      </c>
      <c r="BO7" s="28" t="inlineStr">
        <is>
          <t>rendered_browser</t>
        </is>
      </c>
      <c r="BP7" s="28" t="b">
        <v>0</v>
      </c>
      <c r="BQ7" s="28" t="n">
        <v>0</v>
      </c>
      <c r="BR7" s="28" t="n">
        <v>0</v>
      </c>
      <c r="BS7" s="28" t="inlineStr">
        <is>
          <t>https://africanmarketingconfederation.org/og-4.jpg</t>
        </is>
      </c>
      <c r="BT7" s="28" t="b">
        <v>0</v>
      </c>
      <c r="BU7" s="28" t="inlineStr"/>
      <c r="BV7" s="28" t="inlineStr"/>
      <c r="BW7" s="28" t="n">
        <v>0</v>
      </c>
      <c r="BX7" s="28" t="inlineStr"/>
      <c r="BY7" s="28" t="n">
        <v>0</v>
      </c>
      <c r="BZ7" s="28" t="inlineStr"/>
      <c r="CA7" s="28" t="n">
        <v>0</v>
      </c>
      <c r="CB7" s="28" t="inlineStr"/>
      <c r="CC7" s="28" t="n">
        <v>0</v>
      </c>
      <c r="CD7" s="28" t="inlineStr"/>
      <c r="CE7" s="28" t="n">
        <v>0</v>
      </c>
      <c r="CF7" s="28" t="inlineStr"/>
      <c r="CG7" s="28" t="n">
        <v>0</v>
      </c>
      <c r="CH7" s="28" t="inlineStr"/>
      <c r="CI7" s="28" t="inlineStr"/>
      <c r="CJ7" s="28" t="inlineStr"/>
      <c r="CK7" s="28" t="inlineStr"/>
      <c r="CL7" s="28" t="inlineStr">
        <is>
          <t>2026-06-01 to 2026-06-30 (30-day window; excludes today; typical GSC lag ~48h)</t>
        </is>
      </c>
      <c r="CM7" s="28" t="inlineStr">
        <is>
          <t>No Search Analytics row matched this URL in the 30-day export (compare Final URL with the page URL shown in GSC)</t>
        </is>
      </c>
      <c r="CN7" s="28" t="n">
        <v>-1</v>
      </c>
      <c r="CO7" s="28" t="b">
        <v>1</v>
      </c>
      <c r="CP7" s="28" t="n">
        <v>0.012048</v>
      </c>
      <c r="CQ7" s="28" t="b">
        <v>1</v>
      </c>
      <c r="CR7" s="28" t="b">
        <v>1</v>
      </c>
      <c r="CS7" s="28" t="inlineStr">
        <is>
          <t>Both</t>
        </is>
      </c>
      <c r="CT7" s="74" t="inlineStr"/>
      <c r="CU7" s="28" t="n">
        <v>5</v>
      </c>
      <c r="CV7" s="32">
        <f>IFERROR(INDEX(OFFSET('Technical Diagnostics'!$A$1,2,MATCH("SEO Health Score",'Technical Diagnostics'!$2:$2,0)-1,99998,1),MATCH(B7,OFFSET('Technical Diagnostics'!$A$1,2,MATCH("URL",'Technical Diagnostics'!$2:$2,0)-1,99998,1),0)),"")</f>
        <v/>
      </c>
      <c r="CW7" s="32" t="n">
        <v>100</v>
      </c>
      <c r="CX7" s="32" t="n">
        <v>92.5</v>
      </c>
      <c r="CY7" s="32" t="b">
        <v>1</v>
      </c>
      <c r="CZ7" s="28" t="b">
        <v>0</v>
      </c>
      <c r="DA7" s="28" t="inlineStr"/>
      <c r="DB7" s="28" t="inlineStr"/>
      <c r="DC7" s="28" t="inlineStr"/>
      <c r="DD7" s="28" t="n">
        <v>0</v>
      </c>
      <c r="DE7" s="28" t="n">
        <v>0</v>
      </c>
      <c r="DF7" s="28" t="inlineStr"/>
      <c r="DG7" s="28" t="inlineStr"/>
      <c r="DH7" s="28" t="inlineStr"/>
      <c r="DI7" s="28" t="n">
        <v>6</v>
      </c>
      <c r="DJ7" s="28" t="inlineStr">
        <is>
          <t>Author 4</t>
        </is>
      </c>
      <c r="DK7" s="28" t="inlineStr"/>
      <c r="DL7" s="28" t="b">
        <v>1</v>
      </c>
      <c r="DM7" s="28" t="inlineStr"/>
      <c r="DN7" s="28" t="inlineStr">
        <is>
          <t>2026-06-01</t>
        </is>
      </c>
      <c r="DO7" s="28" t="inlineStr"/>
      <c r="DP7" s="28" t="inlineStr">
        <is>
          <t>2026-06-01</t>
        </is>
      </c>
      <c r="DQ7" s="28" t="inlineStr"/>
      <c r="DR7" s="28" t="b">
        <v>0</v>
      </c>
      <c r="DS7" s="28" t="b">
        <v>1</v>
      </c>
      <c r="DT7" s="28" t="b">
        <v>1</v>
      </c>
      <c r="DU7" s="28" t="b">
        <v>0</v>
      </c>
      <c r="DV7" s="28" t="n">
        <v>0</v>
      </c>
      <c r="DW7" s="28" t="b">
        <v>0</v>
      </c>
      <c r="DX7" s="28" t="b">
        <v>0</v>
      </c>
      <c r="DY7" s="28" t="b">
        <v>0</v>
      </c>
      <c r="DZ7" s="28" t="b">
        <v>0</v>
      </c>
      <c r="EA7" s="32" t="b">
        <v>0</v>
      </c>
      <c r="EB7" s="28" t="b">
        <v>0</v>
      </c>
      <c r="EC7" s="28" t="inlineStr"/>
      <c r="ED7" s="28" t="inlineStr"/>
      <c r="EE7" s="28" t="b">
        <v>0</v>
      </c>
      <c r="EF7" s="28" t="inlineStr"/>
      <c r="EG7" s="28" t="inlineStr"/>
      <c r="EH7" s="28" t="inlineStr"/>
      <c r="EI7" s="28" t="inlineStr"/>
      <c r="EJ7" s="28" t="inlineStr"/>
      <c r="EK7" s="28" t="inlineStr">
        <is>
          <t>Fresh</t>
        </is>
      </c>
      <c r="EL7" s="28" t="inlineStr">
        <is>
          <t>Smoke title 4</t>
        </is>
      </c>
      <c r="EM7" s="28" t="inlineStr">
        <is>
          <t>Smoke meta description for page 4.</t>
        </is>
      </c>
      <c r="EN7" s="28" t="inlineStr">
        <is>
          <t>article</t>
        </is>
      </c>
      <c r="EO7" s="74" t="inlineStr"/>
      <c r="EP7" s="74" t="inlineStr">
        <is>
          <t>https://africanmarketingconfederation.org/og-4.jpg</t>
        </is>
      </c>
      <c r="EQ7" s="28" t="inlineStr"/>
      <c r="ER7" s="28" t="inlineStr"/>
      <c r="ES7" s="28" t="inlineStr"/>
      <c r="ET7" s="28" t="inlineStr"/>
      <c r="EU7" s="75" t="b">
        <v>0</v>
      </c>
      <c r="EV7" s="28" t="inlineStr">
        <is>
          <t>summary_large_image</t>
        </is>
      </c>
      <c r="EW7" s="28" t="inlineStr"/>
      <c r="EX7" s="28" t="inlineStr"/>
      <c r="EY7" s="28" t="inlineStr"/>
      <c r="EZ7" s="28" t="n">
        <v>0</v>
      </c>
      <c r="FA7" s="40" t="b">
        <v>0</v>
      </c>
      <c r="FB7" s="74" t="inlineStr">
        <is>
          <t>https://africanmarketingconfederation.org/smoke-archive/page-4</t>
        </is>
      </c>
      <c r="FC7" s="28" t="inlineStr"/>
      <c r="FD7" s="28" t="n">
        <v>0</v>
      </c>
      <c r="FE7" s="20" t="inlineStr"/>
      <c r="FF7" s="28" t="b">
        <v>0</v>
      </c>
      <c r="FG7" s="28" t="b">
        <v>0</v>
      </c>
      <c r="FH7" s="32" t="b">
        <v>0</v>
      </c>
      <c r="FI7" s="28" t="n">
        <v>0</v>
      </c>
      <c r="FJ7" s="28" t="inlineStr">
        <is>
          <t>https://africanmarketingconfederation.org/smoke-archive/page-4</t>
        </is>
      </c>
      <c r="FK7" s="28" t="inlineStr"/>
      <c r="FL7" s="32" t="b">
        <v>0</v>
      </c>
      <c r="FM7" s="28" t="b">
        <v>0</v>
      </c>
      <c r="FN7" s="32" t="b">
        <v>0</v>
      </c>
      <c r="FO7" s="28" t="inlineStr"/>
      <c r="FP7" s="28" t="inlineStr"/>
      <c r="FQ7" s="28" t="inlineStr"/>
      <c r="FR7" s="28" t="inlineStr"/>
      <c r="FS7" s="28" t="inlineStr"/>
      <c r="FT7" s="28" t="inlineStr"/>
      <c r="FU7" s="28" t="inlineStr">
        <is>
          <t>Not specified</t>
        </is>
      </c>
      <c r="FV7" s="28" t="inlineStr">
        <is>
          <t>Not specified</t>
        </is>
      </c>
      <c r="FW7" s="28" t="inlineStr">
        <is>
          <t>Not specified</t>
        </is>
      </c>
      <c r="FX7" s="28" t="inlineStr">
        <is>
          <t>Not specified</t>
        </is>
      </c>
      <c r="FY7" s="28" t="inlineStr">
        <is>
          <t>Not specified</t>
        </is>
      </c>
      <c r="FZ7" s="28" t="b">
        <v>0</v>
      </c>
      <c r="GA7" s="28" t="n">
        <v>0</v>
      </c>
      <c r="GB7" s="28" t="inlineStr"/>
      <c r="GC7" s="28" t="inlineStr"/>
      <c r="GD7" s="28" t="b">
        <v>0</v>
      </c>
      <c r="GE7" s="28" t="b">
        <v>0</v>
      </c>
      <c r="GF7" s="28" t="b">
        <v>0</v>
      </c>
      <c r="GG7" s="28" t="b">
        <v>0</v>
      </c>
      <c r="GH7" s="28" t="b">
        <v>0</v>
      </c>
      <c r="GI7" s="28" t="b">
        <v>0</v>
      </c>
      <c r="GJ7" s="28" t="n">
        <v>0</v>
      </c>
      <c r="GK7" s="28" t="n">
        <v>0</v>
      </c>
      <c r="GL7" s="28" t="n">
        <v>0</v>
      </c>
      <c r="GM7" s="74" t="inlineStr"/>
      <c r="GN7" s="74" t="inlineStr"/>
      <c r="GO7" s="32" t="b">
        <v>0</v>
      </c>
      <c r="GP7" s="28" t="inlineStr"/>
      <c r="GQ7" s="74" t="inlineStr"/>
      <c r="GR7" s="28" t="inlineStr">
        <is>
          <t>Not Declared</t>
        </is>
      </c>
      <c r="GS7" s="28" t="b">
        <v>1</v>
      </c>
      <c r="GT7" s="28" t="n">
        <v>18.3</v>
      </c>
      <c r="GU7" s="28" t="inlineStr">
        <is>
          <t>Orphan</t>
        </is>
      </c>
      <c r="GV7" s="28" t="n">
        <v>0</v>
      </c>
      <c r="GW7" s="34" t="n">
        <v>0</v>
      </c>
      <c r="GX7" s="28" t="b">
        <v>0</v>
      </c>
      <c r="GY7" s="28" t="inlineStr">
        <is>
          <t>FAQ</t>
        </is>
      </c>
      <c r="GZ7" s="28" t="n">
        <v>9</v>
      </c>
      <c r="HA7" s="28" t="b">
        <v>0</v>
      </c>
      <c r="HB7" s="28" t="inlineStr">
        <is>
          <t>smoke, body, copy, intent, classification</t>
        </is>
      </c>
      <c r="HC7" s="28" t="b">
        <v>0</v>
      </c>
      <c r="HD7" s="28" t="b">
        <v>0</v>
      </c>
      <c r="HE7" s="28" t="b">
        <v>0</v>
      </c>
      <c r="HF7" s="34" t="n">
        <v>0</v>
      </c>
      <c r="HG7" s="28" t="b">
        <v>0</v>
      </c>
      <c r="HH7" s="28" t="b">
        <v>0</v>
      </c>
      <c r="HI7">
        <f>IFERROR(HYPERLINK("#'Technical Diagnostics'!A"&amp;MATCH(B7,'Technical Diagnostics'!A:A,0),"Open Technical"),HYPERLINK("#'Technical Diagnostics'!A1","Open Technical"))</f>
        <v/>
      </c>
    </row>
    <row r="8" ht="18" customHeight="1">
      <c r="A8" s="30" t="inlineStr">
        <is>
          <t>WARN 🟡</t>
        </is>
      </c>
      <c r="B8" s="37" t="inlineStr">
        <is>
          <t>https://africanmarketingconfederation.org/smoke-archive/page-5</t>
        </is>
      </c>
      <c r="C8" s="30" t="inlineStr"/>
      <c r="D8" s="30" t="inlineStr">
        <is>
          <t>Indexable</t>
        </is>
      </c>
      <c r="E8" s="30" t="inlineStr"/>
      <c r="F8" s="30" t="inlineStr">
        <is>
          <t>Smoke title 5</t>
        </is>
      </c>
      <c r="G8" s="30" t="inlineStr"/>
      <c r="H8" s="30" t="n">
        <v>325</v>
      </c>
      <c r="I8" s="30" t="n">
        <v>60</v>
      </c>
      <c r="J8" s="30" t="inlineStr">
        <is>
          <t>Warning</t>
        </is>
      </c>
      <c r="K8" s="30" t="inlineStr">
        <is>
          <t>Yes</t>
        </is>
      </c>
      <c r="L8" s="30" t="inlineStr"/>
      <c r="M8" s="30" t="inlineStr"/>
      <c r="N8" s="30" t="inlineStr">
        <is>
          <t>Lab only</t>
        </is>
      </c>
      <c r="O8" s="30" t="inlineStr">
        <is>
          <t>None</t>
        </is>
      </c>
      <c r="P8" s="30" t="inlineStr">
        <is>
          <t>PSI Lab</t>
        </is>
      </c>
      <c r="Q8" s="30" t="inlineStr">
        <is>
          <t>None</t>
        </is>
      </c>
      <c r="R8" s="30" t="inlineStr"/>
      <c r="S8" s="30" t="inlineStr"/>
      <c r="T8" s="30" t="inlineStr"/>
      <c r="U8" s="30" t="inlineStr"/>
      <c r="V8" s="30" t="inlineStr"/>
      <c r="W8" s="30" t="inlineStr"/>
      <c r="X8" s="30" t="inlineStr"/>
      <c r="Y8" s="30" t="inlineStr"/>
      <c r="Z8" s="30" t="inlineStr"/>
      <c r="AA8" s="30" t="n">
        <v>88</v>
      </c>
      <c r="AB8" s="30" t="n">
        <v>88</v>
      </c>
      <c r="AC8" s="30" t="n">
        <v>88</v>
      </c>
      <c r="AD8" s="30" t="n">
        <v>85</v>
      </c>
      <c r="AE8" s="30" t="n">
        <v>82</v>
      </c>
      <c r="AF8" s="30" t="n">
        <v>92</v>
      </c>
      <c r="AG8" s="30" t="n">
        <v>2.4</v>
      </c>
      <c r="AH8" s="30" t="n">
        <v>0.04</v>
      </c>
      <c r="AI8" s="30" t="n">
        <v>0.4</v>
      </c>
      <c r="AJ8" s="30" t="n">
        <v>2.4</v>
      </c>
      <c r="AK8" s="30" t="n">
        <v>0.04</v>
      </c>
      <c r="AL8" s="30" t="n">
        <v>180</v>
      </c>
      <c r="AM8" s="30" t="n">
        <v>120</v>
      </c>
      <c r="AN8" s="30" t="n">
        <v>1.8</v>
      </c>
      <c r="AO8" s="30" t="n">
        <v>3.2</v>
      </c>
      <c r="AP8" s="30" t="n">
        <v>4.1</v>
      </c>
      <c r="AQ8" s="30" t="n">
        <v>400</v>
      </c>
      <c r="AR8" s="30" t="n">
        <v>88</v>
      </c>
      <c r="AS8" s="30" t="n">
        <v>85</v>
      </c>
      <c r="AT8" s="30" t="n">
        <v>82</v>
      </c>
      <c r="AU8" s="30" t="n">
        <v>92</v>
      </c>
      <c r="AV8" s="30" t="n">
        <v>2.4</v>
      </c>
      <c r="AW8" s="30" t="n">
        <v>0.04</v>
      </c>
      <c r="AX8" s="30" t="n">
        <v>180</v>
      </c>
      <c r="AY8" s="30" t="n">
        <v>120</v>
      </c>
      <c r="AZ8" s="30" t="n">
        <v>1.8</v>
      </c>
      <c r="BA8" s="30" t="n">
        <v>3.2</v>
      </c>
      <c r="BB8" s="30" t="n">
        <v>4.1</v>
      </c>
      <c r="BC8" s="30" t="n">
        <v>400</v>
      </c>
      <c r="BD8" s="30" t="n">
        <v>500</v>
      </c>
      <c r="BE8" s="30" t="n">
        <v>842</v>
      </c>
      <c r="BF8" s="30" t="n">
        <v>1250</v>
      </c>
      <c r="BG8" s="30" t="n">
        <v>1</v>
      </c>
      <c r="BH8" s="30" t="b">
        <v>1</v>
      </c>
      <c r="BI8" s="34" t="b">
        <v>1</v>
      </c>
      <c r="BJ8" s="30" t="b">
        <v>1</v>
      </c>
      <c r="BK8" s="30" t="b">
        <v>1</v>
      </c>
      <c r="BL8" s="30" t="b">
        <v>0</v>
      </c>
      <c r="BM8" s="30" t="n">
        <v>65</v>
      </c>
      <c r="BN8" s="30" t="inlineStr">
        <is>
          <t>complete</t>
        </is>
      </c>
      <c r="BO8" s="30" t="inlineStr">
        <is>
          <t>rendered_browser</t>
        </is>
      </c>
      <c r="BP8" s="30" t="b">
        <v>0</v>
      </c>
      <c r="BQ8" s="30" t="n">
        <v>0</v>
      </c>
      <c r="BR8" s="30" t="n">
        <v>0</v>
      </c>
      <c r="BS8" s="30" t="inlineStr"/>
      <c r="BT8" s="30" t="b">
        <v>0</v>
      </c>
      <c r="BU8" s="30" t="inlineStr"/>
      <c r="BV8" s="30" t="inlineStr"/>
      <c r="BW8" s="30" t="n">
        <v>0</v>
      </c>
      <c r="BX8" s="30" t="inlineStr"/>
      <c r="BY8" s="30" t="n">
        <v>0</v>
      </c>
      <c r="BZ8" s="30" t="inlineStr"/>
      <c r="CA8" s="30" t="n">
        <v>0</v>
      </c>
      <c r="CB8" s="30" t="inlineStr"/>
      <c r="CC8" s="30" t="n">
        <v>0</v>
      </c>
      <c r="CD8" s="30" t="inlineStr"/>
      <c r="CE8" s="30" t="n">
        <v>0</v>
      </c>
      <c r="CF8" s="30" t="inlineStr"/>
      <c r="CG8" s="30" t="n">
        <v>0</v>
      </c>
      <c r="CH8" s="30" t="inlineStr"/>
      <c r="CI8" s="30" t="inlineStr"/>
      <c r="CJ8" s="30" t="inlineStr"/>
      <c r="CK8" s="30" t="inlineStr"/>
      <c r="CL8" s="30" t="inlineStr">
        <is>
          <t>2026-06-01 to 2026-06-30 (30-day window; excludes today; typical GSC lag ~48h)</t>
        </is>
      </c>
      <c r="CM8" s="30" t="inlineStr">
        <is>
          <t>No Search Analytics row matched this URL in the 30-day export (compare Final URL with the page URL shown in GSC)</t>
        </is>
      </c>
      <c r="CN8" s="30" t="n">
        <v>-1</v>
      </c>
      <c r="CO8" s="30" t="b">
        <v>1</v>
      </c>
      <c r="CP8" s="30" t="n">
        <v>0.012048</v>
      </c>
      <c r="CQ8" s="30" t="b">
        <v>1</v>
      </c>
      <c r="CR8" s="30" t="b">
        <v>1</v>
      </c>
      <c r="CS8" s="30" t="inlineStr">
        <is>
          <t>Both</t>
        </is>
      </c>
      <c r="CT8" s="76" t="inlineStr"/>
      <c r="CU8" s="30" t="n">
        <v>6</v>
      </c>
      <c r="CV8" s="34">
        <f>IFERROR(INDEX(OFFSET('Technical Diagnostics'!$A$1,2,MATCH("SEO Health Score",'Technical Diagnostics'!$2:$2,0)-1,99998,1),MATCH(B8,OFFSET('Technical Diagnostics'!$A$1,2,MATCH("URL",'Technical Diagnostics'!$2:$2,0)-1,99998,1),0)),"")</f>
        <v/>
      </c>
      <c r="CW8" s="29" t="n">
        <v>80</v>
      </c>
      <c r="CX8" s="34" t="n">
        <v>65</v>
      </c>
      <c r="CY8" s="32" t="b">
        <v>1</v>
      </c>
      <c r="CZ8" s="30" t="b">
        <v>0</v>
      </c>
      <c r="DA8" s="30" t="inlineStr"/>
      <c r="DB8" s="30" t="inlineStr"/>
      <c r="DC8" s="30" t="inlineStr"/>
      <c r="DD8" s="30" t="n">
        <v>0</v>
      </c>
      <c r="DE8" s="30" t="n">
        <v>0</v>
      </c>
      <c r="DF8" s="30" t="inlineStr"/>
      <c r="DG8" s="30" t="inlineStr"/>
      <c r="DH8" s="30" t="inlineStr"/>
      <c r="DI8" s="30" t="n">
        <v>6</v>
      </c>
      <c r="DJ8" s="30" t="inlineStr">
        <is>
          <t>Author 5</t>
        </is>
      </c>
      <c r="DK8" s="30" t="inlineStr"/>
      <c r="DL8" s="30" t="b">
        <v>1</v>
      </c>
      <c r="DM8" s="30" t="inlineStr"/>
      <c r="DN8" s="30" t="inlineStr">
        <is>
          <t>2026-06-01</t>
        </is>
      </c>
      <c r="DO8" s="30" t="inlineStr"/>
      <c r="DP8" s="30" t="inlineStr">
        <is>
          <t>2026-06-01</t>
        </is>
      </c>
      <c r="DQ8" s="30" t="inlineStr"/>
      <c r="DR8" s="30" t="b">
        <v>0</v>
      </c>
      <c r="DS8" s="30" t="b">
        <v>1</v>
      </c>
      <c r="DT8" s="30" t="b">
        <v>1</v>
      </c>
      <c r="DU8" s="30" t="b">
        <v>0</v>
      </c>
      <c r="DV8" s="30" t="n">
        <v>0</v>
      </c>
      <c r="DW8" s="30" t="b">
        <v>0</v>
      </c>
      <c r="DX8" s="30" t="b">
        <v>0</v>
      </c>
      <c r="DY8" s="30" t="b">
        <v>0</v>
      </c>
      <c r="DZ8" s="30" t="b">
        <v>0</v>
      </c>
      <c r="EA8" s="32" t="b">
        <v>0</v>
      </c>
      <c r="EB8" s="30" t="b">
        <v>0</v>
      </c>
      <c r="EC8" s="30" t="inlineStr"/>
      <c r="ED8" s="30" t="inlineStr"/>
      <c r="EE8" s="30" t="b">
        <v>0</v>
      </c>
      <c r="EF8" s="30" t="inlineStr"/>
      <c r="EG8" s="30" t="inlineStr"/>
      <c r="EH8" s="30" t="inlineStr"/>
      <c r="EI8" s="30" t="inlineStr"/>
      <c r="EJ8" s="30" t="inlineStr"/>
      <c r="EK8" s="30" t="inlineStr">
        <is>
          <t>Fresh</t>
        </is>
      </c>
      <c r="EL8" s="30" t="inlineStr">
        <is>
          <t>Smoke title 5</t>
        </is>
      </c>
      <c r="EM8" s="30" t="inlineStr"/>
      <c r="EN8" s="30" t="inlineStr">
        <is>
          <t>article</t>
        </is>
      </c>
      <c r="EO8" s="76" t="inlineStr"/>
      <c r="EP8" s="76" t="inlineStr"/>
      <c r="EQ8" s="30" t="inlineStr"/>
      <c r="ER8" s="30" t="inlineStr"/>
      <c r="ES8" s="30" t="inlineStr"/>
      <c r="ET8" s="30" t="inlineStr"/>
      <c r="EU8" s="75" t="b">
        <v>0</v>
      </c>
      <c r="EV8" s="30" t="inlineStr">
        <is>
          <t>summary_large_image</t>
        </is>
      </c>
      <c r="EW8" s="30" t="inlineStr"/>
      <c r="EX8" s="30" t="inlineStr"/>
      <c r="EY8" s="30" t="inlineStr"/>
      <c r="EZ8" s="30" t="n">
        <v>0</v>
      </c>
      <c r="FA8" s="40" t="b">
        <v>0</v>
      </c>
      <c r="FB8" s="76" t="inlineStr">
        <is>
          <t>https://africanmarketingconfederation.org/smoke-archive/page-5</t>
        </is>
      </c>
      <c r="FC8" s="30" t="inlineStr"/>
      <c r="FD8" s="30" t="n">
        <v>0</v>
      </c>
      <c r="FE8" s="31" t="inlineStr"/>
      <c r="FF8" s="30" t="b">
        <v>0</v>
      </c>
      <c r="FG8" s="30" t="b">
        <v>0</v>
      </c>
      <c r="FH8" s="32" t="b">
        <v>0</v>
      </c>
      <c r="FI8" s="30" t="n">
        <v>0</v>
      </c>
      <c r="FJ8" s="30" t="inlineStr">
        <is>
          <t>https://africanmarketingconfederation.org/smoke-archive/page-5</t>
        </is>
      </c>
      <c r="FK8" s="30" t="inlineStr"/>
      <c r="FL8" s="32" t="b">
        <v>0</v>
      </c>
      <c r="FM8" s="30" t="b">
        <v>0</v>
      </c>
      <c r="FN8" s="32" t="b">
        <v>0</v>
      </c>
      <c r="FO8" s="30" t="inlineStr"/>
      <c r="FP8" s="30" t="inlineStr"/>
      <c r="FQ8" s="30" t="inlineStr"/>
      <c r="FR8" s="30" t="inlineStr"/>
      <c r="FS8" s="30" t="inlineStr"/>
      <c r="FT8" s="30" t="inlineStr"/>
      <c r="FU8" s="30" t="inlineStr">
        <is>
          <t>Not specified</t>
        </is>
      </c>
      <c r="FV8" s="30" t="inlineStr">
        <is>
          <t>Not specified</t>
        </is>
      </c>
      <c r="FW8" s="30" t="inlineStr">
        <is>
          <t>Not specified</t>
        </is>
      </c>
      <c r="FX8" s="30" t="inlineStr">
        <is>
          <t>Not specified</t>
        </is>
      </c>
      <c r="FY8" s="30" t="inlineStr">
        <is>
          <t>Not specified</t>
        </is>
      </c>
      <c r="FZ8" s="30" t="b">
        <v>0</v>
      </c>
      <c r="GA8" s="30" t="n">
        <v>0</v>
      </c>
      <c r="GB8" s="30" t="inlineStr"/>
      <c r="GC8" s="30" t="inlineStr"/>
      <c r="GD8" s="30" t="b">
        <v>0</v>
      </c>
      <c r="GE8" s="30" t="b">
        <v>0</v>
      </c>
      <c r="GF8" s="30" t="b">
        <v>0</v>
      </c>
      <c r="GG8" s="30" t="b">
        <v>0</v>
      </c>
      <c r="GH8" s="30" t="b">
        <v>0</v>
      </c>
      <c r="GI8" s="30" t="b">
        <v>0</v>
      </c>
      <c r="GJ8" s="30" t="n">
        <v>0</v>
      </c>
      <c r="GK8" s="30" t="n">
        <v>0</v>
      </c>
      <c r="GL8" s="30" t="n">
        <v>0</v>
      </c>
      <c r="GM8" s="76" t="inlineStr"/>
      <c r="GN8" s="76" t="inlineStr"/>
      <c r="GO8" s="32" t="b">
        <v>0</v>
      </c>
      <c r="GP8" s="30" t="inlineStr"/>
      <c r="GQ8" s="76" t="inlineStr"/>
      <c r="GR8" s="30" t="inlineStr">
        <is>
          <t>Not Declared</t>
        </is>
      </c>
      <c r="GS8" s="30" t="b">
        <v>1</v>
      </c>
      <c r="GT8" s="30" t="n">
        <v>48.8</v>
      </c>
      <c r="GU8" s="30" t="inlineStr">
        <is>
          <t>Orphan</t>
        </is>
      </c>
      <c r="GV8" s="30" t="n">
        <v>0</v>
      </c>
      <c r="GW8" s="34" t="n">
        <v>0</v>
      </c>
      <c r="GX8" s="30" t="b">
        <v>0</v>
      </c>
      <c r="GY8" s="30" t="inlineStr">
        <is>
          <t>FAQ</t>
        </is>
      </c>
      <c r="GZ8" s="30" t="n">
        <v>9</v>
      </c>
      <c r="HA8" s="30" t="b">
        <v>0</v>
      </c>
      <c r="HB8" s="30" t="inlineStr">
        <is>
          <t>smoke, body, copy, intent, classification</t>
        </is>
      </c>
      <c r="HC8" s="30" t="b">
        <v>0</v>
      </c>
      <c r="HD8" s="30" t="b">
        <v>0</v>
      </c>
      <c r="HE8" s="30" t="b">
        <v>0</v>
      </c>
      <c r="HF8" s="34" t="n">
        <v>0</v>
      </c>
      <c r="HG8" s="30" t="b">
        <v>0</v>
      </c>
      <c r="HH8" s="30" t="b">
        <v>0</v>
      </c>
      <c r="HI8" s="38">
        <f>IFERROR(HYPERLINK("#'Technical Diagnostics'!A"&amp;MATCH(B8,'Technical Diagnostics'!A:A,0),"Open Technical"),HYPERLINK("#'Technical Diagnostics'!A1","Open Technical"))</f>
        <v/>
      </c>
    </row>
    <row r="9" ht="18" customHeight="1">
      <c r="A9" s="28" t="inlineStr">
        <is>
          <t>WARN 🟡</t>
        </is>
      </c>
      <c r="B9" s="35" t="inlineStr">
        <is>
          <t>https://africanmarketingconfederation.org/smoke-archive/page-6</t>
        </is>
      </c>
      <c r="C9" s="28" t="inlineStr"/>
      <c r="D9" s="28" t="inlineStr">
        <is>
          <t>Indexable</t>
        </is>
      </c>
      <c r="E9" s="28" t="inlineStr"/>
      <c r="F9" s="28" t="inlineStr">
        <is>
          <t>Smoke title 6</t>
        </is>
      </c>
      <c r="G9" s="28" t="inlineStr">
        <is>
          <t>Smoke meta description for page 6.</t>
        </is>
      </c>
      <c r="H9" s="28" t="n">
        <v>326</v>
      </c>
      <c r="I9" s="28" t="n">
        <v>70</v>
      </c>
      <c r="J9" s="28" t="inlineStr">
        <is>
          <t>Warning</t>
        </is>
      </c>
      <c r="K9" s="28" t="inlineStr">
        <is>
          <t>Yes</t>
        </is>
      </c>
      <c r="L9" s="28" t="inlineStr"/>
      <c r="M9" s="28" t="inlineStr"/>
      <c r="N9" s="28" t="inlineStr">
        <is>
          <t>Lab only</t>
        </is>
      </c>
      <c r="O9" s="28" t="inlineStr">
        <is>
          <t>None</t>
        </is>
      </c>
      <c r="P9" s="28" t="inlineStr">
        <is>
          <t>PSI Lab</t>
        </is>
      </c>
      <c r="Q9" s="28" t="inlineStr">
        <is>
          <t>None</t>
        </is>
      </c>
      <c r="R9" s="28" t="inlineStr"/>
      <c r="S9" s="28" t="inlineStr"/>
      <c r="T9" s="28" t="inlineStr"/>
      <c r="U9" s="28" t="inlineStr"/>
      <c r="V9" s="28" t="inlineStr"/>
      <c r="W9" s="28" t="inlineStr"/>
      <c r="X9" s="28" t="inlineStr"/>
      <c r="Y9" s="28" t="inlineStr"/>
      <c r="Z9" s="28" t="inlineStr"/>
      <c r="AA9" s="28" t="n">
        <v>88</v>
      </c>
      <c r="AB9" s="28" t="n">
        <v>88</v>
      </c>
      <c r="AC9" s="28" t="n">
        <v>88</v>
      </c>
      <c r="AD9" s="28" t="n">
        <v>85</v>
      </c>
      <c r="AE9" s="28" t="n">
        <v>82</v>
      </c>
      <c r="AF9" s="28" t="n">
        <v>92</v>
      </c>
      <c r="AG9" s="28" t="n">
        <v>2.4</v>
      </c>
      <c r="AH9" s="28" t="n">
        <v>0.04</v>
      </c>
      <c r="AI9" s="28" t="n">
        <v>0.4</v>
      </c>
      <c r="AJ9" s="28" t="n">
        <v>2.4</v>
      </c>
      <c r="AK9" s="28" t="n">
        <v>0.04</v>
      </c>
      <c r="AL9" s="28" t="n">
        <v>180</v>
      </c>
      <c r="AM9" s="28" t="n">
        <v>120</v>
      </c>
      <c r="AN9" s="28" t="n">
        <v>1.8</v>
      </c>
      <c r="AO9" s="28" t="n">
        <v>3.2</v>
      </c>
      <c r="AP9" s="28" t="n">
        <v>4.1</v>
      </c>
      <c r="AQ9" s="28" t="n">
        <v>400</v>
      </c>
      <c r="AR9" s="28" t="n">
        <v>88</v>
      </c>
      <c r="AS9" s="28" t="n">
        <v>85</v>
      </c>
      <c r="AT9" s="28" t="n">
        <v>82</v>
      </c>
      <c r="AU9" s="28" t="n">
        <v>92</v>
      </c>
      <c r="AV9" s="28" t="n">
        <v>2.4</v>
      </c>
      <c r="AW9" s="28" t="n">
        <v>0.04</v>
      </c>
      <c r="AX9" s="28" t="n">
        <v>180</v>
      </c>
      <c r="AY9" s="28" t="n">
        <v>120</v>
      </c>
      <c r="AZ9" s="28" t="n">
        <v>1.8</v>
      </c>
      <c r="BA9" s="28" t="n">
        <v>3.2</v>
      </c>
      <c r="BB9" s="28" t="n">
        <v>4.1</v>
      </c>
      <c r="BC9" s="28" t="n">
        <v>400</v>
      </c>
      <c r="BD9" s="28" t="n">
        <v>500</v>
      </c>
      <c r="BE9" s="28" t="n">
        <v>842</v>
      </c>
      <c r="BF9" s="28" t="n">
        <v>1250</v>
      </c>
      <c r="BG9" s="28" t="n">
        <v>1</v>
      </c>
      <c r="BH9" s="28" t="b">
        <v>1</v>
      </c>
      <c r="BI9" s="34" t="b">
        <v>1</v>
      </c>
      <c r="BJ9" s="28" t="b">
        <v>1</v>
      </c>
      <c r="BK9" s="28" t="b">
        <v>1</v>
      </c>
      <c r="BL9" s="28" t="b">
        <v>0</v>
      </c>
      <c r="BM9" s="28" t="n">
        <v>65</v>
      </c>
      <c r="BN9" s="28" t="inlineStr">
        <is>
          <t>complete</t>
        </is>
      </c>
      <c r="BO9" s="28" t="inlineStr">
        <is>
          <t>rendered_browser</t>
        </is>
      </c>
      <c r="BP9" s="28" t="b">
        <v>0</v>
      </c>
      <c r="BQ9" s="28" t="n">
        <v>0</v>
      </c>
      <c r="BR9" s="28" t="n">
        <v>0</v>
      </c>
      <c r="BS9" s="28" t="inlineStr"/>
      <c r="BT9" s="28" t="b">
        <v>0</v>
      </c>
      <c r="BU9" s="28" t="inlineStr"/>
      <c r="BV9" s="28" t="inlineStr"/>
      <c r="BW9" s="28" t="n">
        <v>0</v>
      </c>
      <c r="BX9" s="28" t="inlineStr"/>
      <c r="BY9" s="28" t="n">
        <v>0</v>
      </c>
      <c r="BZ9" s="28" t="inlineStr"/>
      <c r="CA9" s="28" t="n">
        <v>0</v>
      </c>
      <c r="CB9" s="28" t="inlineStr"/>
      <c r="CC9" s="28" t="n">
        <v>0</v>
      </c>
      <c r="CD9" s="28" t="inlineStr"/>
      <c r="CE9" s="28" t="n">
        <v>0</v>
      </c>
      <c r="CF9" s="28" t="inlineStr"/>
      <c r="CG9" s="28" t="n">
        <v>0</v>
      </c>
      <c r="CH9" s="28" t="inlineStr"/>
      <c r="CI9" s="28" t="inlineStr"/>
      <c r="CJ9" s="28" t="inlineStr"/>
      <c r="CK9" s="28" t="inlineStr"/>
      <c r="CL9" s="28" t="inlineStr">
        <is>
          <t>2026-06-01 to 2026-06-30 (30-day window; excludes today; typical GSC lag ~48h)</t>
        </is>
      </c>
      <c r="CM9" s="28" t="inlineStr">
        <is>
          <t>No Search Analytics row matched this URL in the 30-day export (compare Final URL with the page URL shown in GSC)</t>
        </is>
      </c>
      <c r="CN9" s="28" t="n">
        <v>-1</v>
      </c>
      <c r="CO9" s="28" t="b">
        <v>1</v>
      </c>
      <c r="CP9" s="28" t="n">
        <v>0.012048</v>
      </c>
      <c r="CQ9" s="28" t="b">
        <v>1</v>
      </c>
      <c r="CR9" s="28" t="b">
        <v>1</v>
      </c>
      <c r="CS9" s="28" t="inlineStr">
        <is>
          <t>Both</t>
        </is>
      </c>
      <c r="CT9" s="74" t="inlineStr"/>
      <c r="CU9" s="28" t="n">
        <v>7</v>
      </c>
      <c r="CV9" s="29">
        <f>IFERROR(INDEX(OFFSET('Technical Diagnostics'!$A$1,2,MATCH("SEO Health Score",'Technical Diagnostics'!$2:$2,0)-1,99998,1),MATCH(B9,OFFSET('Technical Diagnostics'!$A$1,2,MATCH("URL",'Technical Diagnostics'!$2:$2,0)-1,99998,1),0)),"")</f>
        <v/>
      </c>
      <c r="CW9" s="32" t="n">
        <v>100</v>
      </c>
      <c r="CX9" s="29" t="n">
        <v>77.5</v>
      </c>
      <c r="CY9" s="32" t="b">
        <v>1</v>
      </c>
      <c r="CZ9" s="28" t="b">
        <v>0</v>
      </c>
      <c r="DA9" s="28" t="inlineStr"/>
      <c r="DB9" s="28" t="inlineStr"/>
      <c r="DC9" s="28" t="inlineStr"/>
      <c r="DD9" s="28" t="n">
        <v>0</v>
      </c>
      <c r="DE9" s="28" t="n">
        <v>0</v>
      </c>
      <c r="DF9" s="28" t="inlineStr"/>
      <c r="DG9" s="28" t="inlineStr"/>
      <c r="DH9" s="28" t="inlineStr"/>
      <c r="DI9" s="28" t="n">
        <v>6</v>
      </c>
      <c r="DJ9" s="28" t="inlineStr">
        <is>
          <t>Author 6</t>
        </is>
      </c>
      <c r="DK9" s="28" t="inlineStr"/>
      <c r="DL9" s="28" t="b">
        <v>1</v>
      </c>
      <c r="DM9" s="28" t="inlineStr"/>
      <c r="DN9" s="28" t="inlineStr">
        <is>
          <t>2026-06-01</t>
        </is>
      </c>
      <c r="DO9" s="28" t="inlineStr"/>
      <c r="DP9" s="28" t="inlineStr">
        <is>
          <t>2026-06-01</t>
        </is>
      </c>
      <c r="DQ9" s="28" t="inlineStr"/>
      <c r="DR9" s="28" t="b">
        <v>0</v>
      </c>
      <c r="DS9" s="28" t="b">
        <v>1</v>
      </c>
      <c r="DT9" s="28" t="b">
        <v>1</v>
      </c>
      <c r="DU9" s="28" t="b">
        <v>0</v>
      </c>
      <c r="DV9" s="28" t="n">
        <v>0</v>
      </c>
      <c r="DW9" s="28" t="b">
        <v>0</v>
      </c>
      <c r="DX9" s="28" t="b">
        <v>0</v>
      </c>
      <c r="DY9" s="28" t="b">
        <v>0</v>
      </c>
      <c r="DZ9" s="28" t="b">
        <v>0</v>
      </c>
      <c r="EA9" s="32" t="b">
        <v>0</v>
      </c>
      <c r="EB9" s="28" t="b">
        <v>0</v>
      </c>
      <c r="EC9" s="28" t="inlineStr"/>
      <c r="ED9" s="28" t="inlineStr"/>
      <c r="EE9" s="28" t="b">
        <v>0</v>
      </c>
      <c r="EF9" s="28" t="inlineStr"/>
      <c r="EG9" s="28" t="inlineStr"/>
      <c r="EH9" s="28" t="inlineStr"/>
      <c r="EI9" s="28" t="inlineStr">
        <is>
          <t>2026-06-01</t>
        </is>
      </c>
      <c r="EJ9" s="28" t="inlineStr"/>
      <c r="EK9" s="28" t="inlineStr">
        <is>
          <t>Fresh</t>
        </is>
      </c>
      <c r="EL9" s="28" t="inlineStr">
        <is>
          <t>Smoke title 6</t>
        </is>
      </c>
      <c r="EM9" s="28" t="inlineStr">
        <is>
          <t>Smoke meta description for page 6.</t>
        </is>
      </c>
      <c r="EN9" s="28" t="inlineStr">
        <is>
          <t>article</t>
        </is>
      </c>
      <c r="EO9" s="74" t="inlineStr"/>
      <c r="EP9" s="74" t="inlineStr"/>
      <c r="EQ9" s="28" t="inlineStr"/>
      <c r="ER9" s="28" t="inlineStr"/>
      <c r="ES9" s="28" t="inlineStr"/>
      <c r="ET9" s="28" t="inlineStr"/>
      <c r="EU9" s="75" t="b">
        <v>0</v>
      </c>
      <c r="EV9" s="28" t="inlineStr">
        <is>
          <t>summary_large_image</t>
        </is>
      </c>
      <c r="EW9" s="28" t="inlineStr"/>
      <c r="EX9" s="28" t="inlineStr"/>
      <c r="EY9" s="28" t="inlineStr"/>
      <c r="EZ9" s="28" t="n">
        <v>0</v>
      </c>
      <c r="FA9" s="40" t="b">
        <v>0</v>
      </c>
      <c r="FB9" s="74" t="inlineStr">
        <is>
          <t>https://africanmarketingconfederation.org/smoke-archive/page-6</t>
        </is>
      </c>
      <c r="FC9" s="28" t="inlineStr"/>
      <c r="FD9" s="28" t="n">
        <v>0</v>
      </c>
      <c r="FE9" s="20" t="inlineStr"/>
      <c r="FF9" s="28" t="b">
        <v>0</v>
      </c>
      <c r="FG9" s="28" t="b">
        <v>0</v>
      </c>
      <c r="FH9" s="32" t="b">
        <v>0</v>
      </c>
      <c r="FI9" s="28" t="n">
        <v>0</v>
      </c>
      <c r="FJ9" s="28" t="inlineStr">
        <is>
          <t>https://africanmarketingconfederation.org/smoke-archive/page-6</t>
        </is>
      </c>
      <c r="FK9" s="28" t="inlineStr"/>
      <c r="FL9" s="32" t="b">
        <v>0</v>
      </c>
      <c r="FM9" s="28" t="b">
        <v>0</v>
      </c>
      <c r="FN9" s="32" t="b">
        <v>0</v>
      </c>
      <c r="FO9" s="28" t="inlineStr"/>
      <c r="FP9" s="28" t="inlineStr"/>
      <c r="FQ9" s="28" t="inlineStr"/>
      <c r="FR9" s="28" t="inlineStr"/>
      <c r="FS9" s="28" t="inlineStr"/>
      <c r="FT9" s="28" t="inlineStr"/>
      <c r="FU9" s="28" t="inlineStr">
        <is>
          <t>Not specified</t>
        </is>
      </c>
      <c r="FV9" s="28" t="inlineStr">
        <is>
          <t>Not specified</t>
        </is>
      </c>
      <c r="FW9" s="28" t="inlineStr">
        <is>
          <t>Not specified</t>
        </is>
      </c>
      <c r="FX9" s="28" t="inlineStr">
        <is>
          <t>Not specified</t>
        </is>
      </c>
      <c r="FY9" s="28" t="inlineStr">
        <is>
          <t>Not specified</t>
        </is>
      </c>
      <c r="FZ9" s="28" t="b">
        <v>0</v>
      </c>
      <c r="GA9" s="28" t="n">
        <v>0</v>
      </c>
      <c r="GB9" s="28" t="inlineStr"/>
      <c r="GC9" s="28" t="inlineStr"/>
      <c r="GD9" s="28" t="b">
        <v>0</v>
      </c>
      <c r="GE9" s="28" t="b">
        <v>0</v>
      </c>
      <c r="GF9" s="28" t="b">
        <v>0</v>
      </c>
      <c r="GG9" s="28" t="b">
        <v>0</v>
      </c>
      <c r="GH9" s="28" t="b">
        <v>0</v>
      </c>
      <c r="GI9" s="28" t="b">
        <v>0</v>
      </c>
      <c r="GJ9" s="28" t="n">
        <v>0</v>
      </c>
      <c r="GK9" s="28" t="n">
        <v>0</v>
      </c>
      <c r="GL9" s="28" t="n">
        <v>0</v>
      </c>
      <c r="GM9" s="74" t="inlineStr"/>
      <c r="GN9" s="74" t="inlineStr"/>
      <c r="GO9" s="32" t="b">
        <v>0</v>
      </c>
      <c r="GP9" s="28" t="inlineStr"/>
      <c r="GQ9" s="74" t="inlineStr"/>
      <c r="GR9" s="28" t="inlineStr">
        <is>
          <t>Not Declared</t>
        </is>
      </c>
      <c r="GS9" s="28" t="b">
        <v>1</v>
      </c>
      <c r="GT9" s="28" t="n">
        <v>69.5</v>
      </c>
      <c r="GU9" s="28" t="inlineStr">
        <is>
          <t>Orphan</t>
        </is>
      </c>
      <c r="GV9" s="28" t="n">
        <v>0</v>
      </c>
      <c r="GW9" s="34" t="n">
        <v>0</v>
      </c>
      <c r="GX9" s="28" t="b">
        <v>0</v>
      </c>
      <c r="GY9" s="28" t="inlineStr">
        <is>
          <t>FAQ</t>
        </is>
      </c>
      <c r="GZ9" s="28" t="n">
        <v>9</v>
      </c>
      <c r="HA9" s="28" t="b">
        <v>0</v>
      </c>
      <c r="HB9" s="28" t="inlineStr">
        <is>
          <t>smoke, body, copy, intent, classification</t>
        </is>
      </c>
      <c r="HC9" s="28" t="b">
        <v>0</v>
      </c>
      <c r="HD9" s="28" t="b">
        <v>0</v>
      </c>
      <c r="HE9" s="28" t="b">
        <v>0</v>
      </c>
      <c r="HF9" s="34" t="n">
        <v>0</v>
      </c>
      <c r="HG9" s="28" t="b">
        <v>0</v>
      </c>
      <c r="HH9" s="28" t="b">
        <v>0</v>
      </c>
      <c r="HI9">
        <f>IFERROR(HYPERLINK("#'Technical Diagnostics'!A"&amp;MATCH(B9,'Technical Diagnostics'!A:A,0),"Open Technical"),HYPERLINK("#'Technical Diagnostics'!A1","Open Technical"))</f>
        <v/>
      </c>
    </row>
    <row r="10" ht="18" customHeight="1">
      <c r="A10" s="30" t="inlineStr">
        <is>
          <t>WARN 🟡</t>
        </is>
      </c>
      <c r="B10" s="37" t="inlineStr">
        <is>
          <t>https://africanmarketingconfederation.org/smoke-archive/page-7</t>
        </is>
      </c>
      <c r="C10" s="30" t="inlineStr"/>
      <c r="D10" s="30" t="inlineStr">
        <is>
          <t>Indexable</t>
        </is>
      </c>
      <c r="E10" s="30" t="inlineStr"/>
      <c r="F10" s="30" t="inlineStr">
        <is>
          <t>Smoke title 7</t>
        </is>
      </c>
      <c r="G10" s="30" t="inlineStr">
        <is>
          <t>Smoke meta description for page 7.</t>
        </is>
      </c>
      <c r="H10" s="30" t="n">
        <v>327</v>
      </c>
      <c r="I10" s="30" t="n">
        <v>70</v>
      </c>
      <c r="J10" s="30" t="inlineStr">
        <is>
          <t>Warning</t>
        </is>
      </c>
      <c r="K10" s="30" t="inlineStr">
        <is>
          <t>Yes</t>
        </is>
      </c>
      <c r="L10" s="30" t="inlineStr"/>
      <c r="M10" s="30" t="inlineStr"/>
      <c r="N10" s="30" t="inlineStr">
        <is>
          <t>Lab only</t>
        </is>
      </c>
      <c r="O10" s="30" t="inlineStr">
        <is>
          <t>None</t>
        </is>
      </c>
      <c r="P10" s="30" t="inlineStr">
        <is>
          <t>PSI Lab</t>
        </is>
      </c>
      <c r="Q10" s="30" t="inlineStr">
        <is>
          <t>None</t>
        </is>
      </c>
      <c r="R10" s="30" t="inlineStr"/>
      <c r="S10" s="30" t="inlineStr"/>
      <c r="T10" s="30" t="inlineStr"/>
      <c r="U10" s="30" t="inlineStr"/>
      <c r="V10" s="30" t="inlineStr"/>
      <c r="W10" s="30" t="inlineStr"/>
      <c r="X10" s="30" t="inlineStr"/>
      <c r="Y10" s="30" t="inlineStr"/>
      <c r="Z10" s="30" t="inlineStr"/>
      <c r="AA10" s="30" t="n">
        <v>88</v>
      </c>
      <c r="AB10" s="30" t="n">
        <v>88</v>
      </c>
      <c r="AC10" s="30" t="n">
        <v>88</v>
      </c>
      <c r="AD10" s="30" t="n">
        <v>85</v>
      </c>
      <c r="AE10" s="30" t="n">
        <v>82</v>
      </c>
      <c r="AF10" s="30" t="n">
        <v>92</v>
      </c>
      <c r="AG10" s="30" t="n">
        <v>2.4</v>
      </c>
      <c r="AH10" s="30" t="n">
        <v>0.04</v>
      </c>
      <c r="AI10" s="30" t="n">
        <v>0.4</v>
      </c>
      <c r="AJ10" s="30" t="n">
        <v>2.4</v>
      </c>
      <c r="AK10" s="30" t="n">
        <v>0.04</v>
      </c>
      <c r="AL10" s="30" t="n">
        <v>180</v>
      </c>
      <c r="AM10" s="30" t="n">
        <v>120</v>
      </c>
      <c r="AN10" s="30" t="n">
        <v>1.8</v>
      </c>
      <c r="AO10" s="30" t="n">
        <v>3.2</v>
      </c>
      <c r="AP10" s="30" t="n">
        <v>4.1</v>
      </c>
      <c r="AQ10" s="30" t="n">
        <v>400</v>
      </c>
      <c r="AR10" s="30" t="n">
        <v>88</v>
      </c>
      <c r="AS10" s="30" t="n">
        <v>85</v>
      </c>
      <c r="AT10" s="30" t="n">
        <v>82</v>
      </c>
      <c r="AU10" s="30" t="n">
        <v>92</v>
      </c>
      <c r="AV10" s="30" t="n">
        <v>2.4</v>
      </c>
      <c r="AW10" s="30" t="n">
        <v>0.04</v>
      </c>
      <c r="AX10" s="30" t="n">
        <v>180</v>
      </c>
      <c r="AY10" s="30" t="n">
        <v>120</v>
      </c>
      <c r="AZ10" s="30" t="n">
        <v>1.8</v>
      </c>
      <c r="BA10" s="30" t="n">
        <v>3.2</v>
      </c>
      <c r="BB10" s="30" t="n">
        <v>4.1</v>
      </c>
      <c r="BC10" s="30" t="n">
        <v>400</v>
      </c>
      <c r="BD10" s="30" t="n">
        <v>500</v>
      </c>
      <c r="BE10" s="30" t="n">
        <v>842</v>
      </c>
      <c r="BF10" s="30" t="n">
        <v>1250</v>
      </c>
      <c r="BG10" s="30" t="n">
        <v>1</v>
      </c>
      <c r="BH10" s="30" t="b">
        <v>1</v>
      </c>
      <c r="BI10" s="34" t="b">
        <v>1</v>
      </c>
      <c r="BJ10" s="30" t="b">
        <v>1</v>
      </c>
      <c r="BK10" s="30" t="b">
        <v>1</v>
      </c>
      <c r="BL10" s="30" t="b">
        <v>0</v>
      </c>
      <c r="BM10" s="30" t="n">
        <v>65</v>
      </c>
      <c r="BN10" s="30" t="inlineStr">
        <is>
          <t>complete</t>
        </is>
      </c>
      <c r="BO10" s="30" t="inlineStr">
        <is>
          <t>rendered_browser</t>
        </is>
      </c>
      <c r="BP10" s="30" t="b">
        <v>0</v>
      </c>
      <c r="BQ10" s="30" t="n">
        <v>0</v>
      </c>
      <c r="BR10" s="30" t="n">
        <v>0</v>
      </c>
      <c r="BS10" s="30" t="inlineStr"/>
      <c r="BT10" s="30" t="b">
        <v>0</v>
      </c>
      <c r="BU10" s="30" t="inlineStr"/>
      <c r="BV10" s="30" t="inlineStr"/>
      <c r="BW10" s="30" t="n">
        <v>0</v>
      </c>
      <c r="BX10" s="30" t="inlineStr"/>
      <c r="BY10" s="30" t="n">
        <v>0</v>
      </c>
      <c r="BZ10" s="30" t="inlineStr"/>
      <c r="CA10" s="30" t="n">
        <v>0</v>
      </c>
      <c r="CB10" s="30" t="inlineStr"/>
      <c r="CC10" s="30" t="n">
        <v>0</v>
      </c>
      <c r="CD10" s="30" t="inlineStr"/>
      <c r="CE10" s="30" t="n">
        <v>0</v>
      </c>
      <c r="CF10" s="30" t="inlineStr"/>
      <c r="CG10" s="30" t="n">
        <v>0</v>
      </c>
      <c r="CH10" s="30" t="inlineStr"/>
      <c r="CI10" s="30" t="inlineStr"/>
      <c r="CJ10" s="30" t="inlineStr"/>
      <c r="CK10" s="30" t="inlineStr"/>
      <c r="CL10" s="30" t="inlineStr">
        <is>
          <t>2026-06-01 to 2026-06-30 (30-day window; excludes today; typical GSC lag ~48h)</t>
        </is>
      </c>
      <c r="CM10" s="30" t="inlineStr">
        <is>
          <t>No Search Analytics row matched this URL in the 30-day export (compare Final URL with the page URL shown in GSC)</t>
        </is>
      </c>
      <c r="CN10" s="30" t="n">
        <v>-1</v>
      </c>
      <c r="CO10" s="30" t="b">
        <v>1</v>
      </c>
      <c r="CP10" s="30" t="n">
        <v>0.012048</v>
      </c>
      <c r="CQ10" s="30" t="b">
        <v>1</v>
      </c>
      <c r="CR10" s="30" t="b">
        <v>1</v>
      </c>
      <c r="CS10" s="30" t="inlineStr">
        <is>
          <t>Both</t>
        </is>
      </c>
      <c r="CT10" s="76" t="inlineStr"/>
      <c r="CU10" s="30" t="n">
        <v>8</v>
      </c>
      <c r="CV10" s="29">
        <f>IFERROR(INDEX(OFFSET('Technical Diagnostics'!$A$1,2,MATCH("SEO Health Score",'Technical Diagnostics'!$2:$2,0)-1,99998,1),MATCH(B10,OFFSET('Technical Diagnostics'!$A$1,2,MATCH("URL",'Technical Diagnostics'!$2:$2,0)-1,99998,1),0)),"")</f>
        <v/>
      </c>
      <c r="CW10" s="32" t="n">
        <v>100</v>
      </c>
      <c r="CX10" s="29" t="n">
        <v>77.5</v>
      </c>
      <c r="CY10" s="32" t="b">
        <v>1</v>
      </c>
      <c r="CZ10" s="30" t="b">
        <v>0</v>
      </c>
      <c r="DA10" s="30" t="inlineStr"/>
      <c r="DB10" s="30" t="inlineStr"/>
      <c r="DC10" s="30" t="inlineStr"/>
      <c r="DD10" s="30" t="n">
        <v>0</v>
      </c>
      <c r="DE10" s="30" t="n">
        <v>0</v>
      </c>
      <c r="DF10" s="30" t="inlineStr"/>
      <c r="DG10" s="30" t="inlineStr"/>
      <c r="DH10" s="30" t="inlineStr"/>
      <c r="DI10" s="30" t="n">
        <v>2</v>
      </c>
      <c r="DJ10" s="30" t="inlineStr"/>
      <c r="DK10" s="30" t="inlineStr"/>
      <c r="DL10" s="30" t="b">
        <v>0</v>
      </c>
      <c r="DM10" s="30" t="inlineStr"/>
      <c r="DN10" s="30" t="inlineStr">
        <is>
          <t>2026-06-01</t>
        </is>
      </c>
      <c r="DO10" s="30" t="inlineStr"/>
      <c r="DP10" s="30" t="inlineStr">
        <is>
          <t>2026-06-01</t>
        </is>
      </c>
      <c r="DQ10" s="30" t="inlineStr"/>
      <c r="DR10" s="30" t="b">
        <v>0</v>
      </c>
      <c r="DS10" s="30" t="b">
        <v>1</v>
      </c>
      <c r="DT10" s="30" t="b">
        <v>1</v>
      </c>
      <c r="DU10" s="30" t="b">
        <v>0</v>
      </c>
      <c r="DV10" s="30" t="n">
        <v>0</v>
      </c>
      <c r="DW10" s="30" t="b">
        <v>0</v>
      </c>
      <c r="DX10" s="30" t="b">
        <v>0</v>
      </c>
      <c r="DY10" s="30" t="b">
        <v>0</v>
      </c>
      <c r="DZ10" s="30" t="b">
        <v>0</v>
      </c>
      <c r="EA10" s="32" t="b">
        <v>0</v>
      </c>
      <c r="EB10" s="30" t="b">
        <v>0</v>
      </c>
      <c r="EC10" s="30" t="inlineStr"/>
      <c r="ED10" s="30" t="inlineStr"/>
      <c r="EE10" s="30" t="b">
        <v>0</v>
      </c>
      <c r="EF10" s="30" t="inlineStr"/>
      <c r="EG10" s="30" t="inlineStr"/>
      <c r="EH10" s="30" t="inlineStr"/>
      <c r="EI10" s="30" t="inlineStr"/>
      <c r="EJ10" s="30" t="inlineStr"/>
      <c r="EK10" s="30" t="inlineStr">
        <is>
          <t>Fresh</t>
        </is>
      </c>
      <c r="EL10" s="30" t="inlineStr">
        <is>
          <t>Smoke title 7</t>
        </is>
      </c>
      <c r="EM10" s="30" t="inlineStr">
        <is>
          <t>Smoke meta description for page 7.</t>
        </is>
      </c>
      <c r="EN10" s="30" t="inlineStr">
        <is>
          <t>article</t>
        </is>
      </c>
      <c r="EO10" s="76" t="inlineStr"/>
      <c r="EP10" s="76" t="inlineStr"/>
      <c r="EQ10" s="30" t="inlineStr"/>
      <c r="ER10" s="30" t="inlineStr"/>
      <c r="ES10" s="30" t="inlineStr"/>
      <c r="ET10" s="30" t="inlineStr"/>
      <c r="EU10" s="75" t="b">
        <v>0</v>
      </c>
      <c r="EV10" s="30" t="inlineStr">
        <is>
          <t>summary_large_image</t>
        </is>
      </c>
      <c r="EW10" s="30" t="inlineStr"/>
      <c r="EX10" s="30" t="inlineStr"/>
      <c r="EY10" s="30" t="inlineStr"/>
      <c r="EZ10" s="30" t="n">
        <v>0</v>
      </c>
      <c r="FA10" s="40" t="b">
        <v>0</v>
      </c>
      <c r="FB10" s="76" t="inlineStr">
        <is>
          <t>https://africanmarketingconfederation.org/smoke-archive/page-7</t>
        </is>
      </c>
      <c r="FC10" s="30" t="inlineStr"/>
      <c r="FD10" s="30" t="n">
        <v>0</v>
      </c>
      <c r="FE10" s="31" t="inlineStr"/>
      <c r="FF10" s="30" t="b">
        <v>0</v>
      </c>
      <c r="FG10" s="30" t="b">
        <v>0</v>
      </c>
      <c r="FH10" s="32" t="b">
        <v>0</v>
      </c>
      <c r="FI10" s="30" t="n">
        <v>0</v>
      </c>
      <c r="FJ10" s="30" t="inlineStr">
        <is>
          <t>https://africanmarketingconfederation.org/smoke-archive/page-7</t>
        </is>
      </c>
      <c r="FK10" s="30" t="inlineStr"/>
      <c r="FL10" s="32" t="b">
        <v>0</v>
      </c>
      <c r="FM10" s="30" t="b">
        <v>0</v>
      </c>
      <c r="FN10" s="32" t="b">
        <v>0</v>
      </c>
      <c r="FO10" s="30" t="inlineStr"/>
      <c r="FP10" s="30" t="inlineStr"/>
      <c r="FQ10" s="30" t="inlineStr"/>
      <c r="FR10" s="30" t="inlineStr"/>
      <c r="FS10" s="30" t="inlineStr"/>
      <c r="FT10" s="30" t="inlineStr"/>
      <c r="FU10" s="30" t="inlineStr">
        <is>
          <t>Not specified</t>
        </is>
      </c>
      <c r="FV10" s="30" t="inlineStr">
        <is>
          <t>Not specified</t>
        </is>
      </c>
      <c r="FW10" s="30" t="inlineStr">
        <is>
          <t>Not specified</t>
        </is>
      </c>
      <c r="FX10" s="30" t="inlineStr">
        <is>
          <t>Not specified</t>
        </is>
      </c>
      <c r="FY10" s="30" t="inlineStr">
        <is>
          <t>Not specified</t>
        </is>
      </c>
      <c r="FZ10" s="30" t="b">
        <v>0</v>
      </c>
      <c r="GA10" s="30" t="n">
        <v>0</v>
      </c>
      <c r="GB10" s="30" t="inlineStr"/>
      <c r="GC10" s="30" t="inlineStr"/>
      <c r="GD10" s="30" t="b">
        <v>0</v>
      </c>
      <c r="GE10" s="30" t="b">
        <v>0</v>
      </c>
      <c r="GF10" s="30" t="b">
        <v>0</v>
      </c>
      <c r="GG10" s="30" t="b">
        <v>0</v>
      </c>
      <c r="GH10" s="30" t="b">
        <v>0</v>
      </c>
      <c r="GI10" s="30" t="b">
        <v>0</v>
      </c>
      <c r="GJ10" s="30" t="n">
        <v>0</v>
      </c>
      <c r="GK10" s="30" t="n">
        <v>0</v>
      </c>
      <c r="GL10" s="30" t="n">
        <v>0</v>
      </c>
      <c r="GM10" s="76" t="inlineStr"/>
      <c r="GN10" s="76" t="inlineStr"/>
      <c r="GO10" s="32" t="b">
        <v>0</v>
      </c>
      <c r="GP10" s="30" t="inlineStr"/>
      <c r="GQ10" s="76" t="inlineStr"/>
      <c r="GR10" s="30" t="inlineStr">
        <is>
          <t>Not Declared</t>
        </is>
      </c>
      <c r="GS10" s="30" t="b">
        <v>1</v>
      </c>
      <c r="GT10" s="30" t="n">
        <v>53.7</v>
      </c>
      <c r="GU10" s="30" t="inlineStr">
        <is>
          <t>Orphan</t>
        </is>
      </c>
      <c r="GV10" s="30" t="n">
        <v>0</v>
      </c>
      <c r="GW10" s="34" t="n">
        <v>0</v>
      </c>
      <c r="GX10" s="30" t="b">
        <v>0</v>
      </c>
      <c r="GY10" s="30" t="inlineStr">
        <is>
          <t>FAQ</t>
        </is>
      </c>
      <c r="GZ10" s="30" t="n">
        <v>9</v>
      </c>
      <c r="HA10" s="30" t="b">
        <v>0</v>
      </c>
      <c r="HB10" s="30" t="inlineStr">
        <is>
          <t>smoke, body, copy, intent, classification</t>
        </is>
      </c>
      <c r="HC10" s="30" t="b">
        <v>0</v>
      </c>
      <c r="HD10" s="30" t="b">
        <v>0</v>
      </c>
      <c r="HE10" s="30" t="b">
        <v>0</v>
      </c>
      <c r="HF10" s="34" t="n">
        <v>0</v>
      </c>
      <c r="HG10" s="30" t="b">
        <v>0</v>
      </c>
      <c r="HH10" s="30" t="b">
        <v>0</v>
      </c>
      <c r="HI10" s="38">
        <f>IFERROR(HYPERLINK("#'Technical Diagnostics'!A"&amp;MATCH(B10,'Technical Diagnostics'!A:A,0),"Open Technical"),HYPERLINK("#'Technical Diagnostics'!A1","Open Technical"))</f>
        <v/>
      </c>
    </row>
    <row r="11" ht="18" customHeight="1">
      <c r="A11" s="28" t="inlineStr">
        <is>
          <t>WARN 🟡</t>
        </is>
      </c>
      <c r="B11" s="35" t="inlineStr">
        <is>
          <t>https://africanmarketingconfederation.org/smoke-archive/page-8</t>
        </is>
      </c>
      <c r="C11" s="28" t="inlineStr"/>
      <c r="D11" s="28" t="inlineStr">
        <is>
          <t>Indexable</t>
        </is>
      </c>
      <c r="E11" s="28" t="inlineStr"/>
      <c r="F11" s="28" t="inlineStr">
        <is>
          <t>Smoke title 8</t>
        </is>
      </c>
      <c r="G11" s="28" t="inlineStr">
        <is>
          <t>Smoke meta description for page 8.</t>
        </is>
      </c>
      <c r="H11" s="28" t="n">
        <v>328</v>
      </c>
      <c r="I11" s="28" t="n">
        <v>80</v>
      </c>
      <c r="J11" s="28" t="inlineStr">
        <is>
          <t>Warning</t>
        </is>
      </c>
      <c r="K11" s="28" t="inlineStr">
        <is>
          <t>Yes</t>
        </is>
      </c>
      <c r="L11" s="28" t="inlineStr"/>
      <c r="M11" s="28" t="inlineStr"/>
      <c r="N11" s="28" t="inlineStr">
        <is>
          <t>Lab only</t>
        </is>
      </c>
      <c r="O11" s="28" t="inlineStr">
        <is>
          <t>None</t>
        </is>
      </c>
      <c r="P11" s="28" t="inlineStr">
        <is>
          <t>PSI Lab</t>
        </is>
      </c>
      <c r="Q11" s="28" t="inlineStr">
        <is>
          <t>None</t>
        </is>
      </c>
      <c r="R11" s="28" t="inlineStr"/>
      <c r="S11" s="28" t="inlineStr"/>
      <c r="T11" s="28" t="inlineStr"/>
      <c r="U11" s="28" t="inlineStr"/>
      <c r="V11" s="28" t="inlineStr"/>
      <c r="W11" s="28" t="inlineStr"/>
      <c r="X11" s="28" t="inlineStr"/>
      <c r="Y11" s="28" t="inlineStr"/>
      <c r="Z11" s="28" t="inlineStr"/>
      <c r="AA11" s="28" t="n">
        <v>88</v>
      </c>
      <c r="AB11" s="28" t="n">
        <v>88</v>
      </c>
      <c r="AC11" s="28" t="n">
        <v>88</v>
      </c>
      <c r="AD11" s="28" t="n">
        <v>85</v>
      </c>
      <c r="AE11" s="28" t="n">
        <v>82</v>
      </c>
      <c r="AF11" s="28" t="n">
        <v>92</v>
      </c>
      <c r="AG11" s="28" t="n">
        <v>2.4</v>
      </c>
      <c r="AH11" s="28" t="n">
        <v>0.04</v>
      </c>
      <c r="AI11" s="28" t="n">
        <v>0.4</v>
      </c>
      <c r="AJ11" s="28" t="n">
        <v>2.4</v>
      </c>
      <c r="AK11" s="28" t="n">
        <v>0.04</v>
      </c>
      <c r="AL11" s="28" t="n">
        <v>180</v>
      </c>
      <c r="AM11" s="28" t="n">
        <v>120</v>
      </c>
      <c r="AN11" s="28" t="n">
        <v>1.8</v>
      </c>
      <c r="AO11" s="28" t="n">
        <v>3.2</v>
      </c>
      <c r="AP11" s="28" t="n">
        <v>4.1</v>
      </c>
      <c r="AQ11" s="28" t="n">
        <v>400</v>
      </c>
      <c r="AR11" s="28" t="n">
        <v>88</v>
      </c>
      <c r="AS11" s="28" t="n">
        <v>85</v>
      </c>
      <c r="AT11" s="28" t="n">
        <v>82</v>
      </c>
      <c r="AU11" s="28" t="n">
        <v>92</v>
      </c>
      <c r="AV11" s="28" t="n">
        <v>2.4</v>
      </c>
      <c r="AW11" s="28" t="n">
        <v>0.04</v>
      </c>
      <c r="AX11" s="28" t="n">
        <v>180</v>
      </c>
      <c r="AY11" s="28" t="n">
        <v>120</v>
      </c>
      <c r="AZ11" s="28" t="n">
        <v>1.8</v>
      </c>
      <c r="BA11" s="28" t="n">
        <v>3.2</v>
      </c>
      <c r="BB11" s="28" t="n">
        <v>4.1</v>
      </c>
      <c r="BC11" s="28" t="n">
        <v>400</v>
      </c>
      <c r="BD11" s="28" t="n">
        <v>500</v>
      </c>
      <c r="BE11" s="28" t="n">
        <v>842</v>
      </c>
      <c r="BF11" s="28" t="n">
        <v>1250</v>
      </c>
      <c r="BG11" s="28" t="n">
        <v>1</v>
      </c>
      <c r="BH11" s="28" t="b">
        <v>1</v>
      </c>
      <c r="BI11" s="34" t="b">
        <v>1</v>
      </c>
      <c r="BJ11" s="28" t="b">
        <v>1</v>
      </c>
      <c r="BK11" s="28" t="b">
        <v>1</v>
      </c>
      <c r="BL11" s="28" t="b">
        <v>0</v>
      </c>
      <c r="BM11" s="28" t="n">
        <v>65</v>
      </c>
      <c r="BN11" s="28" t="inlineStr">
        <is>
          <t>complete</t>
        </is>
      </c>
      <c r="BO11" s="28" t="inlineStr">
        <is>
          <t>rendered_browser</t>
        </is>
      </c>
      <c r="BP11" s="28" t="b">
        <v>0</v>
      </c>
      <c r="BQ11" s="28" t="n">
        <v>0</v>
      </c>
      <c r="BR11" s="28" t="n">
        <v>0</v>
      </c>
      <c r="BS11" s="28" t="inlineStr">
        <is>
          <t>https://africanmarketingconfederation.org/og-8.jpg</t>
        </is>
      </c>
      <c r="BT11" s="28" t="b">
        <v>0</v>
      </c>
      <c r="BU11" s="28" t="inlineStr"/>
      <c r="BV11" s="28" t="inlineStr"/>
      <c r="BW11" s="28" t="n">
        <v>0</v>
      </c>
      <c r="BX11" s="28" t="inlineStr"/>
      <c r="BY11" s="28" t="n">
        <v>0</v>
      </c>
      <c r="BZ11" s="28" t="inlineStr"/>
      <c r="CA11" s="28" t="n">
        <v>0</v>
      </c>
      <c r="CB11" s="28" t="inlineStr"/>
      <c r="CC11" s="28" t="n">
        <v>0</v>
      </c>
      <c r="CD11" s="28" t="inlineStr"/>
      <c r="CE11" s="28" t="n">
        <v>0</v>
      </c>
      <c r="CF11" s="28" t="inlineStr"/>
      <c r="CG11" s="28" t="n">
        <v>0</v>
      </c>
      <c r="CH11" s="28" t="inlineStr"/>
      <c r="CI11" s="28" t="inlineStr"/>
      <c r="CJ11" s="28" t="inlineStr"/>
      <c r="CK11" s="28" t="inlineStr"/>
      <c r="CL11" s="28" t="inlineStr">
        <is>
          <t>2026-06-01 to 2026-06-30 (30-day window; excludes today; typical GSC lag ~48h)</t>
        </is>
      </c>
      <c r="CM11" s="28" t="inlineStr">
        <is>
          <t>No Search Analytics row matched this URL in the 30-day export (compare Final URL with the page URL shown in GSC)</t>
        </is>
      </c>
      <c r="CN11" s="28" t="n">
        <v>-1</v>
      </c>
      <c r="CO11" s="28" t="b">
        <v>1</v>
      </c>
      <c r="CP11" s="28" t="n">
        <v>0.012048</v>
      </c>
      <c r="CQ11" s="28" t="b">
        <v>1</v>
      </c>
      <c r="CR11" s="28" t="b">
        <v>1</v>
      </c>
      <c r="CS11" s="28" t="inlineStr">
        <is>
          <t>Both</t>
        </is>
      </c>
      <c r="CT11" s="74" t="inlineStr"/>
      <c r="CU11" s="28" t="n">
        <v>9</v>
      </c>
      <c r="CV11" s="29">
        <f>IFERROR(INDEX(OFFSET('Technical Diagnostics'!$A$1,2,MATCH("SEO Health Score",'Technical Diagnostics'!$2:$2,0)-1,99998,1),MATCH(B11,OFFSET('Technical Diagnostics'!$A$1,2,MATCH("URL",'Technical Diagnostics'!$2:$2,0)-1,99998,1),0)),"")</f>
        <v/>
      </c>
      <c r="CW11" s="32" t="n">
        <v>100</v>
      </c>
      <c r="CX11" s="29" t="n">
        <v>85</v>
      </c>
      <c r="CY11" s="32" t="b">
        <v>1</v>
      </c>
      <c r="CZ11" s="28" t="b">
        <v>0</v>
      </c>
      <c r="DA11" s="28" t="inlineStr"/>
      <c r="DB11" s="28" t="inlineStr"/>
      <c r="DC11" s="28" t="inlineStr"/>
      <c r="DD11" s="28" t="n">
        <v>0</v>
      </c>
      <c r="DE11" s="28" t="n">
        <v>0</v>
      </c>
      <c r="DF11" s="28" t="inlineStr"/>
      <c r="DG11" s="28" t="inlineStr"/>
      <c r="DH11" s="28" t="inlineStr"/>
      <c r="DI11" s="28" t="n">
        <v>6</v>
      </c>
      <c r="DJ11" s="28" t="inlineStr">
        <is>
          <t>Author 8</t>
        </is>
      </c>
      <c r="DK11" s="28" t="inlineStr"/>
      <c r="DL11" s="28" t="b">
        <v>1</v>
      </c>
      <c r="DM11" s="28" t="inlineStr"/>
      <c r="DN11" s="28" t="inlineStr">
        <is>
          <t>2026-06-01</t>
        </is>
      </c>
      <c r="DO11" s="28" t="inlineStr"/>
      <c r="DP11" s="28" t="inlineStr">
        <is>
          <t>2026-06-01</t>
        </is>
      </c>
      <c r="DQ11" s="28" t="inlineStr"/>
      <c r="DR11" s="28" t="b">
        <v>0</v>
      </c>
      <c r="DS11" s="28" t="b">
        <v>1</v>
      </c>
      <c r="DT11" s="28" t="b">
        <v>1</v>
      </c>
      <c r="DU11" s="28" t="b">
        <v>0</v>
      </c>
      <c r="DV11" s="28" t="n">
        <v>0</v>
      </c>
      <c r="DW11" s="28" t="b">
        <v>0</v>
      </c>
      <c r="DX11" s="28" t="b">
        <v>0</v>
      </c>
      <c r="DY11" s="28" t="b">
        <v>0</v>
      </c>
      <c r="DZ11" s="28" t="b">
        <v>0</v>
      </c>
      <c r="EA11" s="32" t="b">
        <v>0</v>
      </c>
      <c r="EB11" s="28" t="b">
        <v>0</v>
      </c>
      <c r="EC11" s="28" t="inlineStr"/>
      <c r="ED11" s="28" t="inlineStr"/>
      <c r="EE11" s="28" t="b">
        <v>0</v>
      </c>
      <c r="EF11" s="28" t="inlineStr"/>
      <c r="EG11" s="28" t="inlineStr"/>
      <c r="EH11" s="28" t="inlineStr"/>
      <c r="EI11" s="28" t="inlineStr"/>
      <c r="EJ11" s="28" t="inlineStr"/>
      <c r="EK11" s="28" t="inlineStr">
        <is>
          <t>Fresh</t>
        </is>
      </c>
      <c r="EL11" s="28" t="inlineStr"/>
      <c r="EM11" s="28" t="inlineStr">
        <is>
          <t>Smoke meta description for page 8.</t>
        </is>
      </c>
      <c r="EN11" s="28" t="inlineStr">
        <is>
          <t>article</t>
        </is>
      </c>
      <c r="EO11" s="74" t="inlineStr"/>
      <c r="EP11" s="74" t="inlineStr">
        <is>
          <t>https://africanmarketingconfederation.org/og-8.jpg</t>
        </is>
      </c>
      <c r="EQ11" s="28" t="inlineStr"/>
      <c r="ER11" s="28" t="inlineStr"/>
      <c r="ES11" s="28" t="inlineStr"/>
      <c r="ET11" s="28" t="inlineStr"/>
      <c r="EU11" s="75" t="b">
        <v>0</v>
      </c>
      <c r="EV11" s="28" t="inlineStr">
        <is>
          <t>summary_large_image</t>
        </is>
      </c>
      <c r="EW11" s="28" t="inlineStr"/>
      <c r="EX11" s="28" t="inlineStr"/>
      <c r="EY11" s="28" t="inlineStr"/>
      <c r="EZ11" s="28" t="n">
        <v>0</v>
      </c>
      <c r="FA11" s="40" t="b">
        <v>0</v>
      </c>
      <c r="FB11" s="74" t="inlineStr">
        <is>
          <t>https://africanmarketingconfederation.org/smoke-archive/page-8</t>
        </is>
      </c>
      <c r="FC11" s="28" t="inlineStr"/>
      <c r="FD11" s="28" t="n">
        <v>0</v>
      </c>
      <c r="FE11" s="20" t="inlineStr"/>
      <c r="FF11" s="28" t="b">
        <v>0</v>
      </c>
      <c r="FG11" s="28" t="b">
        <v>0</v>
      </c>
      <c r="FH11" s="32" t="b">
        <v>0</v>
      </c>
      <c r="FI11" s="28" t="n">
        <v>0</v>
      </c>
      <c r="FJ11" s="28" t="inlineStr">
        <is>
          <t>https://africanmarketingconfederation.org/smoke-archive/page-8</t>
        </is>
      </c>
      <c r="FK11" s="28" t="inlineStr"/>
      <c r="FL11" s="32" t="b">
        <v>0</v>
      </c>
      <c r="FM11" s="28" t="b">
        <v>0</v>
      </c>
      <c r="FN11" s="32" t="b">
        <v>0</v>
      </c>
      <c r="FO11" s="28" t="inlineStr"/>
      <c r="FP11" s="28" t="inlineStr"/>
      <c r="FQ11" s="28" t="inlineStr"/>
      <c r="FR11" s="28" t="inlineStr"/>
      <c r="FS11" s="28" t="inlineStr"/>
      <c r="FT11" s="28" t="inlineStr"/>
      <c r="FU11" s="28" t="inlineStr">
        <is>
          <t>Not specified</t>
        </is>
      </c>
      <c r="FV11" s="28" t="inlineStr">
        <is>
          <t>Not specified</t>
        </is>
      </c>
      <c r="FW11" s="28" t="inlineStr">
        <is>
          <t>Not specified</t>
        </is>
      </c>
      <c r="FX11" s="28" t="inlineStr">
        <is>
          <t>Not specified</t>
        </is>
      </c>
      <c r="FY11" s="28" t="inlineStr">
        <is>
          <t>Not specified</t>
        </is>
      </c>
      <c r="FZ11" s="28" t="b">
        <v>0</v>
      </c>
      <c r="GA11" s="28" t="n">
        <v>0</v>
      </c>
      <c r="GB11" s="28" t="inlineStr"/>
      <c r="GC11" s="28" t="inlineStr"/>
      <c r="GD11" s="28" t="b">
        <v>0</v>
      </c>
      <c r="GE11" s="28" t="b">
        <v>0</v>
      </c>
      <c r="GF11" s="28" t="b">
        <v>0</v>
      </c>
      <c r="GG11" s="28" t="b">
        <v>0</v>
      </c>
      <c r="GH11" s="28" t="b">
        <v>0</v>
      </c>
      <c r="GI11" s="28" t="b">
        <v>0</v>
      </c>
      <c r="GJ11" s="28" t="n">
        <v>0</v>
      </c>
      <c r="GK11" s="28" t="n">
        <v>0</v>
      </c>
      <c r="GL11" s="28" t="n">
        <v>0</v>
      </c>
      <c r="GM11" s="74" t="inlineStr"/>
      <c r="GN11" s="74" t="inlineStr"/>
      <c r="GO11" s="32" t="b">
        <v>0</v>
      </c>
      <c r="GP11" s="28" t="inlineStr"/>
      <c r="GQ11" s="74" t="inlineStr"/>
      <c r="GR11" s="28" t="inlineStr">
        <is>
          <t>Not Declared</t>
        </is>
      </c>
      <c r="GS11" s="28" t="b">
        <v>1</v>
      </c>
      <c r="GT11" s="28" t="n">
        <v>68.3</v>
      </c>
      <c r="GU11" s="28" t="inlineStr">
        <is>
          <t>Orphan</t>
        </is>
      </c>
      <c r="GV11" s="28" t="n">
        <v>0</v>
      </c>
      <c r="GW11" s="34" t="n">
        <v>0</v>
      </c>
      <c r="GX11" s="28" t="b">
        <v>0</v>
      </c>
      <c r="GY11" s="28" t="inlineStr">
        <is>
          <t>FAQ</t>
        </is>
      </c>
      <c r="GZ11" s="28" t="n">
        <v>9</v>
      </c>
      <c r="HA11" s="28" t="b">
        <v>0</v>
      </c>
      <c r="HB11" s="28" t="inlineStr">
        <is>
          <t>smoke, body, copy, intent, classification</t>
        </is>
      </c>
      <c r="HC11" s="28" t="b">
        <v>0</v>
      </c>
      <c r="HD11" s="28" t="b">
        <v>0</v>
      </c>
      <c r="HE11" s="28" t="b">
        <v>0</v>
      </c>
      <c r="HF11" s="34" t="n">
        <v>0</v>
      </c>
      <c r="HG11" s="28" t="b">
        <v>0</v>
      </c>
      <c r="HH11" s="28" t="b">
        <v>0</v>
      </c>
      <c r="HI11">
        <f>IFERROR(HYPERLINK("#'Technical Diagnostics'!A"&amp;MATCH(B11,'Technical Diagnostics'!A:A,0),"Open Technical"),HYPERLINK("#'Technical Diagnostics'!A1","Open Technical"))</f>
        <v/>
      </c>
    </row>
    <row r="12" ht="18" customHeight="1">
      <c r="A12" s="30" t="inlineStr">
        <is>
          <t>WARN 🟡</t>
        </is>
      </c>
      <c r="B12" s="37" t="inlineStr">
        <is>
          <t>https://africanmarketingconfederation.org/smoke-archive/page-9</t>
        </is>
      </c>
      <c r="C12" s="30" t="inlineStr"/>
      <c r="D12" s="30" t="inlineStr">
        <is>
          <t>Indexable</t>
        </is>
      </c>
      <c r="E12" s="30" t="inlineStr"/>
      <c r="F12" s="30" t="inlineStr">
        <is>
          <t>Smoke title 9</t>
        </is>
      </c>
      <c r="G12" s="30" t="inlineStr">
        <is>
          <t>Smoke meta description for page 9.</t>
        </is>
      </c>
      <c r="H12" s="30" t="n">
        <v>329</v>
      </c>
      <c r="I12" s="30" t="n">
        <v>70</v>
      </c>
      <c r="J12" s="30" t="inlineStr">
        <is>
          <t>Warning</t>
        </is>
      </c>
      <c r="K12" s="30" t="inlineStr">
        <is>
          <t>Yes</t>
        </is>
      </c>
      <c r="L12" s="30" t="inlineStr"/>
      <c r="M12" s="30" t="inlineStr"/>
      <c r="N12" s="30" t="inlineStr">
        <is>
          <t>Lab only</t>
        </is>
      </c>
      <c r="O12" s="30" t="inlineStr">
        <is>
          <t>None</t>
        </is>
      </c>
      <c r="P12" s="30" t="inlineStr">
        <is>
          <t>PSI Lab</t>
        </is>
      </c>
      <c r="Q12" s="30" t="inlineStr">
        <is>
          <t>None</t>
        </is>
      </c>
      <c r="R12" s="30" t="inlineStr"/>
      <c r="S12" s="30" t="inlineStr"/>
      <c r="T12" s="30" t="inlineStr"/>
      <c r="U12" s="30" t="inlineStr"/>
      <c r="V12" s="30" t="inlineStr"/>
      <c r="W12" s="30" t="inlineStr"/>
      <c r="X12" s="30" t="inlineStr"/>
      <c r="Y12" s="30" t="inlineStr"/>
      <c r="Z12" s="30" t="inlineStr"/>
      <c r="AA12" s="30" t="n">
        <v>88</v>
      </c>
      <c r="AB12" s="30" t="n">
        <v>88</v>
      </c>
      <c r="AC12" s="30" t="n">
        <v>88</v>
      </c>
      <c r="AD12" s="30" t="n">
        <v>85</v>
      </c>
      <c r="AE12" s="30" t="n">
        <v>82</v>
      </c>
      <c r="AF12" s="30" t="n">
        <v>92</v>
      </c>
      <c r="AG12" s="30" t="n">
        <v>2.4</v>
      </c>
      <c r="AH12" s="30" t="n">
        <v>0.04</v>
      </c>
      <c r="AI12" s="30" t="n">
        <v>0.4</v>
      </c>
      <c r="AJ12" s="30" t="n">
        <v>2.4</v>
      </c>
      <c r="AK12" s="30" t="n">
        <v>0.04</v>
      </c>
      <c r="AL12" s="30" t="n">
        <v>180</v>
      </c>
      <c r="AM12" s="30" t="n">
        <v>120</v>
      </c>
      <c r="AN12" s="30" t="n">
        <v>1.8</v>
      </c>
      <c r="AO12" s="30" t="n">
        <v>3.2</v>
      </c>
      <c r="AP12" s="30" t="n">
        <v>4.1</v>
      </c>
      <c r="AQ12" s="30" t="n">
        <v>400</v>
      </c>
      <c r="AR12" s="30" t="n">
        <v>88</v>
      </c>
      <c r="AS12" s="30" t="n">
        <v>85</v>
      </c>
      <c r="AT12" s="30" t="n">
        <v>82</v>
      </c>
      <c r="AU12" s="30" t="n">
        <v>92</v>
      </c>
      <c r="AV12" s="30" t="n">
        <v>2.4</v>
      </c>
      <c r="AW12" s="30" t="n">
        <v>0.04</v>
      </c>
      <c r="AX12" s="30" t="n">
        <v>180</v>
      </c>
      <c r="AY12" s="30" t="n">
        <v>120</v>
      </c>
      <c r="AZ12" s="30" t="n">
        <v>1.8</v>
      </c>
      <c r="BA12" s="30" t="n">
        <v>3.2</v>
      </c>
      <c r="BB12" s="30" t="n">
        <v>4.1</v>
      </c>
      <c r="BC12" s="30" t="n">
        <v>400</v>
      </c>
      <c r="BD12" s="30" t="n">
        <v>500</v>
      </c>
      <c r="BE12" s="30" t="n">
        <v>842</v>
      </c>
      <c r="BF12" s="30" t="n">
        <v>1250</v>
      </c>
      <c r="BG12" s="30" t="n">
        <v>1</v>
      </c>
      <c r="BH12" s="30" t="b">
        <v>1</v>
      </c>
      <c r="BI12" s="34" t="b">
        <v>1</v>
      </c>
      <c r="BJ12" s="30" t="b">
        <v>1</v>
      </c>
      <c r="BK12" s="30" t="b">
        <v>1</v>
      </c>
      <c r="BL12" s="30" t="b">
        <v>0</v>
      </c>
      <c r="BM12" s="30" t="n">
        <v>65</v>
      </c>
      <c r="BN12" s="30" t="inlineStr">
        <is>
          <t>complete</t>
        </is>
      </c>
      <c r="BO12" s="30" t="inlineStr">
        <is>
          <t>rendered_browser</t>
        </is>
      </c>
      <c r="BP12" s="30" t="b">
        <v>0</v>
      </c>
      <c r="BQ12" s="30" t="n">
        <v>0</v>
      </c>
      <c r="BR12" s="30" t="n">
        <v>0</v>
      </c>
      <c r="BS12" s="30" t="inlineStr"/>
      <c r="BT12" s="30" t="b">
        <v>0</v>
      </c>
      <c r="BU12" s="30" t="inlineStr"/>
      <c r="BV12" s="30" t="inlineStr"/>
      <c r="BW12" s="30" t="n">
        <v>0</v>
      </c>
      <c r="BX12" s="30" t="inlineStr"/>
      <c r="BY12" s="30" t="n">
        <v>0</v>
      </c>
      <c r="BZ12" s="30" t="inlineStr"/>
      <c r="CA12" s="30" t="n">
        <v>0</v>
      </c>
      <c r="CB12" s="30" t="inlineStr"/>
      <c r="CC12" s="30" t="n">
        <v>0</v>
      </c>
      <c r="CD12" s="30" t="inlineStr"/>
      <c r="CE12" s="30" t="n">
        <v>0</v>
      </c>
      <c r="CF12" s="30" t="inlineStr"/>
      <c r="CG12" s="30" t="n">
        <v>0</v>
      </c>
      <c r="CH12" s="30" t="inlineStr"/>
      <c r="CI12" s="30" t="inlineStr"/>
      <c r="CJ12" s="30" t="inlineStr"/>
      <c r="CK12" s="30" t="inlineStr"/>
      <c r="CL12" s="30" t="inlineStr">
        <is>
          <t>2026-06-01 to 2026-06-30 (30-day window; excludes today; typical GSC lag ~48h)</t>
        </is>
      </c>
      <c r="CM12" s="30" t="inlineStr">
        <is>
          <t>No Search Analytics row matched this URL in the 30-day export (compare Final URL with the page URL shown in GSC)</t>
        </is>
      </c>
      <c r="CN12" s="30" t="n">
        <v>-1</v>
      </c>
      <c r="CO12" s="30" t="b">
        <v>1</v>
      </c>
      <c r="CP12" s="30" t="n">
        <v>0.012048</v>
      </c>
      <c r="CQ12" s="30" t="b">
        <v>1</v>
      </c>
      <c r="CR12" s="30" t="b">
        <v>1</v>
      </c>
      <c r="CS12" s="30" t="inlineStr">
        <is>
          <t>Both</t>
        </is>
      </c>
      <c r="CT12" s="76" t="inlineStr"/>
      <c r="CU12" s="30" t="n">
        <v>10</v>
      </c>
      <c r="CV12" s="29">
        <f>IFERROR(INDEX(OFFSET('Technical Diagnostics'!$A$1,2,MATCH("SEO Health Score",'Technical Diagnostics'!$2:$2,0)-1,99998,1),MATCH(B12,OFFSET('Technical Diagnostics'!$A$1,2,MATCH("URL",'Technical Diagnostics'!$2:$2,0)-1,99998,1),0)),"")</f>
        <v/>
      </c>
      <c r="CW12" s="32" t="n">
        <v>100</v>
      </c>
      <c r="CX12" s="29" t="n">
        <v>77.5</v>
      </c>
      <c r="CY12" s="32" t="b">
        <v>1</v>
      </c>
      <c r="CZ12" s="30" t="b">
        <v>0</v>
      </c>
      <c r="DA12" s="30" t="inlineStr"/>
      <c r="DB12" s="30" t="inlineStr"/>
      <c r="DC12" s="30" t="inlineStr"/>
      <c r="DD12" s="30" t="n">
        <v>0</v>
      </c>
      <c r="DE12" s="30" t="n">
        <v>0</v>
      </c>
      <c r="DF12" s="30" t="inlineStr"/>
      <c r="DG12" s="30" t="inlineStr"/>
      <c r="DH12" s="30" t="inlineStr"/>
      <c r="DI12" s="30" t="n">
        <v>6</v>
      </c>
      <c r="DJ12" s="30" t="inlineStr">
        <is>
          <t>Author 9</t>
        </is>
      </c>
      <c r="DK12" s="30" t="inlineStr"/>
      <c r="DL12" s="30" t="b">
        <v>1</v>
      </c>
      <c r="DM12" s="30" t="inlineStr"/>
      <c r="DN12" s="30" t="inlineStr">
        <is>
          <t>2026-06-01</t>
        </is>
      </c>
      <c r="DO12" s="30" t="inlineStr"/>
      <c r="DP12" s="30" t="inlineStr">
        <is>
          <t>2026-06-01</t>
        </is>
      </c>
      <c r="DQ12" s="30" t="inlineStr"/>
      <c r="DR12" s="30" t="b">
        <v>0</v>
      </c>
      <c r="DS12" s="30" t="b">
        <v>1</v>
      </c>
      <c r="DT12" s="30" t="b">
        <v>1</v>
      </c>
      <c r="DU12" s="30" t="b">
        <v>0</v>
      </c>
      <c r="DV12" s="30" t="n">
        <v>0</v>
      </c>
      <c r="DW12" s="30" t="b">
        <v>0</v>
      </c>
      <c r="DX12" s="30" t="b">
        <v>0</v>
      </c>
      <c r="DY12" s="30" t="b">
        <v>0</v>
      </c>
      <c r="DZ12" s="30" t="b">
        <v>0</v>
      </c>
      <c r="EA12" s="32" t="b">
        <v>0</v>
      </c>
      <c r="EB12" s="30" t="b">
        <v>0</v>
      </c>
      <c r="EC12" s="30" t="inlineStr"/>
      <c r="ED12" s="30" t="inlineStr"/>
      <c r="EE12" s="30" t="b">
        <v>0</v>
      </c>
      <c r="EF12" s="30" t="inlineStr"/>
      <c r="EG12" s="30" t="inlineStr"/>
      <c r="EH12" s="30" t="inlineStr"/>
      <c r="EI12" s="30" t="inlineStr">
        <is>
          <t>2026-06-01</t>
        </is>
      </c>
      <c r="EJ12" s="30" t="inlineStr"/>
      <c r="EK12" s="30" t="inlineStr">
        <is>
          <t>Fresh</t>
        </is>
      </c>
      <c r="EL12" s="30" t="inlineStr">
        <is>
          <t>Smoke title 9</t>
        </is>
      </c>
      <c r="EM12" s="30" t="inlineStr">
        <is>
          <t>Smoke meta description for page 9.</t>
        </is>
      </c>
      <c r="EN12" s="30" t="inlineStr">
        <is>
          <t>article</t>
        </is>
      </c>
      <c r="EO12" s="76" t="inlineStr"/>
      <c r="EP12" s="76" t="inlineStr"/>
      <c r="EQ12" s="30" t="inlineStr"/>
      <c r="ER12" s="30" t="inlineStr"/>
      <c r="ES12" s="30" t="inlineStr"/>
      <c r="ET12" s="30" t="inlineStr"/>
      <c r="EU12" s="75" t="b">
        <v>0</v>
      </c>
      <c r="EV12" s="30" t="inlineStr">
        <is>
          <t>summary_large_image</t>
        </is>
      </c>
      <c r="EW12" s="30" t="inlineStr"/>
      <c r="EX12" s="30" t="inlineStr"/>
      <c r="EY12" s="30" t="inlineStr"/>
      <c r="EZ12" s="30" t="n">
        <v>0</v>
      </c>
      <c r="FA12" s="40" t="b">
        <v>0</v>
      </c>
      <c r="FB12" s="76" t="inlineStr">
        <is>
          <t>https://africanmarketingconfederation.org/smoke-archive/page-9</t>
        </is>
      </c>
      <c r="FC12" s="30" t="inlineStr"/>
      <c r="FD12" s="30" t="n">
        <v>0</v>
      </c>
      <c r="FE12" s="31" t="inlineStr"/>
      <c r="FF12" s="30" t="b">
        <v>0</v>
      </c>
      <c r="FG12" s="30" t="b">
        <v>0</v>
      </c>
      <c r="FH12" s="32" t="b">
        <v>0</v>
      </c>
      <c r="FI12" s="30" t="n">
        <v>0</v>
      </c>
      <c r="FJ12" s="30" t="inlineStr">
        <is>
          <t>https://africanmarketingconfederation.org/smoke-archive/page-9</t>
        </is>
      </c>
      <c r="FK12" s="30" t="inlineStr"/>
      <c r="FL12" s="32" t="b">
        <v>0</v>
      </c>
      <c r="FM12" s="30" t="b">
        <v>0</v>
      </c>
      <c r="FN12" s="32" t="b">
        <v>0</v>
      </c>
      <c r="FO12" s="30" t="inlineStr"/>
      <c r="FP12" s="30" t="inlineStr"/>
      <c r="FQ12" s="30" t="inlineStr"/>
      <c r="FR12" s="30" t="inlineStr"/>
      <c r="FS12" s="30" t="inlineStr"/>
      <c r="FT12" s="30" t="inlineStr"/>
      <c r="FU12" s="30" t="inlineStr">
        <is>
          <t>Not specified</t>
        </is>
      </c>
      <c r="FV12" s="30" t="inlineStr">
        <is>
          <t>Not specified</t>
        </is>
      </c>
      <c r="FW12" s="30" t="inlineStr">
        <is>
          <t>Not specified</t>
        </is>
      </c>
      <c r="FX12" s="30" t="inlineStr">
        <is>
          <t>Not specified</t>
        </is>
      </c>
      <c r="FY12" s="30" t="inlineStr">
        <is>
          <t>Not specified</t>
        </is>
      </c>
      <c r="FZ12" s="30" t="b">
        <v>0</v>
      </c>
      <c r="GA12" s="30" t="n">
        <v>0</v>
      </c>
      <c r="GB12" s="30" t="inlineStr"/>
      <c r="GC12" s="30" t="inlineStr"/>
      <c r="GD12" s="30" t="b">
        <v>0</v>
      </c>
      <c r="GE12" s="30" t="b">
        <v>0</v>
      </c>
      <c r="GF12" s="30" t="b">
        <v>0</v>
      </c>
      <c r="GG12" s="30" t="b">
        <v>0</v>
      </c>
      <c r="GH12" s="30" t="b">
        <v>0</v>
      </c>
      <c r="GI12" s="30" t="b">
        <v>0</v>
      </c>
      <c r="GJ12" s="30" t="n">
        <v>0</v>
      </c>
      <c r="GK12" s="30" t="n">
        <v>0</v>
      </c>
      <c r="GL12" s="30" t="n">
        <v>0</v>
      </c>
      <c r="GM12" s="76" t="inlineStr"/>
      <c r="GN12" s="76" t="inlineStr"/>
      <c r="GO12" s="32" t="b">
        <v>0</v>
      </c>
      <c r="GP12" s="30" t="inlineStr"/>
      <c r="GQ12" s="76" t="inlineStr"/>
      <c r="GR12" s="30" t="inlineStr">
        <is>
          <t>Not Declared</t>
        </is>
      </c>
      <c r="GS12" s="30" t="b">
        <v>1</v>
      </c>
      <c r="GT12" s="30" t="n">
        <v>74.40000000000001</v>
      </c>
      <c r="GU12" s="30" t="inlineStr">
        <is>
          <t>Orphan</t>
        </is>
      </c>
      <c r="GV12" s="30" t="n">
        <v>0</v>
      </c>
      <c r="GW12" s="34" t="n">
        <v>0</v>
      </c>
      <c r="GX12" s="30" t="b">
        <v>0</v>
      </c>
      <c r="GY12" s="30" t="inlineStr">
        <is>
          <t>None</t>
        </is>
      </c>
      <c r="GZ12" s="30" t="n">
        <v>0</v>
      </c>
      <c r="HA12" s="30" t="b">
        <v>0</v>
      </c>
      <c r="HB12" s="30" t="inlineStr">
        <is>
          <t>smoke, body, copy, intent, classification</t>
        </is>
      </c>
      <c r="HC12" s="30" t="b">
        <v>0</v>
      </c>
      <c r="HD12" s="30" t="b">
        <v>0</v>
      </c>
      <c r="HE12" s="30" t="b">
        <v>0</v>
      </c>
      <c r="HF12" s="34" t="n">
        <v>0</v>
      </c>
      <c r="HG12" s="30" t="b">
        <v>0</v>
      </c>
      <c r="HH12" s="30" t="b">
        <v>0</v>
      </c>
      <c r="HI12" s="38">
        <f>IFERROR(HYPERLINK("#'Technical Diagnostics'!A"&amp;MATCH(B12,'Technical Diagnostics'!A:A,0),"Open Technical"),HYPERLINK("#'Technical Diagnostics'!A1","Open Technical"))</f>
        <v/>
      </c>
    </row>
    <row r="13" ht="18" customHeight="1">
      <c r="A13" s="28" t="inlineStr">
        <is>
          <t>WARN 🟡</t>
        </is>
      </c>
      <c r="B13" s="35" t="inlineStr">
        <is>
          <t>https://africanmarketingconfederation.org/smoke-archive/page-10</t>
        </is>
      </c>
      <c r="C13" s="28" t="inlineStr"/>
      <c r="D13" s="28" t="inlineStr">
        <is>
          <t>Indexable</t>
        </is>
      </c>
      <c r="E13" s="28" t="inlineStr"/>
      <c r="F13" s="28" t="inlineStr">
        <is>
          <t>Smoke title 10</t>
        </is>
      </c>
      <c r="G13" s="28" t="inlineStr"/>
      <c r="H13" s="28" t="n">
        <v>330</v>
      </c>
      <c r="I13" s="28" t="n">
        <v>60</v>
      </c>
      <c r="J13" s="28" t="inlineStr">
        <is>
          <t>Warning</t>
        </is>
      </c>
      <c r="K13" s="28" t="inlineStr">
        <is>
          <t>Yes</t>
        </is>
      </c>
      <c r="L13" s="28" t="inlineStr"/>
      <c r="M13" s="28" t="inlineStr"/>
      <c r="N13" s="28" t="inlineStr">
        <is>
          <t>Lab only</t>
        </is>
      </c>
      <c r="O13" s="28" t="inlineStr">
        <is>
          <t>None</t>
        </is>
      </c>
      <c r="P13" s="28" t="inlineStr">
        <is>
          <t>PSI Lab</t>
        </is>
      </c>
      <c r="Q13" s="28" t="inlineStr">
        <is>
          <t>None</t>
        </is>
      </c>
      <c r="R13" s="28" t="inlineStr"/>
      <c r="S13" s="28" t="inlineStr"/>
      <c r="T13" s="28" t="inlineStr"/>
      <c r="U13" s="28" t="inlineStr"/>
      <c r="V13" s="28" t="inlineStr"/>
      <c r="W13" s="28" t="inlineStr"/>
      <c r="X13" s="28" t="inlineStr"/>
      <c r="Y13" s="28" t="inlineStr"/>
      <c r="Z13" s="28" t="inlineStr"/>
      <c r="AA13" s="28" t="n">
        <v>88</v>
      </c>
      <c r="AB13" s="28" t="n">
        <v>88</v>
      </c>
      <c r="AC13" s="28" t="n">
        <v>88</v>
      </c>
      <c r="AD13" s="28" t="n">
        <v>85</v>
      </c>
      <c r="AE13" s="28" t="n">
        <v>82</v>
      </c>
      <c r="AF13" s="28" t="n">
        <v>92</v>
      </c>
      <c r="AG13" s="28" t="n">
        <v>2.4</v>
      </c>
      <c r="AH13" s="28" t="n">
        <v>0.04</v>
      </c>
      <c r="AI13" s="28" t="n">
        <v>0.4</v>
      </c>
      <c r="AJ13" s="28" t="n">
        <v>2.4</v>
      </c>
      <c r="AK13" s="28" t="n">
        <v>0.04</v>
      </c>
      <c r="AL13" s="28" t="n">
        <v>180</v>
      </c>
      <c r="AM13" s="28" t="n">
        <v>120</v>
      </c>
      <c r="AN13" s="28" t="n">
        <v>1.8</v>
      </c>
      <c r="AO13" s="28" t="n">
        <v>3.2</v>
      </c>
      <c r="AP13" s="28" t="n">
        <v>4.1</v>
      </c>
      <c r="AQ13" s="28" t="n">
        <v>400</v>
      </c>
      <c r="AR13" s="28" t="n">
        <v>88</v>
      </c>
      <c r="AS13" s="28" t="n">
        <v>85</v>
      </c>
      <c r="AT13" s="28" t="n">
        <v>82</v>
      </c>
      <c r="AU13" s="28" t="n">
        <v>92</v>
      </c>
      <c r="AV13" s="28" t="n">
        <v>2.4</v>
      </c>
      <c r="AW13" s="28" t="n">
        <v>0.04</v>
      </c>
      <c r="AX13" s="28" t="n">
        <v>180</v>
      </c>
      <c r="AY13" s="28" t="n">
        <v>120</v>
      </c>
      <c r="AZ13" s="28" t="n">
        <v>1.8</v>
      </c>
      <c r="BA13" s="28" t="n">
        <v>3.2</v>
      </c>
      <c r="BB13" s="28" t="n">
        <v>4.1</v>
      </c>
      <c r="BC13" s="28" t="n">
        <v>400</v>
      </c>
      <c r="BD13" s="28" t="n">
        <v>500</v>
      </c>
      <c r="BE13" s="28" t="n">
        <v>842</v>
      </c>
      <c r="BF13" s="28" t="n">
        <v>1250</v>
      </c>
      <c r="BG13" s="28" t="n">
        <v>1</v>
      </c>
      <c r="BH13" s="28" t="b">
        <v>1</v>
      </c>
      <c r="BI13" s="34" t="b">
        <v>1</v>
      </c>
      <c r="BJ13" s="28" t="b">
        <v>1</v>
      </c>
      <c r="BK13" s="28" t="b">
        <v>1</v>
      </c>
      <c r="BL13" s="28" t="b">
        <v>0</v>
      </c>
      <c r="BM13" s="28" t="n">
        <v>65</v>
      </c>
      <c r="BN13" s="28" t="inlineStr">
        <is>
          <t>complete</t>
        </is>
      </c>
      <c r="BO13" s="28" t="inlineStr">
        <is>
          <t>rendered_browser</t>
        </is>
      </c>
      <c r="BP13" s="28" t="b">
        <v>0</v>
      </c>
      <c r="BQ13" s="28" t="n">
        <v>0</v>
      </c>
      <c r="BR13" s="28" t="n">
        <v>0</v>
      </c>
      <c r="BS13" s="28" t="inlineStr"/>
      <c r="BT13" s="28" t="b">
        <v>0</v>
      </c>
      <c r="BU13" s="28" t="inlineStr"/>
      <c r="BV13" s="28" t="inlineStr"/>
      <c r="BW13" s="28" t="n">
        <v>0</v>
      </c>
      <c r="BX13" s="28" t="inlineStr"/>
      <c r="BY13" s="28" t="n">
        <v>0</v>
      </c>
      <c r="BZ13" s="28" t="inlineStr"/>
      <c r="CA13" s="28" t="n">
        <v>0</v>
      </c>
      <c r="CB13" s="28" t="inlineStr"/>
      <c r="CC13" s="28" t="n">
        <v>0</v>
      </c>
      <c r="CD13" s="28" t="inlineStr"/>
      <c r="CE13" s="28" t="n">
        <v>0</v>
      </c>
      <c r="CF13" s="28" t="inlineStr"/>
      <c r="CG13" s="28" t="n">
        <v>0</v>
      </c>
      <c r="CH13" s="28" t="inlineStr"/>
      <c r="CI13" s="28" t="inlineStr"/>
      <c r="CJ13" s="28" t="inlineStr"/>
      <c r="CK13" s="28" t="inlineStr"/>
      <c r="CL13" s="28" t="inlineStr">
        <is>
          <t>2026-06-01 to 2026-06-30 (30-day window; excludes today; typical GSC lag ~48h)</t>
        </is>
      </c>
      <c r="CM13" s="28" t="inlineStr">
        <is>
          <t>No Search Analytics row matched this URL in the 30-day export (compare Final URL with the page URL shown in GSC)</t>
        </is>
      </c>
      <c r="CN13" s="28" t="n">
        <v>-1</v>
      </c>
      <c r="CO13" s="28" t="b">
        <v>1</v>
      </c>
      <c r="CP13" s="28" t="n">
        <v>0.012048</v>
      </c>
      <c r="CQ13" s="28" t="b">
        <v>1</v>
      </c>
      <c r="CR13" s="28" t="b">
        <v>1</v>
      </c>
      <c r="CS13" s="28" t="inlineStr">
        <is>
          <t>Both</t>
        </is>
      </c>
      <c r="CT13" s="74" t="inlineStr"/>
      <c r="CU13" s="28" t="n">
        <v>11</v>
      </c>
      <c r="CV13" s="34">
        <f>IFERROR(INDEX(OFFSET('Technical Diagnostics'!$A$1,2,MATCH("SEO Health Score",'Technical Diagnostics'!$2:$2,0)-1,99998,1),MATCH(B13,OFFSET('Technical Diagnostics'!$A$1,2,MATCH("URL",'Technical Diagnostics'!$2:$2,0)-1,99998,1),0)),"")</f>
        <v/>
      </c>
      <c r="CW13" s="29" t="n">
        <v>80</v>
      </c>
      <c r="CX13" s="34" t="n">
        <v>65</v>
      </c>
      <c r="CY13" s="32" t="b">
        <v>1</v>
      </c>
      <c r="CZ13" s="28" t="b">
        <v>0</v>
      </c>
      <c r="DA13" s="28" t="inlineStr"/>
      <c r="DB13" s="28" t="inlineStr"/>
      <c r="DC13" s="28" t="inlineStr"/>
      <c r="DD13" s="28" t="n">
        <v>0</v>
      </c>
      <c r="DE13" s="28" t="n">
        <v>0</v>
      </c>
      <c r="DF13" s="28" t="inlineStr"/>
      <c r="DG13" s="28" t="inlineStr"/>
      <c r="DH13" s="28" t="inlineStr"/>
      <c r="DI13" s="28" t="n">
        <v>6</v>
      </c>
      <c r="DJ13" s="28" t="inlineStr">
        <is>
          <t>Author 10</t>
        </is>
      </c>
      <c r="DK13" s="28" t="inlineStr"/>
      <c r="DL13" s="28" t="b">
        <v>1</v>
      </c>
      <c r="DM13" s="28" t="inlineStr"/>
      <c r="DN13" s="28" t="inlineStr">
        <is>
          <t>2026-06-01</t>
        </is>
      </c>
      <c r="DO13" s="28" t="inlineStr"/>
      <c r="DP13" s="28" t="inlineStr">
        <is>
          <t>2026-06-01</t>
        </is>
      </c>
      <c r="DQ13" s="28" t="inlineStr"/>
      <c r="DR13" s="28" t="b">
        <v>0</v>
      </c>
      <c r="DS13" s="28" t="b">
        <v>1</v>
      </c>
      <c r="DT13" s="28" t="b">
        <v>1</v>
      </c>
      <c r="DU13" s="28" t="b">
        <v>0</v>
      </c>
      <c r="DV13" s="28" t="n">
        <v>0</v>
      </c>
      <c r="DW13" s="28" t="b">
        <v>0</v>
      </c>
      <c r="DX13" s="28" t="b">
        <v>0</v>
      </c>
      <c r="DY13" s="28" t="b">
        <v>0</v>
      </c>
      <c r="DZ13" s="28" t="b">
        <v>0</v>
      </c>
      <c r="EA13" s="32" t="b">
        <v>0</v>
      </c>
      <c r="EB13" s="28" t="b">
        <v>0</v>
      </c>
      <c r="EC13" s="28" t="inlineStr"/>
      <c r="ED13" s="28" t="inlineStr"/>
      <c r="EE13" s="28" t="b">
        <v>0</v>
      </c>
      <c r="EF13" s="28" t="inlineStr"/>
      <c r="EG13" s="28" t="inlineStr"/>
      <c r="EH13" s="28" t="inlineStr"/>
      <c r="EI13" s="28" t="inlineStr"/>
      <c r="EJ13" s="28" t="inlineStr"/>
      <c r="EK13" s="28" t="inlineStr">
        <is>
          <t>Fresh</t>
        </is>
      </c>
      <c r="EL13" s="28" t="inlineStr">
        <is>
          <t>Smoke title 10</t>
        </is>
      </c>
      <c r="EM13" s="28" t="inlineStr"/>
      <c r="EN13" s="28" t="inlineStr">
        <is>
          <t>article</t>
        </is>
      </c>
      <c r="EO13" s="74" t="inlineStr"/>
      <c r="EP13" s="74" t="inlineStr"/>
      <c r="EQ13" s="28" t="inlineStr"/>
      <c r="ER13" s="28" t="inlineStr"/>
      <c r="ES13" s="28" t="inlineStr"/>
      <c r="ET13" s="28" t="inlineStr"/>
      <c r="EU13" s="75" t="b">
        <v>0</v>
      </c>
      <c r="EV13" s="28" t="inlineStr">
        <is>
          <t>summary_large_image</t>
        </is>
      </c>
      <c r="EW13" s="28" t="inlineStr"/>
      <c r="EX13" s="28" t="inlineStr"/>
      <c r="EY13" s="28" t="inlineStr"/>
      <c r="EZ13" s="28" t="n">
        <v>0</v>
      </c>
      <c r="FA13" s="40" t="b">
        <v>0</v>
      </c>
      <c r="FB13" s="74" t="inlineStr">
        <is>
          <t>https://africanmarketingconfederation.org/smoke-archive/page-10</t>
        </is>
      </c>
      <c r="FC13" s="28" t="inlineStr"/>
      <c r="FD13" s="28" t="n">
        <v>0</v>
      </c>
      <c r="FE13" s="20" t="inlineStr"/>
      <c r="FF13" s="28" t="b">
        <v>0</v>
      </c>
      <c r="FG13" s="28" t="b">
        <v>0</v>
      </c>
      <c r="FH13" s="32" t="b">
        <v>0</v>
      </c>
      <c r="FI13" s="28" t="n">
        <v>0</v>
      </c>
      <c r="FJ13" s="28" t="inlineStr">
        <is>
          <t>https://africanmarketingconfederation.org/smoke-archive/page-10</t>
        </is>
      </c>
      <c r="FK13" s="28" t="inlineStr"/>
      <c r="FL13" s="32" t="b">
        <v>0</v>
      </c>
      <c r="FM13" s="28" t="b">
        <v>0</v>
      </c>
      <c r="FN13" s="32" t="b">
        <v>0</v>
      </c>
      <c r="FO13" s="28" t="inlineStr"/>
      <c r="FP13" s="28" t="inlineStr"/>
      <c r="FQ13" s="28" t="inlineStr"/>
      <c r="FR13" s="28" t="inlineStr"/>
      <c r="FS13" s="28" t="inlineStr"/>
      <c r="FT13" s="28" t="inlineStr"/>
      <c r="FU13" s="28" t="inlineStr">
        <is>
          <t>Not specified</t>
        </is>
      </c>
      <c r="FV13" s="28" t="inlineStr">
        <is>
          <t>Not specified</t>
        </is>
      </c>
      <c r="FW13" s="28" t="inlineStr">
        <is>
          <t>Not specified</t>
        </is>
      </c>
      <c r="FX13" s="28" t="inlineStr">
        <is>
          <t>Not specified</t>
        </is>
      </c>
      <c r="FY13" s="28" t="inlineStr">
        <is>
          <t>Not specified</t>
        </is>
      </c>
      <c r="FZ13" s="28" t="b">
        <v>0</v>
      </c>
      <c r="GA13" s="28" t="n">
        <v>0</v>
      </c>
      <c r="GB13" s="28" t="inlineStr"/>
      <c r="GC13" s="28" t="inlineStr"/>
      <c r="GD13" s="28" t="b">
        <v>0</v>
      </c>
      <c r="GE13" s="28" t="b">
        <v>0</v>
      </c>
      <c r="GF13" s="28" t="b">
        <v>0</v>
      </c>
      <c r="GG13" s="28" t="b">
        <v>0</v>
      </c>
      <c r="GH13" s="28" t="b">
        <v>0</v>
      </c>
      <c r="GI13" s="28" t="b">
        <v>0</v>
      </c>
      <c r="GJ13" s="28" t="n">
        <v>0</v>
      </c>
      <c r="GK13" s="28" t="n">
        <v>0</v>
      </c>
      <c r="GL13" s="28" t="n">
        <v>0</v>
      </c>
      <c r="GM13" s="74" t="inlineStr"/>
      <c r="GN13" s="74" t="inlineStr"/>
      <c r="GO13" s="32" t="b">
        <v>0</v>
      </c>
      <c r="GP13" s="28" t="inlineStr"/>
      <c r="GQ13" s="74" t="inlineStr"/>
      <c r="GR13" s="28" t="inlineStr">
        <is>
          <t>Not Declared</t>
        </is>
      </c>
      <c r="GS13" s="28" t="b">
        <v>1</v>
      </c>
      <c r="GT13" s="28" t="n">
        <v>80.5</v>
      </c>
      <c r="GU13" s="28" t="inlineStr">
        <is>
          <t>Orphan</t>
        </is>
      </c>
      <c r="GV13" s="28" t="n">
        <v>0</v>
      </c>
      <c r="GW13" s="34" t="n">
        <v>0</v>
      </c>
      <c r="GX13" s="28" t="b">
        <v>0</v>
      </c>
      <c r="GY13" s="28" t="inlineStr">
        <is>
          <t>FAQ</t>
        </is>
      </c>
      <c r="GZ13" s="28" t="n">
        <v>9</v>
      </c>
      <c r="HA13" s="28" t="b">
        <v>0</v>
      </c>
      <c r="HB13" s="28" t="inlineStr">
        <is>
          <t>smoke, body, copy, intent, classification</t>
        </is>
      </c>
      <c r="HC13" s="28" t="b">
        <v>0</v>
      </c>
      <c r="HD13" s="28" t="b">
        <v>0</v>
      </c>
      <c r="HE13" s="28" t="b">
        <v>0</v>
      </c>
      <c r="HF13" s="34" t="n">
        <v>0</v>
      </c>
      <c r="HG13" s="28" t="b">
        <v>0</v>
      </c>
      <c r="HH13" s="28" t="b">
        <v>0</v>
      </c>
      <c r="HI13">
        <f>IFERROR(HYPERLINK("#'Technical Diagnostics'!A"&amp;MATCH(B13,'Technical Diagnostics'!A:A,0),"Open Technical"),HYPERLINK("#'Technical Diagnostics'!A1","Open Technical"))</f>
        <v/>
      </c>
    </row>
    <row r="14" ht="18" customHeight="1">
      <c r="A14" s="30" t="inlineStr">
        <is>
          <t>WARN 🟡</t>
        </is>
      </c>
      <c r="B14" s="37" t="inlineStr">
        <is>
          <t>https://africanmarketingconfederation.org/smoke-archive/page-11</t>
        </is>
      </c>
      <c r="C14" s="30" t="inlineStr"/>
      <c r="D14" s="30" t="inlineStr">
        <is>
          <t>Indexable</t>
        </is>
      </c>
      <c r="E14" s="30" t="inlineStr"/>
      <c r="F14" s="30" t="inlineStr">
        <is>
          <t>Smoke title 11</t>
        </is>
      </c>
      <c r="G14" s="30" t="inlineStr">
        <is>
          <t>Smoke meta description for page 11.</t>
        </is>
      </c>
      <c r="H14" s="30" t="n">
        <v>331</v>
      </c>
      <c r="I14" s="30" t="n">
        <v>80</v>
      </c>
      <c r="J14" s="30" t="inlineStr">
        <is>
          <t>Warning</t>
        </is>
      </c>
      <c r="K14" s="30" t="inlineStr">
        <is>
          <t>Yes</t>
        </is>
      </c>
      <c r="L14" s="30" t="inlineStr"/>
      <c r="M14" s="30" t="inlineStr"/>
      <c r="N14" s="30" t="inlineStr">
        <is>
          <t>Lab only</t>
        </is>
      </c>
      <c r="O14" s="30" t="inlineStr">
        <is>
          <t>None</t>
        </is>
      </c>
      <c r="P14" s="30" t="inlineStr">
        <is>
          <t>PSI Lab</t>
        </is>
      </c>
      <c r="Q14" s="30" t="inlineStr">
        <is>
          <t>None</t>
        </is>
      </c>
      <c r="R14" s="30" t="inlineStr"/>
      <c r="S14" s="30" t="inlineStr"/>
      <c r="T14" s="30" t="inlineStr"/>
      <c r="U14" s="30" t="inlineStr"/>
      <c r="V14" s="30" t="inlineStr"/>
      <c r="W14" s="30" t="inlineStr"/>
      <c r="X14" s="30" t="inlineStr"/>
      <c r="Y14" s="30" t="inlineStr"/>
      <c r="Z14" s="30" t="inlineStr"/>
      <c r="AA14" s="30" t="n">
        <v>88</v>
      </c>
      <c r="AB14" s="30" t="n">
        <v>88</v>
      </c>
      <c r="AC14" s="30" t="n">
        <v>88</v>
      </c>
      <c r="AD14" s="30" t="n">
        <v>85</v>
      </c>
      <c r="AE14" s="30" t="n">
        <v>82</v>
      </c>
      <c r="AF14" s="30" t="n">
        <v>92</v>
      </c>
      <c r="AG14" s="30" t="n">
        <v>2.4</v>
      </c>
      <c r="AH14" s="30" t="n">
        <v>0.04</v>
      </c>
      <c r="AI14" s="30" t="n">
        <v>0.4</v>
      </c>
      <c r="AJ14" s="30" t="n">
        <v>2.4</v>
      </c>
      <c r="AK14" s="30" t="n">
        <v>0.04</v>
      </c>
      <c r="AL14" s="30" t="n">
        <v>180</v>
      </c>
      <c r="AM14" s="30" t="n">
        <v>120</v>
      </c>
      <c r="AN14" s="30" t="n">
        <v>1.8</v>
      </c>
      <c r="AO14" s="30" t="n">
        <v>3.2</v>
      </c>
      <c r="AP14" s="30" t="n">
        <v>4.1</v>
      </c>
      <c r="AQ14" s="30" t="n">
        <v>400</v>
      </c>
      <c r="AR14" s="30" t="n">
        <v>88</v>
      </c>
      <c r="AS14" s="30" t="n">
        <v>85</v>
      </c>
      <c r="AT14" s="30" t="n">
        <v>82</v>
      </c>
      <c r="AU14" s="30" t="n">
        <v>92</v>
      </c>
      <c r="AV14" s="30" t="n">
        <v>2.4</v>
      </c>
      <c r="AW14" s="30" t="n">
        <v>0.04</v>
      </c>
      <c r="AX14" s="30" t="n">
        <v>180</v>
      </c>
      <c r="AY14" s="30" t="n">
        <v>120</v>
      </c>
      <c r="AZ14" s="30" t="n">
        <v>1.8</v>
      </c>
      <c r="BA14" s="30" t="n">
        <v>3.2</v>
      </c>
      <c r="BB14" s="30" t="n">
        <v>4.1</v>
      </c>
      <c r="BC14" s="30" t="n">
        <v>400</v>
      </c>
      <c r="BD14" s="30" t="n">
        <v>500</v>
      </c>
      <c r="BE14" s="30" t="n">
        <v>842</v>
      </c>
      <c r="BF14" s="30" t="n">
        <v>1250</v>
      </c>
      <c r="BG14" s="30" t="n">
        <v>1</v>
      </c>
      <c r="BH14" s="30" t="b">
        <v>1</v>
      </c>
      <c r="BI14" s="34" t="b">
        <v>1</v>
      </c>
      <c r="BJ14" s="30" t="b">
        <v>1</v>
      </c>
      <c r="BK14" s="30" t="b">
        <v>1</v>
      </c>
      <c r="BL14" s="30" t="b">
        <v>0</v>
      </c>
      <c r="BM14" s="30" t="n">
        <v>65</v>
      </c>
      <c r="BN14" s="30" t="inlineStr">
        <is>
          <t>complete</t>
        </is>
      </c>
      <c r="BO14" s="30" t="inlineStr">
        <is>
          <t>rendered_browser</t>
        </is>
      </c>
      <c r="BP14" s="30" t="b">
        <v>0</v>
      </c>
      <c r="BQ14" s="30" t="n">
        <v>0</v>
      </c>
      <c r="BR14" s="30" t="n">
        <v>0</v>
      </c>
      <c r="BS14" s="30" t="inlineStr"/>
      <c r="BT14" s="30" t="b">
        <v>0</v>
      </c>
      <c r="BU14" s="30" t="inlineStr"/>
      <c r="BV14" s="30" t="inlineStr"/>
      <c r="BW14" s="30" t="n">
        <v>0</v>
      </c>
      <c r="BX14" s="30" t="inlineStr"/>
      <c r="BY14" s="30" t="n">
        <v>0</v>
      </c>
      <c r="BZ14" s="30" t="inlineStr"/>
      <c r="CA14" s="30" t="n">
        <v>0</v>
      </c>
      <c r="CB14" s="30" t="inlineStr"/>
      <c r="CC14" s="30" t="n">
        <v>0</v>
      </c>
      <c r="CD14" s="30" t="inlineStr"/>
      <c r="CE14" s="30" t="n">
        <v>0</v>
      </c>
      <c r="CF14" s="30" t="inlineStr"/>
      <c r="CG14" s="30" t="n">
        <v>0</v>
      </c>
      <c r="CH14" s="30" t="inlineStr"/>
      <c r="CI14" s="30" t="inlineStr"/>
      <c r="CJ14" s="30" t="inlineStr"/>
      <c r="CK14" s="30" t="inlineStr"/>
      <c r="CL14" s="30" t="inlineStr">
        <is>
          <t>2026-06-01 to 2026-06-30 (30-day window; excludes today; typical GSC lag ~48h)</t>
        </is>
      </c>
      <c r="CM14" s="30" t="inlineStr">
        <is>
          <t>No Search Analytics row matched this URL in the 30-day export (compare Final URL with the page URL shown in GSC)</t>
        </is>
      </c>
      <c r="CN14" s="30" t="n">
        <v>-1</v>
      </c>
      <c r="CO14" s="30" t="b">
        <v>1</v>
      </c>
      <c r="CP14" s="30" t="n">
        <v>0.012048</v>
      </c>
      <c r="CQ14" s="30" t="b">
        <v>1</v>
      </c>
      <c r="CR14" s="30" t="b">
        <v>1</v>
      </c>
      <c r="CS14" s="30" t="inlineStr">
        <is>
          <t>Both</t>
        </is>
      </c>
      <c r="CT14" s="76" t="inlineStr"/>
      <c r="CU14" s="30" t="n">
        <v>12</v>
      </c>
      <c r="CV14" s="29">
        <f>IFERROR(INDEX(OFFSET('Technical Diagnostics'!$A$1,2,MATCH("SEO Health Score",'Technical Diagnostics'!$2:$2,0)-1,99998,1),MATCH(B14,OFFSET('Technical Diagnostics'!$A$1,2,MATCH("URL",'Technical Diagnostics'!$2:$2,0)-1,99998,1),0)),"")</f>
        <v/>
      </c>
      <c r="CW14" s="32" t="n">
        <v>100</v>
      </c>
      <c r="CX14" s="29" t="n">
        <v>85</v>
      </c>
      <c r="CY14" s="32" t="b">
        <v>1</v>
      </c>
      <c r="CZ14" s="30" t="b">
        <v>0</v>
      </c>
      <c r="DA14" s="30" t="inlineStr"/>
      <c r="DB14" s="30" t="inlineStr"/>
      <c r="DC14" s="30" t="inlineStr"/>
      <c r="DD14" s="30" t="n">
        <v>0</v>
      </c>
      <c r="DE14" s="30" t="n">
        <v>0</v>
      </c>
      <c r="DF14" s="30" t="inlineStr"/>
      <c r="DG14" s="30" t="inlineStr"/>
      <c r="DH14" s="30" t="inlineStr"/>
      <c r="DI14" s="30" t="n">
        <v>6</v>
      </c>
      <c r="DJ14" s="30" t="inlineStr">
        <is>
          <t>Author 11</t>
        </is>
      </c>
      <c r="DK14" s="30" t="inlineStr"/>
      <c r="DL14" s="30" t="b">
        <v>1</v>
      </c>
      <c r="DM14" s="30" t="inlineStr"/>
      <c r="DN14" s="30" t="inlineStr">
        <is>
          <t>2026-06-01</t>
        </is>
      </c>
      <c r="DO14" s="30" t="inlineStr"/>
      <c r="DP14" s="30" t="inlineStr">
        <is>
          <t>2026-06-01</t>
        </is>
      </c>
      <c r="DQ14" s="30" t="inlineStr"/>
      <c r="DR14" s="30" t="b">
        <v>0</v>
      </c>
      <c r="DS14" s="30" t="b">
        <v>1</v>
      </c>
      <c r="DT14" s="30" t="b">
        <v>1</v>
      </c>
      <c r="DU14" s="30" t="b">
        <v>0</v>
      </c>
      <c r="DV14" s="30" t="n">
        <v>0</v>
      </c>
      <c r="DW14" s="30" t="b">
        <v>0</v>
      </c>
      <c r="DX14" s="30" t="b">
        <v>0</v>
      </c>
      <c r="DY14" s="30" t="b">
        <v>0</v>
      </c>
      <c r="DZ14" s="30" t="b">
        <v>0</v>
      </c>
      <c r="EA14" s="32" t="b">
        <v>0</v>
      </c>
      <c r="EB14" s="30" t="b">
        <v>0</v>
      </c>
      <c r="EC14" s="30" t="inlineStr"/>
      <c r="ED14" s="30" t="inlineStr"/>
      <c r="EE14" s="30" t="b">
        <v>0</v>
      </c>
      <c r="EF14" s="30" t="inlineStr"/>
      <c r="EG14" s="30" t="inlineStr"/>
      <c r="EH14" s="30" t="inlineStr"/>
      <c r="EI14" s="30" t="inlineStr"/>
      <c r="EJ14" s="30" t="inlineStr"/>
      <c r="EK14" s="30" t="inlineStr">
        <is>
          <t>Fresh</t>
        </is>
      </c>
      <c r="EL14" s="30" t="inlineStr">
        <is>
          <t>Smoke title 11</t>
        </is>
      </c>
      <c r="EM14" s="30" t="inlineStr">
        <is>
          <t>Smoke meta description for page 11.</t>
        </is>
      </c>
      <c r="EN14" s="30" t="inlineStr">
        <is>
          <t>article</t>
        </is>
      </c>
      <c r="EO14" s="76" t="inlineStr"/>
      <c r="EP14" s="76" t="inlineStr"/>
      <c r="EQ14" s="30" t="inlineStr"/>
      <c r="ER14" s="30" t="inlineStr"/>
      <c r="ES14" s="30" t="inlineStr"/>
      <c r="ET14" s="30" t="inlineStr"/>
      <c r="EU14" s="75" t="b">
        <v>0</v>
      </c>
      <c r="EV14" s="30" t="inlineStr">
        <is>
          <t>summary_large_image</t>
        </is>
      </c>
      <c r="EW14" s="30" t="inlineStr"/>
      <c r="EX14" s="30" t="inlineStr"/>
      <c r="EY14" s="30" t="inlineStr"/>
      <c r="EZ14" s="30" t="n">
        <v>0</v>
      </c>
      <c r="FA14" s="40" t="b">
        <v>0</v>
      </c>
      <c r="FB14" s="76" t="inlineStr">
        <is>
          <t>https://africanmarketingconfederation.org/smoke-archive/page-11-canonical/</t>
        </is>
      </c>
      <c r="FC14" s="30" t="inlineStr"/>
      <c r="FD14" s="30" t="n">
        <v>1</v>
      </c>
      <c r="FE14" s="31" t="inlineStr"/>
      <c r="FF14" s="30" t="b">
        <v>0</v>
      </c>
      <c r="FG14" s="30" t="b">
        <v>0</v>
      </c>
      <c r="FH14" s="32" t="b">
        <v>0</v>
      </c>
      <c r="FI14" s="30" t="n">
        <v>0</v>
      </c>
      <c r="FJ14" s="30" t="inlineStr">
        <is>
          <t>https://africanmarketingconfederation.org/smoke-archive/page-11</t>
        </is>
      </c>
      <c r="FK14" s="30" t="inlineStr"/>
      <c r="FL14" s="32" t="b">
        <v>0</v>
      </c>
      <c r="FM14" s="30" t="b">
        <v>0</v>
      </c>
      <c r="FN14" s="32" t="b">
        <v>0</v>
      </c>
      <c r="FO14" s="30" t="inlineStr"/>
      <c r="FP14" s="30" t="inlineStr"/>
      <c r="FQ14" s="30" t="inlineStr"/>
      <c r="FR14" s="30" t="inlineStr"/>
      <c r="FS14" s="30" t="inlineStr"/>
      <c r="FT14" s="30" t="inlineStr"/>
      <c r="FU14" s="30" t="inlineStr">
        <is>
          <t>Not specified</t>
        </is>
      </c>
      <c r="FV14" s="30" t="inlineStr">
        <is>
          <t>Not specified</t>
        </is>
      </c>
      <c r="FW14" s="30" t="inlineStr">
        <is>
          <t>Not specified</t>
        </is>
      </c>
      <c r="FX14" s="30" t="inlineStr">
        <is>
          <t>Not specified</t>
        </is>
      </c>
      <c r="FY14" s="30" t="inlineStr">
        <is>
          <t>Not specified</t>
        </is>
      </c>
      <c r="FZ14" s="30" t="b">
        <v>0</v>
      </c>
      <c r="GA14" s="30" t="n">
        <v>0</v>
      </c>
      <c r="GB14" s="30" t="inlineStr"/>
      <c r="GC14" s="30" t="inlineStr"/>
      <c r="GD14" s="30" t="b">
        <v>0</v>
      </c>
      <c r="GE14" s="30" t="b">
        <v>0</v>
      </c>
      <c r="GF14" s="30" t="b">
        <v>0</v>
      </c>
      <c r="GG14" s="30" t="b">
        <v>0</v>
      </c>
      <c r="GH14" s="30" t="b">
        <v>0</v>
      </c>
      <c r="GI14" s="30" t="b">
        <v>0</v>
      </c>
      <c r="GJ14" s="30" t="n">
        <v>0</v>
      </c>
      <c r="GK14" s="30" t="n">
        <v>0</v>
      </c>
      <c r="GL14" s="30" t="n">
        <v>0</v>
      </c>
      <c r="GM14" s="76" t="inlineStr"/>
      <c r="GN14" s="76" t="inlineStr"/>
      <c r="GO14" s="32" t="b">
        <v>0</v>
      </c>
      <c r="GP14" s="30" t="inlineStr"/>
      <c r="GQ14" s="76" t="inlineStr"/>
      <c r="GR14" s="30" t="inlineStr">
        <is>
          <t>Not Declared</t>
        </is>
      </c>
      <c r="GS14" s="30" t="b">
        <v>1</v>
      </c>
      <c r="GT14" s="30" t="n">
        <v>14.6</v>
      </c>
      <c r="GU14" s="30" t="inlineStr">
        <is>
          <t>Orphan</t>
        </is>
      </c>
      <c r="GV14" s="30" t="n">
        <v>0</v>
      </c>
      <c r="GW14" s="34" t="n">
        <v>0</v>
      </c>
      <c r="GX14" s="30" t="b">
        <v>0</v>
      </c>
      <c r="GY14" s="30" t="inlineStr">
        <is>
          <t>FAQ</t>
        </is>
      </c>
      <c r="GZ14" s="30" t="n">
        <v>9</v>
      </c>
      <c r="HA14" s="30" t="b">
        <v>0</v>
      </c>
      <c r="HB14" s="30" t="inlineStr">
        <is>
          <t>smoke, body, copy, intent, classification</t>
        </is>
      </c>
      <c r="HC14" s="30" t="b">
        <v>0</v>
      </c>
      <c r="HD14" s="30" t="b">
        <v>0</v>
      </c>
      <c r="HE14" s="30" t="b">
        <v>0</v>
      </c>
      <c r="HF14" s="34" t="n">
        <v>0</v>
      </c>
      <c r="HG14" s="30" t="b">
        <v>0</v>
      </c>
      <c r="HH14" s="30" t="b">
        <v>0</v>
      </c>
      <c r="HI14" s="38">
        <f>IFERROR(HYPERLINK("#'Technical Diagnostics'!A"&amp;MATCH(B14,'Technical Diagnostics'!A:A,0),"Open Technical"),HYPERLINK("#'Technical Diagnostics'!A1","Open Technical"))</f>
        <v/>
      </c>
    </row>
    <row r="15" ht="18" customHeight="1">
      <c r="A15" s="28" t="inlineStr">
        <is>
          <t>FAIL 🔴</t>
        </is>
      </c>
      <c r="B15" s="35" t="inlineStr">
        <is>
          <t>https://africanmarketingconfederation.org/smoke-archive/page-12</t>
        </is>
      </c>
      <c r="C15" s="28" t="inlineStr"/>
      <c r="D15" s="28" t="inlineStr">
        <is>
          <t>Indexable</t>
        </is>
      </c>
      <c r="E15" s="28" t="inlineStr"/>
      <c r="F15" s="28" t="inlineStr">
        <is>
          <t>Smoke title 12</t>
        </is>
      </c>
      <c r="G15" s="28" t="inlineStr">
        <is>
          <t>Smoke meta description for page 12.</t>
        </is>
      </c>
      <c r="H15" s="28" t="n">
        <v>332</v>
      </c>
      <c r="I15" s="28" t="n">
        <v>55</v>
      </c>
      <c r="J15" s="28" t="inlineStr">
        <is>
          <t>Critical</t>
        </is>
      </c>
      <c r="K15" s="28" t="inlineStr">
        <is>
          <t>Yes</t>
        </is>
      </c>
      <c r="L15" s="28" t="inlineStr"/>
      <c r="M15" s="28" t="inlineStr"/>
      <c r="N15" s="28" t="inlineStr">
        <is>
          <t>Lab only</t>
        </is>
      </c>
      <c r="O15" s="28" t="inlineStr">
        <is>
          <t>None</t>
        </is>
      </c>
      <c r="P15" s="28" t="inlineStr">
        <is>
          <t>PSI Lab</t>
        </is>
      </c>
      <c r="Q15" s="28" t="inlineStr">
        <is>
          <t>None</t>
        </is>
      </c>
      <c r="R15" s="28" t="inlineStr"/>
      <c r="S15" s="28" t="inlineStr"/>
      <c r="T15" s="28" t="inlineStr"/>
      <c r="U15" s="28" t="inlineStr"/>
      <c r="V15" s="28" t="inlineStr"/>
      <c r="W15" s="28" t="inlineStr"/>
      <c r="X15" s="28" t="inlineStr"/>
      <c r="Y15" s="28" t="inlineStr"/>
      <c r="Z15" s="28" t="inlineStr"/>
      <c r="AA15" s="28" t="n">
        <v>88</v>
      </c>
      <c r="AB15" s="28" t="n">
        <v>88</v>
      </c>
      <c r="AC15" s="28" t="n">
        <v>88</v>
      </c>
      <c r="AD15" s="28" t="n">
        <v>85</v>
      </c>
      <c r="AE15" s="28" t="n">
        <v>82</v>
      </c>
      <c r="AF15" s="28" t="n">
        <v>92</v>
      </c>
      <c r="AG15" s="28" t="n">
        <v>2.4</v>
      </c>
      <c r="AH15" s="28" t="n">
        <v>0.04</v>
      </c>
      <c r="AI15" s="28" t="n">
        <v>0.4</v>
      </c>
      <c r="AJ15" s="28" t="n">
        <v>2.4</v>
      </c>
      <c r="AK15" s="28" t="n">
        <v>0.04</v>
      </c>
      <c r="AL15" s="28" t="n">
        <v>180</v>
      </c>
      <c r="AM15" s="28" t="n">
        <v>120</v>
      </c>
      <c r="AN15" s="28" t="n">
        <v>1.8</v>
      </c>
      <c r="AO15" s="28" t="n">
        <v>3.2</v>
      </c>
      <c r="AP15" s="28" t="n">
        <v>4.1</v>
      </c>
      <c r="AQ15" s="28" t="n">
        <v>400</v>
      </c>
      <c r="AR15" s="28" t="n">
        <v>88</v>
      </c>
      <c r="AS15" s="28" t="n">
        <v>85</v>
      </c>
      <c r="AT15" s="28" t="n">
        <v>82</v>
      </c>
      <c r="AU15" s="28" t="n">
        <v>92</v>
      </c>
      <c r="AV15" s="28" t="n">
        <v>2.4</v>
      </c>
      <c r="AW15" s="28" t="n">
        <v>0.04</v>
      </c>
      <c r="AX15" s="28" t="n">
        <v>180</v>
      </c>
      <c r="AY15" s="28" t="n">
        <v>120</v>
      </c>
      <c r="AZ15" s="28" t="n">
        <v>1.8</v>
      </c>
      <c r="BA15" s="28" t="n">
        <v>3.2</v>
      </c>
      <c r="BB15" s="28" t="n">
        <v>4.1</v>
      </c>
      <c r="BC15" s="28" t="n">
        <v>400</v>
      </c>
      <c r="BD15" s="28" t="n">
        <v>500</v>
      </c>
      <c r="BE15" s="28" t="n">
        <v>842</v>
      </c>
      <c r="BF15" s="28" t="n">
        <v>1250</v>
      </c>
      <c r="BG15" s="28" t="n">
        <v>1</v>
      </c>
      <c r="BH15" s="28" t="b">
        <v>1</v>
      </c>
      <c r="BI15" s="34" t="b">
        <v>1</v>
      </c>
      <c r="BJ15" s="28" t="b">
        <v>1</v>
      </c>
      <c r="BK15" s="28" t="b">
        <v>1</v>
      </c>
      <c r="BL15" s="28" t="b">
        <v>0</v>
      </c>
      <c r="BM15" s="28" t="n">
        <v>65</v>
      </c>
      <c r="BN15" s="28" t="inlineStr">
        <is>
          <t>complete</t>
        </is>
      </c>
      <c r="BO15" s="28" t="inlineStr">
        <is>
          <t>rendered_browser</t>
        </is>
      </c>
      <c r="BP15" s="28" t="b">
        <v>0</v>
      </c>
      <c r="BQ15" s="28" t="n">
        <v>0</v>
      </c>
      <c r="BR15" s="28" t="n">
        <v>0</v>
      </c>
      <c r="BS15" s="28" t="inlineStr">
        <is>
          <t>https://africanmarketingconfederation.org/og-12.jpg</t>
        </is>
      </c>
      <c r="BT15" s="28" t="b">
        <v>0</v>
      </c>
      <c r="BU15" s="28" t="inlineStr"/>
      <c r="BV15" s="28" t="inlineStr"/>
      <c r="BW15" s="28" t="n">
        <v>0</v>
      </c>
      <c r="BX15" s="28" t="inlineStr"/>
      <c r="BY15" s="28" t="n">
        <v>0</v>
      </c>
      <c r="BZ15" s="28" t="inlineStr"/>
      <c r="CA15" s="28" t="n">
        <v>0</v>
      </c>
      <c r="CB15" s="28" t="inlineStr"/>
      <c r="CC15" s="28" t="n">
        <v>0</v>
      </c>
      <c r="CD15" s="28" t="inlineStr"/>
      <c r="CE15" s="28" t="n">
        <v>0</v>
      </c>
      <c r="CF15" s="28" t="inlineStr"/>
      <c r="CG15" s="28" t="n">
        <v>0</v>
      </c>
      <c r="CH15" s="28" t="inlineStr"/>
      <c r="CI15" s="28" t="inlineStr"/>
      <c r="CJ15" s="28" t="inlineStr"/>
      <c r="CK15" s="28" t="inlineStr"/>
      <c r="CL15" s="28" t="inlineStr">
        <is>
          <t>2026-06-01 to 2026-06-30 (30-day window; excludes today; typical GSC lag ~48h)</t>
        </is>
      </c>
      <c r="CM15" s="28" t="inlineStr">
        <is>
          <t>No Search Analytics row matched this URL in the 30-day export (compare Final URL with the page URL shown in GSC)</t>
        </is>
      </c>
      <c r="CN15" s="28" t="n">
        <v>-1</v>
      </c>
      <c r="CO15" s="28" t="b">
        <v>1</v>
      </c>
      <c r="CP15" s="28" t="n">
        <v>0.012048</v>
      </c>
      <c r="CQ15" s="28" t="b">
        <v>1</v>
      </c>
      <c r="CR15" s="28" t="b">
        <v>1</v>
      </c>
      <c r="CS15" s="28" t="inlineStr">
        <is>
          <t>Both</t>
        </is>
      </c>
      <c r="CT15" s="74" t="inlineStr"/>
      <c r="CU15" s="28" t="n">
        <v>13</v>
      </c>
      <c r="CV15" s="34">
        <f>IFERROR(INDEX(OFFSET('Technical Diagnostics'!$A$1,2,MATCH("SEO Health Score",'Technical Diagnostics'!$2:$2,0)-1,99998,1),MATCH(B15,OFFSET('Technical Diagnostics'!$A$1,2,MATCH("URL",'Technical Diagnostics'!$2:$2,0)-1,99998,1),0)),"")</f>
        <v/>
      </c>
      <c r="CW15" s="32" t="n">
        <v>100</v>
      </c>
      <c r="CX15" s="34" t="n">
        <v>66.25</v>
      </c>
      <c r="CY15" s="40" t="b">
        <v>0</v>
      </c>
      <c r="CZ15" s="28" t="b">
        <v>0</v>
      </c>
      <c r="DA15" s="28" t="inlineStr"/>
      <c r="DB15" s="28" t="inlineStr"/>
      <c r="DC15" s="28" t="inlineStr"/>
      <c r="DD15" s="28" t="n">
        <v>0</v>
      </c>
      <c r="DE15" s="28" t="n">
        <v>0</v>
      </c>
      <c r="DF15" s="28" t="inlineStr"/>
      <c r="DG15" s="28" t="inlineStr"/>
      <c r="DH15" s="28" t="inlineStr"/>
      <c r="DI15" s="28" t="n">
        <v>6</v>
      </c>
      <c r="DJ15" s="28" t="inlineStr">
        <is>
          <t>Author 12</t>
        </is>
      </c>
      <c r="DK15" s="28" t="inlineStr"/>
      <c r="DL15" s="28" t="b">
        <v>1</v>
      </c>
      <c r="DM15" s="28" t="inlineStr"/>
      <c r="DN15" s="28" t="inlineStr">
        <is>
          <t>2026-06-01</t>
        </is>
      </c>
      <c r="DO15" s="28" t="inlineStr"/>
      <c r="DP15" s="28" t="inlineStr">
        <is>
          <t>2026-06-01</t>
        </is>
      </c>
      <c r="DQ15" s="28" t="inlineStr"/>
      <c r="DR15" s="28" t="b">
        <v>0</v>
      </c>
      <c r="DS15" s="28" t="b">
        <v>1</v>
      </c>
      <c r="DT15" s="28" t="b">
        <v>1</v>
      </c>
      <c r="DU15" s="28" t="b">
        <v>0</v>
      </c>
      <c r="DV15" s="28" t="n">
        <v>0</v>
      </c>
      <c r="DW15" s="28" t="b">
        <v>0</v>
      </c>
      <c r="DX15" s="28" t="b">
        <v>0</v>
      </c>
      <c r="DY15" s="28" t="b">
        <v>0</v>
      </c>
      <c r="DZ15" s="28" t="b">
        <v>0</v>
      </c>
      <c r="EA15" s="32" t="b">
        <v>0</v>
      </c>
      <c r="EB15" s="28" t="b">
        <v>0</v>
      </c>
      <c r="EC15" s="28" t="inlineStr"/>
      <c r="ED15" s="28" t="inlineStr"/>
      <c r="EE15" s="28" t="b">
        <v>0</v>
      </c>
      <c r="EF15" s="28" t="inlineStr"/>
      <c r="EG15" s="28" t="inlineStr"/>
      <c r="EH15" s="28" t="inlineStr"/>
      <c r="EI15" s="28" t="inlineStr">
        <is>
          <t>2026-06-01</t>
        </is>
      </c>
      <c r="EJ15" s="28" t="inlineStr"/>
      <c r="EK15" s="28" t="inlineStr">
        <is>
          <t>Fresh</t>
        </is>
      </c>
      <c r="EL15" s="28" t="inlineStr">
        <is>
          <t>Smoke title 12</t>
        </is>
      </c>
      <c r="EM15" s="28" t="inlineStr">
        <is>
          <t>Smoke meta description for page 12.</t>
        </is>
      </c>
      <c r="EN15" s="28" t="inlineStr">
        <is>
          <t>article</t>
        </is>
      </c>
      <c r="EO15" s="74" t="inlineStr"/>
      <c r="EP15" s="74" t="inlineStr">
        <is>
          <t>https://africanmarketingconfederation.org/og-12.jpg</t>
        </is>
      </c>
      <c r="EQ15" s="28" t="inlineStr"/>
      <c r="ER15" s="28" t="inlineStr"/>
      <c r="ES15" s="28" t="inlineStr"/>
      <c r="ET15" s="28" t="inlineStr"/>
      <c r="EU15" s="75" t="b">
        <v>0</v>
      </c>
      <c r="EV15" s="28" t="inlineStr">
        <is>
          <t>summary_large_image</t>
        </is>
      </c>
      <c r="EW15" s="28" t="inlineStr"/>
      <c r="EX15" s="28" t="inlineStr"/>
      <c r="EY15" s="28" t="inlineStr"/>
      <c r="EZ15" s="28" t="n">
        <v>0</v>
      </c>
      <c r="FA15" s="40" t="b">
        <v>0</v>
      </c>
      <c r="FB15" s="74" t="inlineStr">
        <is>
          <t>https://africanmarketingconfederation.org/smoke-archive/page-12</t>
        </is>
      </c>
      <c r="FC15" s="28" t="inlineStr"/>
      <c r="FD15" s="28" t="n">
        <v>0</v>
      </c>
      <c r="FE15" s="20" t="inlineStr"/>
      <c r="FF15" s="28" t="b">
        <v>0</v>
      </c>
      <c r="FG15" s="28" t="b">
        <v>0</v>
      </c>
      <c r="FH15" s="32" t="b">
        <v>0</v>
      </c>
      <c r="FI15" s="28" t="n">
        <v>0</v>
      </c>
      <c r="FJ15" s="28" t="inlineStr">
        <is>
          <t>https://africanmarketingconfederation.org/smoke-archive/page-12</t>
        </is>
      </c>
      <c r="FK15" s="28" t="inlineStr"/>
      <c r="FL15" s="32" t="b">
        <v>0</v>
      </c>
      <c r="FM15" s="28" t="b">
        <v>0</v>
      </c>
      <c r="FN15" s="32" t="b">
        <v>0</v>
      </c>
      <c r="FO15" s="28" t="inlineStr"/>
      <c r="FP15" s="28" t="inlineStr"/>
      <c r="FQ15" s="28" t="inlineStr"/>
      <c r="FR15" s="28" t="inlineStr"/>
      <c r="FS15" s="28" t="inlineStr"/>
      <c r="FT15" s="28" t="inlineStr"/>
      <c r="FU15" s="28" t="inlineStr">
        <is>
          <t>Not specified</t>
        </is>
      </c>
      <c r="FV15" s="28" t="inlineStr">
        <is>
          <t>Not specified</t>
        </is>
      </c>
      <c r="FW15" s="28" t="inlineStr">
        <is>
          <t>Not specified</t>
        </is>
      </c>
      <c r="FX15" s="28" t="inlineStr">
        <is>
          <t>Not specified</t>
        </is>
      </c>
      <c r="FY15" s="28" t="inlineStr">
        <is>
          <t>Not specified</t>
        </is>
      </c>
      <c r="FZ15" s="28" t="b">
        <v>0</v>
      </c>
      <c r="GA15" s="28" t="n">
        <v>0</v>
      </c>
      <c r="GB15" s="28" t="inlineStr"/>
      <c r="GC15" s="28" t="inlineStr"/>
      <c r="GD15" s="28" t="b">
        <v>0</v>
      </c>
      <c r="GE15" s="28" t="b">
        <v>0</v>
      </c>
      <c r="GF15" s="28" t="b">
        <v>0</v>
      </c>
      <c r="GG15" s="28" t="b">
        <v>0</v>
      </c>
      <c r="GH15" s="28" t="b">
        <v>0</v>
      </c>
      <c r="GI15" s="28" t="b">
        <v>0</v>
      </c>
      <c r="GJ15" s="28" t="n">
        <v>0</v>
      </c>
      <c r="GK15" s="28" t="n">
        <v>0</v>
      </c>
      <c r="GL15" s="28" t="n">
        <v>0</v>
      </c>
      <c r="GM15" s="74" t="inlineStr"/>
      <c r="GN15" s="74" t="inlineStr"/>
      <c r="GO15" s="32" t="b">
        <v>0</v>
      </c>
      <c r="GP15" s="28" t="inlineStr"/>
      <c r="GQ15" s="74" t="inlineStr"/>
      <c r="GR15" s="28" t="inlineStr">
        <is>
          <t>Not Declared</t>
        </is>
      </c>
      <c r="GS15" s="28" t="b">
        <v>1</v>
      </c>
      <c r="GT15" s="28" t="n">
        <v>13.4</v>
      </c>
      <c r="GU15" s="28" t="inlineStr">
        <is>
          <t>Orphan</t>
        </is>
      </c>
      <c r="GV15" s="28" t="n">
        <v>0</v>
      </c>
      <c r="GW15" s="34" t="n">
        <v>0</v>
      </c>
      <c r="GX15" s="28" t="b">
        <v>0</v>
      </c>
      <c r="GY15" s="28" t="inlineStr">
        <is>
          <t>FAQ</t>
        </is>
      </c>
      <c r="GZ15" s="28" t="n">
        <v>9</v>
      </c>
      <c r="HA15" s="28" t="b">
        <v>0</v>
      </c>
      <c r="HB15" s="28" t="inlineStr">
        <is>
          <t>smoke, body, copy, intent, classification</t>
        </is>
      </c>
      <c r="HC15" s="28" t="b">
        <v>0</v>
      </c>
      <c r="HD15" s="28" t="b">
        <v>0</v>
      </c>
      <c r="HE15" s="28" t="b">
        <v>0</v>
      </c>
      <c r="HF15" s="34" t="n">
        <v>0</v>
      </c>
      <c r="HG15" s="28" t="b">
        <v>0</v>
      </c>
      <c r="HH15" s="28" t="b">
        <v>0</v>
      </c>
      <c r="HI15">
        <f>IFERROR(HYPERLINK("#'Technical Diagnostics'!A"&amp;MATCH(B15,'Technical Diagnostics'!A:A,0),"Open Technical"),HYPERLINK("#'Technical Diagnostics'!A1","Open Technical"))</f>
        <v/>
      </c>
    </row>
    <row r="16" ht="18" customHeight="1">
      <c r="A16" s="30" t="inlineStr">
        <is>
          <t>FAIL 🔴</t>
        </is>
      </c>
      <c r="B16" s="37" t="inlineStr">
        <is>
          <t>https://africanmarketingconfederation.org/smoke-archive/page-13</t>
        </is>
      </c>
      <c r="C16" s="30" t="inlineStr"/>
      <c r="D16" s="30" t="inlineStr">
        <is>
          <t>Non-Indexable</t>
        </is>
      </c>
      <c r="E16" s="30" t="inlineStr"/>
      <c r="F16" s="30" t="inlineStr">
        <is>
          <t>Smoke title 13</t>
        </is>
      </c>
      <c r="G16" s="30" t="inlineStr">
        <is>
          <t>Smoke meta description for page 13.</t>
        </is>
      </c>
      <c r="H16" s="30" t="n">
        <v>333</v>
      </c>
      <c r="I16" s="30" t="n">
        <v>0</v>
      </c>
      <c r="J16" s="30" t="inlineStr">
        <is>
          <t>Critical</t>
        </is>
      </c>
      <c r="K16" s="30" t="inlineStr">
        <is>
          <t>Yes</t>
        </is>
      </c>
      <c r="L16" s="30" t="inlineStr"/>
      <c r="M16" s="30" t="inlineStr"/>
      <c r="N16" s="30" t="inlineStr">
        <is>
          <t>Lab only</t>
        </is>
      </c>
      <c r="O16" s="30" t="inlineStr">
        <is>
          <t>None</t>
        </is>
      </c>
      <c r="P16" s="30" t="inlineStr">
        <is>
          <t>PSI Lab</t>
        </is>
      </c>
      <c r="Q16" s="30" t="inlineStr">
        <is>
          <t>None</t>
        </is>
      </c>
      <c r="R16" s="30" t="inlineStr"/>
      <c r="S16" s="30" t="inlineStr"/>
      <c r="T16" s="30" t="inlineStr"/>
      <c r="U16" s="30" t="inlineStr"/>
      <c r="V16" s="30" t="inlineStr"/>
      <c r="W16" s="30" t="inlineStr"/>
      <c r="X16" s="30" t="inlineStr"/>
      <c r="Y16" s="30" t="inlineStr"/>
      <c r="Z16" s="30" t="inlineStr"/>
      <c r="AA16" s="30" t="n">
        <v>88</v>
      </c>
      <c r="AB16" s="30" t="n">
        <v>88</v>
      </c>
      <c r="AC16" s="30" t="n">
        <v>88</v>
      </c>
      <c r="AD16" s="30" t="n">
        <v>85</v>
      </c>
      <c r="AE16" s="30" t="n">
        <v>82</v>
      </c>
      <c r="AF16" s="30" t="n">
        <v>92</v>
      </c>
      <c r="AG16" s="30" t="n">
        <v>2.4</v>
      </c>
      <c r="AH16" s="30" t="n">
        <v>0.04</v>
      </c>
      <c r="AI16" s="30" t="n">
        <v>0.4</v>
      </c>
      <c r="AJ16" s="30" t="n">
        <v>2.4</v>
      </c>
      <c r="AK16" s="30" t="n">
        <v>0.04</v>
      </c>
      <c r="AL16" s="30" t="n">
        <v>180</v>
      </c>
      <c r="AM16" s="30" t="n">
        <v>120</v>
      </c>
      <c r="AN16" s="30" t="n">
        <v>1.8</v>
      </c>
      <c r="AO16" s="30" t="n">
        <v>3.2</v>
      </c>
      <c r="AP16" s="30" t="n">
        <v>4.1</v>
      </c>
      <c r="AQ16" s="30" t="n">
        <v>400</v>
      </c>
      <c r="AR16" s="30" t="n">
        <v>88</v>
      </c>
      <c r="AS16" s="30" t="n">
        <v>85</v>
      </c>
      <c r="AT16" s="30" t="n">
        <v>82</v>
      </c>
      <c r="AU16" s="30" t="n">
        <v>92</v>
      </c>
      <c r="AV16" s="30" t="n">
        <v>2.4</v>
      </c>
      <c r="AW16" s="30" t="n">
        <v>0.04</v>
      </c>
      <c r="AX16" s="30" t="n">
        <v>180</v>
      </c>
      <c r="AY16" s="30" t="n">
        <v>120</v>
      </c>
      <c r="AZ16" s="30" t="n">
        <v>1.8</v>
      </c>
      <c r="BA16" s="30" t="n">
        <v>3.2</v>
      </c>
      <c r="BB16" s="30" t="n">
        <v>4.1</v>
      </c>
      <c r="BC16" s="30" t="n">
        <v>400</v>
      </c>
      <c r="BD16" s="30" t="n">
        <v>500</v>
      </c>
      <c r="BE16" s="30" t="n">
        <v>842</v>
      </c>
      <c r="BF16" s="30" t="n">
        <v>1250</v>
      </c>
      <c r="BG16" s="30" t="n">
        <v>1</v>
      </c>
      <c r="BH16" s="30" t="b">
        <v>1</v>
      </c>
      <c r="BI16" s="34" t="b">
        <v>1</v>
      </c>
      <c r="BJ16" s="30" t="b">
        <v>1</v>
      </c>
      <c r="BK16" s="30" t="b">
        <v>1</v>
      </c>
      <c r="BL16" s="30" t="b">
        <v>0</v>
      </c>
      <c r="BM16" s="30" t="n">
        <v>65</v>
      </c>
      <c r="BN16" s="30" t="inlineStr">
        <is>
          <t>complete</t>
        </is>
      </c>
      <c r="BO16" s="30" t="inlineStr">
        <is>
          <t>rendered_browser</t>
        </is>
      </c>
      <c r="BP16" s="30" t="b">
        <v>0</v>
      </c>
      <c r="BQ16" s="30" t="n">
        <v>0</v>
      </c>
      <c r="BR16" s="30" t="n">
        <v>0</v>
      </c>
      <c r="BS16" s="30" t="inlineStr"/>
      <c r="BT16" s="30" t="b">
        <v>0</v>
      </c>
      <c r="BU16" s="30" t="inlineStr"/>
      <c r="BV16" s="30" t="inlineStr"/>
      <c r="BW16" s="30" t="n">
        <v>0</v>
      </c>
      <c r="BX16" s="30" t="inlineStr"/>
      <c r="BY16" s="30" t="n">
        <v>0</v>
      </c>
      <c r="BZ16" s="30" t="inlineStr"/>
      <c r="CA16" s="30" t="n">
        <v>0</v>
      </c>
      <c r="CB16" s="30" t="inlineStr"/>
      <c r="CC16" s="30" t="n">
        <v>0</v>
      </c>
      <c r="CD16" s="30" t="inlineStr"/>
      <c r="CE16" s="30" t="n">
        <v>0</v>
      </c>
      <c r="CF16" s="30" t="inlineStr"/>
      <c r="CG16" s="30" t="n">
        <v>0</v>
      </c>
      <c r="CH16" s="30" t="inlineStr"/>
      <c r="CI16" s="30" t="inlineStr"/>
      <c r="CJ16" s="30" t="inlineStr"/>
      <c r="CK16" s="30" t="inlineStr"/>
      <c r="CL16" s="30" t="inlineStr">
        <is>
          <t>2026-06-01 to 2026-06-30 (30-day window; excludes today; typical GSC lag ~48h)</t>
        </is>
      </c>
      <c r="CM16" s="30" t="inlineStr">
        <is>
          <t>No Search Analytics row matched this URL in the 30-day export (compare Final URL with the page URL shown in GSC)</t>
        </is>
      </c>
      <c r="CN16" s="30" t="n">
        <v>-1</v>
      </c>
      <c r="CO16" s="30" t="b">
        <v>1</v>
      </c>
      <c r="CP16" s="30" t="n">
        <v>0.012048</v>
      </c>
      <c r="CQ16" s="30" t="b">
        <v>1</v>
      </c>
      <c r="CR16" s="30" t="b">
        <v>1</v>
      </c>
      <c r="CS16" s="30" t="inlineStr">
        <is>
          <t>Both</t>
        </is>
      </c>
      <c r="CT16" s="76" t="inlineStr"/>
      <c r="CU16" s="30" t="n">
        <v>14</v>
      </c>
      <c r="CV16" s="34">
        <f>IFERROR(INDEX(OFFSET('Technical Diagnostics'!$A$1,2,MATCH("SEO Health Score",'Technical Diagnostics'!$2:$2,0)-1,99998,1),MATCH(B16,OFFSET('Technical Diagnostics'!$A$1,2,MATCH("URL",'Technical Diagnostics'!$2:$2,0)-1,99998,1),0)),"")</f>
        <v/>
      </c>
      <c r="CW16" s="32" t="n">
        <v>100</v>
      </c>
      <c r="CX16" s="34" t="n">
        <v>5</v>
      </c>
      <c r="CY16" s="32" t="b">
        <v>1</v>
      </c>
      <c r="CZ16" s="30" t="b">
        <v>0</v>
      </c>
      <c r="DA16" s="30" t="inlineStr"/>
      <c r="DB16" s="30" t="inlineStr"/>
      <c r="DC16" s="30" t="inlineStr"/>
      <c r="DD16" s="30" t="n">
        <v>0</v>
      </c>
      <c r="DE16" s="30" t="n">
        <v>0</v>
      </c>
      <c r="DF16" s="30" t="inlineStr"/>
      <c r="DG16" s="30" t="inlineStr"/>
      <c r="DH16" s="30" t="inlineStr"/>
      <c r="DI16" s="30" t="n">
        <v>6</v>
      </c>
      <c r="DJ16" s="30" t="inlineStr">
        <is>
          <t>Author 13</t>
        </is>
      </c>
      <c r="DK16" s="30" t="inlineStr"/>
      <c r="DL16" s="30" t="b">
        <v>1</v>
      </c>
      <c r="DM16" s="30" t="inlineStr"/>
      <c r="DN16" s="30" t="inlineStr">
        <is>
          <t>2026-06-01</t>
        </is>
      </c>
      <c r="DO16" s="30" t="inlineStr"/>
      <c r="DP16" s="30" t="inlineStr">
        <is>
          <t>2026-06-01</t>
        </is>
      </c>
      <c r="DQ16" s="30" t="inlineStr"/>
      <c r="DR16" s="30" t="b">
        <v>0</v>
      </c>
      <c r="DS16" s="30" t="b">
        <v>1</v>
      </c>
      <c r="DT16" s="30" t="b">
        <v>1</v>
      </c>
      <c r="DU16" s="30" t="b">
        <v>0</v>
      </c>
      <c r="DV16" s="30" t="n">
        <v>0</v>
      </c>
      <c r="DW16" s="30" t="b">
        <v>0</v>
      </c>
      <c r="DX16" s="30" t="b">
        <v>0</v>
      </c>
      <c r="DY16" s="30" t="b">
        <v>0</v>
      </c>
      <c r="DZ16" s="30" t="b">
        <v>0</v>
      </c>
      <c r="EA16" s="32" t="b">
        <v>0</v>
      </c>
      <c r="EB16" s="30" t="b">
        <v>0</v>
      </c>
      <c r="EC16" s="30" t="inlineStr"/>
      <c r="ED16" s="30" t="inlineStr"/>
      <c r="EE16" s="30" t="b">
        <v>0</v>
      </c>
      <c r="EF16" s="30" t="inlineStr"/>
      <c r="EG16" s="30" t="inlineStr"/>
      <c r="EH16" s="30" t="inlineStr"/>
      <c r="EI16" s="30" t="inlineStr"/>
      <c r="EJ16" s="30" t="inlineStr"/>
      <c r="EK16" s="30" t="inlineStr">
        <is>
          <t>Fresh</t>
        </is>
      </c>
      <c r="EL16" s="30" t="inlineStr">
        <is>
          <t>Smoke title 13</t>
        </is>
      </c>
      <c r="EM16" s="30" t="inlineStr">
        <is>
          <t>Smoke meta description for page 13.</t>
        </is>
      </c>
      <c r="EN16" s="30" t="inlineStr">
        <is>
          <t>article</t>
        </is>
      </c>
      <c r="EO16" s="76" t="inlineStr"/>
      <c r="EP16" s="76" t="inlineStr"/>
      <c r="EQ16" s="30" t="inlineStr"/>
      <c r="ER16" s="30" t="inlineStr"/>
      <c r="ES16" s="30" t="inlineStr"/>
      <c r="ET16" s="30" t="inlineStr"/>
      <c r="EU16" s="75" t="b">
        <v>0</v>
      </c>
      <c r="EV16" s="30" t="inlineStr">
        <is>
          <t>summary_large_image</t>
        </is>
      </c>
      <c r="EW16" s="30" t="inlineStr"/>
      <c r="EX16" s="30" t="inlineStr"/>
      <c r="EY16" s="30" t="inlineStr"/>
      <c r="EZ16" s="30" t="n">
        <v>0</v>
      </c>
      <c r="FA16" s="40" t="b">
        <v>0</v>
      </c>
      <c r="FB16" s="76" t="inlineStr">
        <is>
          <t>https://africanmarketingconfederation.org/smoke-archive/page-13</t>
        </is>
      </c>
      <c r="FC16" s="30" t="inlineStr"/>
      <c r="FD16" s="30" t="n">
        <v>0</v>
      </c>
      <c r="FE16" s="31" t="inlineStr"/>
      <c r="FF16" s="30" t="b">
        <v>0</v>
      </c>
      <c r="FG16" s="30" t="b">
        <v>0</v>
      </c>
      <c r="FH16" s="32" t="b">
        <v>0</v>
      </c>
      <c r="FI16" s="30" t="n">
        <v>0</v>
      </c>
      <c r="FJ16" s="30" t="inlineStr">
        <is>
          <t>https://africanmarketingconfederation.org/smoke-archive/page-13</t>
        </is>
      </c>
      <c r="FK16" s="30" t="inlineStr"/>
      <c r="FL16" s="32" t="b">
        <v>0</v>
      </c>
      <c r="FM16" s="30" t="b">
        <v>0</v>
      </c>
      <c r="FN16" s="32" t="b">
        <v>0</v>
      </c>
      <c r="FO16" s="30" t="inlineStr"/>
      <c r="FP16" s="30" t="inlineStr"/>
      <c r="FQ16" s="30" t="inlineStr"/>
      <c r="FR16" s="30" t="inlineStr"/>
      <c r="FS16" s="30" t="inlineStr"/>
      <c r="FT16" s="30" t="inlineStr"/>
      <c r="FU16" s="30" t="inlineStr">
        <is>
          <t>Not specified</t>
        </is>
      </c>
      <c r="FV16" s="30" t="inlineStr">
        <is>
          <t>Not specified</t>
        </is>
      </c>
      <c r="FW16" s="30" t="inlineStr">
        <is>
          <t>Not specified</t>
        </is>
      </c>
      <c r="FX16" s="30" t="inlineStr">
        <is>
          <t>Not specified</t>
        </is>
      </c>
      <c r="FY16" s="30" t="inlineStr">
        <is>
          <t>Not specified</t>
        </is>
      </c>
      <c r="FZ16" s="30" t="b">
        <v>0</v>
      </c>
      <c r="GA16" s="30" t="n">
        <v>0</v>
      </c>
      <c r="GB16" s="30" t="inlineStr"/>
      <c r="GC16" s="30" t="inlineStr"/>
      <c r="GD16" s="30" t="b">
        <v>0</v>
      </c>
      <c r="GE16" s="30" t="b">
        <v>0</v>
      </c>
      <c r="GF16" s="30" t="b">
        <v>0</v>
      </c>
      <c r="GG16" s="30" t="b">
        <v>0</v>
      </c>
      <c r="GH16" s="30" t="b">
        <v>0</v>
      </c>
      <c r="GI16" s="30" t="b">
        <v>0</v>
      </c>
      <c r="GJ16" s="30" t="n">
        <v>0</v>
      </c>
      <c r="GK16" s="30" t="n">
        <v>0</v>
      </c>
      <c r="GL16" s="30" t="n">
        <v>0</v>
      </c>
      <c r="GM16" s="76" t="inlineStr"/>
      <c r="GN16" s="76" t="inlineStr"/>
      <c r="GO16" s="32" t="b">
        <v>0</v>
      </c>
      <c r="GP16" s="30" t="inlineStr"/>
      <c r="GQ16" s="76" t="inlineStr"/>
      <c r="GR16" s="30" t="inlineStr">
        <is>
          <t>Not Declared</t>
        </is>
      </c>
      <c r="GS16" s="30" t="b">
        <v>1</v>
      </c>
      <c r="GT16" s="30" t="n">
        <v>96.3</v>
      </c>
      <c r="GU16" s="30" t="inlineStr">
        <is>
          <t>Orphan</t>
        </is>
      </c>
      <c r="GV16" s="30" t="n">
        <v>0</v>
      </c>
      <c r="GW16" s="34" t="n">
        <v>0</v>
      </c>
      <c r="GX16" s="30" t="b">
        <v>0</v>
      </c>
      <c r="GY16" s="30" t="inlineStr">
        <is>
          <t>FAQ</t>
        </is>
      </c>
      <c r="GZ16" s="30" t="n">
        <v>9</v>
      </c>
      <c r="HA16" s="30" t="b">
        <v>0</v>
      </c>
      <c r="HB16" s="30" t="inlineStr">
        <is>
          <t>smoke, body, copy, intent, classification</t>
        </is>
      </c>
      <c r="HC16" s="30" t="b">
        <v>0</v>
      </c>
      <c r="HD16" s="30" t="b">
        <v>0</v>
      </c>
      <c r="HE16" s="30" t="b">
        <v>0</v>
      </c>
      <c r="HF16" s="34" t="n">
        <v>0</v>
      </c>
      <c r="HG16" s="30" t="b">
        <v>0</v>
      </c>
      <c r="HH16" s="30" t="b">
        <v>0</v>
      </c>
      <c r="HI16" s="38">
        <f>IFERROR(HYPERLINK("#'Technical Diagnostics'!A"&amp;MATCH(B16,'Technical Diagnostics'!A:A,0),"Open Technical"),HYPERLINK("#'Technical Diagnostics'!A1","Open Technical"))</f>
        <v/>
      </c>
    </row>
    <row r="17" ht="18" customHeight="1">
      <c r="A17" s="28" t="inlineStr">
        <is>
          <t>WARN 🟡</t>
        </is>
      </c>
      <c r="B17" s="35" t="inlineStr">
        <is>
          <t>https://africanmarketingconfederation.org/smoke-archive/page-14</t>
        </is>
      </c>
      <c r="C17" s="28" t="inlineStr"/>
      <c r="D17" s="28" t="inlineStr">
        <is>
          <t>Indexable</t>
        </is>
      </c>
      <c r="E17" s="28" t="inlineStr"/>
      <c r="F17" s="28" t="inlineStr">
        <is>
          <t>Smoke title 14</t>
        </is>
      </c>
      <c r="G17" s="28" t="inlineStr">
        <is>
          <t>Smoke meta description for page 14.</t>
        </is>
      </c>
      <c r="H17" s="28" t="n">
        <v>334</v>
      </c>
      <c r="I17" s="28" t="n">
        <v>70</v>
      </c>
      <c r="J17" s="28" t="inlineStr">
        <is>
          <t>Warning</t>
        </is>
      </c>
      <c r="K17" s="28" t="inlineStr">
        <is>
          <t>Yes</t>
        </is>
      </c>
      <c r="L17" s="28" t="inlineStr"/>
      <c r="M17" s="28" t="inlineStr"/>
      <c r="N17" s="28" t="inlineStr">
        <is>
          <t>Lab only</t>
        </is>
      </c>
      <c r="O17" s="28" t="inlineStr">
        <is>
          <t>None</t>
        </is>
      </c>
      <c r="P17" s="28" t="inlineStr">
        <is>
          <t>PSI Lab</t>
        </is>
      </c>
      <c r="Q17" s="28" t="inlineStr">
        <is>
          <t>None</t>
        </is>
      </c>
      <c r="R17" s="28" t="inlineStr"/>
      <c r="S17" s="28" t="inlineStr"/>
      <c r="T17" s="28" t="inlineStr"/>
      <c r="U17" s="28" t="inlineStr"/>
      <c r="V17" s="28" t="inlineStr"/>
      <c r="W17" s="28" t="inlineStr"/>
      <c r="X17" s="28" t="inlineStr"/>
      <c r="Y17" s="28" t="inlineStr"/>
      <c r="Z17" s="28" t="inlineStr"/>
      <c r="AA17" s="28" t="n">
        <v>88</v>
      </c>
      <c r="AB17" s="28" t="n">
        <v>88</v>
      </c>
      <c r="AC17" s="28" t="n">
        <v>88</v>
      </c>
      <c r="AD17" s="28" t="n">
        <v>85</v>
      </c>
      <c r="AE17" s="28" t="n">
        <v>82</v>
      </c>
      <c r="AF17" s="28" t="n">
        <v>92</v>
      </c>
      <c r="AG17" s="28" t="n">
        <v>2.4</v>
      </c>
      <c r="AH17" s="28" t="n">
        <v>0.04</v>
      </c>
      <c r="AI17" s="28" t="n">
        <v>0.4</v>
      </c>
      <c r="AJ17" s="28" t="n">
        <v>2.4</v>
      </c>
      <c r="AK17" s="28" t="n">
        <v>0.04</v>
      </c>
      <c r="AL17" s="28" t="n">
        <v>180</v>
      </c>
      <c r="AM17" s="28" t="n">
        <v>120</v>
      </c>
      <c r="AN17" s="28" t="n">
        <v>1.8</v>
      </c>
      <c r="AO17" s="28" t="n">
        <v>3.2</v>
      </c>
      <c r="AP17" s="28" t="n">
        <v>4.1</v>
      </c>
      <c r="AQ17" s="28" t="n">
        <v>400</v>
      </c>
      <c r="AR17" s="28" t="n">
        <v>88</v>
      </c>
      <c r="AS17" s="28" t="n">
        <v>85</v>
      </c>
      <c r="AT17" s="28" t="n">
        <v>82</v>
      </c>
      <c r="AU17" s="28" t="n">
        <v>92</v>
      </c>
      <c r="AV17" s="28" t="n">
        <v>2.4</v>
      </c>
      <c r="AW17" s="28" t="n">
        <v>0.04</v>
      </c>
      <c r="AX17" s="28" t="n">
        <v>180</v>
      </c>
      <c r="AY17" s="28" t="n">
        <v>120</v>
      </c>
      <c r="AZ17" s="28" t="n">
        <v>1.8</v>
      </c>
      <c r="BA17" s="28" t="n">
        <v>3.2</v>
      </c>
      <c r="BB17" s="28" t="n">
        <v>4.1</v>
      </c>
      <c r="BC17" s="28" t="n">
        <v>400</v>
      </c>
      <c r="BD17" s="28" t="n">
        <v>500</v>
      </c>
      <c r="BE17" s="28" t="n">
        <v>842</v>
      </c>
      <c r="BF17" s="28" t="n">
        <v>1250</v>
      </c>
      <c r="BG17" s="28" t="n">
        <v>1</v>
      </c>
      <c r="BH17" s="28" t="b">
        <v>1</v>
      </c>
      <c r="BI17" s="34" t="b">
        <v>1</v>
      </c>
      <c r="BJ17" s="28" t="b">
        <v>1</v>
      </c>
      <c r="BK17" s="28" t="b">
        <v>1</v>
      </c>
      <c r="BL17" s="28" t="b">
        <v>0</v>
      </c>
      <c r="BM17" s="28" t="n">
        <v>65</v>
      </c>
      <c r="BN17" s="28" t="inlineStr">
        <is>
          <t>complete</t>
        </is>
      </c>
      <c r="BO17" s="28" t="inlineStr">
        <is>
          <t>rendered_browser</t>
        </is>
      </c>
      <c r="BP17" s="28" t="b">
        <v>0</v>
      </c>
      <c r="BQ17" s="28" t="n">
        <v>0</v>
      </c>
      <c r="BR17" s="28" t="n">
        <v>0</v>
      </c>
      <c r="BS17" s="28" t="inlineStr"/>
      <c r="BT17" s="28" t="b">
        <v>0</v>
      </c>
      <c r="BU17" s="28" t="inlineStr"/>
      <c r="BV17" s="28" t="inlineStr"/>
      <c r="BW17" s="28" t="n">
        <v>0</v>
      </c>
      <c r="BX17" s="28" t="inlineStr"/>
      <c r="BY17" s="28" t="n">
        <v>0</v>
      </c>
      <c r="BZ17" s="28" t="inlineStr"/>
      <c r="CA17" s="28" t="n">
        <v>0</v>
      </c>
      <c r="CB17" s="28" t="inlineStr"/>
      <c r="CC17" s="28" t="n">
        <v>0</v>
      </c>
      <c r="CD17" s="28" t="inlineStr"/>
      <c r="CE17" s="28" t="n">
        <v>0</v>
      </c>
      <c r="CF17" s="28" t="inlineStr"/>
      <c r="CG17" s="28" t="n">
        <v>0</v>
      </c>
      <c r="CH17" s="28" t="inlineStr"/>
      <c r="CI17" s="28" t="inlineStr"/>
      <c r="CJ17" s="28" t="inlineStr"/>
      <c r="CK17" s="28" t="inlineStr"/>
      <c r="CL17" s="28" t="inlineStr">
        <is>
          <t>2026-06-01 to 2026-06-30 (30-day window; excludes today; typical GSC lag ~48h)</t>
        </is>
      </c>
      <c r="CM17" s="28" t="inlineStr">
        <is>
          <t>No Search Analytics row matched this URL in the 30-day export (compare Final URL with the page URL shown in GSC)</t>
        </is>
      </c>
      <c r="CN17" s="28" t="n">
        <v>-1</v>
      </c>
      <c r="CO17" s="28" t="b">
        <v>1</v>
      </c>
      <c r="CP17" s="28" t="n">
        <v>0.012048</v>
      </c>
      <c r="CQ17" s="28" t="b">
        <v>1</v>
      </c>
      <c r="CR17" s="28" t="b">
        <v>1</v>
      </c>
      <c r="CS17" s="28" t="inlineStr">
        <is>
          <t>Both</t>
        </is>
      </c>
      <c r="CT17" s="74" t="inlineStr"/>
      <c r="CU17" s="28" t="n">
        <v>15</v>
      </c>
      <c r="CV17" s="29">
        <f>IFERROR(INDEX(OFFSET('Technical Diagnostics'!$A$1,2,MATCH("SEO Health Score",'Technical Diagnostics'!$2:$2,0)-1,99998,1),MATCH(B17,OFFSET('Technical Diagnostics'!$A$1,2,MATCH("URL",'Technical Diagnostics'!$2:$2,0)-1,99998,1),0)),"")</f>
        <v/>
      </c>
      <c r="CW17" s="32" t="n">
        <v>100</v>
      </c>
      <c r="CX17" s="29" t="n">
        <v>77.5</v>
      </c>
      <c r="CY17" s="32" t="b">
        <v>1</v>
      </c>
      <c r="CZ17" s="28" t="b">
        <v>0</v>
      </c>
      <c r="DA17" s="28" t="inlineStr"/>
      <c r="DB17" s="28" t="inlineStr"/>
      <c r="DC17" s="28" t="inlineStr"/>
      <c r="DD17" s="28" t="n">
        <v>0</v>
      </c>
      <c r="DE17" s="28" t="n">
        <v>0</v>
      </c>
      <c r="DF17" s="28" t="inlineStr"/>
      <c r="DG17" s="28" t="inlineStr"/>
      <c r="DH17" s="28" t="inlineStr"/>
      <c r="DI17" s="28" t="n">
        <v>2</v>
      </c>
      <c r="DJ17" s="28" t="inlineStr"/>
      <c r="DK17" s="28" t="inlineStr"/>
      <c r="DL17" s="28" t="b">
        <v>0</v>
      </c>
      <c r="DM17" s="28" t="inlineStr"/>
      <c r="DN17" s="28" t="inlineStr">
        <is>
          <t>2026-06-01</t>
        </is>
      </c>
      <c r="DO17" s="28" t="inlineStr"/>
      <c r="DP17" s="28" t="inlineStr">
        <is>
          <t>2026-06-01</t>
        </is>
      </c>
      <c r="DQ17" s="28" t="inlineStr"/>
      <c r="DR17" s="28" t="b">
        <v>0</v>
      </c>
      <c r="DS17" s="28" t="b">
        <v>1</v>
      </c>
      <c r="DT17" s="28" t="b">
        <v>1</v>
      </c>
      <c r="DU17" s="28" t="b">
        <v>0</v>
      </c>
      <c r="DV17" s="28" t="n">
        <v>0</v>
      </c>
      <c r="DW17" s="28" t="b">
        <v>0</v>
      </c>
      <c r="DX17" s="28" t="b">
        <v>0</v>
      </c>
      <c r="DY17" s="28" t="b">
        <v>0</v>
      </c>
      <c r="DZ17" s="28" t="b">
        <v>0</v>
      </c>
      <c r="EA17" s="32" t="b">
        <v>0</v>
      </c>
      <c r="EB17" s="28" t="b">
        <v>0</v>
      </c>
      <c r="EC17" s="28" t="inlineStr"/>
      <c r="ED17" s="28" t="inlineStr"/>
      <c r="EE17" s="28" t="b">
        <v>0</v>
      </c>
      <c r="EF17" s="28" t="inlineStr"/>
      <c r="EG17" s="28" t="inlineStr"/>
      <c r="EH17" s="28" t="inlineStr"/>
      <c r="EI17" s="28" t="inlineStr"/>
      <c r="EJ17" s="28" t="inlineStr"/>
      <c r="EK17" s="28" t="inlineStr">
        <is>
          <t>Fresh</t>
        </is>
      </c>
      <c r="EL17" s="28" t="inlineStr">
        <is>
          <t>Smoke title 14</t>
        </is>
      </c>
      <c r="EM17" s="28" t="inlineStr">
        <is>
          <t>Smoke meta description for page 14.</t>
        </is>
      </c>
      <c r="EN17" s="28" t="inlineStr">
        <is>
          <t>article</t>
        </is>
      </c>
      <c r="EO17" s="74" t="inlineStr"/>
      <c r="EP17" s="74" t="inlineStr"/>
      <c r="EQ17" s="28" t="inlineStr"/>
      <c r="ER17" s="28" t="inlineStr"/>
      <c r="ES17" s="28" t="inlineStr"/>
      <c r="ET17" s="28" t="inlineStr"/>
      <c r="EU17" s="75" t="b">
        <v>0</v>
      </c>
      <c r="EV17" s="28" t="inlineStr">
        <is>
          <t>summary_large_image</t>
        </is>
      </c>
      <c r="EW17" s="28" t="inlineStr"/>
      <c r="EX17" s="28" t="inlineStr"/>
      <c r="EY17" s="28" t="inlineStr"/>
      <c r="EZ17" s="28" t="n">
        <v>0</v>
      </c>
      <c r="FA17" s="40" t="b">
        <v>0</v>
      </c>
      <c r="FB17" s="74" t="inlineStr">
        <is>
          <t>https://africanmarketingconfederation.org/smoke-archive/page-14</t>
        </is>
      </c>
      <c r="FC17" s="28" t="inlineStr"/>
      <c r="FD17" s="28" t="n">
        <v>0</v>
      </c>
      <c r="FE17" s="20" t="inlineStr"/>
      <c r="FF17" s="28" t="b">
        <v>0</v>
      </c>
      <c r="FG17" s="28" t="b">
        <v>0</v>
      </c>
      <c r="FH17" s="32" t="b">
        <v>0</v>
      </c>
      <c r="FI17" s="28" t="n">
        <v>0</v>
      </c>
      <c r="FJ17" s="28" t="inlineStr">
        <is>
          <t>https://africanmarketingconfederation.org/smoke-archive/page-14</t>
        </is>
      </c>
      <c r="FK17" s="28" t="inlineStr"/>
      <c r="FL17" s="32" t="b">
        <v>0</v>
      </c>
      <c r="FM17" s="28" t="b">
        <v>0</v>
      </c>
      <c r="FN17" s="32" t="b">
        <v>0</v>
      </c>
      <c r="FO17" s="28" t="inlineStr"/>
      <c r="FP17" s="28" t="inlineStr"/>
      <c r="FQ17" s="28" t="inlineStr"/>
      <c r="FR17" s="28" t="inlineStr"/>
      <c r="FS17" s="28" t="inlineStr"/>
      <c r="FT17" s="28" t="inlineStr"/>
      <c r="FU17" s="28" t="inlineStr">
        <is>
          <t>Not specified</t>
        </is>
      </c>
      <c r="FV17" s="28" t="inlineStr">
        <is>
          <t>Not specified</t>
        </is>
      </c>
      <c r="FW17" s="28" t="inlineStr">
        <is>
          <t>Not specified</t>
        </is>
      </c>
      <c r="FX17" s="28" t="inlineStr">
        <is>
          <t>Not specified</t>
        </is>
      </c>
      <c r="FY17" s="28" t="inlineStr">
        <is>
          <t>Not specified</t>
        </is>
      </c>
      <c r="FZ17" s="28" t="b">
        <v>0</v>
      </c>
      <c r="GA17" s="28" t="n">
        <v>0</v>
      </c>
      <c r="GB17" s="28" t="inlineStr"/>
      <c r="GC17" s="28" t="inlineStr"/>
      <c r="GD17" s="28" t="b">
        <v>0</v>
      </c>
      <c r="GE17" s="28" t="b">
        <v>0</v>
      </c>
      <c r="GF17" s="28" t="b">
        <v>0</v>
      </c>
      <c r="GG17" s="28" t="b">
        <v>0</v>
      </c>
      <c r="GH17" s="28" t="b">
        <v>0</v>
      </c>
      <c r="GI17" s="28" t="b">
        <v>0</v>
      </c>
      <c r="GJ17" s="28" t="n">
        <v>0</v>
      </c>
      <c r="GK17" s="28" t="n">
        <v>0</v>
      </c>
      <c r="GL17" s="28" t="n">
        <v>0</v>
      </c>
      <c r="GM17" s="74" t="inlineStr"/>
      <c r="GN17" s="74" t="inlineStr"/>
      <c r="GO17" s="32" t="b">
        <v>0</v>
      </c>
      <c r="GP17" s="28" t="inlineStr"/>
      <c r="GQ17" s="74" t="inlineStr"/>
      <c r="GR17" s="28" t="inlineStr">
        <is>
          <t>Not Declared</t>
        </is>
      </c>
      <c r="GS17" s="28" t="b">
        <v>1</v>
      </c>
      <c r="GT17" s="28" t="n">
        <v>75.59999999999999</v>
      </c>
      <c r="GU17" s="28" t="inlineStr">
        <is>
          <t>Orphan</t>
        </is>
      </c>
      <c r="GV17" s="28" t="n">
        <v>0</v>
      </c>
      <c r="GW17" s="34" t="n">
        <v>0</v>
      </c>
      <c r="GX17" s="28" t="b">
        <v>0</v>
      </c>
      <c r="GY17" s="28" t="inlineStr">
        <is>
          <t>FAQ</t>
        </is>
      </c>
      <c r="GZ17" s="28" t="n">
        <v>9</v>
      </c>
      <c r="HA17" s="28" t="b">
        <v>0</v>
      </c>
      <c r="HB17" s="28" t="inlineStr">
        <is>
          <t>smoke, body, copy, intent, classification</t>
        </is>
      </c>
      <c r="HC17" s="28" t="b">
        <v>0</v>
      </c>
      <c r="HD17" s="28" t="b">
        <v>0</v>
      </c>
      <c r="HE17" s="28" t="b">
        <v>0</v>
      </c>
      <c r="HF17" s="34" t="n">
        <v>0</v>
      </c>
      <c r="HG17" s="28" t="b">
        <v>0</v>
      </c>
      <c r="HH17" s="28" t="b">
        <v>0</v>
      </c>
      <c r="HI17">
        <f>IFERROR(HYPERLINK("#'Technical Diagnostics'!A"&amp;MATCH(B17,'Technical Diagnostics'!A:A,0),"Open Technical"),HYPERLINK("#'Technical Diagnostics'!A1","Open Technical"))</f>
        <v/>
      </c>
    </row>
    <row r="18" ht="18" customHeight="1">
      <c r="A18" s="30" t="inlineStr">
        <is>
          <t>WARN 🟡</t>
        </is>
      </c>
      <c r="B18" s="37" t="inlineStr">
        <is>
          <t>https://africanmarketingconfederation.org/smoke-archive/page-15</t>
        </is>
      </c>
      <c r="C18" s="30" t="inlineStr"/>
      <c r="D18" s="30" t="inlineStr">
        <is>
          <t>Indexable</t>
        </is>
      </c>
      <c r="E18" s="30" t="inlineStr"/>
      <c r="F18" s="30" t="inlineStr">
        <is>
          <t>Smoke title 15</t>
        </is>
      </c>
      <c r="G18" s="30" t="inlineStr"/>
      <c r="H18" s="30" t="n">
        <v>335</v>
      </c>
      <c r="I18" s="30" t="n">
        <v>60</v>
      </c>
      <c r="J18" s="30" t="inlineStr">
        <is>
          <t>Warning</t>
        </is>
      </c>
      <c r="K18" s="30" t="inlineStr">
        <is>
          <t>Yes</t>
        </is>
      </c>
      <c r="L18" s="30" t="inlineStr"/>
      <c r="M18" s="30" t="inlineStr"/>
      <c r="N18" s="30" t="inlineStr">
        <is>
          <t>Lab only</t>
        </is>
      </c>
      <c r="O18" s="30" t="inlineStr">
        <is>
          <t>None</t>
        </is>
      </c>
      <c r="P18" s="30" t="inlineStr">
        <is>
          <t>PSI Lab</t>
        </is>
      </c>
      <c r="Q18" s="30" t="inlineStr">
        <is>
          <t>None</t>
        </is>
      </c>
      <c r="R18" s="30" t="inlineStr"/>
      <c r="S18" s="30" t="inlineStr"/>
      <c r="T18" s="30" t="inlineStr"/>
      <c r="U18" s="30" t="inlineStr"/>
      <c r="V18" s="30" t="inlineStr"/>
      <c r="W18" s="30" t="inlineStr"/>
      <c r="X18" s="30" t="inlineStr"/>
      <c r="Y18" s="30" t="inlineStr"/>
      <c r="Z18" s="30" t="inlineStr"/>
      <c r="AA18" s="30" t="n">
        <v>88</v>
      </c>
      <c r="AB18" s="30" t="n">
        <v>88</v>
      </c>
      <c r="AC18" s="30" t="n">
        <v>88</v>
      </c>
      <c r="AD18" s="30" t="n">
        <v>85</v>
      </c>
      <c r="AE18" s="30" t="n">
        <v>82</v>
      </c>
      <c r="AF18" s="30" t="n">
        <v>92</v>
      </c>
      <c r="AG18" s="30" t="n">
        <v>2.4</v>
      </c>
      <c r="AH18" s="30" t="n">
        <v>0.04</v>
      </c>
      <c r="AI18" s="30" t="n">
        <v>0.4</v>
      </c>
      <c r="AJ18" s="30" t="n">
        <v>2.4</v>
      </c>
      <c r="AK18" s="30" t="n">
        <v>0.04</v>
      </c>
      <c r="AL18" s="30" t="n">
        <v>180</v>
      </c>
      <c r="AM18" s="30" t="n">
        <v>120</v>
      </c>
      <c r="AN18" s="30" t="n">
        <v>1.8</v>
      </c>
      <c r="AO18" s="30" t="n">
        <v>3.2</v>
      </c>
      <c r="AP18" s="30" t="n">
        <v>4.1</v>
      </c>
      <c r="AQ18" s="30" t="n">
        <v>400</v>
      </c>
      <c r="AR18" s="30" t="n">
        <v>88</v>
      </c>
      <c r="AS18" s="30" t="n">
        <v>85</v>
      </c>
      <c r="AT18" s="30" t="n">
        <v>82</v>
      </c>
      <c r="AU18" s="30" t="n">
        <v>92</v>
      </c>
      <c r="AV18" s="30" t="n">
        <v>2.4</v>
      </c>
      <c r="AW18" s="30" t="n">
        <v>0.04</v>
      </c>
      <c r="AX18" s="30" t="n">
        <v>180</v>
      </c>
      <c r="AY18" s="30" t="n">
        <v>120</v>
      </c>
      <c r="AZ18" s="30" t="n">
        <v>1.8</v>
      </c>
      <c r="BA18" s="30" t="n">
        <v>3.2</v>
      </c>
      <c r="BB18" s="30" t="n">
        <v>4.1</v>
      </c>
      <c r="BC18" s="30" t="n">
        <v>400</v>
      </c>
      <c r="BD18" s="30" t="n">
        <v>500</v>
      </c>
      <c r="BE18" s="30" t="n">
        <v>842</v>
      </c>
      <c r="BF18" s="30" t="n">
        <v>1250</v>
      </c>
      <c r="BG18" s="30" t="n">
        <v>1</v>
      </c>
      <c r="BH18" s="30" t="b">
        <v>1</v>
      </c>
      <c r="BI18" s="34" t="b">
        <v>1</v>
      </c>
      <c r="BJ18" s="30" t="b">
        <v>1</v>
      </c>
      <c r="BK18" s="30" t="b">
        <v>1</v>
      </c>
      <c r="BL18" s="30" t="b">
        <v>0</v>
      </c>
      <c r="BM18" s="30" t="n">
        <v>65</v>
      </c>
      <c r="BN18" s="30" t="inlineStr">
        <is>
          <t>complete</t>
        </is>
      </c>
      <c r="BO18" s="30" t="inlineStr">
        <is>
          <t>rendered_browser</t>
        </is>
      </c>
      <c r="BP18" s="30" t="b">
        <v>0</v>
      </c>
      <c r="BQ18" s="30" t="n">
        <v>0</v>
      </c>
      <c r="BR18" s="30" t="n">
        <v>0</v>
      </c>
      <c r="BS18" s="30" t="inlineStr"/>
      <c r="BT18" s="30" t="b">
        <v>0</v>
      </c>
      <c r="BU18" s="30" t="inlineStr"/>
      <c r="BV18" s="30" t="inlineStr"/>
      <c r="BW18" s="30" t="n">
        <v>0</v>
      </c>
      <c r="BX18" s="30" t="inlineStr"/>
      <c r="BY18" s="30" t="n">
        <v>0</v>
      </c>
      <c r="BZ18" s="30" t="inlineStr"/>
      <c r="CA18" s="30" t="n">
        <v>0</v>
      </c>
      <c r="CB18" s="30" t="inlineStr"/>
      <c r="CC18" s="30" t="n">
        <v>0</v>
      </c>
      <c r="CD18" s="30" t="inlineStr"/>
      <c r="CE18" s="30" t="n">
        <v>0</v>
      </c>
      <c r="CF18" s="30" t="inlineStr"/>
      <c r="CG18" s="30" t="n">
        <v>0</v>
      </c>
      <c r="CH18" s="30" t="inlineStr"/>
      <c r="CI18" s="30" t="inlineStr"/>
      <c r="CJ18" s="30" t="inlineStr"/>
      <c r="CK18" s="30" t="inlineStr"/>
      <c r="CL18" s="30" t="inlineStr">
        <is>
          <t>2026-06-01 to 2026-06-30 (30-day window; excludes today; typical GSC lag ~48h)</t>
        </is>
      </c>
      <c r="CM18" s="30" t="inlineStr">
        <is>
          <t>No Search Analytics row matched this URL in the 30-day export (compare Final URL with the page URL shown in GSC)</t>
        </is>
      </c>
      <c r="CN18" s="30" t="n">
        <v>-1</v>
      </c>
      <c r="CO18" s="30" t="b">
        <v>1</v>
      </c>
      <c r="CP18" s="30" t="n">
        <v>0.012048</v>
      </c>
      <c r="CQ18" s="30" t="b">
        <v>1</v>
      </c>
      <c r="CR18" s="30" t="b">
        <v>1</v>
      </c>
      <c r="CS18" s="30" t="inlineStr">
        <is>
          <t>Both</t>
        </is>
      </c>
      <c r="CT18" s="76" t="inlineStr"/>
      <c r="CU18" s="30" t="n">
        <v>16</v>
      </c>
      <c r="CV18" s="34">
        <f>IFERROR(INDEX(OFFSET('Technical Diagnostics'!$A$1,2,MATCH("SEO Health Score",'Technical Diagnostics'!$2:$2,0)-1,99998,1),MATCH(B18,OFFSET('Technical Diagnostics'!$A$1,2,MATCH("URL",'Technical Diagnostics'!$2:$2,0)-1,99998,1),0)),"")</f>
        <v/>
      </c>
      <c r="CW18" s="29" t="n">
        <v>80</v>
      </c>
      <c r="CX18" s="34" t="n">
        <v>65</v>
      </c>
      <c r="CY18" s="32" t="b">
        <v>1</v>
      </c>
      <c r="CZ18" s="30" t="b">
        <v>0</v>
      </c>
      <c r="DA18" s="30" t="inlineStr"/>
      <c r="DB18" s="30" t="inlineStr"/>
      <c r="DC18" s="30" t="inlineStr"/>
      <c r="DD18" s="30" t="n">
        <v>0</v>
      </c>
      <c r="DE18" s="30" t="n">
        <v>0</v>
      </c>
      <c r="DF18" s="30" t="inlineStr"/>
      <c r="DG18" s="30" t="inlineStr"/>
      <c r="DH18" s="30" t="inlineStr"/>
      <c r="DI18" s="30" t="n">
        <v>6</v>
      </c>
      <c r="DJ18" s="30" t="inlineStr">
        <is>
          <t>Author 15</t>
        </is>
      </c>
      <c r="DK18" s="30" t="inlineStr"/>
      <c r="DL18" s="30" t="b">
        <v>1</v>
      </c>
      <c r="DM18" s="30" t="inlineStr"/>
      <c r="DN18" s="30" t="inlineStr">
        <is>
          <t>2026-06-01</t>
        </is>
      </c>
      <c r="DO18" s="30" t="inlineStr"/>
      <c r="DP18" s="30" t="inlineStr">
        <is>
          <t>2026-06-01</t>
        </is>
      </c>
      <c r="DQ18" s="30" t="inlineStr"/>
      <c r="DR18" s="30" t="b">
        <v>0</v>
      </c>
      <c r="DS18" s="30" t="b">
        <v>1</v>
      </c>
      <c r="DT18" s="30" t="b">
        <v>1</v>
      </c>
      <c r="DU18" s="30" t="b">
        <v>0</v>
      </c>
      <c r="DV18" s="30" t="n">
        <v>0</v>
      </c>
      <c r="DW18" s="30" t="b">
        <v>0</v>
      </c>
      <c r="DX18" s="30" t="b">
        <v>0</v>
      </c>
      <c r="DY18" s="30" t="b">
        <v>0</v>
      </c>
      <c r="DZ18" s="30" t="b">
        <v>0</v>
      </c>
      <c r="EA18" s="32" t="b">
        <v>0</v>
      </c>
      <c r="EB18" s="30" t="b">
        <v>0</v>
      </c>
      <c r="EC18" s="30" t="inlineStr"/>
      <c r="ED18" s="30" t="inlineStr"/>
      <c r="EE18" s="30" t="b">
        <v>0</v>
      </c>
      <c r="EF18" s="30" t="inlineStr"/>
      <c r="EG18" s="30" t="inlineStr"/>
      <c r="EH18" s="30" t="inlineStr"/>
      <c r="EI18" s="30" t="inlineStr">
        <is>
          <t>2026-06-01</t>
        </is>
      </c>
      <c r="EJ18" s="30" t="inlineStr"/>
      <c r="EK18" s="30" t="inlineStr">
        <is>
          <t>Fresh</t>
        </is>
      </c>
      <c r="EL18" s="30" t="inlineStr">
        <is>
          <t>Smoke title 15</t>
        </is>
      </c>
      <c r="EM18" s="30" t="inlineStr"/>
      <c r="EN18" s="30" t="inlineStr">
        <is>
          <t>article</t>
        </is>
      </c>
      <c r="EO18" s="76" t="inlineStr"/>
      <c r="EP18" s="76" t="inlineStr"/>
      <c r="EQ18" s="30" t="inlineStr"/>
      <c r="ER18" s="30" t="inlineStr"/>
      <c r="ES18" s="30" t="inlineStr"/>
      <c r="ET18" s="30" t="inlineStr"/>
      <c r="EU18" s="75" t="b">
        <v>0</v>
      </c>
      <c r="EV18" s="30" t="inlineStr">
        <is>
          <t>summary_large_image</t>
        </is>
      </c>
      <c r="EW18" s="30" t="inlineStr"/>
      <c r="EX18" s="30" t="inlineStr"/>
      <c r="EY18" s="30" t="inlineStr"/>
      <c r="EZ18" s="30" t="n">
        <v>0</v>
      </c>
      <c r="FA18" s="40" t="b">
        <v>0</v>
      </c>
      <c r="FB18" s="76" t="inlineStr">
        <is>
          <t>https://africanmarketingconfederation.org/smoke-archive/page-15</t>
        </is>
      </c>
      <c r="FC18" s="30" t="inlineStr"/>
      <c r="FD18" s="30" t="n">
        <v>0</v>
      </c>
      <c r="FE18" s="31" t="inlineStr"/>
      <c r="FF18" s="30" t="b">
        <v>0</v>
      </c>
      <c r="FG18" s="30" t="b">
        <v>0</v>
      </c>
      <c r="FH18" s="32" t="b">
        <v>0</v>
      </c>
      <c r="FI18" s="30" t="n">
        <v>0</v>
      </c>
      <c r="FJ18" s="30" t="inlineStr">
        <is>
          <t>https://africanmarketingconfederation.org/smoke-archive/page-15</t>
        </is>
      </c>
      <c r="FK18" s="30" t="inlineStr"/>
      <c r="FL18" s="32" t="b">
        <v>0</v>
      </c>
      <c r="FM18" s="30" t="b">
        <v>0</v>
      </c>
      <c r="FN18" s="32" t="b">
        <v>0</v>
      </c>
      <c r="FO18" s="30" t="inlineStr"/>
      <c r="FP18" s="30" t="inlineStr"/>
      <c r="FQ18" s="30" t="inlineStr"/>
      <c r="FR18" s="30" t="inlineStr"/>
      <c r="FS18" s="30" t="inlineStr"/>
      <c r="FT18" s="30" t="inlineStr"/>
      <c r="FU18" s="30" t="inlineStr">
        <is>
          <t>Not specified</t>
        </is>
      </c>
      <c r="FV18" s="30" t="inlineStr">
        <is>
          <t>Not specified</t>
        </is>
      </c>
      <c r="FW18" s="30" t="inlineStr">
        <is>
          <t>Not specified</t>
        </is>
      </c>
      <c r="FX18" s="30" t="inlineStr">
        <is>
          <t>Not specified</t>
        </is>
      </c>
      <c r="FY18" s="30" t="inlineStr">
        <is>
          <t>Not specified</t>
        </is>
      </c>
      <c r="FZ18" s="30" t="b">
        <v>0</v>
      </c>
      <c r="GA18" s="30" t="n">
        <v>0</v>
      </c>
      <c r="GB18" s="30" t="inlineStr"/>
      <c r="GC18" s="30" t="inlineStr"/>
      <c r="GD18" s="30" t="b">
        <v>0</v>
      </c>
      <c r="GE18" s="30" t="b">
        <v>0</v>
      </c>
      <c r="GF18" s="30" t="b">
        <v>0</v>
      </c>
      <c r="GG18" s="30" t="b">
        <v>0</v>
      </c>
      <c r="GH18" s="30" t="b">
        <v>0</v>
      </c>
      <c r="GI18" s="30" t="b">
        <v>0</v>
      </c>
      <c r="GJ18" s="30" t="n">
        <v>0</v>
      </c>
      <c r="GK18" s="30" t="n">
        <v>0</v>
      </c>
      <c r="GL18" s="30" t="n">
        <v>0</v>
      </c>
      <c r="GM18" s="76" t="inlineStr"/>
      <c r="GN18" s="76" t="inlineStr"/>
      <c r="GO18" s="32" t="b">
        <v>0</v>
      </c>
      <c r="GP18" s="30" t="inlineStr"/>
      <c r="GQ18" s="76" t="inlineStr"/>
      <c r="GR18" s="30" t="inlineStr">
        <is>
          <t>Not Declared</t>
        </is>
      </c>
      <c r="GS18" s="30" t="b">
        <v>1</v>
      </c>
      <c r="GT18" s="30" t="n">
        <v>40.2</v>
      </c>
      <c r="GU18" s="30" t="inlineStr">
        <is>
          <t>Orphan</t>
        </is>
      </c>
      <c r="GV18" s="30" t="n">
        <v>0</v>
      </c>
      <c r="GW18" s="34" t="n">
        <v>0</v>
      </c>
      <c r="GX18" s="30" t="b">
        <v>0</v>
      </c>
      <c r="GY18" s="30" t="inlineStr">
        <is>
          <t>FAQ</t>
        </is>
      </c>
      <c r="GZ18" s="30" t="n">
        <v>9</v>
      </c>
      <c r="HA18" s="30" t="b">
        <v>0</v>
      </c>
      <c r="HB18" s="30" t="inlineStr">
        <is>
          <t>smoke, body, copy, intent, classification</t>
        </is>
      </c>
      <c r="HC18" s="30" t="b">
        <v>0</v>
      </c>
      <c r="HD18" s="30" t="b">
        <v>0</v>
      </c>
      <c r="HE18" s="30" t="b">
        <v>0</v>
      </c>
      <c r="HF18" s="34" t="n">
        <v>0</v>
      </c>
      <c r="HG18" s="30" t="b">
        <v>0</v>
      </c>
      <c r="HH18" s="30" t="b">
        <v>0</v>
      </c>
      <c r="HI18" s="38">
        <f>IFERROR(HYPERLINK("#'Technical Diagnostics'!A"&amp;MATCH(B18,'Technical Diagnostics'!A:A,0),"Open Technical"),HYPERLINK("#'Technical Diagnostics'!A1","Open Technical"))</f>
        <v/>
      </c>
    </row>
    <row r="19" ht="18" customHeight="1">
      <c r="A19" s="28" t="inlineStr">
        <is>
          <t>WARN 🟡</t>
        </is>
      </c>
      <c r="B19" s="35" t="inlineStr">
        <is>
          <t>https://africanmarketingconfederation.org/smoke-archive/page-16</t>
        </is>
      </c>
      <c r="C19" s="28" t="inlineStr"/>
      <c r="D19" s="28" t="inlineStr">
        <is>
          <t>Indexable</t>
        </is>
      </c>
      <c r="E19" s="28" t="inlineStr"/>
      <c r="F19" s="28" t="inlineStr">
        <is>
          <t>Smoke title 16</t>
        </is>
      </c>
      <c r="G19" s="28" t="inlineStr">
        <is>
          <t>Smoke meta description for page 16.</t>
        </is>
      </c>
      <c r="H19" s="28" t="n">
        <v>336</v>
      </c>
      <c r="I19" s="28" t="n">
        <v>80</v>
      </c>
      <c r="J19" s="28" t="inlineStr">
        <is>
          <t>Warning</t>
        </is>
      </c>
      <c r="K19" s="28" t="inlineStr">
        <is>
          <t>Yes</t>
        </is>
      </c>
      <c r="L19" s="28" t="inlineStr"/>
      <c r="M19" s="28" t="inlineStr"/>
      <c r="N19" s="28" t="inlineStr">
        <is>
          <t>Lab only</t>
        </is>
      </c>
      <c r="O19" s="28" t="inlineStr">
        <is>
          <t>None</t>
        </is>
      </c>
      <c r="P19" s="28" t="inlineStr">
        <is>
          <t>PSI Lab</t>
        </is>
      </c>
      <c r="Q19" s="28" t="inlineStr">
        <is>
          <t>None</t>
        </is>
      </c>
      <c r="R19" s="28" t="inlineStr"/>
      <c r="S19" s="28" t="inlineStr"/>
      <c r="T19" s="28" t="inlineStr"/>
      <c r="U19" s="28" t="inlineStr"/>
      <c r="V19" s="28" t="inlineStr"/>
      <c r="W19" s="28" t="inlineStr"/>
      <c r="X19" s="28" t="inlineStr"/>
      <c r="Y19" s="28" t="inlineStr"/>
      <c r="Z19" s="28" t="inlineStr"/>
      <c r="AA19" s="28" t="n">
        <v>88</v>
      </c>
      <c r="AB19" s="28" t="n">
        <v>88</v>
      </c>
      <c r="AC19" s="28" t="n">
        <v>88</v>
      </c>
      <c r="AD19" s="28" t="n">
        <v>85</v>
      </c>
      <c r="AE19" s="28" t="n">
        <v>82</v>
      </c>
      <c r="AF19" s="28" t="n">
        <v>92</v>
      </c>
      <c r="AG19" s="28" t="n">
        <v>2.4</v>
      </c>
      <c r="AH19" s="28" t="n">
        <v>0.04</v>
      </c>
      <c r="AI19" s="28" t="n">
        <v>0.4</v>
      </c>
      <c r="AJ19" s="28" t="n">
        <v>2.4</v>
      </c>
      <c r="AK19" s="28" t="n">
        <v>0.04</v>
      </c>
      <c r="AL19" s="28" t="n">
        <v>180</v>
      </c>
      <c r="AM19" s="28" t="n">
        <v>120</v>
      </c>
      <c r="AN19" s="28" t="n">
        <v>1.8</v>
      </c>
      <c r="AO19" s="28" t="n">
        <v>3.2</v>
      </c>
      <c r="AP19" s="28" t="n">
        <v>4.1</v>
      </c>
      <c r="AQ19" s="28" t="n">
        <v>400</v>
      </c>
      <c r="AR19" s="28" t="n">
        <v>88</v>
      </c>
      <c r="AS19" s="28" t="n">
        <v>85</v>
      </c>
      <c r="AT19" s="28" t="n">
        <v>82</v>
      </c>
      <c r="AU19" s="28" t="n">
        <v>92</v>
      </c>
      <c r="AV19" s="28" t="n">
        <v>2.4</v>
      </c>
      <c r="AW19" s="28" t="n">
        <v>0.04</v>
      </c>
      <c r="AX19" s="28" t="n">
        <v>180</v>
      </c>
      <c r="AY19" s="28" t="n">
        <v>120</v>
      </c>
      <c r="AZ19" s="28" t="n">
        <v>1.8</v>
      </c>
      <c r="BA19" s="28" t="n">
        <v>3.2</v>
      </c>
      <c r="BB19" s="28" t="n">
        <v>4.1</v>
      </c>
      <c r="BC19" s="28" t="n">
        <v>400</v>
      </c>
      <c r="BD19" s="28" t="n">
        <v>500</v>
      </c>
      <c r="BE19" s="28" t="n">
        <v>842</v>
      </c>
      <c r="BF19" s="28" t="n">
        <v>1250</v>
      </c>
      <c r="BG19" s="28" t="n">
        <v>1</v>
      </c>
      <c r="BH19" s="28" t="b">
        <v>1</v>
      </c>
      <c r="BI19" s="34" t="b">
        <v>1</v>
      </c>
      <c r="BJ19" s="28" t="b">
        <v>1</v>
      </c>
      <c r="BK19" s="28" t="b">
        <v>1</v>
      </c>
      <c r="BL19" s="28" t="b">
        <v>0</v>
      </c>
      <c r="BM19" s="28" t="n">
        <v>65</v>
      </c>
      <c r="BN19" s="28" t="inlineStr">
        <is>
          <t>complete</t>
        </is>
      </c>
      <c r="BO19" s="28" t="inlineStr">
        <is>
          <t>rendered_browser</t>
        </is>
      </c>
      <c r="BP19" s="28" t="b">
        <v>0</v>
      </c>
      <c r="BQ19" s="28" t="n">
        <v>0</v>
      </c>
      <c r="BR19" s="28" t="n">
        <v>0</v>
      </c>
      <c r="BS19" s="28" t="inlineStr">
        <is>
          <t>https://africanmarketingconfederation.org/og-16.jpg</t>
        </is>
      </c>
      <c r="BT19" s="28" t="b">
        <v>0</v>
      </c>
      <c r="BU19" s="28" t="inlineStr"/>
      <c r="BV19" s="28" t="inlineStr"/>
      <c r="BW19" s="28" t="n">
        <v>0</v>
      </c>
      <c r="BX19" s="28" t="inlineStr"/>
      <c r="BY19" s="28" t="n">
        <v>0</v>
      </c>
      <c r="BZ19" s="28" t="inlineStr"/>
      <c r="CA19" s="28" t="n">
        <v>0</v>
      </c>
      <c r="CB19" s="28" t="inlineStr"/>
      <c r="CC19" s="28" t="n">
        <v>0</v>
      </c>
      <c r="CD19" s="28" t="inlineStr"/>
      <c r="CE19" s="28" t="n">
        <v>0</v>
      </c>
      <c r="CF19" s="28" t="inlineStr"/>
      <c r="CG19" s="28" t="n">
        <v>0</v>
      </c>
      <c r="CH19" s="28" t="inlineStr"/>
      <c r="CI19" s="28" t="inlineStr"/>
      <c r="CJ19" s="28" t="inlineStr"/>
      <c r="CK19" s="28" t="inlineStr"/>
      <c r="CL19" s="28" t="inlineStr">
        <is>
          <t>2026-06-01 to 2026-06-30 (30-day window; excludes today; typical GSC lag ~48h)</t>
        </is>
      </c>
      <c r="CM19" s="28" t="inlineStr">
        <is>
          <t>No Search Analytics row matched this URL in the 30-day export (compare Final URL with the page URL shown in GSC)</t>
        </is>
      </c>
      <c r="CN19" s="28" t="n">
        <v>-1</v>
      </c>
      <c r="CO19" s="28" t="b">
        <v>1</v>
      </c>
      <c r="CP19" s="28" t="n">
        <v>0.012048</v>
      </c>
      <c r="CQ19" s="28" t="b">
        <v>1</v>
      </c>
      <c r="CR19" s="28" t="b">
        <v>1</v>
      </c>
      <c r="CS19" s="28" t="inlineStr">
        <is>
          <t>Both</t>
        </is>
      </c>
      <c r="CT19" s="74" t="inlineStr"/>
      <c r="CU19" s="28" t="n">
        <v>17</v>
      </c>
      <c r="CV19" s="29">
        <f>IFERROR(INDEX(OFFSET('Technical Diagnostics'!$A$1,2,MATCH("SEO Health Score",'Technical Diagnostics'!$2:$2,0)-1,99998,1),MATCH(B19,OFFSET('Technical Diagnostics'!$A$1,2,MATCH("URL",'Technical Diagnostics'!$2:$2,0)-1,99998,1),0)),"")</f>
        <v/>
      </c>
      <c r="CW19" s="32" t="n">
        <v>100</v>
      </c>
      <c r="CX19" s="29" t="n">
        <v>85</v>
      </c>
      <c r="CY19" s="32" t="b">
        <v>1</v>
      </c>
      <c r="CZ19" s="28" t="b">
        <v>0</v>
      </c>
      <c r="DA19" s="28" t="inlineStr"/>
      <c r="DB19" s="28" t="inlineStr"/>
      <c r="DC19" s="28" t="inlineStr"/>
      <c r="DD19" s="28" t="n">
        <v>0</v>
      </c>
      <c r="DE19" s="28" t="n">
        <v>0</v>
      </c>
      <c r="DF19" s="28" t="inlineStr"/>
      <c r="DG19" s="28" t="inlineStr"/>
      <c r="DH19" s="28" t="inlineStr"/>
      <c r="DI19" s="28" t="n">
        <v>6</v>
      </c>
      <c r="DJ19" s="28" t="inlineStr">
        <is>
          <t>Author 16</t>
        </is>
      </c>
      <c r="DK19" s="28" t="inlineStr"/>
      <c r="DL19" s="28" t="b">
        <v>1</v>
      </c>
      <c r="DM19" s="28" t="inlineStr"/>
      <c r="DN19" s="28" t="inlineStr">
        <is>
          <t>2026-06-01</t>
        </is>
      </c>
      <c r="DO19" s="28" t="inlineStr"/>
      <c r="DP19" s="28" t="inlineStr">
        <is>
          <t>2026-06-01</t>
        </is>
      </c>
      <c r="DQ19" s="28" t="inlineStr"/>
      <c r="DR19" s="28" t="b">
        <v>0</v>
      </c>
      <c r="DS19" s="28" t="b">
        <v>1</v>
      </c>
      <c r="DT19" s="28" t="b">
        <v>1</v>
      </c>
      <c r="DU19" s="28" t="b">
        <v>0</v>
      </c>
      <c r="DV19" s="28" t="n">
        <v>0</v>
      </c>
      <c r="DW19" s="28" t="b">
        <v>0</v>
      </c>
      <c r="DX19" s="28" t="b">
        <v>0</v>
      </c>
      <c r="DY19" s="28" t="b">
        <v>0</v>
      </c>
      <c r="DZ19" s="28" t="b">
        <v>0</v>
      </c>
      <c r="EA19" s="32" t="b">
        <v>0</v>
      </c>
      <c r="EB19" s="28" t="b">
        <v>0</v>
      </c>
      <c r="EC19" s="28" t="inlineStr"/>
      <c r="ED19" s="28" t="inlineStr"/>
      <c r="EE19" s="28" t="b">
        <v>0</v>
      </c>
      <c r="EF19" s="28" t="inlineStr"/>
      <c r="EG19" s="28" t="inlineStr"/>
      <c r="EH19" s="28" t="inlineStr"/>
      <c r="EI19" s="28" t="inlineStr"/>
      <c r="EJ19" s="28" t="inlineStr"/>
      <c r="EK19" s="28" t="inlineStr">
        <is>
          <t>Fresh</t>
        </is>
      </c>
      <c r="EL19" s="28" t="inlineStr"/>
      <c r="EM19" s="28" t="inlineStr">
        <is>
          <t>Smoke meta description for page 16.</t>
        </is>
      </c>
      <c r="EN19" s="28" t="inlineStr">
        <is>
          <t>article</t>
        </is>
      </c>
      <c r="EO19" s="74" t="inlineStr"/>
      <c r="EP19" s="74" t="inlineStr">
        <is>
          <t>https://africanmarketingconfederation.org/og-16.jpg</t>
        </is>
      </c>
      <c r="EQ19" s="28" t="inlineStr"/>
      <c r="ER19" s="28" t="inlineStr"/>
      <c r="ES19" s="28" t="inlineStr"/>
      <c r="ET19" s="28" t="inlineStr"/>
      <c r="EU19" s="75" t="b">
        <v>0</v>
      </c>
      <c r="EV19" s="28" t="inlineStr">
        <is>
          <t>summary_large_image</t>
        </is>
      </c>
      <c r="EW19" s="28" t="inlineStr"/>
      <c r="EX19" s="28" t="inlineStr"/>
      <c r="EY19" s="28" t="inlineStr"/>
      <c r="EZ19" s="28" t="n">
        <v>0</v>
      </c>
      <c r="FA19" s="40" t="b">
        <v>0</v>
      </c>
      <c r="FB19" s="74" t="inlineStr">
        <is>
          <t>https://africanmarketingconfederation.org/smoke-archive/page-16</t>
        </is>
      </c>
      <c r="FC19" s="28" t="inlineStr"/>
      <c r="FD19" s="28" t="n">
        <v>0</v>
      </c>
      <c r="FE19" s="20" t="inlineStr"/>
      <c r="FF19" s="28" t="b">
        <v>0</v>
      </c>
      <c r="FG19" s="28" t="b">
        <v>0</v>
      </c>
      <c r="FH19" s="32" t="b">
        <v>0</v>
      </c>
      <c r="FI19" s="28" t="n">
        <v>0</v>
      </c>
      <c r="FJ19" s="28" t="inlineStr">
        <is>
          <t>https://africanmarketingconfederation.org/smoke-archive/page-16</t>
        </is>
      </c>
      <c r="FK19" s="28" t="inlineStr"/>
      <c r="FL19" s="32" t="b">
        <v>0</v>
      </c>
      <c r="FM19" s="28" t="b">
        <v>0</v>
      </c>
      <c r="FN19" s="32" t="b">
        <v>0</v>
      </c>
      <c r="FO19" s="28" t="inlineStr"/>
      <c r="FP19" s="28" t="inlineStr"/>
      <c r="FQ19" s="28" t="inlineStr"/>
      <c r="FR19" s="28" t="inlineStr"/>
      <c r="FS19" s="28" t="inlineStr"/>
      <c r="FT19" s="28" t="inlineStr"/>
      <c r="FU19" s="28" t="inlineStr">
        <is>
          <t>Not specified</t>
        </is>
      </c>
      <c r="FV19" s="28" t="inlineStr">
        <is>
          <t>Not specified</t>
        </is>
      </c>
      <c r="FW19" s="28" t="inlineStr">
        <is>
          <t>Not specified</t>
        </is>
      </c>
      <c r="FX19" s="28" t="inlineStr">
        <is>
          <t>Not specified</t>
        </is>
      </c>
      <c r="FY19" s="28" t="inlineStr">
        <is>
          <t>Not specified</t>
        </is>
      </c>
      <c r="FZ19" s="28" t="b">
        <v>0</v>
      </c>
      <c r="GA19" s="28" t="n">
        <v>0</v>
      </c>
      <c r="GB19" s="28" t="inlineStr"/>
      <c r="GC19" s="28" t="inlineStr"/>
      <c r="GD19" s="28" t="b">
        <v>0</v>
      </c>
      <c r="GE19" s="28" t="b">
        <v>0</v>
      </c>
      <c r="GF19" s="28" t="b">
        <v>0</v>
      </c>
      <c r="GG19" s="28" t="b">
        <v>0</v>
      </c>
      <c r="GH19" s="28" t="b">
        <v>0</v>
      </c>
      <c r="GI19" s="28" t="b">
        <v>0</v>
      </c>
      <c r="GJ19" s="28" t="n">
        <v>0</v>
      </c>
      <c r="GK19" s="28" t="n">
        <v>0</v>
      </c>
      <c r="GL19" s="28" t="n">
        <v>0</v>
      </c>
      <c r="GM19" s="74" t="inlineStr"/>
      <c r="GN19" s="74" t="inlineStr"/>
      <c r="GO19" s="32" t="b">
        <v>0</v>
      </c>
      <c r="GP19" s="28" t="inlineStr"/>
      <c r="GQ19" s="74" t="inlineStr"/>
      <c r="GR19" s="28" t="inlineStr">
        <is>
          <t>Not Declared</t>
        </is>
      </c>
      <c r="GS19" s="28" t="b">
        <v>1</v>
      </c>
      <c r="GT19" s="28" t="n">
        <v>52.4</v>
      </c>
      <c r="GU19" s="28" t="inlineStr">
        <is>
          <t>Orphan</t>
        </is>
      </c>
      <c r="GV19" s="28" t="n">
        <v>0</v>
      </c>
      <c r="GW19" s="34" t="n">
        <v>0</v>
      </c>
      <c r="GX19" s="28" t="b">
        <v>0</v>
      </c>
      <c r="GY19" s="28" t="inlineStr">
        <is>
          <t>FAQ</t>
        </is>
      </c>
      <c r="GZ19" s="28" t="n">
        <v>9</v>
      </c>
      <c r="HA19" s="28" t="b">
        <v>0</v>
      </c>
      <c r="HB19" s="28" t="inlineStr">
        <is>
          <t>smoke, body, copy, intent, classification</t>
        </is>
      </c>
      <c r="HC19" s="28" t="b">
        <v>0</v>
      </c>
      <c r="HD19" s="28" t="b">
        <v>0</v>
      </c>
      <c r="HE19" s="28" t="b">
        <v>0</v>
      </c>
      <c r="HF19" s="34" t="n">
        <v>0</v>
      </c>
      <c r="HG19" s="28" t="b">
        <v>0</v>
      </c>
      <c r="HH19" s="28" t="b">
        <v>0</v>
      </c>
      <c r="HI19">
        <f>IFERROR(HYPERLINK("#'Technical Diagnostics'!A"&amp;MATCH(B19,'Technical Diagnostics'!A:A,0),"Open Technical"),HYPERLINK("#'Technical Diagnostics'!A1","Open Technical"))</f>
        <v/>
      </c>
    </row>
    <row r="20" ht="18" customHeight="1">
      <c r="A20" s="30" t="inlineStr">
        <is>
          <t>FAIL 🔴</t>
        </is>
      </c>
      <c r="B20" s="37" t="inlineStr">
        <is>
          <t>https://africanmarketingconfederation.org/smoke-archive/page-17</t>
        </is>
      </c>
      <c r="C20" s="30" t="inlineStr"/>
      <c r="D20" s="30" t="inlineStr">
        <is>
          <t>Non-Indexable</t>
        </is>
      </c>
      <c r="E20" s="30" t="inlineStr"/>
      <c r="F20" s="30" t="inlineStr">
        <is>
          <t>Smoke title 17</t>
        </is>
      </c>
      <c r="G20" s="30" t="inlineStr">
        <is>
          <t>Smoke meta description for page 17.</t>
        </is>
      </c>
      <c r="H20" s="30" t="n">
        <v>337</v>
      </c>
      <c r="I20" s="30" t="n">
        <v>0</v>
      </c>
      <c r="J20" s="30" t="inlineStr">
        <is>
          <t>Critical</t>
        </is>
      </c>
      <c r="K20" s="30" t="inlineStr">
        <is>
          <t>Yes</t>
        </is>
      </c>
      <c r="L20" s="30" t="inlineStr"/>
      <c r="M20" s="30" t="inlineStr"/>
      <c r="N20" s="30" t="inlineStr">
        <is>
          <t>Lab only</t>
        </is>
      </c>
      <c r="O20" s="30" t="inlineStr">
        <is>
          <t>None</t>
        </is>
      </c>
      <c r="P20" s="30" t="inlineStr">
        <is>
          <t>PSI Lab</t>
        </is>
      </c>
      <c r="Q20" s="30" t="inlineStr">
        <is>
          <t>None</t>
        </is>
      </c>
      <c r="R20" s="30" t="inlineStr"/>
      <c r="S20" s="30" t="inlineStr"/>
      <c r="T20" s="30" t="inlineStr"/>
      <c r="U20" s="30" t="inlineStr"/>
      <c r="V20" s="30" t="inlineStr"/>
      <c r="W20" s="30" t="inlineStr"/>
      <c r="X20" s="30" t="inlineStr"/>
      <c r="Y20" s="30" t="inlineStr"/>
      <c r="Z20" s="30" t="inlineStr"/>
      <c r="AA20" s="30" t="n">
        <v>88</v>
      </c>
      <c r="AB20" s="30" t="n">
        <v>88</v>
      </c>
      <c r="AC20" s="30" t="n">
        <v>88</v>
      </c>
      <c r="AD20" s="30" t="n">
        <v>85</v>
      </c>
      <c r="AE20" s="30" t="n">
        <v>82</v>
      </c>
      <c r="AF20" s="30" t="n">
        <v>92</v>
      </c>
      <c r="AG20" s="30" t="n">
        <v>2.4</v>
      </c>
      <c r="AH20" s="30" t="n">
        <v>0.04</v>
      </c>
      <c r="AI20" s="30" t="n">
        <v>0.4</v>
      </c>
      <c r="AJ20" s="30" t="n">
        <v>2.4</v>
      </c>
      <c r="AK20" s="30" t="n">
        <v>0.04</v>
      </c>
      <c r="AL20" s="30" t="n">
        <v>180</v>
      </c>
      <c r="AM20" s="30" t="n">
        <v>120</v>
      </c>
      <c r="AN20" s="30" t="n">
        <v>1.8</v>
      </c>
      <c r="AO20" s="30" t="n">
        <v>3.2</v>
      </c>
      <c r="AP20" s="30" t="n">
        <v>4.1</v>
      </c>
      <c r="AQ20" s="30" t="n">
        <v>400</v>
      </c>
      <c r="AR20" s="30" t="n">
        <v>88</v>
      </c>
      <c r="AS20" s="30" t="n">
        <v>85</v>
      </c>
      <c r="AT20" s="30" t="n">
        <v>82</v>
      </c>
      <c r="AU20" s="30" t="n">
        <v>92</v>
      </c>
      <c r="AV20" s="30" t="n">
        <v>2.4</v>
      </c>
      <c r="AW20" s="30" t="n">
        <v>0.04</v>
      </c>
      <c r="AX20" s="30" t="n">
        <v>180</v>
      </c>
      <c r="AY20" s="30" t="n">
        <v>120</v>
      </c>
      <c r="AZ20" s="30" t="n">
        <v>1.8</v>
      </c>
      <c r="BA20" s="30" t="n">
        <v>3.2</v>
      </c>
      <c r="BB20" s="30" t="n">
        <v>4.1</v>
      </c>
      <c r="BC20" s="30" t="n">
        <v>400</v>
      </c>
      <c r="BD20" s="30" t="n">
        <v>500</v>
      </c>
      <c r="BE20" s="30" t="n">
        <v>842</v>
      </c>
      <c r="BF20" s="30" t="n">
        <v>1250</v>
      </c>
      <c r="BG20" s="30" t="n">
        <v>1</v>
      </c>
      <c r="BH20" s="30" t="b">
        <v>1</v>
      </c>
      <c r="BI20" s="34" t="b">
        <v>1</v>
      </c>
      <c r="BJ20" s="30" t="b">
        <v>1</v>
      </c>
      <c r="BK20" s="30" t="b">
        <v>1</v>
      </c>
      <c r="BL20" s="30" t="b">
        <v>0</v>
      </c>
      <c r="BM20" s="30" t="n">
        <v>65</v>
      </c>
      <c r="BN20" s="30" t="inlineStr">
        <is>
          <t>complete</t>
        </is>
      </c>
      <c r="BO20" s="30" t="inlineStr">
        <is>
          <t>rendered_browser</t>
        </is>
      </c>
      <c r="BP20" s="30" t="b">
        <v>0</v>
      </c>
      <c r="BQ20" s="30" t="n">
        <v>0</v>
      </c>
      <c r="BR20" s="30" t="n">
        <v>0</v>
      </c>
      <c r="BS20" s="30" t="inlineStr"/>
      <c r="BT20" s="30" t="b">
        <v>0</v>
      </c>
      <c r="BU20" s="30" t="inlineStr"/>
      <c r="BV20" s="30" t="inlineStr"/>
      <c r="BW20" s="30" t="n">
        <v>0</v>
      </c>
      <c r="BX20" s="30" t="inlineStr"/>
      <c r="BY20" s="30" t="n">
        <v>0</v>
      </c>
      <c r="BZ20" s="30" t="inlineStr"/>
      <c r="CA20" s="30" t="n">
        <v>0</v>
      </c>
      <c r="CB20" s="30" t="inlineStr"/>
      <c r="CC20" s="30" t="n">
        <v>0</v>
      </c>
      <c r="CD20" s="30" t="inlineStr"/>
      <c r="CE20" s="30" t="n">
        <v>0</v>
      </c>
      <c r="CF20" s="30" t="inlineStr"/>
      <c r="CG20" s="30" t="n">
        <v>0</v>
      </c>
      <c r="CH20" s="30" t="inlineStr"/>
      <c r="CI20" s="30" t="inlineStr"/>
      <c r="CJ20" s="30" t="inlineStr"/>
      <c r="CK20" s="30" t="inlineStr"/>
      <c r="CL20" s="30" t="inlineStr">
        <is>
          <t>2026-06-01 to 2026-06-30 (30-day window; excludes today; typical GSC lag ~48h)</t>
        </is>
      </c>
      <c r="CM20" s="30" t="inlineStr">
        <is>
          <t>No Search Analytics row matched this URL in the 30-day export (compare Final URL with the page URL shown in GSC)</t>
        </is>
      </c>
      <c r="CN20" s="30" t="n">
        <v>-1</v>
      </c>
      <c r="CO20" s="30" t="b">
        <v>1</v>
      </c>
      <c r="CP20" s="30" t="n">
        <v>0.012048</v>
      </c>
      <c r="CQ20" s="30" t="b">
        <v>1</v>
      </c>
      <c r="CR20" s="30" t="b">
        <v>1</v>
      </c>
      <c r="CS20" s="30" t="inlineStr">
        <is>
          <t>Both</t>
        </is>
      </c>
      <c r="CT20" s="76" t="inlineStr"/>
      <c r="CU20" s="30" t="n">
        <v>18</v>
      </c>
      <c r="CV20" s="34">
        <f>IFERROR(INDEX(OFFSET('Technical Diagnostics'!$A$1,2,MATCH("SEO Health Score",'Technical Diagnostics'!$2:$2,0)-1,99998,1),MATCH(B20,OFFSET('Technical Diagnostics'!$A$1,2,MATCH("URL",'Technical Diagnostics'!$2:$2,0)-1,99998,1),0)),"")</f>
        <v/>
      </c>
      <c r="CW20" s="32" t="n">
        <v>100</v>
      </c>
      <c r="CX20" s="34" t="n">
        <v>25</v>
      </c>
      <c r="CY20" s="32" t="b">
        <v>1</v>
      </c>
      <c r="CZ20" s="30" t="b">
        <v>0</v>
      </c>
      <c r="DA20" s="30" t="inlineStr"/>
      <c r="DB20" s="30" t="inlineStr"/>
      <c r="DC20" s="30" t="inlineStr"/>
      <c r="DD20" s="30" t="n">
        <v>0</v>
      </c>
      <c r="DE20" s="30" t="n">
        <v>0</v>
      </c>
      <c r="DF20" s="30" t="inlineStr"/>
      <c r="DG20" s="30" t="inlineStr"/>
      <c r="DH20" s="30" t="inlineStr"/>
      <c r="DI20" s="30" t="n">
        <v>6</v>
      </c>
      <c r="DJ20" s="30" t="inlineStr">
        <is>
          <t>Author 17</t>
        </is>
      </c>
      <c r="DK20" s="30" t="inlineStr"/>
      <c r="DL20" s="30" t="b">
        <v>1</v>
      </c>
      <c r="DM20" s="30" t="inlineStr"/>
      <c r="DN20" s="30" t="inlineStr">
        <is>
          <t>2026-06-01</t>
        </is>
      </c>
      <c r="DO20" s="30" t="inlineStr"/>
      <c r="DP20" s="30" t="inlineStr">
        <is>
          <t>2026-06-01</t>
        </is>
      </c>
      <c r="DQ20" s="30" t="inlineStr"/>
      <c r="DR20" s="30" t="b">
        <v>0</v>
      </c>
      <c r="DS20" s="30" t="b">
        <v>1</v>
      </c>
      <c r="DT20" s="30" t="b">
        <v>1</v>
      </c>
      <c r="DU20" s="30" t="b">
        <v>0</v>
      </c>
      <c r="DV20" s="30" t="n">
        <v>0</v>
      </c>
      <c r="DW20" s="30" t="b">
        <v>0</v>
      </c>
      <c r="DX20" s="30" t="b">
        <v>0</v>
      </c>
      <c r="DY20" s="30" t="b">
        <v>0</v>
      </c>
      <c r="DZ20" s="30" t="b">
        <v>0</v>
      </c>
      <c r="EA20" s="32" t="b">
        <v>0</v>
      </c>
      <c r="EB20" s="30" t="b">
        <v>0</v>
      </c>
      <c r="EC20" s="30" t="inlineStr"/>
      <c r="ED20" s="30" t="inlineStr"/>
      <c r="EE20" s="30" t="b">
        <v>0</v>
      </c>
      <c r="EF20" s="30" t="inlineStr"/>
      <c r="EG20" s="30" t="inlineStr"/>
      <c r="EH20" s="30" t="inlineStr"/>
      <c r="EI20" s="30" t="inlineStr"/>
      <c r="EJ20" s="30" t="inlineStr"/>
      <c r="EK20" s="30" t="inlineStr">
        <is>
          <t>Fresh</t>
        </is>
      </c>
      <c r="EL20" s="30" t="inlineStr">
        <is>
          <t>Smoke title 17</t>
        </is>
      </c>
      <c r="EM20" s="30" t="inlineStr">
        <is>
          <t>Smoke meta description for page 17.</t>
        </is>
      </c>
      <c r="EN20" s="30" t="inlineStr">
        <is>
          <t>article</t>
        </is>
      </c>
      <c r="EO20" s="76" t="inlineStr"/>
      <c r="EP20" s="76" t="inlineStr"/>
      <c r="EQ20" s="30" t="inlineStr"/>
      <c r="ER20" s="30" t="inlineStr"/>
      <c r="ES20" s="30" t="inlineStr"/>
      <c r="ET20" s="30" t="inlineStr"/>
      <c r="EU20" s="75" t="b">
        <v>0</v>
      </c>
      <c r="EV20" s="30" t="inlineStr">
        <is>
          <t>summary_large_image</t>
        </is>
      </c>
      <c r="EW20" s="30" t="inlineStr"/>
      <c r="EX20" s="30" t="inlineStr"/>
      <c r="EY20" s="30" t="inlineStr"/>
      <c r="EZ20" s="30" t="n">
        <v>0</v>
      </c>
      <c r="FA20" s="40" t="b">
        <v>0</v>
      </c>
      <c r="FB20" s="76" t="inlineStr">
        <is>
          <t>https://africanmarketingconfederation.org/smoke-archive/page-17</t>
        </is>
      </c>
      <c r="FC20" s="30" t="inlineStr"/>
      <c r="FD20" s="30" t="n">
        <v>0</v>
      </c>
      <c r="FE20" s="31" t="inlineStr"/>
      <c r="FF20" s="30" t="b">
        <v>0</v>
      </c>
      <c r="FG20" s="30" t="b">
        <v>0</v>
      </c>
      <c r="FH20" s="32" t="b">
        <v>0</v>
      </c>
      <c r="FI20" s="30" t="n">
        <v>0</v>
      </c>
      <c r="FJ20" s="30" t="inlineStr">
        <is>
          <t>https://africanmarketingconfederation.org/smoke-archive/page-17</t>
        </is>
      </c>
      <c r="FK20" s="30" t="inlineStr"/>
      <c r="FL20" s="32" t="b">
        <v>0</v>
      </c>
      <c r="FM20" s="30" t="b">
        <v>0</v>
      </c>
      <c r="FN20" s="32" t="b">
        <v>0</v>
      </c>
      <c r="FO20" s="30" t="inlineStr"/>
      <c r="FP20" s="30" t="inlineStr"/>
      <c r="FQ20" s="30" t="inlineStr"/>
      <c r="FR20" s="30" t="inlineStr"/>
      <c r="FS20" s="30" t="inlineStr"/>
      <c r="FT20" s="30" t="inlineStr"/>
      <c r="FU20" s="30" t="inlineStr">
        <is>
          <t>Not specified</t>
        </is>
      </c>
      <c r="FV20" s="30" t="inlineStr">
        <is>
          <t>Not specified</t>
        </is>
      </c>
      <c r="FW20" s="30" t="inlineStr">
        <is>
          <t>Not specified</t>
        </is>
      </c>
      <c r="FX20" s="30" t="inlineStr">
        <is>
          <t>Not specified</t>
        </is>
      </c>
      <c r="FY20" s="30" t="inlineStr">
        <is>
          <t>Not specified</t>
        </is>
      </c>
      <c r="FZ20" s="30" t="b">
        <v>0</v>
      </c>
      <c r="GA20" s="30" t="n">
        <v>0</v>
      </c>
      <c r="GB20" s="30" t="inlineStr"/>
      <c r="GC20" s="30" t="inlineStr"/>
      <c r="GD20" s="30" t="b">
        <v>0</v>
      </c>
      <c r="GE20" s="30" t="b">
        <v>0</v>
      </c>
      <c r="GF20" s="30" t="b">
        <v>0</v>
      </c>
      <c r="GG20" s="30" t="b">
        <v>0</v>
      </c>
      <c r="GH20" s="30" t="b">
        <v>0</v>
      </c>
      <c r="GI20" s="30" t="b">
        <v>0</v>
      </c>
      <c r="GJ20" s="30" t="n">
        <v>0</v>
      </c>
      <c r="GK20" s="30" t="n">
        <v>0</v>
      </c>
      <c r="GL20" s="30" t="n">
        <v>0</v>
      </c>
      <c r="GM20" s="76" t="inlineStr"/>
      <c r="GN20" s="76" t="inlineStr"/>
      <c r="GO20" s="32" t="b">
        <v>0</v>
      </c>
      <c r="GP20" s="30" t="inlineStr"/>
      <c r="GQ20" s="76" t="inlineStr"/>
      <c r="GR20" s="30" t="inlineStr">
        <is>
          <t>Not Declared</t>
        </is>
      </c>
      <c r="GS20" s="30" t="b">
        <v>1</v>
      </c>
      <c r="GT20" s="30" t="n">
        <v>79.3</v>
      </c>
      <c r="GU20" s="30" t="inlineStr">
        <is>
          <t>Orphan</t>
        </is>
      </c>
      <c r="GV20" s="30" t="n">
        <v>0</v>
      </c>
      <c r="GW20" s="34" t="n">
        <v>0</v>
      </c>
      <c r="GX20" s="30" t="b">
        <v>0</v>
      </c>
      <c r="GY20" s="30" t="inlineStr">
        <is>
          <t>FAQ</t>
        </is>
      </c>
      <c r="GZ20" s="30" t="n">
        <v>9</v>
      </c>
      <c r="HA20" s="30" t="b">
        <v>0</v>
      </c>
      <c r="HB20" s="30" t="inlineStr">
        <is>
          <t>smoke, body, copy, intent, classification</t>
        </is>
      </c>
      <c r="HC20" s="30" t="b">
        <v>0</v>
      </c>
      <c r="HD20" s="30" t="b">
        <v>0</v>
      </c>
      <c r="HE20" s="30" t="b">
        <v>0</v>
      </c>
      <c r="HF20" s="34" t="n">
        <v>0</v>
      </c>
      <c r="HG20" s="30" t="b">
        <v>0</v>
      </c>
      <c r="HH20" s="30" t="b">
        <v>0</v>
      </c>
      <c r="HI20" s="38">
        <f>IFERROR(HYPERLINK("#'Technical Diagnostics'!A"&amp;MATCH(B20,'Technical Diagnostics'!A:A,0),"Open Technical"),HYPERLINK("#'Technical Diagnostics'!A1","Open Technical"))</f>
        <v/>
      </c>
    </row>
    <row r="21" ht="18" customHeight="1">
      <c r="A21" s="28" t="inlineStr">
        <is>
          <t>WARN 🟡</t>
        </is>
      </c>
      <c r="B21" s="35" t="inlineStr">
        <is>
          <t>https://africanmarketingconfederation.org/smoke-archive/page-18</t>
        </is>
      </c>
      <c r="C21" s="28" t="inlineStr"/>
      <c r="D21" s="28" t="inlineStr">
        <is>
          <t>Indexable</t>
        </is>
      </c>
      <c r="E21" s="28" t="inlineStr"/>
      <c r="F21" s="28" t="inlineStr">
        <is>
          <t>Smoke title 18</t>
        </is>
      </c>
      <c r="G21" s="28" t="inlineStr">
        <is>
          <t>Smoke meta description for page 18.</t>
        </is>
      </c>
      <c r="H21" s="28" t="n">
        <v>338</v>
      </c>
      <c r="I21" s="28" t="n">
        <v>60</v>
      </c>
      <c r="J21" s="28" t="inlineStr">
        <is>
          <t>Warning</t>
        </is>
      </c>
      <c r="K21" s="28" t="inlineStr">
        <is>
          <t>Yes</t>
        </is>
      </c>
      <c r="L21" s="28" t="inlineStr"/>
      <c r="M21" s="28" t="inlineStr"/>
      <c r="N21" s="28" t="inlineStr">
        <is>
          <t>Lab only</t>
        </is>
      </c>
      <c r="O21" s="28" t="inlineStr">
        <is>
          <t>None</t>
        </is>
      </c>
      <c r="P21" s="28" t="inlineStr">
        <is>
          <t>PSI Lab</t>
        </is>
      </c>
      <c r="Q21" s="28" t="inlineStr">
        <is>
          <t>None</t>
        </is>
      </c>
      <c r="R21" s="28" t="inlineStr"/>
      <c r="S21" s="28" t="inlineStr"/>
      <c r="T21" s="28" t="inlineStr"/>
      <c r="U21" s="28" t="inlineStr"/>
      <c r="V21" s="28" t="inlineStr"/>
      <c r="W21" s="28" t="inlineStr"/>
      <c r="X21" s="28" t="inlineStr"/>
      <c r="Y21" s="28" t="inlineStr"/>
      <c r="Z21" s="28" t="inlineStr"/>
      <c r="AA21" s="28" t="n">
        <v>88</v>
      </c>
      <c r="AB21" s="28" t="n">
        <v>88</v>
      </c>
      <c r="AC21" s="28" t="n">
        <v>88</v>
      </c>
      <c r="AD21" s="28" t="n">
        <v>85</v>
      </c>
      <c r="AE21" s="28" t="n">
        <v>82</v>
      </c>
      <c r="AF21" s="28" t="n">
        <v>92</v>
      </c>
      <c r="AG21" s="28" t="n">
        <v>2.4</v>
      </c>
      <c r="AH21" s="28" t="n">
        <v>0.04</v>
      </c>
      <c r="AI21" s="28" t="n">
        <v>0.4</v>
      </c>
      <c r="AJ21" s="28" t="n">
        <v>2.4</v>
      </c>
      <c r="AK21" s="28" t="n">
        <v>0.04</v>
      </c>
      <c r="AL21" s="28" t="n">
        <v>180</v>
      </c>
      <c r="AM21" s="28" t="n">
        <v>120</v>
      </c>
      <c r="AN21" s="28" t="n">
        <v>1.8</v>
      </c>
      <c r="AO21" s="28" t="n">
        <v>3.2</v>
      </c>
      <c r="AP21" s="28" t="n">
        <v>4.1</v>
      </c>
      <c r="AQ21" s="28" t="n">
        <v>400</v>
      </c>
      <c r="AR21" s="28" t="n">
        <v>88</v>
      </c>
      <c r="AS21" s="28" t="n">
        <v>85</v>
      </c>
      <c r="AT21" s="28" t="n">
        <v>82</v>
      </c>
      <c r="AU21" s="28" t="n">
        <v>92</v>
      </c>
      <c r="AV21" s="28" t="n">
        <v>2.4</v>
      </c>
      <c r="AW21" s="28" t="n">
        <v>0.04</v>
      </c>
      <c r="AX21" s="28" t="n">
        <v>180</v>
      </c>
      <c r="AY21" s="28" t="n">
        <v>120</v>
      </c>
      <c r="AZ21" s="28" t="n">
        <v>1.8</v>
      </c>
      <c r="BA21" s="28" t="n">
        <v>3.2</v>
      </c>
      <c r="BB21" s="28" t="n">
        <v>4.1</v>
      </c>
      <c r="BC21" s="28" t="n">
        <v>400</v>
      </c>
      <c r="BD21" s="28" t="n">
        <v>500</v>
      </c>
      <c r="BE21" s="28" t="n">
        <v>842</v>
      </c>
      <c r="BF21" s="28" t="n">
        <v>1250</v>
      </c>
      <c r="BG21" s="28" t="n">
        <v>1</v>
      </c>
      <c r="BH21" s="28" t="b">
        <v>1</v>
      </c>
      <c r="BI21" s="34" t="b">
        <v>1</v>
      </c>
      <c r="BJ21" s="28" t="b">
        <v>1</v>
      </c>
      <c r="BK21" s="28" t="b">
        <v>1</v>
      </c>
      <c r="BL21" s="28" t="b">
        <v>0</v>
      </c>
      <c r="BM21" s="28" t="n">
        <v>65</v>
      </c>
      <c r="BN21" s="28" t="inlineStr">
        <is>
          <t>complete</t>
        </is>
      </c>
      <c r="BO21" s="28" t="inlineStr">
        <is>
          <t>rendered_browser</t>
        </is>
      </c>
      <c r="BP21" s="28" t="b">
        <v>0</v>
      </c>
      <c r="BQ21" s="28" t="n">
        <v>0</v>
      </c>
      <c r="BR21" s="28" t="n">
        <v>0</v>
      </c>
      <c r="BS21" s="28" t="inlineStr"/>
      <c r="BT21" s="28" t="b">
        <v>0</v>
      </c>
      <c r="BU21" s="28" t="inlineStr"/>
      <c r="BV21" s="28" t="inlineStr"/>
      <c r="BW21" s="28" t="n">
        <v>0</v>
      </c>
      <c r="BX21" s="28" t="inlineStr"/>
      <c r="BY21" s="28" t="n">
        <v>0</v>
      </c>
      <c r="BZ21" s="28" t="inlineStr"/>
      <c r="CA21" s="28" t="n">
        <v>0</v>
      </c>
      <c r="CB21" s="28" t="inlineStr"/>
      <c r="CC21" s="28" t="n">
        <v>0</v>
      </c>
      <c r="CD21" s="28" t="inlineStr"/>
      <c r="CE21" s="28" t="n">
        <v>0</v>
      </c>
      <c r="CF21" s="28" t="inlineStr"/>
      <c r="CG21" s="28" t="n">
        <v>0</v>
      </c>
      <c r="CH21" s="28" t="inlineStr"/>
      <c r="CI21" s="28" t="inlineStr"/>
      <c r="CJ21" s="28" t="inlineStr"/>
      <c r="CK21" s="28" t="inlineStr"/>
      <c r="CL21" s="28" t="inlineStr">
        <is>
          <t>2026-06-01 to 2026-06-30 (30-day window; excludes today; typical GSC lag ~48h)</t>
        </is>
      </c>
      <c r="CM21" s="28" t="inlineStr">
        <is>
          <t>No Search Analytics row matched this URL in the 30-day export (compare Final URL with the page URL shown in GSC)</t>
        </is>
      </c>
      <c r="CN21" s="28" t="n">
        <v>-1</v>
      </c>
      <c r="CO21" s="28" t="b">
        <v>1</v>
      </c>
      <c r="CP21" s="28" t="n">
        <v>0.012048</v>
      </c>
      <c r="CQ21" s="28" t="b">
        <v>1</v>
      </c>
      <c r="CR21" s="28" t="b">
        <v>1</v>
      </c>
      <c r="CS21" s="28" t="inlineStr">
        <is>
          <t>Both</t>
        </is>
      </c>
      <c r="CT21" s="74" t="inlineStr"/>
      <c r="CU21" s="28" t="n">
        <v>19</v>
      </c>
      <c r="CV21" s="34">
        <f>IFERROR(INDEX(OFFSET('Technical Diagnostics'!$A$1,2,MATCH("SEO Health Score",'Technical Diagnostics'!$2:$2,0)-1,99998,1),MATCH(B21,OFFSET('Technical Diagnostics'!$A$1,2,MATCH("URL",'Technical Diagnostics'!$2:$2,0)-1,99998,1),0)),"")</f>
        <v/>
      </c>
      <c r="CW21" s="32" t="n">
        <v>100</v>
      </c>
      <c r="CX21" s="29" t="n">
        <v>70</v>
      </c>
      <c r="CY21" s="32" t="b">
        <v>1</v>
      </c>
      <c r="CZ21" s="28" t="b">
        <v>0</v>
      </c>
      <c r="DA21" s="28" t="inlineStr"/>
      <c r="DB21" s="28" t="inlineStr"/>
      <c r="DC21" s="28" t="inlineStr"/>
      <c r="DD21" s="28" t="n">
        <v>0</v>
      </c>
      <c r="DE21" s="28" t="n">
        <v>0</v>
      </c>
      <c r="DF21" s="28" t="inlineStr"/>
      <c r="DG21" s="28" t="inlineStr"/>
      <c r="DH21" s="28" t="inlineStr"/>
      <c r="DI21" s="28" t="n">
        <v>6</v>
      </c>
      <c r="DJ21" s="28" t="inlineStr">
        <is>
          <t>Author 18</t>
        </is>
      </c>
      <c r="DK21" s="28" t="inlineStr"/>
      <c r="DL21" s="28" t="b">
        <v>1</v>
      </c>
      <c r="DM21" s="28" t="inlineStr"/>
      <c r="DN21" s="28" t="inlineStr">
        <is>
          <t>2026-06-01</t>
        </is>
      </c>
      <c r="DO21" s="28" t="inlineStr"/>
      <c r="DP21" s="28" t="inlineStr">
        <is>
          <t>2026-06-01</t>
        </is>
      </c>
      <c r="DQ21" s="28" t="inlineStr"/>
      <c r="DR21" s="28" t="b">
        <v>0</v>
      </c>
      <c r="DS21" s="28" t="b">
        <v>1</v>
      </c>
      <c r="DT21" s="28" t="b">
        <v>1</v>
      </c>
      <c r="DU21" s="28" t="b">
        <v>0</v>
      </c>
      <c r="DV21" s="28" t="n">
        <v>0</v>
      </c>
      <c r="DW21" s="28" t="b">
        <v>0</v>
      </c>
      <c r="DX21" s="28" t="b">
        <v>0</v>
      </c>
      <c r="DY21" s="28" t="b">
        <v>0</v>
      </c>
      <c r="DZ21" s="28" t="b">
        <v>0</v>
      </c>
      <c r="EA21" s="32" t="b">
        <v>0</v>
      </c>
      <c r="EB21" s="28" t="b">
        <v>0</v>
      </c>
      <c r="EC21" s="28" t="inlineStr"/>
      <c r="ED21" s="28" t="inlineStr"/>
      <c r="EE21" s="28" t="b">
        <v>0</v>
      </c>
      <c r="EF21" s="28" t="inlineStr"/>
      <c r="EG21" s="28" t="inlineStr"/>
      <c r="EH21" s="28" t="inlineStr"/>
      <c r="EI21" s="28" t="inlineStr">
        <is>
          <t>2026-06-01</t>
        </is>
      </c>
      <c r="EJ21" s="28" t="inlineStr"/>
      <c r="EK21" s="28" t="inlineStr">
        <is>
          <t>Fresh</t>
        </is>
      </c>
      <c r="EL21" s="28" t="inlineStr">
        <is>
          <t>Smoke title 18</t>
        </is>
      </c>
      <c r="EM21" s="28" t="inlineStr">
        <is>
          <t>Smoke meta description for page 18.</t>
        </is>
      </c>
      <c r="EN21" s="28" t="inlineStr">
        <is>
          <t>article</t>
        </is>
      </c>
      <c r="EO21" s="74" t="inlineStr"/>
      <c r="EP21" s="74" t="inlineStr"/>
      <c r="EQ21" s="28" t="inlineStr"/>
      <c r="ER21" s="28" t="inlineStr"/>
      <c r="ES21" s="28" t="inlineStr"/>
      <c r="ET21" s="28" t="inlineStr"/>
      <c r="EU21" s="75" t="b">
        <v>0</v>
      </c>
      <c r="EV21" s="28" t="inlineStr">
        <is>
          <t>summary_large_image</t>
        </is>
      </c>
      <c r="EW21" s="28" t="inlineStr"/>
      <c r="EX21" s="28" t="inlineStr"/>
      <c r="EY21" s="28" t="inlineStr"/>
      <c r="EZ21" s="28" t="n">
        <v>0</v>
      </c>
      <c r="FA21" s="40" t="b">
        <v>0</v>
      </c>
      <c r="FB21" s="74" t="inlineStr">
        <is>
          <t>https://africanmarketingconfederation.org/smoke-archive/page-18</t>
        </is>
      </c>
      <c r="FC21" s="28" t="inlineStr"/>
      <c r="FD21" s="28" t="n">
        <v>0</v>
      </c>
      <c r="FE21" s="20" t="inlineStr"/>
      <c r="FF21" s="28" t="b">
        <v>0</v>
      </c>
      <c r="FG21" s="28" t="b">
        <v>0</v>
      </c>
      <c r="FH21" s="32" t="b">
        <v>0</v>
      </c>
      <c r="FI21" s="28" t="n">
        <v>0</v>
      </c>
      <c r="FJ21" s="28" t="inlineStr">
        <is>
          <t>https://africanmarketingconfederation.org/smoke-archive/page-18</t>
        </is>
      </c>
      <c r="FK21" s="28" t="inlineStr"/>
      <c r="FL21" s="32" t="b">
        <v>0</v>
      </c>
      <c r="FM21" s="28" t="b">
        <v>0</v>
      </c>
      <c r="FN21" s="32" t="b">
        <v>0</v>
      </c>
      <c r="FO21" s="28" t="inlineStr"/>
      <c r="FP21" s="28" t="inlineStr"/>
      <c r="FQ21" s="28" t="inlineStr"/>
      <c r="FR21" s="28" t="inlineStr"/>
      <c r="FS21" s="28" t="inlineStr"/>
      <c r="FT21" s="28" t="inlineStr"/>
      <c r="FU21" s="28" t="inlineStr">
        <is>
          <t>Not specified</t>
        </is>
      </c>
      <c r="FV21" s="28" t="inlineStr">
        <is>
          <t>Not specified</t>
        </is>
      </c>
      <c r="FW21" s="28" t="inlineStr">
        <is>
          <t>Not specified</t>
        </is>
      </c>
      <c r="FX21" s="28" t="inlineStr">
        <is>
          <t>Not specified</t>
        </is>
      </c>
      <c r="FY21" s="28" t="inlineStr">
        <is>
          <t>Not specified</t>
        </is>
      </c>
      <c r="FZ21" s="28" t="b">
        <v>0</v>
      </c>
      <c r="GA21" s="28" t="n">
        <v>0</v>
      </c>
      <c r="GB21" s="28" t="inlineStr"/>
      <c r="GC21" s="28" t="inlineStr"/>
      <c r="GD21" s="28" t="b">
        <v>0</v>
      </c>
      <c r="GE21" s="28" t="b">
        <v>0</v>
      </c>
      <c r="GF21" s="28" t="b">
        <v>0</v>
      </c>
      <c r="GG21" s="28" t="b">
        <v>0</v>
      </c>
      <c r="GH21" s="28" t="b">
        <v>0</v>
      </c>
      <c r="GI21" s="28" t="b">
        <v>0</v>
      </c>
      <c r="GJ21" s="28" t="n">
        <v>0</v>
      </c>
      <c r="GK21" s="28" t="n">
        <v>0</v>
      </c>
      <c r="GL21" s="28" t="n">
        <v>0</v>
      </c>
      <c r="GM21" s="74" t="inlineStr"/>
      <c r="GN21" s="74" t="inlineStr"/>
      <c r="GO21" s="32" t="b">
        <v>0</v>
      </c>
      <c r="GP21" s="28" t="inlineStr"/>
      <c r="GQ21" s="74" t="inlineStr"/>
      <c r="GR21" s="28" t="inlineStr">
        <is>
          <t>Not Declared</t>
        </is>
      </c>
      <c r="GS21" s="28" t="b">
        <v>1</v>
      </c>
      <c r="GT21" s="28" t="n">
        <v>3.7</v>
      </c>
      <c r="GU21" s="28" t="inlineStr">
        <is>
          <t>Orphan</t>
        </is>
      </c>
      <c r="GV21" s="28" t="n">
        <v>0</v>
      </c>
      <c r="GW21" s="34" t="n">
        <v>0</v>
      </c>
      <c r="GX21" s="28" t="b">
        <v>0</v>
      </c>
      <c r="GY21" s="28" t="inlineStr">
        <is>
          <t>None</t>
        </is>
      </c>
      <c r="GZ21" s="28" t="n">
        <v>0</v>
      </c>
      <c r="HA21" s="28" t="b">
        <v>0</v>
      </c>
      <c r="HB21" s="28" t="inlineStr">
        <is>
          <t>smoke, body, copy, intent, classification</t>
        </is>
      </c>
      <c r="HC21" s="28" t="b">
        <v>0</v>
      </c>
      <c r="HD21" s="28" t="b">
        <v>0</v>
      </c>
      <c r="HE21" s="28" t="b">
        <v>0</v>
      </c>
      <c r="HF21" s="34" t="n">
        <v>0</v>
      </c>
      <c r="HG21" s="28" t="b">
        <v>0</v>
      </c>
      <c r="HH21" s="28" t="b">
        <v>0</v>
      </c>
      <c r="HI21">
        <f>IFERROR(HYPERLINK("#'Technical Diagnostics'!A"&amp;MATCH(B21,'Technical Diagnostics'!A:A,0),"Open Technical"),HYPERLINK("#'Technical Diagnostics'!A1","Open Technical"))</f>
        <v/>
      </c>
    </row>
    <row r="22" ht="18" customHeight="1">
      <c r="A22" s="30" t="inlineStr">
        <is>
          <t>WARN 🟡</t>
        </is>
      </c>
      <c r="B22" s="37" t="inlineStr">
        <is>
          <t>https://africanmarketingconfederation.org/smoke-archive/page-19</t>
        </is>
      </c>
      <c r="C22" s="30" t="inlineStr"/>
      <c r="D22" s="30" t="inlineStr">
        <is>
          <t>Indexable</t>
        </is>
      </c>
      <c r="E22" s="30" t="inlineStr"/>
      <c r="F22" s="30" t="inlineStr">
        <is>
          <t>Smoke title 19</t>
        </is>
      </c>
      <c r="G22" s="30" t="inlineStr">
        <is>
          <t>Smoke meta description for page 19.</t>
        </is>
      </c>
      <c r="H22" s="30" t="n">
        <v>339</v>
      </c>
      <c r="I22" s="30" t="n">
        <v>80</v>
      </c>
      <c r="J22" s="30" t="inlineStr">
        <is>
          <t>Warning</t>
        </is>
      </c>
      <c r="K22" s="30" t="inlineStr">
        <is>
          <t>Yes</t>
        </is>
      </c>
      <c r="L22" s="30" t="inlineStr"/>
      <c r="M22" s="30" t="inlineStr"/>
      <c r="N22" s="30" t="inlineStr">
        <is>
          <t>Lab only</t>
        </is>
      </c>
      <c r="O22" s="30" t="inlineStr">
        <is>
          <t>None</t>
        </is>
      </c>
      <c r="P22" s="30" t="inlineStr">
        <is>
          <t>PSI Lab</t>
        </is>
      </c>
      <c r="Q22" s="30" t="inlineStr">
        <is>
          <t>None</t>
        </is>
      </c>
      <c r="R22" s="30" t="inlineStr"/>
      <c r="S22" s="30" t="inlineStr"/>
      <c r="T22" s="30" t="inlineStr"/>
      <c r="U22" s="30" t="inlineStr"/>
      <c r="V22" s="30" t="inlineStr"/>
      <c r="W22" s="30" t="inlineStr"/>
      <c r="X22" s="30" t="inlineStr"/>
      <c r="Y22" s="30" t="inlineStr"/>
      <c r="Z22" s="30" t="inlineStr"/>
      <c r="AA22" s="30" t="n">
        <v>88</v>
      </c>
      <c r="AB22" s="30" t="n">
        <v>88</v>
      </c>
      <c r="AC22" s="30" t="n">
        <v>88</v>
      </c>
      <c r="AD22" s="30" t="n">
        <v>85</v>
      </c>
      <c r="AE22" s="30" t="n">
        <v>82</v>
      </c>
      <c r="AF22" s="30" t="n">
        <v>92</v>
      </c>
      <c r="AG22" s="30" t="n">
        <v>2.4</v>
      </c>
      <c r="AH22" s="30" t="n">
        <v>0.04</v>
      </c>
      <c r="AI22" s="30" t="n">
        <v>0.4</v>
      </c>
      <c r="AJ22" s="30" t="n">
        <v>2.4</v>
      </c>
      <c r="AK22" s="30" t="n">
        <v>0.04</v>
      </c>
      <c r="AL22" s="30" t="n">
        <v>180</v>
      </c>
      <c r="AM22" s="30" t="n">
        <v>120</v>
      </c>
      <c r="AN22" s="30" t="n">
        <v>1.8</v>
      </c>
      <c r="AO22" s="30" t="n">
        <v>3.2</v>
      </c>
      <c r="AP22" s="30" t="n">
        <v>4.1</v>
      </c>
      <c r="AQ22" s="30" t="n">
        <v>400</v>
      </c>
      <c r="AR22" s="30" t="n">
        <v>88</v>
      </c>
      <c r="AS22" s="30" t="n">
        <v>85</v>
      </c>
      <c r="AT22" s="30" t="n">
        <v>82</v>
      </c>
      <c r="AU22" s="30" t="n">
        <v>92</v>
      </c>
      <c r="AV22" s="30" t="n">
        <v>2.4</v>
      </c>
      <c r="AW22" s="30" t="n">
        <v>0.04</v>
      </c>
      <c r="AX22" s="30" t="n">
        <v>180</v>
      </c>
      <c r="AY22" s="30" t="n">
        <v>120</v>
      </c>
      <c r="AZ22" s="30" t="n">
        <v>1.8</v>
      </c>
      <c r="BA22" s="30" t="n">
        <v>3.2</v>
      </c>
      <c r="BB22" s="30" t="n">
        <v>4.1</v>
      </c>
      <c r="BC22" s="30" t="n">
        <v>400</v>
      </c>
      <c r="BD22" s="30" t="n">
        <v>500</v>
      </c>
      <c r="BE22" s="30" t="n">
        <v>842</v>
      </c>
      <c r="BF22" s="30" t="n">
        <v>1250</v>
      </c>
      <c r="BG22" s="30" t="n">
        <v>1</v>
      </c>
      <c r="BH22" s="30" t="b">
        <v>1</v>
      </c>
      <c r="BI22" s="34" t="b">
        <v>1</v>
      </c>
      <c r="BJ22" s="30" t="b">
        <v>1</v>
      </c>
      <c r="BK22" s="30" t="b">
        <v>1</v>
      </c>
      <c r="BL22" s="30" t="b">
        <v>0</v>
      </c>
      <c r="BM22" s="30" t="n">
        <v>65</v>
      </c>
      <c r="BN22" s="30" t="inlineStr">
        <is>
          <t>partial</t>
        </is>
      </c>
      <c r="BO22" s="30" t="inlineStr">
        <is>
          <t>rendered_browser</t>
        </is>
      </c>
      <c r="BP22" s="30" t="b">
        <v>0</v>
      </c>
      <c r="BQ22" s="30" t="n">
        <v>0</v>
      </c>
      <c r="BR22" s="30" t="n">
        <v>0</v>
      </c>
      <c r="BS22" s="30" t="inlineStr"/>
      <c r="BT22" s="30" t="b">
        <v>0</v>
      </c>
      <c r="BU22" s="30" t="inlineStr"/>
      <c r="BV22" s="30" t="inlineStr"/>
      <c r="BW22" s="30" t="n">
        <v>0</v>
      </c>
      <c r="BX22" s="30" t="inlineStr"/>
      <c r="BY22" s="30" t="n">
        <v>0</v>
      </c>
      <c r="BZ22" s="30" t="inlineStr"/>
      <c r="CA22" s="30" t="n">
        <v>0</v>
      </c>
      <c r="CB22" s="30" t="inlineStr"/>
      <c r="CC22" s="30" t="n">
        <v>0</v>
      </c>
      <c r="CD22" s="30" t="inlineStr"/>
      <c r="CE22" s="30" t="n">
        <v>0</v>
      </c>
      <c r="CF22" s="30" t="inlineStr"/>
      <c r="CG22" s="30" t="n">
        <v>0</v>
      </c>
      <c r="CH22" s="30" t="inlineStr"/>
      <c r="CI22" s="30" t="inlineStr"/>
      <c r="CJ22" s="30" t="inlineStr"/>
      <c r="CK22" s="30" t="inlineStr"/>
      <c r="CL22" s="30" t="inlineStr">
        <is>
          <t>2026-06-01 to 2026-06-30 (30-day window; excludes today; typical GSC lag ~48h)</t>
        </is>
      </c>
      <c r="CM22" s="30" t="inlineStr">
        <is>
          <t>No Search Analytics row matched this URL in the 30-day export (compare Final URL with the page URL shown in GSC)</t>
        </is>
      </c>
      <c r="CN22" s="30" t="n">
        <v>-1</v>
      </c>
      <c r="CO22" s="30" t="b">
        <v>1</v>
      </c>
      <c r="CP22" s="30" t="n">
        <v>0.012048</v>
      </c>
      <c r="CQ22" s="30" t="b">
        <v>1</v>
      </c>
      <c r="CR22" s="30" t="b">
        <v>1</v>
      </c>
      <c r="CS22" s="30" t="inlineStr">
        <is>
          <t>Both</t>
        </is>
      </c>
      <c r="CT22" s="76" t="inlineStr"/>
      <c r="CU22" s="30" t="n">
        <v>20</v>
      </c>
      <c r="CV22" s="29">
        <f>IFERROR(INDEX(OFFSET('Technical Diagnostics'!$A$1,2,MATCH("SEO Health Score",'Technical Diagnostics'!$2:$2,0)-1,99998,1),MATCH(B22,OFFSET('Technical Diagnostics'!$A$1,2,MATCH("URL",'Technical Diagnostics'!$2:$2,0)-1,99998,1),0)),"")</f>
        <v/>
      </c>
      <c r="CW22" s="32" t="n">
        <v>100</v>
      </c>
      <c r="CX22" s="29" t="n">
        <v>85</v>
      </c>
      <c r="CY22" s="32" t="b">
        <v>1</v>
      </c>
      <c r="CZ22" s="30" t="b">
        <v>0</v>
      </c>
      <c r="DA22" s="30" t="inlineStr"/>
      <c r="DB22" s="30" t="inlineStr"/>
      <c r="DC22" s="30" t="inlineStr"/>
      <c r="DD22" s="30" t="n">
        <v>0</v>
      </c>
      <c r="DE22" s="30" t="n">
        <v>0</v>
      </c>
      <c r="DF22" s="30" t="inlineStr"/>
      <c r="DG22" s="30" t="inlineStr"/>
      <c r="DH22" s="30" t="inlineStr"/>
      <c r="DI22" s="30" t="n">
        <v>6</v>
      </c>
      <c r="DJ22" s="30" t="inlineStr">
        <is>
          <t>Author 19</t>
        </is>
      </c>
      <c r="DK22" s="30" t="inlineStr"/>
      <c r="DL22" s="30" t="b">
        <v>1</v>
      </c>
      <c r="DM22" s="30" t="inlineStr"/>
      <c r="DN22" s="30" t="inlineStr">
        <is>
          <t>2026-06-01</t>
        </is>
      </c>
      <c r="DO22" s="30" t="inlineStr"/>
      <c r="DP22" s="30" t="inlineStr">
        <is>
          <t>2026-06-01</t>
        </is>
      </c>
      <c r="DQ22" s="30" t="inlineStr"/>
      <c r="DR22" s="30" t="b">
        <v>0</v>
      </c>
      <c r="DS22" s="30" t="b">
        <v>1</v>
      </c>
      <c r="DT22" s="30" t="b">
        <v>1</v>
      </c>
      <c r="DU22" s="30" t="b">
        <v>0</v>
      </c>
      <c r="DV22" s="30" t="n">
        <v>0</v>
      </c>
      <c r="DW22" s="30" t="b">
        <v>0</v>
      </c>
      <c r="DX22" s="30" t="b">
        <v>0</v>
      </c>
      <c r="DY22" s="30" t="b">
        <v>0</v>
      </c>
      <c r="DZ22" s="30" t="b">
        <v>0</v>
      </c>
      <c r="EA22" s="32" t="b">
        <v>0</v>
      </c>
      <c r="EB22" s="30" t="b">
        <v>0</v>
      </c>
      <c r="EC22" s="30" t="inlineStr"/>
      <c r="ED22" s="30" t="inlineStr"/>
      <c r="EE22" s="30" t="b">
        <v>0</v>
      </c>
      <c r="EF22" s="30" t="inlineStr"/>
      <c r="EG22" s="30" t="inlineStr"/>
      <c r="EH22" s="30" t="inlineStr"/>
      <c r="EI22" s="30" t="inlineStr"/>
      <c r="EJ22" s="30" t="inlineStr"/>
      <c r="EK22" s="30" t="inlineStr">
        <is>
          <t>Fresh</t>
        </is>
      </c>
      <c r="EL22" s="30" t="inlineStr">
        <is>
          <t>Smoke title 19</t>
        </is>
      </c>
      <c r="EM22" s="30" t="inlineStr">
        <is>
          <t>Smoke meta description for page 19.</t>
        </is>
      </c>
      <c r="EN22" s="30" t="inlineStr">
        <is>
          <t>article</t>
        </is>
      </c>
      <c r="EO22" s="76" t="inlineStr"/>
      <c r="EP22" s="76" t="inlineStr"/>
      <c r="EQ22" s="30" t="inlineStr"/>
      <c r="ER22" s="30" t="inlineStr"/>
      <c r="ES22" s="30" t="inlineStr"/>
      <c r="ET22" s="30" t="inlineStr"/>
      <c r="EU22" s="75" t="b">
        <v>0</v>
      </c>
      <c r="EV22" s="30" t="inlineStr">
        <is>
          <t>summary_large_image</t>
        </is>
      </c>
      <c r="EW22" s="30" t="inlineStr"/>
      <c r="EX22" s="30" t="inlineStr"/>
      <c r="EY22" s="30" t="inlineStr"/>
      <c r="EZ22" s="30" t="n">
        <v>0</v>
      </c>
      <c r="FA22" s="40" t="b">
        <v>0</v>
      </c>
      <c r="FB22" s="76" t="inlineStr">
        <is>
          <t>https://africanmarketingconfederation.org/smoke-archive/page-19</t>
        </is>
      </c>
      <c r="FC22" s="30" t="inlineStr"/>
      <c r="FD22" s="30" t="n">
        <v>0</v>
      </c>
      <c r="FE22" s="31" t="inlineStr"/>
      <c r="FF22" s="30" t="b">
        <v>0</v>
      </c>
      <c r="FG22" s="30" t="b">
        <v>0</v>
      </c>
      <c r="FH22" s="32" t="b">
        <v>0</v>
      </c>
      <c r="FI22" s="30" t="n">
        <v>0</v>
      </c>
      <c r="FJ22" s="30" t="inlineStr">
        <is>
          <t>https://africanmarketingconfederation.org/smoke-archive/page-19</t>
        </is>
      </c>
      <c r="FK22" s="30" t="inlineStr"/>
      <c r="FL22" s="32" t="b">
        <v>0</v>
      </c>
      <c r="FM22" s="30" t="b">
        <v>0</v>
      </c>
      <c r="FN22" s="32" t="b">
        <v>0</v>
      </c>
      <c r="FO22" s="30" t="inlineStr"/>
      <c r="FP22" s="30" t="inlineStr"/>
      <c r="FQ22" s="30" t="inlineStr"/>
      <c r="FR22" s="30" t="inlineStr"/>
      <c r="FS22" s="30" t="inlineStr"/>
      <c r="FT22" s="30" t="inlineStr"/>
      <c r="FU22" s="30" t="inlineStr">
        <is>
          <t>Not specified</t>
        </is>
      </c>
      <c r="FV22" s="30" t="inlineStr">
        <is>
          <t>Not specified</t>
        </is>
      </c>
      <c r="FW22" s="30" t="inlineStr">
        <is>
          <t>Not specified</t>
        </is>
      </c>
      <c r="FX22" s="30" t="inlineStr">
        <is>
          <t>Not specified</t>
        </is>
      </c>
      <c r="FY22" s="30" t="inlineStr">
        <is>
          <t>Not specified</t>
        </is>
      </c>
      <c r="FZ22" s="30" t="b">
        <v>0</v>
      </c>
      <c r="GA22" s="30" t="n">
        <v>0</v>
      </c>
      <c r="GB22" s="30" t="inlineStr"/>
      <c r="GC22" s="30" t="inlineStr"/>
      <c r="GD22" s="30" t="b">
        <v>0</v>
      </c>
      <c r="GE22" s="30" t="b">
        <v>0</v>
      </c>
      <c r="GF22" s="30" t="b">
        <v>0</v>
      </c>
      <c r="GG22" s="30" t="b">
        <v>0</v>
      </c>
      <c r="GH22" s="30" t="b">
        <v>0</v>
      </c>
      <c r="GI22" s="30" t="b">
        <v>0</v>
      </c>
      <c r="GJ22" s="30" t="n">
        <v>0</v>
      </c>
      <c r="GK22" s="30" t="n">
        <v>0</v>
      </c>
      <c r="GL22" s="30" t="n">
        <v>0</v>
      </c>
      <c r="GM22" s="76" t="inlineStr"/>
      <c r="GN22" s="76" t="inlineStr"/>
      <c r="GO22" s="32" t="b">
        <v>0</v>
      </c>
      <c r="GP22" s="30" t="inlineStr"/>
      <c r="GQ22" s="76" t="inlineStr"/>
      <c r="GR22" s="30" t="inlineStr">
        <is>
          <t>Not Declared</t>
        </is>
      </c>
      <c r="GS22" s="30" t="b">
        <v>1</v>
      </c>
      <c r="GT22" s="30" t="n">
        <v>76.8</v>
      </c>
      <c r="GU22" s="30" t="inlineStr">
        <is>
          <t>Orphan</t>
        </is>
      </c>
      <c r="GV22" s="30" t="n">
        <v>0</v>
      </c>
      <c r="GW22" s="34" t="n">
        <v>0</v>
      </c>
      <c r="GX22" s="30" t="b">
        <v>0</v>
      </c>
      <c r="GY22" s="30" t="inlineStr">
        <is>
          <t>FAQ</t>
        </is>
      </c>
      <c r="GZ22" s="30" t="n">
        <v>9</v>
      </c>
      <c r="HA22" s="30" t="b">
        <v>0</v>
      </c>
      <c r="HB22" s="30" t="inlineStr">
        <is>
          <t>smoke, body, copy, intent, classification</t>
        </is>
      </c>
      <c r="HC22" s="30" t="b">
        <v>0</v>
      </c>
      <c r="HD22" s="30" t="b">
        <v>0</v>
      </c>
      <c r="HE22" s="30" t="b">
        <v>0</v>
      </c>
      <c r="HF22" s="34" t="n">
        <v>0</v>
      </c>
      <c r="HG22" s="30" t="b">
        <v>0</v>
      </c>
      <c r="HH22" s="30" t="b">
        <v>0</v>
      </c>
      <c r="HI22" s="38">
        <f>IFERROR(HYPERLINK("#'Technical Diagnostics'!A"&amp;MATCH(B22,'Technical Diagnostics'!A:A,0),"Open Technical"),HYPERLINK("#'Technical Diagnostics'!A1","Open Technical"))</f>
        <v/>
      </c>
    </row>
    <row r="23" ht="18" customHeight="1">
      <c r="A23" s="28" t="inlineStr">
        <is>
          <t>WARN 🟡</t>
        </is>
      </c>
      <c r="B23" s="35" t="inlineStr">
        <is>
          <t>https://africanmarketingconfederation.org/smoke-archive/page-20</t>
        </is>
      </c>
      <c r="C23" s="28" t="inlineStr"/>
      <c r="D23" s="28" t="inlineStr">
        <is>
          <t>Indexable</t>
        </is>
      </c>
      <c r="E23" s="28" t="inlineStr"/>
      <c r="F23" s="28" t="inlineStr">
        <is>
          <t>Smoke title 20</t>
        </is>
      </c>
      <c r="G23" s="28" t="inlineStr"/>
      <c r="H23" s="28" t="n">
        <v>340</v>
      </c>
      <c r="I23" s="28" t="n">
        <v>70</v>
      </c>
      <c r="J23" s="28" t="inlineStr">
        <is>
          <t>Warning</t>
        </is>
      </c>
      <c r="K23" s="28" t="inlineStr">
        <is>
          <t>Yes</t>
        </is>
      </c>
      <c r="L23" s="28" t="inlineStr"/>
      <c r="M23" s="28" t="inlineStr"/>
      <c r="N23" s="28" t="inlineStr">
        <is>
          <t>Lab only</t>
        </is>
      </c>
      <c r="O23" s="28" t="inlineStr">
        <is>
          <t>None</t>
        </is>
      </c>
      <c r="P23" s="28" t="inlineStr">
        <is>
          <t>PSI Lab</t>
        </is>
      </c>
      <c r="Q23" s="28" t="inlineStr">
        <is>
          <t>None</t>
        </is>
      </c>
      <c r="R23" s="28" t="inlineStr"/>
      <c r="S23" s="28" t="inlineStr"/>
      <c r="T23" s="28" t="inlineStr"/>
      <c r="U23" s="28" t="inlineStr"/>
      <c r="V23" s="28" t="inlineStr"/>
      <c r="W23" s="28" t="inlineStr"/>
      <c r="X23" s="28" t="inlineStr"/>
      <c r="Y23" s="28" t="inlineStr"/>
      <c r="Z23" s="28" t="inlineStr"/>
      <c r="AA23" s="28" t="n">
        <v>88</v>
      </c>
      <c r="AB23" s="28" t="n">
        <v>88</v>
      </c>
      <c r="AC23" s="28" t="n">
        <v>88</v>
      </c>
      <c r="AD23" s="28" t="n">
        <v>85</v>
      </c>
      <c r="AE23" s="28" t="n">
        <v>82</v>
      </c>
      <c r="AF23" s="28" t="n">
        <v>92</v>
      </c>
      <c r="AG23" s="28" t="n">
        <v>2.4</v>
      </c>
      <c r="AH23" s="28" t="n">
        <v>0.04</v>
      </c>
      <c r="AI23" s="28" t="n">
        <v>0.4</v>
      </c>
      <c r="AJ23" s="28" t="n">
        <v>2.4</v>
      </c>
      <c r="AK23" s="28" t="n">
        <v>0.04</v>
      </c>
      <c r="AL23" s="28" t="n">
        <v>180</v>
      </c>
      <c r="AM23" s="28" t="n">
        <v>120</v>
      </c>
      <c r="AN23" s="28" t="n">
        <v>1.8</v>
      </c>
      <c r="AO23" s="28" t="n">
        <v>3.2</v>
      </c>
      <c r="AP23" s="28" t="n">
        <v>4.1</v>
      </c>
      <c r="AQ23" s="28" t="n">
        <v>400</v>
      </c>
      <c r="AR23" s="28" t="n">
        <v>88</v>
      </c>
      <c r="AS23" s="28" t="n">
        <v>85</v>
      </c>
      <c r="AT23" s="28" t="n">
        <v>82</v>
      </c>
      <c r="AU23" s="28" t="n">
        <v>92</v>
      </c>
      <c r="AV23" s="28" t="n">
        <v>2.4</v>
      </c>
      <c r="AW23" s="28" t="n">
        <v>0.04</v>
      </c>
      <c r="AX23" s="28" t="n">
        <v>180</v>
      </c>
      <c r="AY23" s="28" t="n">
        <v>120</v>
      </c>
      <c r="AZ23" s="28" t="n">
        <v>1.8</v>
      </c>
      <c r="BA23" s="28" t="n">
        <v>3.2</v>
      </c>
      <c r="BB23" s="28" t="n">
        <v>4.1</v>
      </c>
      <c r="BC23" s="28" t="n">
        <v>400</v>
      </c>
      <c r="BD23" s="28" t="n">
        <v>500</v>
      </c>
      <c r="BE23" s="28" t="n">
        <v>842</v>
      </c>
      <c r="BF23" s="28" t="n">
        <v>1250</v>
      </c>
      <c r="BG23" s="28" t="n">
        <v>1</v>
      </c>
      <c r="BH23" s="28" t="b">
        <v>1</v>
      </c>
      <c r="BI23" s="34" t="b">
        <v>1</v>
      </c>
      <c r="BJ23" s="28" t="b">
        <v>1</v>
      </c>
      <c r="BK23" s="28" t="b">
        <v>1</v>
      </c>
      <c r="BL23" s="28" t="b">
        <v>0</v>
      </c>
      <c r="BM23" s="28" t="n">
        <v>65</v>
      </c>
      <c r="BN23" s="28" t="inlineStr">
        <is>
          <t>complete</t>
        </is>
      </c>
      <c r="BO23" s="28" t="inlineStr">
        <is>
          <t>rendered_browser</t>
        </is>
      </c>
      <c r="BP23" s="28" t="b">
        <v>0</v>
      </c>
      <c r="BQ23" s="28" t="n">
        <v>0</v>
      </c>
      <c r="BR23" s="28" t="n">
        <v>0</v>
      </c>
      <c r="BS23" s="28" t="inlineStr">
        <is>
          <t>https://africanmarketingconfederation.org/og-20.jpg</t>
        </is>
      </c>
      <c r="BT23" s="28" t="b">
        <v>0</v>
      </c>
      <c r="BU23" s="28" t="inlineStr"/>
      <c r="BV23" s="28" t="inlineStr"/>
      <c r="BW23" s="28" t="n">
        <v>0</v>
      </c>
      <c r="BX23" s="28" t="inlineStr"/>
      <c r="BY23" s="28" t="n">
        <v>0</v>
      </c>
      <c r="BZ23" s="28" t="inlineStr"/>
      <c r="CA23" s="28" t="n">
        <v>0</v>
      </c>
      <c r="CB23" s="28" t="inlineStr"/>
      <c r="CC23" s="28" t="n">
        <v>0</v>
      </c>
      <c r="CD23" s="28" t="inlineStr"/>
      <c r="CE23" s="28" t="n">
        <v>0</v>
      </c>
      <c r="CF23" s="28" t="inlineStr"/>
      <c r="CG23" s="28" t="n">
        <v>0</v>
      </c>
      <c r="CH23" s="28" t="inlineStr"/>
      <c r="CI23" s="28" t="inlineStr"/>
      <c r="CJ23" s="28" t="inlineStr"/>
      <c r="CK23" s="28" t="inlineStr"/>
      <c r="CL23" s="28" t="inlineStr">
        <is>
          <t>2026-06-01 to 2026-06-30 (30-day window; excludes today; typical GSC lag ~48h)</t>
        </is>
      </c>
      <c r="CM23" s="28" t="inlineStr">
        <is>
          <t>No Search Analytics row matched this URL in the 30-day export (compare Final URL with the page URL shown in GSC)</t>
        </is>
      </c>
      <c r="CN23" s="28" t="n">
        <v>-1</v>
      </c>
      <c r="CO23" s="28" t="b">
        <v>1</v>
      </c>
      <c r="CP23" s="28" t="n">
        <v>0.012048</v>
      </c>
      <c r="CQ23" s="28" t="b">
        <v>1</v>
      </c>
      <c r="CR23" s="28" t="b">
        <v>1</v>
      </c>
      <c r="CS23" s="28" t="inlineStr">
        <is>
          <t>Both</t>
        </is>
      </c>
      <c r="CT23" s="74" t="inlineStr"/>
      <c r="CU23" s="28" t="n">
        <v>21</v>
      </c>
      <c r="CV23" s="29">
        <f>IFERROR(INDEX(OFFSET('Technical Diagnostics'!$A$1,2,MATCH("SEO Health Score",'Technical Diagnostics'!$2:$2,0)-1,99998,1),MATCH(B23,OFFSET('Technical Diagnostics'!$A$1,2,MATCH("URL",'Technical Diagnostics'!$2:$2,0)-1,99998,1),0)),"")</f>
        <v/>
      </c>
      <c r="CW23" s="29" t="n">
        <v>80</v>
      </c>
      <c r="CX23" s="29" t="n">
        <v>72.5</v>
      </c>
      <c r="CY23" s="32" t="b">
        <v>1</v>
      </c>
      <c r="CZ23" s="28" t="b">
        <v>0</v>
      </c>
      <c r="DA23" s="28" t="inlineStr"/>
      <c r="DB23" s="28" t="inlineStr"/>
      <c r="DC23" s="28" t="inlineStr"/>
      <c r="DD23" s="28" t="n">
        <v>0</v>
      </c>
      <c r="DE23" s="28" t="n">
        <v>0</v>
      </c>
      <c r="DF23" s="28" t="inlineStr"/>
      <c r="DG23" s="28" t="inlineStr"/>
      <c r="DH23" s="28" t="inlineStr"/>
      <c r="DI23" s="28" t="n">
        <v>6</v>
      </c>
      <c r="DJ23" s="28" t="inlineStr">
        <is>
          <t>Author 20</t>
        </is>
      </c>
      <c r="DK23" s="28" t="inlineStr"/>
      <c r="DL23" s="28" t="b">
        <v>1</v>
      </c>
      <c r="DM23" s="28" t="inlineStr"/>
      <c r="DN23" s="28" t="inlineStr">
        <is>
          <t>2026-06-01</t>
        </is>
      </c>
      <c r="DO23" s="28" t="inlineStr"/>
      <c r="DP23" s="28" t="inlineStr">
        <is>
          <t>2026-06-01</t>
        </is>
      </c>
      <c r="DQ23" s="28" t="inlineStr"/>
      <c r="DR23" s="28" t="b">
        <v>0</v>
      </c>
      <c r="DS23" s="28" t="b">
        <v>1</v>
      </c>
      <c r="DT23" s="28" t="b">
        <v>1</v>
      </c>
      <c r="DU23" s="28" t="b">
        <v>0</v>
      </c>
      <c r="DV23" s="28" t="n">
        <v>0</v>
      </c>
      <c r="DW23" s="28" t="b">
        <v>0</v>
      </c>
      <c r="DX23" s="28" t="b">
        <v>0</v>
      </c>
      <c r="DY23" s="28" t="b">
        <v>0</v>
      </c>
      <c r="DZ23" s="28" t="b">
        <v>0</v>
      </c>
      <c r="EA23" s="32" t="b">
        <v>0</v>
      </c>
      <c r="EB23" s="28" t="b">
        <v>0</v>
      </c>
      <c r="EC23" s="28" t="inlineStr"/>
      <c r="ED23" s="28" t="inlineStr"/>
      <c r="EE23" s="28" t="b">
        <v>0</v>
      </c>
      <c r="EF23" s="28" t="inlineStr"/>
      <c r="EG23" s="28" t="inlineStr"/>
      <c r="EH23" s="28" t="inlineStr"/>
      <c r="EI23" s="28" t="inlineStr"/>
      <c r="EJ23" s="28" t="inlineStr"/>
      <c r="EK23" s="28" t="inlineStr">
        <is>
          <t>Fresh</t>
        </is>
      </c>
      <c r="EL23" s="28" t="inlineStr">
        <is>
          <t>Smoke title 20</t>
        </is>
      </c>
      <c r="EM23" s="28" t="inlineStr"/>
      <c r="EN23" s="28" t="inlineStr">
        <is>
          <t>article</t>
        </is>
      </c>
      <c r="EO23" s="74" t="inlineStr"/>
      <c r="EP23" s="74" t="inlineStr">
        <is>
          <t>https://africanmarketingconfederation.org/og-20.jpg</t>
        </is>
      </c>
      <c r="EQ23" s="28" t="inlineStr"/>
      <c r="ER23" s="28" t="inlineStr"/>
      <c r="ES23" s="28" t="inlineStr"/>
      <c r="ET23" s="28" t="inlineStr"/>
      <c r="EU23" s="75" t="b">
        <v>0</v>
      </c>
      <c r="EV23" s="28" t="inlineStr">
        <is>
          <t>summary_large_image</t>
        </is>
      </c>
      <c r="EW23" s="28" t="inlineStr"/>
      <c r="EX23" s="28" t="inlineStr"/>
      <c r="EY23" s="28" t="inlineStr"/>
      <c r="EZ23" s="28" t="n">
        <v>0</v>
      </c>
      <c r="FA23" s="40" t="b">
        <v>0</v>
      </c>
      <c r="FB23" s="74" t="inlineStr">
        <is>
          <t>https://africanmarketingconfederation.org/smoke-archive/page-20</t>
        </is>
      </c>
      <c r="FC23" s="28" t="inlineStr"/>
      <c r="FD23" s="28" t="n">
        <v>0</v>
      </c>
      <c r="FE23" s="20" t="inlineStr"/>
      <c r="FF23" s="28" t="b">
        <v>0</v>
      </c>
      <c r="FG23" s="28" t="b">
        <v>0</v>
      </c>
      <c r="FH23" s="32" t="b">
        <v>0</v>
      </c>
      <c r="FI23" s="28" t="n">
        <v>0</v>
      </c>
      <c r="FJ23" s="28" t="inlineStr">
        <is>
          <t>https://africanmarketingconfederation.org/smoke-archive/page-20</t>
        </is>
      </c>
      <c r="FK23" s="28" t="inlineStr"/>
      <c r="FL23" s="32" t="b">
        <v>0</v>
      </c>
      <c r="FM23" s="28" t="b">
        <v>0</v>
      </c>
      <c r="FN23" s="32" t="b">
        <v>0</v>
      </c>
      <c r="FO23" s="28" t="inlineStr"/>
      <c r="FP23" s="28" t="inlineStr"/>
      <c r="FQ23" s="28" t="inlineStr"/>
      <c r="FR23" s="28" t="inlineStr"/>
      <c r="FS23" s="28" t="inlineStr"/>
      <c r="FT23" s="28" t="inlineStr"/>
      <c r="FU23" s="28" t="inlineStr">
        <is>
          <t>Not specified</t>
        </is>
      </c>
      <c r="FV23" s="28" t="inlineStr">
        <is>
          <t>Not specified</t>
        </is>
      </c>
      <c r="FW23" s="28" t="inlineStr">
        <is>
          <t>Not specified</t>
        </is>
      </c>
      <c r="FX23" s="28" t="inlineStr">
        <is>
          <t>Not specified</t>
        </is>
      </c>
      <c r="FY23" s="28" t="inlineStr">
        <is>
          <t>Not specified</t>
        </is>
      </c>
      <c r="FZ23" s="28" t="b">
        <v>0</v>
      </c>
      <c r="GA23" s="28" t="n">
        <v>0</v>
      </c>
      <c r="GB23" s="28" t="inlineStr"/>
      <c r="GC23" s="28" t="inlineStr"/>
      <c r="GD23" s="28" t="b">
        <v>0</v>
      </c>
      <c r="GE23" s="28" t="b">
        <v>0</v>
      </c>
      <c r="GF23" s="28" t="b">
        <v>0</v>
      </c>
      <c r="GG23" s="28" t="b">
        <v>0</v>
      </c>
      <c r="GH23" s="28" t="b">
        <v>0</v>
      </c>
      <c r="GI23" s="28" t="b">
        <v>0</v>
      </c>
      <c r="GJ23" s="28" t="n">
        <v>0</v>
      </c>
      <c r="GK23" s="28" t="n">
        <v>0</v>
      </c>
      <c r="GL23" s="28" t="n">
        <v>0</v>
      </c>
      <c r="GM23" s="74" t="inlineStr"/>
      <c r="GN23" s="74" t="inlineStr"/>
      <c r="GO23" s="32" t="b">
        <v>0</v>
      </c>
      <c r="GP23" s="28" t="inlineStr"/>
      <c r="GQ23" s="74" t="inlineStr"/>
      <c r="GR23" s="28" t="inlineStr">
        <is>
          <t>Not Declared</t>
        </is>
      </c>
      <c r="GS23" s="28" t="b">
        <v>1</v>
      </c>
      <c r="GT23" s="28" t="n">
        <v>85.40000000000001</v>
      </c>
      <c r="GU23" s="28" t="inlineStr">
        <is>
          <t>Orphan</t>
        </is>
      </c>
      <c r="GV23" s="28" t="n">
        <v>0</v>
      </c>
      <c r="GW23" s="34" t="n">
        <v>0</v>
      </c>
      <c r="GX23" s="28" t="b">
        <v>0</v>
      </c>
      <c r="GY23" s="28" t="inlineStr">
        <is>
          <t>FAQ</t>
        </is>
      </c>
      <c r="GZ23" s="28" t="n">
        <v>9</v>
      </c>
      <c r="HA23" s="28" t="b">
        <v>0</v>
      </c>
      <c r="HB23" s="28" t="inlineStr">
        <is>
          <t>smoke, body, copy, intent, classification</t>
        </is>
      </c>
      <c r="HC23" s="28" t="b">
        <v>0</v>
      </c>
      <c r="HD23" s="28" t="b">
        <v>0</v>
      </c>
      <c r="HE23" s="28" t="b">
        <v>0</v>
      </c>
      <c r="HF23" s="34" t="n">
        <v>0</v>
      </c>
      <c r="HG23" s="28" t="b">
        <v>0</v>
      </c>
      <c r="HH23" s="28" t="b">
        <v>0</v>
      </c>
      <c r="HI23">
        <f>IFERROR(HYPERLINK("#'Technical Diagnostics'!A"&amp;MATCH(B23,'Technical Diagnostics'!A:A,0),"Open Technical"),HYPERLINK("#'Technical Diagnostics'!A1","Open Technical"))</f>
        <v/>
      </c>
    </row>
    <row r="24" ht="18" customHeight="1">
      <c r="A24" s="30" t="inlineStr">
        <is>
          <t>WARN 🟡</t>
        </is>
      </c>
      <c r="B24" s="37" t="inlineStr">
        <is>
          <t>https://africanmarketingconfederation.org/smoke-archive/page-21</t>
        </is>
      </c>
      <c r="C24" s="30" t="inlineStr"/>
      <c r="D24" s="30" t="inlineStr">
        <is>
          <t>Indexable</t>
        </is>
      </c>
      <c r="E24" s="30" t="inlineStr"/>
      <c r="F24" s="30" t="inlineStr">
        <is>
          <t>Smoke title 21</t>
        </is>
      </c>
      <c r="G24" s="30" t="inlineStr">
        <is>
          <t>Smoke meta description for page 21.</t>
        </is>
      </c>
      <c r="H24" s="30" t="n">
        <v>341</v>
      </c>
      <c r="I24" s="30" t="n">
        <v>70</v>
      </c>
      <c r="J24" s="30" t="inlineStr">
        <is>
          <t>Warning</t>
        </is>
      </c>
      <c r="K24" s="30" t="inlineStr">
        <is>
          <t>Yes</t>
        </is>
      </c>
      <c r="L24" s="30" t="inlineStr"/>
      <c r="M24" s="30" t="inlineStr"/>
      <c r="N24" s="30" t="inlineStr">
        <is>
          <t>Lab only</t>
        </is>
      </c>
      <c r="O24" s="30" t="inlineStr">
        <is>
          <t>None</t>
        </is>
      </c>
      <c r="P24" s="30" t="inlineStr">
        <is>
          <t>PSI Lab</t>
        </is>
      </c>
      <c r="Q24" s="30" t="inlineStr">
        <is>
          <t>None</t>
        </is>
      </c>
      <c r="R24" s="30" t="inlineStr"/>
      <c r="S24" s="30" t="inlineStr"/>
      <c r="T24" s="30" t="inlineStr"/>
      <c r="U24" s="30" t="inlineStr"/>
      <c r="V24" s="30" t="inlineStr"/>
      <c r="W24" s="30" t="inlineStr"/>
      <c r="X24" s="30" t="inlineStr"/>
      <c r="Y24" s="30" t="inlineStr"/>
      <c r="Z24" s="30" t="inlineStr"/>
      <c r="AA24" s="30" t="n">
        <v>88</v>
      </c>
      <c r="AB24" s="30" t="n">
        <v>88</v>
      </c>
      <c r="AC24" s="30" t="n">
        <v>88</v>
      </c>
      <c r="AD24" s="30" t="n">
        <v>85</v>
      </c>
      <c r="AE24" s="30" t="n">
        <v>82</v>
      </c>
      <c r="AF24" s="30" t="n">
        <v>92</v>
      </c>
      <c r="AG24" s="30" t="n">
        <v>2.4</v>
      </c>
      <c r="AH24" s="30" t="n">
        <v>0.04</v>
      </c>
      <c r="AI24" s="30" t="n">
        <v>0.4</v>
      </c>
      <c r="AJ24" s="30" t="n">
        <v>2.4</v>
      </c>
      <c r="AK24" s="30" t="n">
        <v>0.04</v>
      </c>
      <c r="AL24" s="30" t="n">
        <v>180</v>
      </c>
      <c r="AM24" s="30" t="n">
        <v>120</v>
      </c>
      <c r="AN24" s="30" t="n">
        <v>1.8</v>
      </c>
      <c r="AO24" s="30" t="n">
        <v>3.2</v>
      </c>
      <c r="AP24" s="30" t="n">
        <v>4.1</v>
      </c>
      <c r="AQ24" s="30" t="n">
        <v>400</v>
      </c>
      <c r="AR24" s="30" t="n">
        <v>88</v>
      </c>
      <c r="AS24" s="30" t="n">
        <v>85</v>
      </c>
      <c r="AT24" s="30" t="n">
        <v>82</v>
      </c>
      <c r="AU24" s="30" t="n">
        <v>92</v>
      </c>
      <c r="AV24" s="30" t="n">
        <v>2.4</v>
      </c>
      <c r="AW24" s="30" t="n">
        <v>0.04</v>
      </c>
      <c r="AX24" s="30" t="n">
        <v>180</v>
      </c>
      <c r="AY24" s="30" t="n">
        <v>120</v>
      </c>
      <c r="AZ24" s="30" t="n">
        <v>1.8</v>
      </c>
      <c r="BA24" s="30" t="n">
        <v>3.2</v>
      </c>
      <c r="BB24" s="30" t="n">
        <v>4.1</v>
      </c>
      <c r="BC24" s="30" t="n">
        <v>400</v>
      </c>
      <c r="BD24" s="30" t="n">
        <v>500</v>
      </c>
      <c r="BE24" s="30" t="n">
        <v>842</v>
      </c>
      <c r="BF24" s="30" t="n">
        <v>1250</v>
      </c>
      <c r="BG24" s="30" t="n">
        <v>1</v>
      </c>
      <c r="BH24" s="30" t="b">
        <v>1</v>
      </c>
      <c r="BI24" s="34" t="b">
        <v>1</v>
      </c>
      <c r="BJ24" s="30" t="b">
        <v>1</v>
      </c>
      <c r="BK24" s="30" t="b">
        <v>1</v>
      </c>
      <c r="BL24" s="30" t="b">
        <v>0</v>
      </c>
      <c r="BM24" s="30" t="n">
        <v>65</v>
      </c>
      <c r="BN24" s="30" t="inlineStr">
        <is>
          <t>complete</t>
        </is>
      </c>
      <c r="BO24" s="30" t="inlineStr">
        <is>
          <t>rendered_browser</t>
        </is>
      </c>
      <c r="BP24" s="30" t="b">
        <v>0</v>
      </c>
      <c r="BQ24" s="30" t="n">
        <v>0</v>
      </c>
      <c r="BR24" s="30" t="n">
        <v>0</v>
      </c>
      <c r="BS24" s="30" t="inlineStr"/>
      <c r="BT24" s="30" t="b">
        <v>0</v>
      </c>
      <c r="BU24" s="30" t="inlineStr"/>
      <c r="BV24" s="30" t="inlineStr"/>
      <c r="BW24" s="30" t="n">
        <v>0</v>
      </c>
      <c r="BX24" s="30" t="inlineStr"/>
      <c r="BY24" s="30" t="n">
        <v>0</v>
      </c>
      <c r="BZ24" s="30" t="inlineStr"/>
      <c r="CA24" s="30" t="n">
        <v>0</v>
      </c>
      <c r="CB24" s="30" t="inlineStr"/>
      <c r="CC24" s="30" t="n">
        <v>0</v>
      </c>
      <c r="CD24" s="30" t="inlineStr"/>
      <c r="CE24" s="30" t="n">
        <v>0</v>
      </c>
      <c r="CF24" s="30" t="inlineStr"/>
      <c r="CG24" s="30" t="n">
        <v>0</v>
      </c>
      <c r="CH24" s="30" t="inlineStr"/>
      <c r="CI24" s="30" t="inlineStr"/>
      <c r="CJ24" s="30" t="inlineStr"/>
      <c r="CK24" s="30" t="inlineStr"/>
      <c r="CL24" s="30" t="inlineStr">
        <is>
          <t>2026-06-01 to 2026-06-30 (30-day window; excludes today; typical GSC lag ~48h)</t>
        </is>
      </c>
      <c r="CM24" s="30" t="inlineStr">
        <is>
          <t>No Search Analytics row matched this URL in the 30-day export (compare Final URL with the page URL shown in GSC)</t>
        </is>
      </c>
      <c r="CN24" s="30" t="n">
        <v>-1</v>
      </c>
      <c r="CO24" s="30" t="b">
        <v>1</v>
      </c>
      <c r="CP24" s="30" t="n">
        <v>0.012048</v>
      </c>
      <c r="CQ24" s="30" t="b">
        <v>1</v>
      </c>
      <c r="CR24" s="30" t="b">
        <v>1</v>
      </c>
      <c r="CS24" s="30" t="inlineStr">
        <is>
          <t>Both</t>
        </is>
      </c>
      <c r="CT24" s="76" t="inlineStr"/>
      <c r="CU24" s="30" t="n">
        <v>22</v>
      </c>
      <c r="CV24" s="29">
        <f>IFERROR(INDEX(OFFSET('Technical Diagnostics'!$A$1,2,MATCH("SEO Health Score",'Technical Diagnostics'!$2:$2,0)-1,99998,1),MATCH(B24,OFFSET('Technical Diagnostics'!$A$1,2,MATCH("URL",'Technical Diagnostics'!$2:$2,0)-1,99998,1),0)),"")</f>
        <v/>
      </c>
      <c r="CW24" s="32" t="n">
        <v>100</v>
      </c>
      <c r="CX24" s="29" t="n">
        <v>77.5</v>
      </c>
      <c r="CY24" s="32" t="b">
        <v>1</v>
      </c>
      <c r="CZ24" s="30" t="b">
        <v>0</v>
      </c>
      <c r="DA24" s="30" t="inlineStr"/>
      <c r="DB24" s="30" t="inlineStr"/>
      <c r="DC24" s="30" t="inlineStr"/>
      <c r="DD24" s="30" t="n">
        <v>0</v>
      </c>
      <c r="DE24" s="30" t="n">
        <v>0</v>
      </c>
      <c r="DF24" s="30" t="inlineStr"/>
      <c r="DG24" s="30" t="inlineStr"/>
      <c r="DH24" s="30" t="inlineStr"/>
      <c r="DI24" s="30" t="n">
        <v>2</v>
      </c>
      <c r="DJ24" s="30" t="inlineStr"/>
      <c r="DK24" s="30" t="inlineStr"/>
      <c r="DL24" s="30" t="b">
        <v>0</v>
      </c>
      <c r="DM24" s="30" t="inlineStr"/>
      <c r="DN24" s="30" t="inlineStr">
        <is>
          <t>2026-06-01</t>
        </is>
      </c>
      <c r="DO24" s="30" t="inlineStr"/>
      <c r="DP24" s="30" t="inlineStr">
        <is>
          <t>2026-06-01</t>
        </is>
      </c>
      <c r="DQ24" s="30" t="inlineStr"/>
      <c r="DR24" s="30" t="b">
        <v>0</v>
      </c>
      <c r="DS24" s="30" t="b">
        <v>1</v>
      </c>
      <c r="DT24" s="30" t="b">
        <v>1</v>
      </c>
      <c r="DU24" s="30" t="b">
        <v>0</v>
      </c>
      <c r="DV24" s="30" t="n">
        <v>0</v>
      </c>
      <c r="DW24" s="30" t="b">
        <v>0</v>
      </c>
      <c r="DX24" s="30" t="b">
        <v>0</v>
      </c>
      <c r="DY24" s="30" t="b">
        <v>0</v>
      </c>
      <c r="DZ24" s="30" t="b">
        <v>0</v>
      </c>
      <c r="EA24" s="32" t="b">
        <v>0</v>
      </c>
      <c r="EB24" s="30" t="b">
        <v>0</v>
      </c>
      <c r="EC24" s="30" t="inlineStr"/>
      <c r="ED24" s="30" t="inlineStr"/>
      <c r="EE24" s="30" t="b">
        <v>0</v>
      </c>
      <c r="EF24" s="30" t="inlineStr"/>
      <c r="EG24" s="30" t="inlineStr"/>
      <c r="EH24" s="30" t="inlineStr"/>
      <c r="EI24" s="30" t="inlineStr">
        <is>
          <t>2026-06-01</t>
        </is>
      </c>
      <c r="EJ24" s="30" t="inlineStr"/>
      <c r="EK24" s="30" t="inlineStr">
        <is>
          <t>Fresh</t>
        </is>
      </c>
      <c r="EL24" s="30" t="inlineStr">
        <is>
          <t>Smoke title 21</t>
        </is>
      </c>
      <c r="EM24" s="30" t="inlineStr">
        <is>
          <t>Smoke meta description for page 21.</t>
        </is>
      </c>
      <c r="EN24" s="30" t="inlineStr">
        <is>
          <t>article</t>
        </is>
      </c>
      <c r="EO24" s="76" t="inlineStr"/>
      <c r="EP24" s="76" t="inlineStr"/>
      <c r="EQ24" s="30" t="inlineStr"/>
      <c r="ER24" s="30" t="inlineStr"/>
      <c r="ES24" s="30" t="inlineStr"/>
      <c r="ET24" s="30" t="inlineStr"/>
      <c r="EU24" s="75" t="b">
        <v>0</v>
      </c>
      <c r="EV24" s="30" t="inlineStr">
        <is>
          <t>summary_large_image</t>
        </is>
      </c>
      <c r="EW24" s="30" t="inlineStr"/>
      <c r="EX24" s="30" t="inlineStr"/>
      <c r="EY24" s="30" t="inlineStr"/>
      <c r="EZ24" s="30" t="n">
        <v>0</v>
      </c>
      <c r="FA24" s="40" t="b">
        <v>0</v>
      </c>
      <c r="FB24" s="76" t="inlineStr">
        <is>
          <t>https://africanmarketingconfederation.org/smoke-archive/page-21</t>
        </is>
      </c>
      <c r="FC24" s="30" t="inlineStr"/>
      <c r="FD24" s="30" t="n">
        <v>0</v>
      </c>
      <c r="FE24" s="31" t="inlineStr"/>
      <c r="FF24" s="30" t="b">
        <v>0</v>
      </c>
      <c r="FG24" s="30" t="b">
        <v>0</v>
      </c>
      <c r="FH24" s="32" t="b">
        <v>0</v>
      </c>
      <c r="FI24" s="30" t="n">
        <v>0</v>
      </c>
      <c r="FJ24" s="30" t="inlineStr">
        <is>
          <t>https://africanmarketingconfederation.org/smoke-archive/page-21</t>
        </is>
      </c>
      <c r="FK24" s="30" t="inlineStr"/>
      <c r="FL24" s="32" t="b">
        <v>0</v>
      </c>
      <c r="FM24" s="30" t="b">
        <v>0</v>
      </c>
      <c r="FN24" s="32" t="b">
        <v>0</v>
      </c>
      <c r="FO24" s="30" t="inlineStr"/>
      <c r="FP24" s="30" t="inlineStr"/>
      <c r="FQ24" s="30" t="inlineStr"/>
      <c r="FR24" s="30" t="inlineStr"/>
      <c r="FS24" s="30" t="inlineStr"/>
      <c r="FT24" s="30" t="inlineStr"/>
      <c r="FU24" s="30" t="inlineStr">
        <is>
          <t>Not specified</t>
        </is>
      </c>
      <c r="FV24" s="30" t="inlineStr">
        <is>
          <t>Not specified</t>
        </is>
      </c>
      <c r="FW24" s="30" t="inlineStr">
        <is>
          <t>Not specified</t>
        </is>
      </c>
      <c r="FX24" s="30" t="inlineStr">
        <is>
          <t>Not specified</t>
        </is>
      </c>
      <c r="FY24" s="30" t="inlineStr">
        <is>
          <t>Not specified</t>
        </is>
      </c>
      <c r="FZ24" s="30" t="b">
        <v>0</v>
      </c>
      <c r="GA24" s="30" t="n">
        <v>0</v>
      </c>
      <c r="GB24" s="30" t="inlineStr"/>
      <c r="GC24" s="30" t="inlineStr"/>
      <c r="GD24" s="30" t="b">
        <v>0</v>
      </c>
      <c r="GE24" s="30" t="b">
        <v>0</v>
      </c>
      <c r="GF24" s="30" t="b">
        <v>0</v>
      </c>
      <c r="GG24" s="30" t="b">
        <v>0</v>
      </c>
      <c r="GH24" s="30" t="b">
        <v>0</v>
      </c>
      <c r="GI24" s="30" t="b">
        <v>0</v>
      </c>
      <c r="GJ24" s="30" t="n">
        <v>0</v>
      </c>
      <c r="GK24" s="30" t="n">
        <v>0</v>
      </c>
      <c r="GL24" s="30" t="n">
        <v>0</v>
      </c>
      <c r="GM24" s="76" t="inlineStr"/>
      <c r="GN24" s="76" t="inlineStr"/>
      <c r="GO24" s="32" t="b">
        <v>0</v>
      </c>
      <c r="GP24" s="30" t="inlineStr"/>
      <c r="GQ24" s="76" t="inlineStr"/>
      <c r="GR24" s="30" t="inlineStr">
        <is>
          <t>Not Declared</t>
        </is>
      </c>
      <c r="GS24" s="30" t="b">
        <v>1</v>
      </c>
      <c r="GT24" s="30" t="n">
        <v>11</v>
      </c>
      <c r="GU24" s="30" t="inlineStr">
        <is>
          <t>Orphan</t>
        </is>
      </c>
      <c r="GV24" s="30" t="n">
        <v>0</v>
      </c>
      <c r="GW24" s="34" t="n">
        <v>0</v>
      </c>
      <c r="GX24" s="30" t="b">
        <v>0</v>
      </c>
      <c r="GY24" s="30" t="inlineStr">
        <is>
          <t>FAQ</t>
        </is>
      </c>
      <c r="GZ24" s="30" t="n">
        <v>9</v>
      </c>
      <c r="HA24" s="30" t="b">
        <v>0</v>
      </c>
      <c r="HB24" s="30" t="inlineStr">
        <is>
          <t>smoke, body, copy, intent, classification</t>
        </is>
      </c>
      <c r="HC24" s="30" t="b">
        <v>0</v>
      </c>
      <c r="HD24" s="30" t="b">
        <v>0</v>
      </c>
      <c r="HE24" s="30" t="b">
        <v>0</v>
      </c>
      <c r="HF24" s="34" t="n">
        <v>0</v>
      </c>
      <c r="HG24" s="30" t="b">
        <v>0</v>
      </c>
      <c r="HH24" s="30" t="b">
        <v>0</v>
      </c>
      <c r="HI24" s="38">
        <f>IFERROR(HYPERLINK("#'Technical Diagnostics'!A"&amp;MATCH(B24,'Technical Diagnostics'!A:A,0),"Open Technical"),HYPERLINK("#'Technical Diagnostics'!A1","Open Technical"))</f>
        <v/>
      </c>
    </row>
    <row r="25" ht="18" customHeight="1">
      <c r="A25" s="28" t="inlineStr">
        <is>
          <t>WARN 🟡</t>
        </is>
      </c>
      <c r="B25" s="35" t="inlineStr">
        <is>
          <t>https://africanmarketingconfederation.org/smoke-archive/page-22</t>
        </is>
      </c>
      <c r="C25" s="28" t="inlineStr"/>
      <c r="D25" s="28" t="inlineStr">
        <is>
          <t>Indexable</t>
        </is>
      </c>
      <c r="E25" s="28" t="inlineStr"/>
      <c r="F25" s="28" t="inlineStr">
        <is>
          <t>Smoke title 22</t>
        </is>
      </c>
      <c r="G25" s="28" t="inlineStr">
        <is>
          <t>Smoke meta description for page 22.</t>
        </is>
      </c>
      <c r="H25" s="28" t="n">
        <v>342</v>
      </c>
      <c r="I25" s="28" t="n">
        <v>80</v>
      </c>
      <c r="J25" s="28" t="inlineStr">
        <is>
          <t>Warning</t>
        </is>
      </c>
      <c r="K25" s="28" t="inlineStr">
        <is>
          <t>Yes</t>
        </is>
      </c>
      <c r="L25" s="28" t="inlineStr"/>
      <c r="M25" s="28" t="inlineStr"/>
      <c r="N25" s="28" t="inlineStr">
        <is>
          <t>Lab only</t>
        </is>
      </c>
      <c r="O25" s="28" t="inlineStr">
        <is>
          <t>None</t>
        </is>
      </c>
      <c r="P25" s="28" t="inlineStr">
        <is>
          <t>PSI Lab</t>
        </is>
      </c>
      <c r="Q25" s="28" t="inlineStr">
        <is>
          <t>None</t>
        </is>
      </c>
      <c r="R25" s="28" t="inlineStr"/>
      <c r="S25" s="28" t="inlineStr"/>
      <c r="T25" s="28" t="inlineStr"/>
      <c r="U25" s="28" t="inlineStr"/>
      <c r="V25" s="28" t="inlineStr"/>
      <c r="W25" s="28" t="inlineStr"/>
      <c r="X25" s="28" t="inlineStr"/>
      <c r="Y25" s="28" t="inlineStr"/>
      <c r="Z25" s="28" t="inlineStr"/>
      <c r="AA25" s="28" t="n">
        <v>88</v>
      </c>
      <c r="AB25" s="28" t="n">
        <v>88</v>
      </c>
      <c r="AC25" s="28" t="n">
        <v>88</v>
      </c>
      <c r="AD25" s="28" t="n">
        <v>85</v>
      </c>
      <c r="AE25" s="28" t="n">
        <v>82</v>
      </c>
      <c r="AF25" s="28" t="n">
        <v>92</v>
      </c>
      <c r="AG25" s="28" t="n">
        <v>2.4</v>
      </c>
      <c r="AH25" s="28" t="n">
        <v>0.04</v>
      </c>
      <c r="AI25" s="28" t="n">
        <v>0.4</v>
      </c>
      <c r="AJ25" s="28" t="n">
        <v>2.4</v>
      </c>
      <c r="AK25" s="28" t="n">
        <v>0.04</v>
      </c>
      <c r="AL25" s="28" t="n">
        <v>180</v>
      </c>
      <c r="AM25" s="28" t="n">
        <v>120</v>
      </c>
      <c r="AN25" s="28" t="n">
        <v>1.8</v>
      </c>
      <c r="AO25" s="28" t="n">
        <v>3.2</v>
      </c>
      <c r="AP25" s="28" t="n">
        <v>4.1</v>
      </c>
      <c r="AQ25" s="28" t="n">
        <v>400</v>
      </c>
      <c r="AR25" s="28" t="n">
        <v>88</v>
      </c>
      <c r="AS25" s="28" t="n">
        <v>85</v>
      </c>
      <c r="AT25" s="28" t="n">
        <v>82</v>
      </c>
      <c r="AU25" s="28" t="n">
        <v>92</v>
      </c>
      <c r="AV25" s="28" t="n">
        <v>2.4</v>
      </c>
      <c r="AW25" s="28" t="n">
        <v>0.04</v>
      </c>
      <c r="AX25" s="28" t="n">
        <v>180</v>
      </c>
      <c r="AY25" s="28" t="n">
        <v>120</v>
      </c>
      <c r="AZ25" s="28" t="n">
        <v>1.8</v>
      </c>
      <c r="BA25" s="28" t="n">
        <v>3.2</v>
      </c>
      <c r="BB25" s="28" t="n">
        <v>4.1</v>
      </c>
      <c r="BC25" s="28" t="n">
        <v>400</v>
      </c>
      <c r="BD25" s="28" t="n">
        <v>500</v>
      </c>
      <c r="BE25" s="28" t="n">
        <v>842</v>
      </c>
      <c r="BF25" s="28" t="n">
        <v>1250</v>
      </c>
      <c r="BG25" s="28" t="n">
        <v>1</v>
      </c>
      <c r="BH25" s="28" t="b">
        <v>1</v>
      </c>
      <c r="BI25" s="34" t="b">
        <v>1</v>
      </c>
      <c r="BJ25" s="28" t="b">
        <v>1</v>
      </c>
      <c r="BK25" s="28" t="b">
        <v>1</v>
      </c>
      <c r="BL25" s="28" t="b">
        <v>0</v>
      </c>
      <c r="BM25" s="28" t="n">
        <v>65</v>
      </c>
      <c r="BN25" s="28" t="inlineStr">
        <is>
          <t>complete</t>
        </is>
      </c>
      <c r="BO25" s="28" t="inlineStr">
        <is>
          <t>rendered_browser</t>
        </is>
      </c>
      <c r="BP25" s="28" t="b">
        <v>0</v>
      </c>
      <c r="BQ25" s="28" t="n">
        <v>0</v>
      </c>
      <c r="BR25" s="28" t="n">
        <v>0</v>
      </c>
      <c r="BS25" s="28" t="inlineStr"/>
      <c r="BT25" s="28" t="b">
        <v>0</v>
      </c>
      <c r="BU25" s="28" t="inlineStr"/>
      <c r="BV25" s="28" t="inlineStr"/>
      <c r="BW25" s="28" t="n">
        <v>0</v>
      </c>
      <c r="BX25" s="28" t="inlineStr"/>
      <c r="BY25" s="28" t="n">
        <v>0</v>
      </c>
      <c r="BZ25" s="28" t="inlineStr"/>
      <c r="CA25" s="28" t="n">
        <v>0</v>
      </c>
      <c r="CB25" s="28" t="inlineStr"/>
      <c r="CC25" s="28" t="n">
        <v>0</v>
      </c>
      <c r="CD25" s="28" t="inlineStr"/>
      <c r="CE25" s="28" t="n">
        <v>0</v>
      </c>
      <c r="CF25" s="28" t="inlineStr"/>
      <c r="CG25" s="28" t="n">
        <v>0</v>
      </c>
      <c r="CH25" s="28" t="inlineStr"/>
      <c r="CI25" s="28" t="inlineStr"/>
      <c r="CJ25" s="28" t="inlineStr"/>
      <c r="CK25" s="28" t="inlineStr"/>
      <c r="CL25" s="28" t="inlineStr">
        <is>
          <t>2026-06-01 to 2026-06-30 (30-day window; excludes today; typical GSC lag ~48h)</t>
        </is>
      </c>
      <c r="CM25" s="28" t="inlineStr">
        <is>
          <t>No Search Analytics row matched this URL in the 30-day export (compare Final URL with the page URL shown in GSC)</t>
        </is>
      </c>
      <c r="CN25" s="28" t="n">
        <v>-1</v>
      </c>
      <c r="CO25" s="28" t="b">
        <v>1</v>
      </c>
      <c r="CP25" s="28" t="n">
        <v>0.012048</v>
      </c>
      <c r="CQ25" s="28" t="b">
        <v>1</v>
      </c>
      <c r="CR25" s="28" t="b">
        <v>1</v>
      </c>
      <c r="CS25" s="28" t="inlineStr">
        <is>
          <t>Both</t>
        </is>
      </c>
      <c r="CT25" s="74" t="inlineStr"/>
      <c r="CU25" s="28" t="n">
        <v>23</v>
      </c>
      <c r="CV25" s="29">
        <f>IFERROR(INDEX(OFFSET('Technical Diagnostics'!$A$1,2,MATCH("SEO Health Score",'Technical Diagnostics'!$2:$2,0)-1,99998,1),MATCH(B25,OFFSET('Technical Diagnostics'!$A$1,2,MATCH("URL",'Technical Diagnostics'!$2:$2,0)-1,99998,1),0)),"")</f>
        <v/>
      </c>
      <c r="CW25" s="32" t="n">
        <v>100</v>
      </c>
      <c r="CX25" s="29" t="n">
        <v>85</v>
      </c>
      <c r="CY25" s="32" t="b">
        <v>1</v>
      </c>
      <c r="CZ25" s="28" t="b">
        <v>0</v>
      </c>
      <c r="DA25" s="28" t="inlineStr"/>
      <c r="DB25" s="28" t="inlineStr"/>
      <c r="DC25" s="28" t="inlineStr"/>
      <c r="DD25" s="28" t="n">
        <v>0</v>
      </c>
      <c r="DE25" s="28" t="n">
        <v>0</v>
      </c>
      <c r="DF25" s="28" t="inlineStr"/>
      <c r="DG25" s="28" t="inlineStr"/>
      <c r="DH25" s="28" t="inlineStr"/>
      <c r="DI25" s="28" t="n">
        <v>6</v>
      </c>
      <c r="DJ25" s="28" t="inlineStr">
        <is>
          <t>Author 22</t>
        </is>
      </c>
      <c r="DK25" s="28" t="inlineStr"/>
      <c r="DL25" s="28" t="b">
        <v>1</v>
      </c>
      <c r="DM25" s="28" t="inlineStr"/>
      <c r="DN25" s="28" t="inlineStr">
        <is>
          <t>2026-06-01</t>
        </is>
      </c>
      <c r="DO25" s="28" t="inlineStr"/>
      <c r="DP25" s="28" t="inlineStr">
        <is>
          <t>2026-06-01</t>
        </is>
      </c>
      <c r="DQ25" s="28" t="inlineStr"/>
      <c r="DR25" s="28" t="b">
        <v>0</v>
      </c>
      <c r="DS25" s="28" t="b">
        <v>1</v>
      </c>
      <c r="DT25" s="28" t="b">
        <v>1</v>
      </c>
      <c r="DU25" s="28" t="b">
        <v>0</v>
      </c>
      <c r="DV25" s="28" t="n">
        <v>0</v>
      </c>
      <c r="DW25" s="28" t="b">
        <v>0</v>
      </c>
      <c r="DX25" s="28" t="b">
        <v>0</v>
      </c>
      <c r="DY25" s="28" t="b">
        <v>0</v>
      </c>
      <c r="DZ25" s="28" t="b">
        <v>0</v>
      </c>
      <c r="EA25" s="32" t="b">
        <v>0</v>
      </c>
      <c r="EB25" s="28" t="b">
        <v>0</v>
      </c>
      <c r="EC25" s="28" t="inlineStr"/>
      <c r="ED25" s="28" t="inlineStr"/>
      <c r="EE25" s="28" t="b">
        <v>0</v>
      </c>
      <c r="EF25" s="28" t="inlineStr"/>
      <c r="EG25" s="28" t="inlineStr"/>
      <c r="EH25" s="28" t="inlineStr"/>
      <c r="EI25" s="28" t="inlineStr"/>
      <c r="EJ25" s="28" t="inlineStr"/>
      <c r="EK25" s="28" t="inlineStr">
        <is>
          <t>Fresh</t>
        </is>
      </c>
      <c r="EL25" s="28" t="inlineStr">
        <is>
          <t>Smoke title 22</t>
        </is>
      </c>
      <c r="EM25" s="28" t="inlineStr">
        <is>
          <t>Smoke meta description for page 22.</t>
        </is>
      </c>
      <c r="EN25" s="28" t="inlineStr">
        <is>
          <t>article</t>
        </is>
      </c>
      <c r="EO25" s="74" t="inlineStr"/>
      <c r="EP25" s="74" t="inlineStr"/>
      <c r="EQ25" s="28" t="inlineStr"/>
      <c r="ER25" s="28" t="inlineStr"/>
      <c r="ES25" s="28" t="inlineStr"/>
      <c r="ET25" s="28" t="inlineStr"/>
      <c r="EU25" s="75" t="b">
        <v>0</v>
      </c>
      <c r="EV25" s="28" t="inlineStr">
        <is>
          <t>summary_large_image</t>
        </is>
      </c>
      <c r="EW25" s="28" t="inlineStr"/>
      <c r="EX25" s="28" t="inlineStr"/>
      <c r="EY25" s="28" t="inlineStr"/>
      <c r="EZ25" s="28" t="n">
        <v>0</v>
      </c>
      <c r="FA25" s="40" t="b">
        <v>0</v>
      </c>
      <c r="FB25" s="74" t="inlineStr">
        <is>
          <t>https://africanmarketingconfederation.org/smoke-archive/page-22-canonical/</t>
        </is>
      </c>
      <c r="FC25" s="28" t="inlineStr"/>
      <c r="FD25" s="28" t="n">
        <v>1</v>
      </c>
      <c r="FE25" s="20" t="inlineStr"/>
      <c r="FF25" s="28" t="b">
        <v>0</v>
      </c>
      <c r="FG25" s="28" t="b">
        <v>0</v>
      </c>
      <c r="FH25" s="32" t="b">
        <v>0</v>
      </c>
      <c r="FI25" s="28" t="n">
        <v>0</v>
      </c>
      <c r="FJ25" s="28" t="inlineStr">
        <is>
          <t>https://africanmarketingconfederation.org/smoke-archive/page-22</t>
        </is>
      </c>
      <c r="FK25" s="28" t="inlineStr"/>
      <c r="FL25" s="32" t="b">
        <v>0</v>
      </c>
      <c r="FM25" s="28" t="b">
        <v>0</v>
      </c>
      <c r="FN25" s="32" t="b">
        <v>0</v>
      </c>
      <c r="FO25" s="28" t="inlineStr"/>
      <c r="FP25" s="28" t="inlineStr"/>
      <c r="FQ25" s="28" t="inlineStr"/>
      <c r="FR25" s="28" t="inlineStr"/>
      <c r="FS25" s="28" t="inlineStr"/>
      <c r="FT25" s="28" t="inlineStr"/>
      <c r="FU25" s="28" t="inlineStr">
        <is>
          <t>Not specified</t>
        </is>
      </c>
      <c r="FV25" s="28" t="inlineStr">
        <is>
          <t>Not specified</t>
        </is>
      </c>
      <c r="FW25" s="28" t="inlineStr">
        <is>
          <t>Not specified</t>
        </is>
      </c>
      <c r="FX25" s="28" t="inlineStr">
        <is>
          <t>Not specified</t>
        </is>
      </c>
      <c r="FY25" s="28" t="inlineStr">
        <is>
          <t>Not specified</t>
        </is>
      </c>
      <c r="FZ25" s="28" t="b">
        <v>0</v>
      </c>
      <c r="GA25" s="28" t="n">
        <v>0</v>
      </c>
      <c r="GB25" s="28" t="inlineStr"/>
      <c r="GC25" s="28" t="inlineStr"/>
      <c r="GD25" s="28" t="b">
        <v>0</v>
      </c>
      <c r="GE25" s="28" t="b">
        <v>0</v>
      </c>
      <c r="GF25" s="28" t="b">
        <v>0</v>
      </c>
      <c r="GG25" s="28" t="b">
        <v>0</v>
      </c>
      <c r="GH25" s="28" t="b">
        <v>0</v>
      </c>
      <c r="GI25" s="28" t="b">
        <v>0</v>
      </c>
      <c r="GJ25" s="28" t="n">
        <v>0</v>
      </c>
      <c r="GK25" s="28" t="n">
        <v>0</v>
      </c>
      <c r="GL25" s="28" t="n">
        <v>0</v>
      </c>
      <c r="GM25" s="74" t="inlineStr"/>
      <c r="GN25" s="74" t="inlineStr"/>
      <c r="GO25" s="32" t="b">
        <v>0</v>
      </c>
      <c r="GP25" s="28" t="inlineStr"/>
      <c r="GQ25" s="74" t="inlineStr"/>
      <c r="GR25" s="28" t="inlineStr">
        <is>
          <t>Not Declared</t>
        </is>
      </c>
      <c r="GS25" s="28" t="b">
        <v>1</v>
      </c>
      <c r="GT25" s="28" t="n">
        <v>91.5</v>
      </c>
      <c r="GU25" s="28" t="inlineStr">
        <is>
          <t>Orphan</t>
        </is>
      </c>
      <c r="GV25" s="28" t="n">
        <v>0</v>
      </c>
      <c r="GW25" s="34" t="n">
        <v>0</v>
      </c>
      <c r="GX25" s="28" t="b">
        <v>0</v>
      </c>
      <c r="GY25" s="28" t="inlineStr">
        <is>
          <t>FAQ</t>
        </is>
      </c>
      <c r="GZ25" s="28" t="n">
        <v>9</v>
      </c>
      <c r="HA25" s="28" t="b">
        <v>0</v>
      </c>
      <c r="HB25" s="28" t="inlineStr">
        <is>
          <t>smoke, body, copy, intent, classification</t>
        </is>
      </c>
      <c r="HC25" s="28" t="b">
        <v>0</v>
      </c>
      <c r="HD25" s="28" t="b">
        <v>0</v>
      </c>
      <c r="HE25" s="28" t="b">
        <v>0</v>
      </c>
      <c r="HF25" s="34" t="n">
        <v>0</v>
      </c>
      <c r="HG25" s="28" t="b">
        <v>0</v>
      </c>
      <c r="HH25" s="28" t="b">
        <v>0</v>
      </c>
      <c r="HI25">
        <f>IFERROR(HYPERLINK("#'Technical Diagnostics'!A"&amp;MATCH(B25,'Technical Diagnostics'!A:A,0),"Open Technical"),HYPERLINK("#'Technical Diagnostics'!A1","Open Technical"))</f>
        <v/>
      </c>
    </row>
    <row r="26" ht="18" customHeight="1">
      <c r="A26" s="30" t="inlineStr">
        <is>
          <t>WARN 🟡</t>
        </is>
      </c>
      <c r="B26" s="37" t="inlineStr">
        <is>
          <t>https://africanmarketingconfederation.org/smoke-archive/page-23</t>
        </is>
      </c>
      <c r="C26" s="30" t="inlineStr"/>
      <c r="D26" s="30" t="inlineStr">
        <is>
          <t>Indexable</t>
        </is>
      </c>
      <c r="E26" s="30" t="inlineStr"/>
      <c r="F26" s="30" t="inlineStr">
        <is>
          <t>Smoke title 23</t>
        </is>
      </c>
      <c r="G26" s="30" t="inlineStr">
        <is>
          <t>Smoke meta description for page 23.</t>
        </is>
      </c>
      <c r="H26" s="30" t="n">
        <v>343</v>
      </c>
      <c r="I26" s="30" t="n">
        <v>80</v>
      </c>
      <c r="J26" s="30" t="inlineStr">
        <is>
          <t>Warning</t>
        </is>
      </c>
      <c r="K26" s="30" t="inlineStr">
        <is>
          <t>Yes</t>
        </is>
      </c>
      <c r="L26" s="30" t="inlineStr"/>
      <c r="M26" s="30" t="inlineStr"/>
      <c r="N26" s="30" t="inlineStr">
        <is>
          <t>Lab only</t>
        </is>
      </c>
      <c r="O26" s="30" t="inlineStr">
        <is>
          <t>None</t>
        </is>
      </c>
      <c r="P26" s="30" t="inlineStr">
        <is>
          <t>PSI Lab</t>
        </is>
      </c>
      <c r="Q26" s="30" t="inlineStr">
        <is>
          <t>None</t>
        </is>
      </c>
      <c r="R26" s="30" t="inlineStr"/>
      <c r="S26" s="30" t="inlineStr"/>
      <c r="T26" s="30" t="inlineStr"/>
      <c r="U26" s="30" t="inlineStr"/>
      <c r="V26" s="30" t="inlineStr"/>
      <c r="W26" s="30" t="inlineStr"/>
      <c r="X26" s="30" t="inlineStr"/>
      <c r="Y26" s="30" t="inlineStr"/>
      <c r="Z26" s="30" t="inlineStr"/>
      <c r="AA26" s="30" t="n">
        <v>88</v>
      </c>
      <c r="AB26" s="30" t="n">
        <v>88</v>
      </c>
      <c r="AC26" s="30" t="n">
        <v>88</v>
      </c>
      <c r="AD26" s="30" t="n">
        <v>85</v>
      </c>
      <c r="AE26" s="30" t="n">
        <v>82</v>
      </c>
      <c r="AF26" s="30" t="n">
        <v>92</v>
      </c>
      <c r="AG26" s="30" t="n">
        <v>2.4</v>
      </c>
      <c r="AH26" s="30" t="n">
        <v>0.04</v>
      </c>
      <c r="AI26" s="30" t="n">
        <v>0.4</v>
      </c>
      <c r="AJ26" s="30" t="n">
        <v>2.4</v>
      </c>
      <c r="AK26" s="30" t="n">
        <v>0.04</v>
      </c>
      <c r="AL26" s="30" t="n">
        <v>180</v>
      </c>
      <c r="AM26" s="30" t="n">
        <v>120</v>
      </c>
      <c r="AN26" s="30" t="n">
        <v>1.8</v>
      </c>
      <c r="AO26" s="30" t="n">
        <v>3.2</v>
      </c>
      <c r="AP26" s="30" t="n">
        <v>4.1</v>
      </c>
      <c r="AQ26" s="30" t="n">
        <v>400</v>
      </c>
      <c r="AR26" s="30" t="n">
        <v>88</v>
      </c>
      <c r="AS26" s="30" t="n">
        <v>85</v>
      </c>
      <c r="AT26" s="30" t="n">
        <v>82</v>
      </c>
      <c r="AU26" s="30" t="n">
        <v>92</v>
      </c>
      <c r="AV26" s="30" t="n">
        <v>2.4</v>
      </c>
      <c r="AW26" s="30" t="n">
        <v>0.04</v>
      </c>
      <c r="AX26" s="30" t="n">
        <v>180</v>
      </c>
      <c r="AY26" s="30" t="n">
        <v>120</v>
      </c>
      <c r="AZ26" s="30" t="n">
        <v>1.8</v>
      </c>
      <c r="BA26" s="30" t="n">
        <v>3.2</v>
      </c>
      <c r="BB26" s="30" t="n">
        <v>4.1</v>
      </c>
      <c r="BC26" s="30" t="n">
        <v>400</v>
      </c>
      <c r="BD26" s="30" t="n">
        <v>500</v>
      </c>
      <c r="BE26" s="30" t="n">
        <v>842</v>
      </c>
      <c r="BF26" s="30" t="n">
        <v>1250</v>
      </c>
      <c r="BG26" s="30" t="n">
        <v>1</v>
      </c>
      <c r="BH26" s="30" t="b">
        <v>1</v>
      </c>
      <c r="BI26" s="34" t="b">
        <v>1</v>
      </c>
      <c r="BJ26" s="30" t="b">
        <v>1</v>
      </c>
      <c r="BK26" s="30" t="b">
        <v>1</v>
      </c>
      <c r="BL26" s="30" t="b">
        <v>0</v>
      </c>
      <c r="BM26" s="30" t="n">
        <v>65</v>
      </c>
      <c r="BN26" s="30" t="inlineStr">
        <is>
          <t>complete</t>
        </is>
      </c>
      <c r="BO26" s="30" t="inlineStr">
        <is>
          <t>rendered_browser</t>
        </is>
      </c>
      <c r="BP26" s="30" t="b">
        <v>0</v>
      </c>
      <c r="BQ26" s="30" t="n">
        <v>0</v>
      </c>
      <c r="BR26" s="30" t="n">
        <v>0</v>
      </c>
      <c r="BS26" s="30" t="inlineStr"/>
      <c r="BT26" s="30" t="b">
        <v>0</v>
      </c>
      <c r="BU26" s="30" t="inlineStr"/>
      <c r="BV26" s="30" t="inlineStr"/>
      <c r="BW26" s="30" t="n">
        <v>0</v>
      </c>
      <c r="BX26" s="30" t="inlineStr"/>
      <c r="BY26" s="30" t="n">
        <v>0</v>
      </c>
      <c r="BZ26" s="30" t="inlineStr"/>
      <c r="CA26" s="30" t="n">
        <v>0</v>
      </c>
      <c r="CB26" s="30" t="inlineStr"/>
      <c r="CC26" s="30" t="n">
        <v>0</v>
      </c>
      <c r="CD26" s="30" t="inlineStr"/>
      <c r="CE26" s="30" t="n">
        <v>0</v>
      </c>
      <c r="CF26" s="30" t="inlineStr"/>
      <c r="CG26" s="30" t="n">
        <v>0</v>
      </c>
      <c r="CH26" s="30" t="inlineStr"/>
      <c r="CI26" s="30" t="inlineStr"/>
      <c r="CJ26" s="30" t="inlineStr"/>
      <c r="CK26" s="30" t="inlineStr"/>
      <c r="CL26" s="30" t="inlineStr">
        <is>
          <t>2026-06-01 to 2026-06-30 (30-day window; excludes today; typical GSC lag ~48h)</t>
        </is>
      </c>
      <c r="CM26" s="30" t="inlineStr">
        <is>
          <t>No Search Analytics row matched this URL in the 30-day export (compare Final URL with the page URL shown in GSC)</t>
        </is>
      </c>
      <c r="CN26" s="30" t="n">
        <v>-1</v>
      </c>
      <c r="CO26" s="30" t="b">
        <v>1</v>
      </c>
      <c r="CP26" s="30" t="n">
        <v>0.012048</v>
      </c>
      <c r="CQ26" s="30" t="b">
        <v>1</v>
      </c>
      <c r="CR26" s="30" t="b">
        <v>1</v>
      </c>
      <c r="CS26" s="30" t="inlineStr">
        <is>
          <t>Both</t>
        </is>
      </c>
      <c r="CT26" s="76" t="inlineStr"/>
      <c r="CU26" s="30" t="n">
        <v>24</v>
      </c>
      <c r="CV26" s="29">
        <f>IFERROR(INDEX(OFFSET('Technical Diagnostics'!$A$1,2,MATCH("SEO Health Score",'Technical Diagnostics'!$2:$2,0)-1,99998,1),MATCH(B26,OFFSET('Technical Diagnostics'!$A$1,2,MATCH("URL",'Technical Diagnostics'!$2:$2,0)-1,99998,1),0)),"")</f>
        <v/>
      </c>
      <c r="CW26" s="32" t="n">
        <v>100</v>
      </c>
      <c r="CX26" s="29" t="n">
        <v>85</v>
      </c>
      <c r="CY26" s="32" t="b">
        <v>1</v>
      </c>
      <c r="CZ26" s="30" t="b">
        <v>0</v>
      </c>
      <c r="DA26" s="30" t="inlineStr"/>
      <c r="DB26" s="30" t="inlineStr"/>
      <c r="DC26" s="30" t="inlineStr"/>
      <c r="DD26" s="30" t="n">
        <v>0</v>
      </c>
      <c r="DE26" s="30" t="n">
        <v>0</v>
      </c>
      <c r="DF26" s="30" t="inlineStr"/>
      <c r="DG26" s="30" t="inlineStr"/>
      <c r="DH26" s="30" t="inlineStr"/>
      <c r="DI26" s="30" t="n">
        <v>6</v>
      </c>
      <c r="DJ26" s="30" t="inlineStr">
        <is>
          <t>Author 23</t>
        </is>
      </c>
      <c r="DK26" s="30" t="inlineStr"/>
      <c r="DL26" s="30" t="b">
        <v>1</v>
      </c>
      <c r="DM26" s="30" t="inlineStr"/>
      <c r="DN26" s="30" t="inlineStr">
        <is>
          <t>2026-06-01</t>
        </is>
      </c>
      <c r="DO26" s="30" t="inlineStr"/>
      <c r="DP26" s="30" t="inlineStr">
        <is>
          <t>2026-06-01</t>
        </is>
      </c>
      <c r="DQ26" s="30" t="inlineStr"/>
      <c r="DR26" s="30" t="b">
        <v>0</v>
      </c>
      <c r="DS26" s="30" t="b">
        <v>1</v>
      </c>
      <c r="DT26" s="30" t="b">
        <v>1</v>
      </c>
      <c r="DU26" s="30" t="b">
        <v>0</v>
      </c>
      <c r="DV26" s="30" t="n">
        <v>0</v>
      </c>
      <c r="DW26" s="30" t="b">
        <v>0</v>
      </c>
      <c r="DX26" s="30" t="b">
        <v>0</v>
      </c>
      <c r="DY26" s="30" t="b">
        <v>0</v>
      </c>
      <c r="DZ26" s="30" t="b">
        <v>0</v>
      </c>
      <c r="EA26" s="32" t="b">
        <v>0</v>
      </c>
      <c r="EB26" s="30" t="b">
        <v>0</v>
      </c>
      <c r="EC26" s="30" t="inlineStr"/>
      <c r="ED26" s="30" t="inlineStr"/>
      <c r="EE26" s="30" t="b">
        <v>0</v>
      </c>
      <c r="EF26" s="30" t="inlineStr"/>
      <c r="EG26" s="30" t="inlineStr"/>
      <c r="EH26" s="30" t="inlineStr"/>
      <c r="EI26" s="30" t="inlineStr"/>
      <c r="EJ26" s="30" t="inlineStr"/>
      <c r="EK26" s="30" t="inlineStr">
        <is>
          <t>Fresh</t>
        </is>
      </c>
      <c r="EL26" s="30" t="inlineStr">
        <is>
          <t>Smoke title 23</t>
        </is>
      </c>
      <c r="EM26" s="30" t="inlineStr">
        <is>
          <t>Smoke meta description for page 23.</t>
        </is>
      </c>
      <c r="EN26" s="30" t="inlineStr">
        <is>
          <t>article</t>
        </is>
      </c>
      <c r="EO26" s="76" t="inlineStr"/>
      <c r="EP26" s="76" t="inlineStr"/>
      <c r="EQ26" s="30" t="inlineStr"/>
      <c r="ER26" s="30" t="inlineStr"/>
      <c r="ES26" s="30" t="inlineStr"/>
      <c r="ET26" s="30" t="inlineStr"/>
      <c r="EU26" s="75" t="b">
        <v>0</v>
      </c>
      <c r="EV26" s="30" t="inlineStr">
        <is>
          <t>summary_large_image</t>
        </is>
      </c>
      <c r="EW26" s="30" t="inlineStr"/>
      <c r="EX26" s="30" t="inlineStr"/>
      <c r="EY26" s="30" t="inlineStr"/>
      <c r="EZ26" s="30" t="n">
        <v>0</v>
      </c>
      <c r="FA26" s="40" t="b">
        <v>0</v>
      </c>
      <c r="FB26" s="76" t="inlineStr">
        <is>
          <t>https://africanmarketingconfederation.org/smoke-archive/page-23</t>
        </is>
      </c>
      <c r="FC26" s="30" t="inlineStr"/>
      <c r="FD26" s="30" t="n">
        <v>0</v>
      </c>
      <c r="FE26" s="31" t="inlineStr"/>
      <c r="FF26" s="30" t="b">
        <v>0</v>
      </c>
      <c r="FG26" s="30" t="b">
        <v>0</v>
      </c>
      <c r="FH26" s="32" t="b">
        <v>0</v>
      </c>
      <c r="FI26" s="30" t="n">
        <v>0</v>
      </c>
      <c r="FJ26" s="30" t="inlineStr">
        <is>
          <t>https://africanmarketingconfederation.org/smoke-archive/page-23</t>
        </is>
      </c>
      <c r="FK26" s="30" t="inlineStr"/>
      <c r="FL26" s="32" t="b">
        <v>0</v>
      </c>
      <c r="FM26" s="30" t="b">
        <v>0</v>
      </c>
      <c r="FN26" s="32" t="b">
        <v>0</v>
      </c>
      <c r="FO26" s="30" t="inlineStr"/>
      <c r="FP26" s="30" t="inlineStr"/>
      <c r="FQ26" s="30" t="inlineStr"/>
      <c r="FR26" s="30" t="inlineStr"/>
      <c r="FS26" s="30" t="inlineStr"/>
      <c r="FT26" s="30" t="inlineStr"/>
      <c r="FU26" s="30" t="inlineStr">
        <is>
          <t>Not specified</t>
        </is>
      </c>
      <c r="FV26" s="30" t="inlineStr">
        <is>
          <t>Not specified</t>
        </is>
      </c>
      <c r="FW26" s="30" t="inlineStr">
        <is>
          <t>Not specified</t>
        </is>
      </c>
      <c r="FX26" s="30" t="inlineStr">
        <is>
          <t>Not specified</t>
        </is>
      </c>
      <c r="FY26" s="30" t="inlineStr">
        <is>
          <t>Not specified</t>
        </is>
      </c>
      <c r="FZ26" s="30" t="b">
        <v>0</v>
      </c>
      <c r="GA26" s="30" t="n">
        <v>0</v>
      </c>
      <c r="GB26" s="30" t="inlineStr"/>
      <c r="GC26" s="30" t="inlineStr"/>
      <c r="GD26" s="30" t="b">
        <v>0</v>
      </c>
      <c r="GE26" s="30" t="b">
        <v>0</v>
      </c>
      <c r="GF26" s="30" t="b">
        <v>0</v>
      </c>
      <c r="GG26" s="30" t="b">
        <v>0</v>
      </c>
      <c r="GH26" s="30" t="b">
        <v>0</v>
      </c>
      <c r="GI26" s="30" t="b">
        <v>0</v>
      </c>
      <c r="GJ26" s="30" t="n">
        <v>0</v>
      </c>
      <c r="GK26" s="30" t="n">
        <v>0</v>
      </c>
      <c r="GL26" s="30" t="n">
        <v>0</v>
      </c>
      <c r="GM26" s="76" t="inlineStr"/>
      <c r="GN26" s="76" t="inlineStr"/>
      <c r="GO26" s="32" t="b">
        <v>0</v>
      </c>
      <c r="GP26" s="30" t="inlineStr"/>
      <c r="GQ26" s="76" t="inlineStr"/>
      <c r="GR26" s="30" t="inlineStr">
        <is>
          <t>Not Declared</t>
        </is>
      </c>
      <c r="GS26" s="30" t="b">
        <v>1</v>
      </c>
      <c r="GT26" s="30" t="n">
        <v>35.4</v>
      </c>
      <c r="GU26" s="30" t="inlineStr">
        <is>
          <t>Orphan</t>
        </is>
      </c>
      <c r="GV26" s="30" t="n">
        <v>0</v>
      </c>
      <c r="GW26" s="34" t="n">
        <v>0</v>
      </c>
      <c r="GX26" s="30" t="b">
        <v>0</v>
      </c>
      <c r="GY26" s="30" t="inlineStr">
        <is>
          <t>FAQ</t>
        </is>
      </c>
      <c r="GZ26" s="30" t="n">
        <v>9</v>
      </c>
      <c r="HA26" s="30" t="b">
        <v>0</v>
      </c>
      <c r="HB26" s="30" t="inlineStr">
        <is>
          <t>smoke, body, copy, intent, classification</t>
        </is>
      </c>
      <c r="HC26" s="30" t="b">
        <v>0</v>
      </c>
      <c r="HD26" s="30" t="b">
        <v>0</v>
      </c>
      <c r="HE26" s="30" t="b">
        <v>0</v>
      </c>
      <c r="HF26" s="34" t="n">
        <v>0</v>
      </c>
      <c r="HG26" s="30" t="b">
        <v>0</v>
      </c>
      <c r="HH26" s="30" t="b">
        <v>0</v>
      </c>
      <c r="HI26" s="38">
        <f>IFERROR(HYPERLINK("#'Technical Diagnostics'!A"&amp;MATCH(B26,'Technical Diagnostics'!A:A,0),"Open Technical"),HYPERLINK("#'Technical Diagnostics'!A1","Open Technical"))</f>
        <v/>
      </c>
    </row>
    <row r="27" ht="18" customHeight="1">
      <c r="A27" s="28" t="inlineStr">
        <is>
          <t>FAIL 🔴</t>
        </is>
      </c>
      <c r="B27" s="35" t="inlineStr">
        <is>
          <t>https://africanmarketingconfederation.org/smoke-archive/page-24</t>
        </is>
      </c>
      <c r="C27" s="28" t="inlineStr"/>
      <c r="D27" s="28" t="inlineStr">
        <is>
          <t>Indexable</t>
        </is>
      </c>
      <c r="E27" s="28" t="inlineStr"/>
      <c r="F27" s="28" t="inlineStr">
        <is>
          <t>Smoke title 24</t>
        </is>
      </c>
      <c r="G27" s="28" t="inlineStr">
        <is>
          <t>Smoke meta description for page 24.</t>
        </is>
      </c>
      <c r="H27" s="28" t="n">
        <v>344</v>
      </c>
      <c r="I27" s="28" t="n">
        <v>45</v>
      </c>
      <c r="J27" s="28" t="inlineStr">
        <is>
          <t>Critical</t>
        </is>
      </c>
      <c r="K27" s="28" t="inlineStr">
        <is>
          <t>Yes</t>
        </is>
      </c>
      <c r="L27" s="28" t="inlineStr"/>
      <c r="M27" s="28" t="inlineStr"/>
      <c r="N27" s="28" t="inlineStr">
        <is>
          <t>Lab only</t>
        </is>
      </c>
      <c r="O27" s="28" t="inlineStr">
        <is>
          <t>None</t>
        </is>
      </c>
      <c r="P27" s="28" t="inlineStr">
        <is>
          <t>PSI Lab</t>
        </is>
      </c>
      <c r="Q27" s="28" t="inlineStr">
        <is>
          <t>None</t>
        </is>
      </c>
      <c r="R27" s="28" t="inlineStr"/>
      <c r="S27" s="28" t="inlineStr"/>
      <c r="T27" s="28" t="inlineStr"/>
      <c r="U27" s="28" t="inlineStr"/>
      <c r="V27" s="28" t="inlineStr"/>
      <c r="W27" s="28" t="inlineStr"/>
      <c r="X27" s="28" t="inlineStr"/>
      <c r="Y27" s="28" t="inlineStr"/>
      <c r="Z27" s="28" t="inlineStr"/>
      <c r="AA27" s="28" t="n">
        <v>88</v>
      </c>
      <c r="AB27" s="28" t="n">
        <v>88</v>
      </c>
      <c r="AC27" s="28" t="n">
        <v>88</v>
      </c>
      <c r="AD27" s="28" t="n">
        <v>85</v>
      </c>
      <c r="AE27" s="28" t="n">
        <v>82</v>
      </c>
      <c r="AF27" s="28" t="n">
        <v>92</v>
      </c>
      <c r="AG27" s="28" t="n">
        <v>2.4</v>
      </c>
      <c r="AH27" s="28" t="n">
        <v>0.04</v>
      </c>
      <c r="AI27" s="28" t="n">
        <v>0.4</v>
      </c>
      <c r="AJ27" s="28" t="n">
        <v>2.4</v>
      </c>
      <c r="AK27" s="28" t="n">
        <v>0.04</v>
      </c>
      <c r="AL27" s="28" t="n">
        <v>180</v>
      </c>
      <c r="AM27" s="28" t="n">
        <v>120</v>
      </c>
      <c r="AN27" s="28" t="n">
        <v>1.8</v>
      </c>
      <c r="AO27" s="28" t="n">
        <v>3.2</v>
      </c>
      <c r="AP27" s="28" t="n">
        <v>4.1</v>
      </c>
      <c r="AQ27" s="28" t="n">
        <v>400</v>
      </c>
      <c r="AR27" s="28" t="n">
        <v>88</v>
      </c>
      <c r="AS27" s="28" t="n">
        <v>85</v>
      </c>
      <c r="AT27" s="28" t="n">
        <v>82</v>
      </c>
      <c r="AU27" s="28" t="n">
        <v>92</v>
      </c>
      <c r="AV27" s="28" t="n">
        <v>2.4</v>
      </c>
      <c r="AW27" s="28" t="n">
        <v>0.04</v>
      </c>
      <c r="AX27" s="28" t="n">
        <v>180</v>
      </c>
      <c r="AY27" s="28" t="n">
        <v>120</v>
      </c>
      <c r="AZ27" s="28" t="n">
        <v>1.8</v>
      </c>
      <c r="BA27" s="28" t="n">
        <v>3.2</v>
      </c>
      <c r="BB27" s="28" t="n">
        <v>4.1</v>
      </c>
      <c r="BC27" s="28" t="n">
        <v>400</v>
      </c>
      <c r="BD27" s="28" t="n">
        <v>500</v>
      </c>
      <c r="BE27" s="28" t="n">
        <v>842</v>
      </c>
      <c r="BF27" s="28" t="n">
        <v>1250</v>
      </c>
      <c r="BG27" s="28" t="n">
        <v>1</v>
      </c>
      <c r="BH27" s="28" t="b">
        <v>1</v>
      </c>
      <c r="BI27" s="34" t="b">
        <v>1</v>
      </c>
      <c r="BJ27" s="28" t="b">
        <v>1</v>
      </c>
      <c r="BK27" s="28" t="b">
        <v>1</v>
      </c>
      <c r="BL27" s="28" t="b">
        <v>0</v>
      </c>
      <c r="BM27" s="28" t="n">
        <v>65</v>
      </c>
      <c r="BN27" s="28" t="inlineStr">
        <is>
          <t>complete</t>
        </is>
      </c>
      <c r="BO27" s="28" t="inlineStr">
        <is>
          <t>rendered_browser</t>
        </is>
      </c>
      <c r="BP27" s="28" t="b">
        <v>0</v>
      </c>
      <c r="BQ27" s="28" t="n">
        <v>0</v>
      </c>
      <c r="BR27" s="28" t="n">
        <v>0</v>
      </c>
      <c r="BS27" s="28" t="inlineStr">
        <is>
          <t>https://africanmarketingconfederation.org/og-24.jpg</t>
        </is>
      </c>
      <c r="BT27" s="28" t="b">
        <v>0</v>
      </c>
      <c r="BU27" s="28" t="inlineStr"/>
      <c r="BV27" s="28" t="inlineStr"/>
      <c r="BW27" s="28" t="n">
        <v>0</v>
      </c>
      <c r="BX27" s="28" t="inlineStr"/>
      <c r="BY27" s="28" t="n">
        <v>0</v>
      </c>
      <c r="BZ27" s="28" t="inlineStr"/>
      <c r="CA27" s="28" t="n">
        <v>0</v>
      </c>
      <c r="CB27" s="28" t="inlineStr"/>
      <c r="CC27" s="28" t="n">
        <v>0</v>
      </c>
      <c r="CD27" s="28" t="inlineStr"/>
      <c r="CE27" s="28" t="n">
        <v>0</v>
      </c>
      <c r="CF27" s="28" t="inlineStr"/>
      <c r="CG27" s="28" t="n">
        <v>0</v>
      </c>
      <c r="CH27" s="28" t="inlineStr"/>
      <c r="CI27" s="28" t="inlineStr"/>
      <c r="CJ27" s="28" t="inlineStr"/>
      <c r="CK27" s="28" t="inlineStr"/>
      <c r="CL27" s="28" t="inlineStr">
        <is>
          <t>2026-06-01 to 2026-06-30 (30-day window; excludes today; typical GSC lag ~48h)</t>
        </is>
      </c>
      <c r="CM27" s="28" t="inlineStr">
        <is>
          <t>No Search Analytics row matched this URL in the 30-day export (compare Final URL with the page URL shown in GSC)</t>
        </is>
      </c>
      <c r="CN27" s="28" t="n">
        <v>-1</v>
      </c>
      <c r="CO27" s="28" t="b">
        <v>1</v>
      </c>
      <c r="CP27" s="28" t="n">
        <v>0.012048</v>
      </c>
      <c r="CQ27" s="28" t="b">
        <v>1</v>
      </c>
      <c r="CR27" s="28" t="b">
        <v>1</v>
      </c>
      <c r="CS27" s="28" t="inlineStr">
        <is>
          <t>Both</t>
        </is>
      </c>
      <c r="CT27" s="74" t="inlineStr"/>
      <c r="CU27" s="28" t="n">
        <v>25</v>
      </c>
      <c r="CV27" s="34">
        <f>IFERROR(INDEX(OFFSET('Technical Diagnostics'!$A$1,2,MATCH("SEO Health Score",'Technical Diagnostics'!$2:$2,0)-1,99998,1),MATCH(B27,OFFSET('Technical Diagnostics'!$A$1,2,MATCH("URL",'Technical Diagnostics'!$2:$2,0)-1,99998,1),0)),"")</f>
        <v/>
      </c>
      <c r="CW27" s="32" t="n">
        <v>100</v>
      </c>
      <c r="CX27" s="34" t="n">
        <v>58.75</v>
      </c>
      <c r="CY27" s="40" t="b">
        <v>0</v>
      </c>
      <c r="CZ27" s="28" t="b">
        <v>0</v>
      </c>
      <c r="DA27" s="28" t="inlineStr"/>
      <c r="DB27" s="28" t="inlineStr"/>
      <c r="DC27" s="28" t="inlineStr"/>
      <c r="DD27" s="28" t="n">
        <v>0</v>
      </c>
      <c r="DE27" s="28" t="n">
        <v>0</v>
      </c>
      <c r="DF27" s="28" t="inlineStr"/>
      <c r="DG27" s="28" t="inlineStr"/>
      <c r="DH27" s="28" t="inlineStr"/>
      <c r="DI27" s="28" t="n">
        <v>6</v>
      </c>
      <c r="DJ27" s="28" t="inlineStr">
        <is>
          <t>Author 24</t>
        </is>
      </c>
      <c r="DK27" s="28" t="inlineStr"/>
      <c r="DL27" s="28" t="b">
        <v>1</v>
      </c>
      <c r="DM27" s="28" t="inlineStr"/>
      <c r="DN27" s="28" t="inlineStr">
        <is>
          <t>2026-06-01</t>
        </is>
      </c>
      <c r="DO27" s="28" t="inlineStr"/>
      <c r="DP27" s="28" t="inlineStr">
        <is>
          <t>2026-06-01</t>
        </is>
      </c>
      <c r="DQ27" s="28" t="inlineStr"/>
      <c r="DR27" s="28" t="b">
        <v>0</v>
      </c>
      <c r="DS27" s="28" t="b">
        <v>1</v>
      </c>
      <c r="DT27" s="28" t="b">
        <v>1</v>
      </c>
      <c r="DU27" s="28" t="b">
        <v>0</v>
      </c>
      <c r="DV27" s="28" t="n">
        <v>0</v>
      </c>
      <c r="DW27" s="28" t="b">
        <v>0</v>
      </c>
      <c r="DX27" s="28" t="b">
        <v>0</v>
      </c>
      <c r="DY27" s="28" t="b">
        <v>0</v>
      </c>
      <c r="DZ27" s="28" t="b">
        <v>0</v>
      </c>
      <c r="EA27" s="32" t="b">
        <v>0</v>
      </c>
      <c r="EB27" s="28" t="b">
        <v>0</v>
      </c>
      <c r="EC27" s="28" t="inlineStr"/>
      <c r="ED27" s="28" t="inlineStr"/>
      <c r="EE27" s="28" t="b">
        <v>0</v>
      </c>
      <c r="EF27" s="28" t="inlineStr"/>
      <c r="EG27" s="28" t="inlineStr"/>
      <c r="EH27" s="28" t="inlineStr"/>
      <c r="EI27" s="28" t="inlineStr">
        <is>
          <t>2026-06-01</t>
        </is>
      </c>
      <c r="EJ27" s="28" t="inlineStr"/>
      <c r="EK27" s="28" t="inlineStr">
        <is>
          <t>Fresh</t>
        </is>
      </c>
      <c r="EL27" s="28" t="inlineStr"/>
      <c r="EM27" s="28" t="inlineStr">
        <is>
          <t>Smoke meta description for page 24.</t>
        </is>
      </c>
      <c r="EN27" s="28" t="inlineStr">
        <is>
          <t>article</t>
        </is>
      </c>
      <c r="EO27" s="74" t="inlineStr"/>
      <c r="EP27" s="74" t="inlineStr">
        <is>
          <t>https://africanmarketingconfederation.org/og-24.jpg</t>
        </is>
      </c>
      <c r="EQ27" s="28" t="inlineStr"/>
      <c r="ER27" s="28" t="inlineStr"/>
      <c r="ES27" s="28" t="inlineStr"/>
      <c r="ET27" s="28" t="inlineStr"/>
      <c r="EU27" s="75" t="b">
        <v>0</v>
      </c>
      <c r="EV27" s="28" t="inlineStr">
        <is>
          <t>summary_large_image</t>
        </is>
      </c>
      <c r="EW27" s="28" t="inlineStr"/>
      <c r="EX27" s="28" t="inlineStr"/>
      <c r="EY27" s="28" t="inlineStr"/>
      <c r="EZ27" s="28" t="n">
        <v>0</v>
      </c>
      <c r="FA27" s="40" t="b">
        <v>0</v>
      </c>
      <c r="FB27" s="74" t="inlineStr">
        <is>
          <t>https://africanmarketingconfederation.org/smoke-archive/page-24</t>
        </is>
      </c>
      <c r="FC27" s="28" t="inlineStr"/>
      <c r="FD27" s="28" t="n">
        <v>0</v>
      </c>
      <c r="FE27" s="20" t="inlineStr"/>
      <c r="FF27" s="28" t="b">
        <v>0</v>
      </c>
      <c r="FG27" s="28" t="b">
        <v>0</v>
      </c>
      <c r="FH27" s="32" t="b">
        <v>0</v>
      </c>
      <c r="FI27" s="28" t="n">
        <v>0</v>
      </c>
      <c r="FJ27" s="28" t="inlineStr">
        <is>
          <t>https://africanmarketingconfederation.org/smoke-archive/page-24</t>
        </is>
      </c>
      <c r="FK27" s="28" t="inlineStr"/>
      <c r="FL27" s="32" t="b">
        <v>0</v>
      </c>
      <c r="FM27" s="28" t="b">
        <v>0</v>
      </c>
      <c r="FN27" s="32" t="b">
        <v>0</v>
      </c>
      <c r="FO27" s="28" t="inlineStr"/>
      <c r="FP27" s="28" t="inlineStr"/>
      <c r="FQ27" s="28" t="inlineStr"/>
      <c r="FR27" s="28" t="inlineStr"/>
      <c r="FS27" s="28" t="inlineStr"/>
      <c r="FT27" s="28" t="inlineStr"/>
      <c r="FU27" s="28" t="inlineStr">
        <is>
          <t>Not specified</t>
        </is>
      </c>
      <c r="FV27" s="28" t="inlineStr">
        <is>
          <t>Not specified</t>
        </is>
      </c>
      <c r="FW27" s="28" t="inlineStr">
        <is>
          <t>Not specified</t>
        </is>
      </c>
      <c r="FX27" s="28" t="inlineStr">
        <is>
          <t>Not specified</t>
        </is>
      </c>
      <c r="FY27" s="28" t="inlineStr">
        <is>
          <t>Not specified</t>
        </is>
      </c>
      <c r="FZ27" s="28" t="b">
        <v>0</v>
      </c>
      <c r="GA27" s="28" t="n">
        <v>0</v>
      </c>
      <c r="GB27" s="28" t="inlineStr"/>
      <c r="GC27" s="28" t="inlineStr"/>
      <c r="GD27" s="28" t="b">
        <v>0</v>
      </c>
      <c r="GE27" s="28" t="b">
        <v>0</v>
      </c>
      <c r="GF27" s="28" t="b">
        <v>0</v>
      </c>
      <c r="GG27" s="28" t="b">
        <v>0</v>
      </c>
      <c r="GH27" s="28" t="b">
        <v>0</v>
      </c>
      <c r="GI27" s="28" t="b">
        <v>0</v>
      </c>
      <c r="GJ27" s="28" t="n">
        <v>0</v>
      </c>
      <c r="GK27" s="28" t="n">
        <v>0</v>
      </c>
      <c r="GL27" s="28" t="n">
        <v>0</v>
      </c>
      <c r="GM27" s="74" t="inlineStr"/>
      <c r="GN27" s="74" t="inlineStr"/>
      <c r="GO27" s="32" t="b">
        <v>0</v>
      </c>
      <c r="GP27" s="28" t="inlineStr"/>
      <c r="GQ27" s="74" t="inlineStr"/>
      <c r="GR27" s="28" t="inlineStr">
        <is>
          <t>Not Declared</t>
        </is>
      </c>
      <c r="GS27" s="28" t="b">
        <v>1</v>
      </c>
      <c r="GT27" s="28" t="n">
        <v>34.1</v>
      </c>
      <c r="GU27" s="28" t="inlineStr">
        <is>
          <t>Orphan</t>
        </is>
      </c>
      <c r="GV27" s="28" t="n">
        <v>0</v>
      </c>
      <c r="GW27" s="34" t="n">
        <v>0</v>
      </c>
      <c r="GX27" s="28" t="b">
        <v>0</v>
      </c>
      <c r="GY27" s="28" t="inlineStr">
        <is>
          <t>FAQ</t>
        </is>
      </c>
      <c r="GZ27" s="28" t="n">
        <v>9</v>
      </c>
      <c r="HA27" s="28" t="b">
        <v>0</v>
      </c>
      <c r="HB27" s="28" t="inlineStr">
        <is>
          <t>smoke, body, copy, intent, classification</t>
        </is>
      </c>
      <c r="HC27" s="28" t="b">
        <v>0</v>
      </c>
      <c r="HD27" s="28" t="b">
        <v>0</v>
      </c>
      <c r="HE27" s="28" t="b">
        <v>0</v>
      </c>
      <c r="HF27" s="34" t="n">
        <v>0</v>
      </c>
      <c r="HG27" s="28" t="b">
        <v>0</v>
      </c>
      <c r="HH27" s="28" t="b">
        <v>0</v>
      </c>
      <c r="HI27">
        <f>IFERROR(HYPERLINK("#'Technical Diagnostics'!A"&amp;MATCH(B27,'Technical Diagnostics'!A:A,0),"Open Technical"),HYPERLINK("#'Technical Diagnostics'!A1","Open Technical"))</f>
        <v/>
      </c>
    </row>
    <row r="28" ht="18" customHeight="1">
      <c r="A28" s="30" t="inlineStr">
        <is>
          <t>WARN 🟡</t>
        </is>
      </c>
      <c r="B28" s="37" t="inlineStr">
        <is>
          <t>https://africanmarketingconfederation.org/smoke-archive/page-25</t>
        </is>
      </c>
      <c r="C28" s="30" t="inlineStr"/>
      <c r="D28" s="30" t="inlineStr">
        <is>
          <t>Indexable</t>
        </is>
      </c>
      <c r="E28" s="30" t="inlineStr"/>
      <c r="F28" s="30" t="inlineStr">
        <is>
          <t>Smoke title 25</t>
        </is>
      </c>
      <c r="G28" s="30" t="inlineStr"/>
      <c r="H28" s="30" t="n">
        <v>345</v>
      </c>
      <c r="I28" s="30" t="n">
        <v>60</v>
      </c>
      <c r="J28" s="30" t="inlineStr">
        <is>
          <t>Warning</t>
        </is>
      </c>
      <c r="K28" s="30" t="inlineStr">
        <is>
          <t>Yes</t>
        </is>
      </c>
      <c r="L28" s="30" t="inlineStr"/>
      <c r="M28" s="30" t="inlineStr"/>
      <c r="N28" s="30" t="inlineStr">
        <is>
          <t>Lab only</t>
        </is>
      </c>
      <c r="O28" s="30" t="inlineStr">
        <is>
          <t>None</t>
        </is>
      </c>
      <c r="P28" s="30" t="inlineStr">
        <is>
          <t>PSI Lab</t>
        </is>
      </c>
      <c r="Q28" s="30" t="inlineStr">
        <is>
          <t>None</t>
        </is>
      </c>
      <c r="R28" s="30" t="inlineStr"/>
      <c r="S28" s="30" t="inlineStr"/>
      <c r="T28" s="30" t="inlineStr"/>
      <c r="U28" s="30" t="inlineStr"/>
      <c r="V28" s="30" t="inlineStr"/>
      <c r="W28" s="30" t="inlineStr"/>
      <c r="X28" s="30" t="inlineStr"/>
      <c r="Y28" s="30" t="inlineStr"/>
      <c r="Z28" s="30" t="inlineStr"/>
      <c r="AA28" s="30" t="n">
        <v>88</v>
      </c>
      <c r="AB28" s="30" t="n">
        <v>88</v>
      </c>
      <c r="AC28" s="30" t="n">
        <v>88</v>
      </c>
      <c r="AD28" s="30" t="n">
        <v>85</v>
      </c>
      <c r="AE28" s="30" t="n">
        <v>82</v>
      </c>
      <c r="AF28" s="30" t="n">
        <v>92</v>
      </c>
      <c r="AG28" s="30" t="n">
        <v>2.4</v>
      </c>
      <c r="AH28" s="30" t="n">
        <v>0.04</v>
      </c>
      <c r="AI28" s="30" t="n">
        <v>0.4</v>
      </c>
      <c r="AJ28" s="30" t="n">
        <v>2.4</v>
      </c>
      <c r="AK28" s="30" t="n">
        <v>0.04</v>
      </c>
      <c r="AL28" s="30" t="n">
        <v>180</v>
      </c>
      <c r="AM28" s="30" t="n">
        <v>120</v>
      </c>
      <c r="AN28" s="30" t="n">
        <v>1.8</v>
      </c>
      <c r="AO28" s="30" t="n">
        <v>3.2</v>
      </c>
      <c r="AP28" s="30" t="n">
        <v>4.1</v>
      </c>
      <c r="AQ28" s="30" t="n">
        <v>400</v>
      </c>
      <c r="AR28" s="30" t="n">
        <v>88</v>
      </c>
      <c r="AS28" s="30" t="n">
        <v>85</v>
      </c>
      <c r="AT28" s="30" t="n">
        <v>82</v>
      </c>
      <c r="AU28" s="30" t="n">
        <v>92</v>
      </c>
      <c r="AV28" s="30" t="n">
        <v>2.4</v>
      </c>
      <c r="AW28" s="30" t="n">
        <v>0.04</v>
      </c>
      <c r="AX28" s="30" t="n">
        <v>180</v>
      </c>
      <c r="AY28" s="30" t="n">
        <v>120</v>
      </c>
      <c r="AZ28" s="30" t="n">
        <v>1.8</v>
      </c>
      <c r="BA28" s="30" t="n">
        <v>3.2</v>
      </c>
      <c r="BB28" s="30" t="n">
        <v>4.1</v>
      </c>
      <c r="BC28" s="30" t="n">
        <v>400</v>
      </c>
      <c r="BD28" s="30" t="n">
        <v>500</v>
      </c>
      <c r="BE28" s="30" t="n">
        <v>842</v>
      </c>
      <c r="BF28" s="30" t="n">
        <v>1250</v>
      </c>
      <c r="BG28" s="30" t="n">
        <v>1</v>
      </c>
      <c r="BH28" s="30" t="b">
        <v>1</v>
      </c>
      <c r="BI28" s="34" t="b">
        <v>1</v>
      </c>
      <c r="BJ28" s="30" t="b">
        <v>1</v>
      </c>
      <c r="BK28" s="30" t="b">
        <v>1</v>
      </c>
      <c r="BL28" s="30" t="b">
        <v>0</v>
      </c>
      <c r="BM28" s="30" t="n">
        <v>65</v>
      </c>
      <c r="BN28" s="30" t="inlineStr">
        <is>
          <t>complete</t>
        </is>
      </c>
      <c r="BO28" s="30" t="inlineStr">
        <is>
          <t>rendered_browser</t>
        </is>
      </c>
      <c r="BP28" s="30" t="b">
        <v>0</v>
      </c>
      <c r="BQ28" s="30" t="n">
        <v>0</v>
      </c>
      <c r="BR28" s="30" t="n">
        <v>0</v>
      </c>
      <c r="BS28" s="30" t="inlineStr"/>
      <c r="BT28" s="30" t="b">
        <v>0</v>
      </c>
      <c r="BU28" s="30" t="inlineStr"/>
      <c r="BV28" s="30" t="inlineStr"/>
      <c r="BW28" s="30" t="n">
        <v>0</v>
      </c>
      <c r="BX28" s="30" t="inlineStr"/>
      <c r="BY28" s="30" t="n">
        <v>0</v>
      </c>
      <c r="BZ28" s="30" t="inlineStr"/>
      <c r="CA28" s="30" t="n">
        <v>0</v>
      </c>
      <c r="CB28" s="30" t="inlineStr"/>
      <c r="CC28" s="30" t="n">
        <v>0</v>
      </c>
      <c r="CD28" s="30" t="inlineStr"/>
      <c r="CE28" s="30" t="n">
        <v>0</v>
      </c>
      <c r="CF28" s="30" t="inlineStr"/>
      <c r="CG28" s="30" t="n">
        <v>0</v>
      </c>
      <c r="CH28" s="30" t="inlineStr"/>
      <c r="CI28" s="30" t="inlineStr"/>
      <c r="CJ28" s="30" t="inlineStr"/>
      <c r="CK28" s="30" t="inlineStr"/>
      <c r="CL28" s="30" t="inlineStr">
        <is>
          <t>2026-06-01 to 2026-06-30 (30-day window; excludes today; typical GSC lag ~48h)</t>
        </is>
      </c>
      <c r="CM28" s="30" t="inlineStr">
        <is>
          <t>No Search Analytics row matched this URL in the 30-day export (compare Final URL with the page URL shown in GSC)</t>
        </is>
      </c>
      <c r="CN28" s="30" t="n">
        <v>-1</v>
      </c>
      <c r="CO28" s="30" t="b">
        <v>1</v>
      </c>
      <c r="CP28" s="30" t="n">
        <v>0.012048</v>
      </c>
      <c r="CQ28" s="30" t="b">
        <v>1</v>
      </c>
      <c r="CR28" s="30" t="b">
        <v>1</v>
      </c>
      <c r="CS28" s="30" t="inlineStr">
        <is>
          <t>Both</t>
        </is>
      </c>
      <c r="CT28" s="76" t="inlineStr"/>
      <c r="CU28" s="30" t="n">
        <v>26</v>
      </c>
      <c r="CV28" s="34">
        <f>IFERROR(INDEX(OFFSET('Technical Diagnostics'!$A$1,2,MATCH("SEO Health Score",'Technical Diagnostics'!$2:$2,0)-1,99998,1),MATCH(B28,OFFSET('Technical Diagnostics'!$A$1,2,MATCH("URL",'Technical Diagnostics'!$2:$2,0)-1,99998,1),0)),"")</f>
        <v/>
      </c>
      <c r="CW28" s="29" t="n">
        <v>80</v>
      </c>
      <c r="CX28" s="34" t="n">
        <v>65</v>
      </c>
      <c r="CY28" s="32" t="b">
        <v>1</v>
      </c>
      <c r="CZ28" s="30" t="b">
        <v>0</v>
      </c>
      <c r="DA28" s="30" t="inlineStr"/>
      <c r="DB28" s="30" t="inlineStr"/>
      <c r="DC28" s="30" t="inlineStr"/>
      <c r="DD28" s="30" t="n">
        <v>0</v>
      </c>
      <c r="DE28" s="30" t="n">
        <v>0</v>
      </c>
      <c r="DF28" s="30" t="inlineStr"/>
      <c r="DG28" s="30" t="inlineStr"/>
      <c r="DH28" s="30" t="inlineStr"/>
      <c r="DI28" s="30" t="n">
        <v>6</v>
      </c>
      <c r="DJ28" s="30" t="inlineStr">
        <is>
          <t>Author 25</t>
        </is>
      </c>
      <c r="DK28" s="30" t="inlineStr"/>
      <c r="DL28" s="30" t="b">
        <v>1</v>
      </c>
      <c r="DM28" s="30" t="inlineStr"/>
      <c r="DN28" s="30" t="inlineStr">
        <is>
          <t>2026-06-01</t>
        </is>
      </c>
      <c r="DO28" s="30" t="inlineStr"/>
      <c r="DP28" s="30" t="inlineStr">
        <is>
          <t>2026-06-01</t>
        </is>
      </c>
      <c r="DQ28" s="30" t="inlineStr"/>
      <c r="DR28" s="30" t="b">
        <v>0</v>
      </c>
      <c r="DS28" s="30" t="b">
        <v>1</v>
      </c>
      <c r="DT28" s="30" t="b">
        <v>1</v>
      </c>
      <c r="DU28" s="30" t="b">
        <v>0</v>
      </c>
      <c r="DV28" s="30" t="n">
        <v>0</v>
      </c>
      <c r="DW28" s="30" t="b">
        <v>0</v>
      </c>
      <c r="DX28" s="30" t="b">
        <v>0</v>
      </c>
      <c r="DY28" s="30" t="b">
        <v>0</v>
      </c>
      <c r="DZ28" s="30" t="b">
        <v>0</v>
      </c>
      <c r="EA28" s="32" t="b">
        <v>0</v>
      </c>
      <c r="EB28" s="30" t="b">
        <v>0</v>
      </c>
      <c r="EC28" s="30" t="inlineStr"/>
      <c r="ED28" s="30" t="inlineStr"/>
      <c r="EE28" s="30" t="b">
        <v>0</v>
      </c>
      <c r="EF28" s="30" t="inlineStr"/>
      <c r="EG28" s="30" t="inlineStr"/>
      <c r="EH28" s="30" t="inlineStr"/>
      <c r="EI28" s="30" t="inlineStr"/>
      <c r="EJ28" s="30" t="inlineStr"/>
      <c r="EK28" s="30" t="inlineStr">
        <is>
          <t>Fresh</t>
        </is>
      </c>
      <c r="EL28" s="30" t="inlineStr">
        <is>
          <t>Smoke title 25</t>
        </is>
      </c>
      <c r="EM28" s="30" t="inlineStr"/>
      <c r="EN28" s="30" t="inlineStr">
        <is>
          <t>article</t>
        </is>
      </c>
      <c r="EO28" s="76" t="inlineStr"/>
      <c r="EP28" s="76" t="inlineStr"/>
      <c r="EQ28" s="30" t="inlineStr"/>
      <c r="ER28" s="30" t="inlineStr"/>
      <c r="ES28" s="30" t="inlineStr"/>
      <c r="ET28" s="30" t="inlineStr"/>
      <c r="EU28" s="75" t="b">
        <v>0</v>
      </c>
      <c r="EV28" s="30" t="inlineStr">
        <is>
          <t>summary_large_image</t>
        </is>
      </c>
      <c r="EW28" s="30" t="inlineStr"/>
      <c r="EX28" s="30" t="inlineStr"/>
      <c r="EY28" s="30" t="inlineStr"/>
      <c r="EZ28" s="30" t="n">
        <v>0</v>
      </c>
      <c r="FA28" s="40" t="b">
        <v>0</v>
      </c>
      <c r="FB28" s="76" t="inlineStr">
        <is>
          <t>https://africanmarketingconfederation.org/smoke-archive/page-25</t>
        </is>
      </c>
      <c r="FC28" s="30" t="inlineStr"/>
      <c r="FD28" s="30" t="n">
        <v>0</v>
      </c>
      <c r="FE28" s="31" t="inlineStr"/>
      <c r="FF28" s="30" t="b">
        <v>0</v>
      </c>
      <c r="FG28" s="30" t="b">
        <v>0</v>
      </c>
      <c r="FH28" s="32" t="b">
        <v>0</v>
      </c>
      <c r="FI28" s="30" t="n">
        <v>0</v>
      </c>
      <c r="FJ28" s="30" t="inlineStr">
        <is>
          <t>https://africanmarketingconfederation.org/smoke-archive/page-25</t>
        </is>
      </c>
      <c r="FK28" s="30" t="inlineStr"/>
      <c r="FL28" s="32" t="b">
        <v>0</v>
      </c>
      <c r="FM28" s="30" t="b">
        <v>0</v>
      </c>
      <c r="FN28" s="32" t="b">
        <v>0</v>
      </c>
      <c r="FO28" s="30" t="inlineStr"/>
      <c r="FP28" s="30" t="inlineStr"/>
      <c r="FQ28" s="30" t="inlineStr"/>
      <c r="FR28" s="30" t="inlineStr"/>
      <c r="FS28" s="30" t="inlineStr"/>
      <c r="FT28" s="30" t="inlineStr"/>
      <c r="FU28" s="30" t="inlineStr">
        <is>
          <t>Not specified</t>
        </is>
      </c>
      <c r="FV28" s="30" t="inlineStr">
        <is>
          <t>Not specified</t>
        </is>
      </c>
      <c r="FW28" s="30" t="inlineStr">
        <is>
          <t>Not specified</t>
        </is>
      </c>
      <c r="FX28" s="30" t="inlineStr">
        <is>
          <t>Not specified</t>
        </is>
      </c>
      <c r="FY28" s="30" t="inlineStr">
        <is>
          <t>Not specified</t>
        </is>
      </c>
      <c r="FZ28" s="30" t="b">
        <v>0</v>
      </c>
      <c r="GA28" s="30" t="n">
        <v>0</v>
      </c>
      <c r="GB28" s="30" t="inlineStr"/>
      <c r="GC28" s="30" t="inlineStr"/>
      <c r="GD28" s="30" t="b">
        <v>0</v>
      </c>
      <c r="GE28" s="30" t="b">
        <v>0</v>
      </c>
      <c r="GF28" s="30" t="b">
        <v>0</v>
      </c>
      <c r="GG28" s="30" t="b">
        <v>0</v>
      </c>
      <c r="GH28" s="30" t="b">
        <v>0</v>
      </c>
      <c r="GI28" s="30" t="b">
        <v>0</v>
      </c>
      <c r="GJ28" s="30" t="n">
        <v>0</v>
      </c>
      <c r="GK28" s="30" t="n">
        <v>0</v>
      </c>
      <c r="GL28" s="30" t="n">
        <v>0</v>
      </c>
      <c r="GM28" s="76" t="inlineStr"/>
      <c r="GN28" s="76" t="inlineStr"/>
      <c r="GO28" s="32" t="b">
        <v>0</v>
      </c>
      <c r="GP28" s="30" t="inlineStr"/>
      <c r="GQ28" s="76" t="inlineStr"/>
      <c r="GR28" s="30" t="inlineStr">
        <is>
          <t>Not Declared</t>
        </is>
      </c>
      <c r="GS28" s="30" t="b">
        <v>1</v>
      </c>
      <c r="GT28" s="30" t="n">
        <v>25.6</v>
      </c>
      <c r="GU28" s="30" t="inlineStr">
        <is>
          <t>Orphan</t>
        </is>
      </c>
      <c r="GV28" s="30" t="n">
        <v>0</v>
      </c>
      <c r="GW28" s="34" t="n">
        <v>0</v>
      </c>
      <c r="GX28" s="30" t="b">
        <v>0</v>
      </c>
      <c r="GY28" s="30" t="inlineStr">
        <is>
          <t>FAQ</t>
        </is>
      </c>
      <c r="GZ28" s="30" t="n">
        <v>9</v>
      </c>
      <c r="HA28" s="30" t="b">
        <v>0</v>
      </c>
      <c r="HB28" s="30" t="inlineStr">
        <is>
          <t>smoke, body, copy, intent, classification</t>
        </is>
      </c>
      <c r="HC28" s="30" t="b">
        <v>0</v>
      </c>
      <c r="HD28" s="30" t="b">
        <v>0</v>
      </c>
      <c r="HE28" s="30" t="b">
        <v>0</v>
      </c>
      <c r="HF28" s="34" t="n">
        <v>0</v>
      </c>
      <c r="HG28" s="30" t="b">
        <v>0</v>
      </c>
      <c r="HH28" s="30" t="b">
        <v>0</v>
      </c>
      <c r="HI28" s="38">
        <f>IFERROR(HYPERLINK("#'Technical Diagnostics'!A"&amp;MATCH(B28,'Technical Diagnostics'!A:A,0),"Open Technical"),HYPERLINK("#'Technical Diagnostics'!A1","Open Technical"))</f>
        <v/>
      </c>
    </row>
    <row r="29" ht="18" customHeight="1">
      <c r="A29" s="28" t="inlineStr">
        <is>
          <t>FAIL 🔴</t>
        </is>
      </c>
      <c r="B29" s="35" t="inlineStr">
        <is>
          <t>https://africanmarketingconfederation.org/smoke-archive/page-26</t>
        </is>
      </c>
      <c r="C29" s="28" t="inlineStr"/>
      <c r="D29" s="28" t="inlineStr">
        <is>
          <t>Non-Indexable</t>
        </is>
      </c>
      <c r="E29" s="28" t="inlineStr"/>
      <c r="F29" s="28" t="inlineStr">
        <is>
          <t>Smoke title 26</t>
        </is>
      </c>
      <c r="G29" s="28" t="inlineStr">
        <is>
          <t>Smoke meta description for page 26.</t>
        </is>
      </c>
      <c r="H29" s="28" t="n">
        <v>346</v>
      </c>
      <c r="I29" s="28" t="n">
        <v>0</v>
      </c>
      <c r="J29" s="28" t="inlineStr">
        <is>
          <t>Critical</t>
        </is>
      </c>
      <c r="K29" s="28" t="inlineStr">
        <is>
          <t>Yes</t>
        </is>
      </c>
      <c r="L29" s="28" t="inlineStr"/>
      <c r="M29" s="28" t="inlineStr"/>
      <c r="N29" s="28" t="inlineStr">
        <is>
          <t>Lab only</t>
        </is>
      </c>
      <c r="O29" s="28" t="inlineStr">
        <is>
          <t>None</t>
        </is>
      </c>
      <c r="P29" s="28" t="inlineStr">
        <is>
          <t>PSI Lab</t>
        </is>
      </c>
      <c r="Q29" s="28" t="inlineStr">
        <is>
          <t>None</t>
        </is>
      </c>
      <c r="R29" s="28" t="inlineStr"/>
      <c r="S29" s="28" t="inlineStr"/>
      <c r="T29" s="28" t="inlineStr"/>
      <c r="U29" s="28" t="inlineStr"/>
      <c r="V29" s="28" t="inlineStr"/>
      <c r="W29" s="28" t="inlineStr"/>
      <c r="X29" s="28" t="inlineStr"/>
      <c r="Y29" s="28" t="inlineStr"/>
      <c r="Z29" s="28" t="inlineStr"/>
      <c r="AA29" s="28" t="n">
        <v>88</v>
      </c>
      <c r="AB29" s="28" t="n">
        <v>88</v>
      </c>
      <c r="AC29" s="28" t="n">
        <v>88</v>
      </c>
      <c r="AD29" s="28" t="n">
        <v>85</v>
      </c>
      <c r="AE29" s="28" t="n">
        <v>82</v>
      </c>
      <c r="AF29" s="28" t="n">
        <v>92</v>
      </c>
      <c r="AG29" s="28" t="n">
        <v>2.4</v>
      </c>
      <c r="AH29" s="28" t="n">
        <v>0.04</v>
      </c>
      <c r="AI29" s="28" t="n">
        <v>0.4</v>
      </c>
      <c r="AJ29" s="28" t="n">
        <v>2.4</v>
      </c>
      <c r="AK29" s="28" t="n">
        <v>0.04</v>
      </c>
      <c r="AL29" s="28" t="n">
        <v>180</v>
      </c>
      <c r="AM29" s="28" t="n">
        <v>120</v>
      </c>
      <c r="AN29" s="28" t="n">
        <v>1.8</v>
      </c>
      <c r="AO29" s="28" t="n">
        <v>3.2</v>
      </c>
      <c r="AP29" s="28" t="n">
        <v>4.1</v>
      </c>
      <c r="AQ29" s="28" t="n">
        <v>400</v>
      </c>
      <c r="AR29" s="28" t="n">
        <v>88</v>
      </c>
      <c r="AS29" s="28" t="n">
        <v>85</v>
      </c>
      <c r="AT29" s="28" t="n">
        <v>82</v>
      </c>
      <c r="AU29" s="28" t="n">
        <v>92</v>
      </c>
      <c r="AV29" s="28" t="n">
        <v>2.4</v>
      </c>
      <c r="AW29" s="28" t="n">
        <v>0.04</v>
      </c>
      <c r="AX29" s="28" t="n">
        <v>180</v>
      </c>
      <c r="AY29" s="28" t="n">
        <v>120</v>
      </c>
      <c r="AZ29" s="28" t="n">
        <v>1.8</v>
      </c>
      <c r="BA29" s="28" t="n">
        <v>3.2</v>
      </c>
      <c r="BB29" s="28" t="n">
        <v>4.1</v>
      </c>
      <c r="BC29" s="28" t="n">
        <v>400</v>
      </c>
      <c r="BD29" s="28" t="n">
        <v>500</v>
      </c>
      <c r="BE29" s="28" t="n">
        <v>842</v>
      </c>
      <c r="BF29" s="28" t="n">
        <v>1250</v>
      </c>
      <c r="BG29" s="28" t="n">
        <v>1</v>
      </c>
      <c r="BH29" s="28" t="b">
        <v>1</v>
      </c>
      <c r="BI29" s="34" t="b">
        <v>1</v>
      </c>
      <c r="BJ29" s="28" t="b">
        <v>1</v>
      </c>
      <c r="BK29" s="28" t="b">
        <v>1</v>
      </c>
      <c r="BL29" s="28" t="b">
        <v>0</v>
      </c>
      <c r="BM29" s="28" t="n">
        <v>65</v>
      </c>
      <c r="BN29" s="28" t="inlineStr">
        <is>
          <t>complete</t>
        </is>
      </c>
      <c r="BO29" s="28" t="inlineStr">
        <is>
          <t>rendered_browser</t>
        </is>
      </c>
      <c r="BP29" s="28" t="b">
        <v>0</v>
      </c>
      <c r="BQ29" s="28" t="n">
        <v>0</v>
      </c>
      <c r="BR29" s="28" t="n">
        <v>0</v>
      </c>
      <c r="BS29" s="28" t="inlineStr"/>
      <c r="BT29" s="28" t="b">
        <v>0</v>
      </c>
      <c r="BU29" s="28" t="inlineStr"/>
      <c r="BV29" s="28" t="inlineStr"/>
      <c r="BW29" s="28" t="n">
        <v>0</v>
      </c>
      <c r="BX29" s="28" t="inlineStr"/>
      <c r="BY29" s="28" t="n">
        <v>0</v>
      </c>
      <c r="BZ29" s="28" t="inlineStr"/>
      <c r="CA29" s="28" t="n">
        <v>0</v>
      </c>
      <c r="CB29" s="28" t="inlineStr"/>
      <c r="CC29" s="28" t="n">
        <v>0</v>
      </c>
      <c r="CD29" s="28" t="inlineStr"/>
      <c r="CE29" s="28" t="n">
        <v>0</v>
      </c>
      <c r="CF29" s="28" t="inlineStr"/>
      <c r="CG29" s="28" t="n">
        <v>0</v>
      </c>
      <c r="CH29" s="28" t="inlineStr"/>
      <c r="CI29" s="28" t="inlineStr"/>
      <c r="CJ29" s="28" t="inlineStr"/>
      <c r="CK29" s="28" t="inlineStr"/>
      <c r="CL29" s="28" t="inlineStr">
        <is>
          <t>2026-06-01 to 2026-06-30 (30-day window; excludes today; typical GSC lag ~48h)</t>
        </is>
      </c>
      <c r="CM29" s="28" t="inlineStr">
        <is>
          <t>No Search Analytics row matched this URL in the 30-day export (compare Final URL with the page URL shown in GSC)</t>
        </is>
      </c>
      <c r="CN29" s="28" t="n">
        <v>-1</v>
      </c>
      <c r="CO29" s="28" t="b">
        <v>1</v>
      </c>
      <c r="CP29" s="28" t="n">
        <v>0.012048</v>
      </c>
      <c r="CQ29" s="28" t="b">
        <v>1</v>
      </c>
      <c r="CR29" s="28" t="b">
        <v>1</v>
      </c>
      <c r="CS29" s="28" t="inlineStr">
        <is>
          <t>Both</t>
        </is>
      </c>
      <c r="CT29" s="74" t="inlineStr"/>
      <c r="CU29" s="28" t="n">
        <v>27</v>
      </c>
      <c r="CV29" s="34">
        <f>IFERROR(INDEX(OFFSET('Technical Diagnostics'!$A$1,2,MATCH("SEO Health Score",'Technical Diagnostics'!$2:$2,0)-1,99998,1),MATCH(B29,OFFSET('Technical Diagnostics'!$A$1,2,MATCH("URL",'Technical Diagnostics'!$2:$2,0)-1,99998,1),0)),"")</f>
        <v/>
      </c>
      <c r="CW29" s="32" t="n">
        <v>100</v>
      </c>
      <c r="CX29" s="34" t="n">
        <v>5</v>
      </c>
      <c r="CY29" s="32" t="b">
        <v>1</v>
      </c>
      <c r="CZ29" s="28" t="b">
        <v>0</v>
      </c>
      <c r="DA29" s="28" t="inlineStr"/>
      <c r="DB29" s="28" t="inlineStr"/>
      <c r="DC29" s="28" t="inlineStr"/>
      <c r="DD29" s="28" t="n">
        <v>0</v>
      </c>
      <c r="DE29" s="28" t="n">
        <v>0</v>
      </c>
      <c r="DF29" s="28" t="inlineStr"/>
      <c r="DG29" s="28" t="inlineStr"/>
      <c r="DH29" s="28" t="inlineStr"/>
      <c r="DI29" s="28" t="n">
        <v>6</v>
      </c>
      <c r="DJ29" s="28" t="inlineStr">
        <is>
          <t>Author 26</t>
        </is>
      </c>
      <c r="DK29" s="28" t="inlineStr"/>
      <c r="DL29" s="28" t="b">
        <v>1</v>
      </c>
      <c r="DM29" s="28" t="inlineStr"/>
      <c r="DN29" s="28" t="inlineStr">
        <is>
          <t>2026-06-01</t>
        </is>
      </c>
      <c r="DO29" s="28" t="inlineStr"/>
      <c r="DP29" s="28" t="inlineStr">
        <is>
          <t>2026-06-01</t>
        </is>
      </c>
      <c r="DQ29" s="28" t="inlineStr"/>
      <c r="DR29" s="28" t="b">
        <v>0</v>
      </c>
      <c r="DS29" s="28" t="b">
        <v>1</v>
      </c>
      <c r="DT29" s="28" t="b">
        <v>1</v>
      </c>
      <c r="DU29" s="28" t="b">
        <v>0</v>
      </c>
      <c r="DV29" s="28" t="n">
        <v>0</v>
      </c>
      <c r="DW29" s="28" t="b">
        <v>0</v>
      </c>
      <c r="DX29" s="28" t="b">
        <v>0</v>
      </c>
      <c r="DY29" s="28" t="b">
        <v>0</v>
      </c>
      <c r="DZ29" s="28" t="b">
        <v>0</v>
      </c>
      <c r="EA29" s="32" t="b">
        <v>0</v>
      </c>
      <c r="EB29" s="28" t="b">
        <v>0</v>
      </c>
      <c r="EC29" s="28" t="inlineStr"/>
      <c r="ED29" s="28" t="inlineStr"/>
      <c r="EE29" s="28" t="b">
        <v>0</v>
      </c>
      <c r="EF29" s="28" t="inlineStr"/>
      <c r="EG29" s="28" t="inlineStr"/>
      <c r="EH29" s="28" t="inlineStr"/>
      <c r="EI29" s="28" t="inlineStr"/>
      <c r="EJ29" s="28" t="inlineStr"/>
      <c r="EK29" s="28" t="inlineStr">
        <is>
          <t>Fresh</t>
        </is>
      </c>
      <c r="EL29" s="28" t="inlineStr">
        <is>
          <t>Smoke title 26</t>
        </is>
      </c>
      <c r="EM29" s="28" t="inlineStr">
        <is>
          <t>Smoke meta description for page 26.</t>
        </is>
      </c>
      <c r="EN29" s="28" t="inlineStr">
        <is>
          <t>article</t>
        </is>
      </c>
      <c r="EO29" s="74" t="inlineStr"/>
      <c r="EP29" s="74" t="inlineStr"/>
      <c r="EQ29" s="28" t="inlineStr"/>
      <c r="ER29" s="28" t="inlineStr"/>
      <c r="ES29" s="28" t="inlineStr"/>
      <c r="ET29" s="28" t="inlineStr"/>
      <c r="EU29" s="75" t="b">
        <v>0</v>
      </c>
      <c r="EV29" s="28" t="inlineStr">
        <is>
          <t>summary_large_image</t>
        </is>
      </c>
      <c r="EW29" s="28" t="inlineStr"/>
      <c r="EX29" s="28" t="inlineStr"/>
      <c r="EY29" s="28" t="inlineStr"/>
      <c r="EZ29" s="28" t="n">
        <v>0</v>
      </c>
      <c r="FA29" s="40" t="b">
        <v>0</v>
      </c>
      <c r="FB29" s="74" t="inlineStr">
        <is>
          <t>https://africanmarketingconfederation.org/smoke-archive/page-26</t>
        </is>
      </c>
      <c r="FC29" s="28" t="inlineStr"/>
      <c r="FD29" s="28" t="n">
        <v>0</v>
      </c>
      <c r="FE29" s="20" t="inlineStr"/>
      <c r="FF29" s="28" t="b">
        <v>0</v>
      </c>
      <c r="FG29" s="28" t="b">
        <v>0</v>
      </c>
      <c r="FH29" s="32" t="b">
        <v>0</v>
      </c>
      <c r="FI29" s="28" t="n">
        <v>0</v>
      </c>
      <c r="FJ29" s="28" t="inlineStr">
        <is>
          <t>https://africanmarketingconfederation.org/smoke-archive/page-26</t>
        </is>
      </c>
      <c r="FK29" s="28" t="inlineStr"/>
      <c r="FL29" s="32" t="b">
        <v>0</v>
      </c>
      <c r="FM29" s="28" t="b">
        <v>0</v>
      </c>
      <c r="FN29" s="32" t="b">
        <v>0</v>
      </c>
      <c r="FO29" s="28" t="inlineStr"/>
      <c r="FP29" s="28" t="inlineStr"/>
      <c r="FQ29" s="28" t="inlineStr"/>
      <c r="FR29" s="28" t="inlineStr"/>
      <c r="FS29" s="28" t="inlineStr"/>
      <c r="FT29" s="28" t="inlineStr"/>
      <c r="FU29" s="28" t="inlineStr">
        <is>
          <t>Not specified</t>
        </is>
      </c>
      <c r="FV29" s="28" t="inlineStr">
        <is>
          <t>Not specified</t>
        </is>
      </c>
      <c r="FW29" s="28" t="inlineStr">
        <is>
          <t>Not specified</t>
        </is>
      </c>
      <c r="FX29" s="28" t="inlineStr">
        <is>
          <t>Not specified</t>
        </is>
      </c>
      <c r="FY29" s="28" t="inlineStr">
        <is>
          <t>Not specified</t>
        </is>
      </c>
      <c r="FZ29" s="28" t="b">
        <v>0</v>
      </c>
      <c r="GA29" s="28" t="n">
        <v>0</v>
      </c>
      <c r="GB29" s="28" t="inlineStr"/>
      <c r="GC29" s="28" t="inlineStr"/>
      <c r="GD29" s="28" t="b">
        <v>0</v>
      </c>
      <c r="GE29" s="28" t="b">
        <v>0</v>
      </c>
      <c r="GF29" s="28" t="b">
        <v>0</v>
      </c>
      <c r="GG29" s="28" t="b">
        <v>0</v>
      </c>
      <c r="GH29" s="28" t="b">
        <v>0</v>
      </c>
      <c r="GI29" s="28" t="b">
        <v>0</v>
      </c>
      <c r="GJ29" s="28" t="n">
        <v>0</v>
      </c>
      <c r="GK29" s="28" t="n">
        <v>0</v>
      </c>
      <c r="GL29" s="28" t="n">
        <v>0</v>
      </c>
      <c r="GM29" s="74" t="inlineStr"/>
      <c r="GN29" s="74" t="inlineStr"/>
      <c r="GO29" s="32" t="b">
        <v>0</v>
      </c>
      <c r="GP29" s="28" t="inlineStr"/>
      <c r="GQ29" s="74" t="inlineStr"/>
      <c r="GR29" s="28" t="inlineStr">
        <is>
          <t>Not Declared</t>
        </is>
      </c>
      <c r="GS29" s="28" t="b">
        <v>1</v>
      </c>
      <c r="GT29" s="28" t="n">
        <v>20.7</v>
      </c>
      <c r="GU29" s="28" t="inlineStr">
        <is>
          <t>Orphan</t>
        </is>
      </c>
      <c r="GV29" s="28" t="n">
        <v>0</v>
      </c>
      <c r="GW29" s="34" t="n">
        <v>0</v>
      </c>
      <c r="GX29" s="28" t="b">
        <v>0</v>
      </c>
      <c r="GY29" s="28" t="inlineStr">
        <is>
          <t>FAQ</t>
        </is>
      </c>
      <c r="GZ29" s="28" t="n">
        <v>9</v>
      </c>
      <c r="HA29" s="28" t="b">
        <v>0</v>
      </c>
      <c r="HB29" s="28" t="inlineStr">
        <is>
          <t>smoke, body, copy, intent, classification</t>
        </is>
      </c>
      <c r="HC29" s="28" t="b">
        <v>0</v>
      </c>
      <c r="HD29" s="28" t="b">
        <v>0</v>
      </c>
      <c r="HE29" s="28" t="b">
        <v>0</v>
      </c>
      <c r="HF29" s="34" t="n">
        <v>0</v>
      </c>
      <c r="HG29" s="28" t="b">
        <v>0</v>
      </c>
      <c r="HH29" s="28" t="b">
        <v>0</v>
      </c>
      <c r="HI29">
        <f>IFERROR(HYPERLINK("#'Technical Diagnostics'!A"&amp;MATCH(B29,'Technical Diagnostics'!A:A,0),"Open Technical"),HYPERLINK("#'Technical Diagnostics'!A1","Open Technical"))</f>
        <v/>
      </c>
    </row>
    <row r="30" ht="18" customHeight="1">
      <c r="A30" s="30" t="inlineStr">
        <is>
          <t>WARN 🟡</t>
        </is>
      </c>
      <c r="B30" s="37" t="inlineStr">
        <is>
          <t>https://africanmarketingconfederation.org/smoke-archive/page-27</t>
        </is>
      </c>
      <c r="C30" s="30" t="inlineStr"/>
      <c r="D30" s="30" t="inlineStr">
        <is>
          <t>Indexable</t>
        </is>
      </c>
      <c r="E30" s="30" t="inlineStr"/>
      <c r="F30" s="30" t="inlineStr">
        <is>
          <t>Smoke title 27</t>
        </is>
      </c>
      <c r="G30" s="30" t="inlineStr">
        <is>
          <t>Smoke meta description for page 27.</t>
        </is>
      </c>
      <c r="H30" s="30" t="n">
        <v>347</v>
      </c>
      <c r="I30" s="30" t="n">
        <v>70</v>
      </c>
      <c r="J30" s="30" t="inlineStr">
        <is>
          <t>Warning</t>
        </is>
      </c>
      <c r="K30" s="30" t="inlineStr">
        <is>
          <t>Yes</t>
        </is>
      </c>
      <c r="L30" s="30" t="inlineStr"/>
      <c r="M30" s="30" t="inlineStr"/>
      <c r="N30" s="30" t="inlineStr">
        <is>
          <t>Lab only</t>
        </is>
      </c>
      <c r="O30" s="30" t="inlineStr">
        <is>
          <t>None</t>
        </is>
      </c>
      <c r="P30" s="30" t="inlineStr">
        <is>
          <t>PSI Lab</t>
        </is>
      </c>
      <c r="Q30" s="30" t="inlineStr">
        <is>
          <t>None</t>
        </is>
      </c>
      <c r="R30" s="30" t="inlineStr"/>
      <c r="S30" s="30" t="inlineStr"/>
      <c r="T30" s="30" t="inlineStr"/>
      <c r="U30" s="30" t="inlineStr"/>
      <c r="V30" s="30" t="inlineStr"/>
      <c r="W30" s="30" t="inlineStr"/>
      <c r="X30" s="30" t="inlineStr"/>
      <c r="Y30" s="30" t="inlineStr"/>
      <c r="Z30" s="30" t="inlineStr"/>
      <c r="AA30" s="30" t="n">
        <v>88</v>
      </c>
      <c r="AB30" s="30" t="n">
        <v>88</v>
      </c>
      <c r="AC30" s="30" t="n">
        <v>88</v>
      </c>
      <c r="AD30" s="30" t="n">
        <v>85</v>
      </c>
      <c r="AE30" s="30" t="n">
        <v>82</v>
      </c>
      <c r="AF30" s="30" t="n">
        <v>92</v>
      </c>
      <c r="AG30" s="30" t="n">
        <v>2.4</v>
      </c>
      <c r="AH30" s="30" t="n">
        <v>0.04</v>
      </c>
      <c r="AI30" s="30" t="n">
        <v>0.4</v>
      </c>
      <c r="AJ30" s="30" t="n">
        <v>2.4</v>
      </c>
      <c r="AK30" s="30" t="n">
        <v>0.04</v>
      </c>
      <c r="AL30" s="30" t="n">
        <v>180</v>
      </c>
      <c r="AM30" s="30" t="n">
        <v>120</v>
      </c>
      <c r="AN30" s="30" t="n">
        <v>1.8</v>
      </c>
      <c r="AO30" s="30" t="n">
        <v>3.2</v>
      </c>
      <c r="AP30" s="30" t="n">
        <v>4.1</v>
      </c>
      <c r="AQ30" s="30" t="n">
        <v>400</v>
      </c>
      <c r="AR30" s="30" t="n">
        <v>88</v>
      </c>
      <c r="AS30" s="30" t="n">
        <v>85</v>
      </c>
      <c r="AT30" s="30" t="n">
        <v>82</v>
      </c>
      <c r="AU30" s="30" t="n">
        <v>92</v>
      </c>
      <c r="AV30" s="30" t="n">
        <v>2.4</v>
      </c>
      <c r="AW30" s="30" t="n">
        <v>0.04</v>
      </c>
      <c r="AX30" s="30" t="n">
        <v>180</v>
      </c>
      <c r="AY30" s="30" t="n">
        <v>120</v>
      </c>
      <c r="AZ30" s="30" t="n">
        <v>1.8</v>
      </c>
      <c r="BA30" s="30" t="n">
        <v>3.2</v>
      </c>
      <c r="BB30" s="30" t="n">
        <v>4.1</v>
      </c>
      <c r="BC30" s="30" t="n">
        <v>400</v>
      </c>
      <c r="BD30" s="30" t="n">
        <v>500</v>
      </c>
      <c r="BE30" s="30" t="n">
        <v>842</v>
      </c>
      <c r="BF30" s="30" t="n">
        <v>1250</v>
      </c>
      <c r="BG30" s="30" t="n">
        <v>1</v>
      </c>
      <c r="BH30" s="30" t="b">
        <v>1</v>
      </c>
      <c r="BI30" s="34" t="b">
        <v>1</v>
      </c>
      <c r="BJ30" s="30" t="b">
        <v>1</v>
      </c>
      <c r="BK30" s="30" t="b">
        <v>1</v>
      </c>
      <c r="BL30" s="30" t="b">
        <v>0</v>
      </c>
      <c r="BM30" s="30" t="n">
        <v>65</v>
      </c>
      <c r="BN30" s="30" t="inlineStr">
        <is>
          <t>complete</t>
        </is>
      </c>
      <c r="BO30" s="30" t="inlineStr">
        <is>
          <t>rendered_browser</t>
        </is>
      </c>
      <c r="BP30" s="30" t="b">
        <v>0</v>
      </c>
      <c r="BQ30" s="30" t="n">
        <v>0</v>
      </c>
      <c r="BR30" s="30" t="n">
        <v>0</v>
      </c>
      <c r="BS30" s="30" t="inlineStr"/>
      <c r="BT30" s="30" t="b">
        <v>0</v>
      </c>
      <c r="BU30" s="30" t="inlineStr"/>
      <c r="BV30" s="30" t="inlineStr"/>
      <c r="BW30" s="30" t="n">
        <v>0</v>
      </c>
      <c r="BX30" s="30" t="inlineStr"/>
      <c r="BY30" s="30" t="n">
        <v>0</v>
      </c>
      <c r="BZ30" s="30" t="inlineStr"/>
      <c r="CA30" s="30" t="n">
        <v>0</v>
      </c>
      <c r="CB30" s="30" t="inlineStr"/>
      <c r="CC30" s="30" t="n">
        <v>0</v>
      </c>
      <c r="CD30" s="30" t="inlineStr"/>
      <c r="CE30" s="30" t="n">
        <v>0</v>
      </c>
      <c r="CF30" s="30" t="inlineStr"/>
      <c r="CG30" s="30" t="n">
        <v>0</v>
      </c>
      <c r="CH30" s="30" t="inlineStr"/>
      <c r="CI30" s="30" t="inlineStr"/>
      <c r="CJ30" s="30" t="inlineStr"/>
      <c r="CK30" s="30" t="inlineStr"/>
      <c r="CL30" s="30" t="inlineStr">
        <is>
          <t>2026-06-01 to 2026-06-30 (30-day window; excludes today; typical GSC lag ~48h)</t>
        </is>
      </c>
      <c r="CM30" s="30" t="inlineStr">
        <is>
          <t>No Search Analytics row matched this URL in the 30-day export (compare Final URL with the page URL shown in GSC)</t>
        </is>
      </c>
      <c r="CN30" s="30" t="n">
        <v>-1</v>
      </c>
      <c r="CO30" s="30" t="b">
        <v>1</v>
      </c>
      <c r="CP30" s="30" t="n">
        <v>0.012048</v>
      </c>
      <c r="CQ30" s="30" t="b">
        <v>1</v>
      </c>
      <c r="CR30" s="30" t="b">
        <v>1</v>
      </c>
      <c r="CS30" s="30" t="inlineStr">
        <is>
          <t>Both</t>
        </is>
      </c>
      <c r="CT30" s="76" t="inlineStr"/>
      <c r="CU30" s="30" t="n">
        <v>28</v>
      </c>
      <c r="CV30" s="29">
        <f>IFERROR(INDEX(OFFSET('Technical Diagnostics'!$A$1,2,MATCH("SEO Health Score",'Technical Diagnostics'!$2:$2,0)-1,99998,1),MATCH(B30,OFFSET('Technical Diagnostics'!$A$1,2,MATCH("URL",'Technical Diagnostics'!$2:$2,0)-1,99998,1),0)),"")</f>
        <v/>
      </c>
      <c r="CW30" s="32" t="n">
        <v>100</v>
      </c>
      <c r="CX30" s="29" t="n">
        <v>77.5</v>
      </c>
      <c r="CY30" s="32" t="b">
        <v>1</v>
      </c>
      <c r="CZ30" s="30" t="b">
        <v>0</v>
      </c>
      <c r="DA30" s="30" t="inlineStr"/>
      <c r="DB30" s="30" t="inlineStr"/>
      <c r="DC30" s="30" t="inlineStr"/>
      <c r="DD30" s="30" t="n">
        <v>0</v>
      </c>
      <c r="DE30" s="30" t="n">
        <v>0</v>
      </c>
      <c r="DF30" s="30" t="inlineStr"/>
      <c r="DG30" s="30" t="inlineStr"/>
      <c r="DH30" s="30" t="inlineStr"/>
      <c r="DI30" s="30" t="n">
        <v>6</v>
      </c>
      <c r="DJ30" s="30" t="inlineStr">
        <is>
          <t>Author 27</t>
        </is>
      </c>
      <c r="DK30" s="30" t="inlineStr"/>
      <c r="DL30" s="30" t="b">
        <v>1</v>
      </c>
      <c r="DM30" s="30" t="inlineStr"/>
      <c r="DN30" s="30" t="inlineStr">
        <is>
          <t>2026-06-01</t>
        </is>
      </c>
      <c r="DO30" s="30" t="inlineStr"/>
      <c r="DP30" s="30" t="inlineStr">
        <is>
          <t>2026-06-01</t>
        </is>
      </c>
      <c r="DQ30" s="30" t="inlineStr"/>
      <c r="DR30" s="30" t="b">
        <v>0</v>
      </c>
      <c r="DS30" s="30" t="b">
        <v>1</v>
      </c>
      <c r="DT30" s="30" t="b">
        <v>1</v>
      </c>
      <c r="DU30" s="30" t="b">
        <v>0</v>
      </c>
      <c r="DV30" s="30" t="n">
        <v>0</v>
      </c>
      <c r="DW30" s="30" t="b">
        <v>0</v>
      </c>
      <c r="DX30" s="30" t="b">
        <v>0</v>
      </c>
      <c r="DY30" s="30" t="b">
        <v>0</v>
      </c>
      <c r="DZ30" s="30" t="b">
        <v>0</v>
      </c>
      <c r="EA30" s="32" t="b">
        <v>0</v>
      </c>
      <c r="EB30" s="30" t="b">
        <v>0</v>
      </c>
      <c r="EC30" s="30" t="inlineStr"/>
      <c r="ED30" s="30" t="inlineStr"/>
      <c r="EE30" s="30" t="b">
        <v>0</v>
      </c>
      <c r="EF30" s="30" t="inlineStr"/>
      <c r="EG30" s="30" t="inlineStr"/>
      <c r="EH30" s="30" t="inlineStr"/>
      <c r="EI30" s="30" t="inlineStr">
        <is>
          <t>2026-06-01</t>
        </is>
      </c>
      <c r="EJ30" s="30" t="inlineStr"/>
      <c r="EK30" s="30" t="inlineStr">
        <is>
          <t>Fresh</t>
        </is>
      </c>
      <c r="EL30" s="30" t="inlineStr">
        <is>
          <t>Smoke title 27</t>
        </is>
      </c>
      <c r="EM30" s="30" t="inlineStr">
        <is>
          <t>Smoke meta description for page 27.</t>
        </is>
      </c>
      <c r="EN30" s="30" t="inlineStr">
        <is>
          <t>article</t>
        </is>
      </c>
      <c r="EO30" s="76" t="inlineStr"/>
      <c r="EP30" s="76" t="inlineStr"/>
      <c r="EQ30" s="30" t="inlineStr"/>
      <c r="ER30" s="30" t="inlineStr"/>
      <c r="ES30" s="30" t="inlineStr"/>
      <c r="ET30" s="30" t="inlineStr"/>
      <c r="EU30" s="75" t="b">
        <v>0</v>
      </c>
      <c r="EV30" s="30" t="inlineStr">
        <is>
          <t>summary_large_image</t>
        </is>
      </c>
      <c r="EW30" s="30" t="inlineStr"/>
      <c r="EX30" s="30" t="inlineStr"/>
      <c r="EY30" s="30" t="inlineStr"/>
      <c r="EZ30" s="30" t="n">
        <v>0</v>
      </c>
      <c r="FA30" s="40" t="b">
        <v>0</v>
      </c>
      <c r="FB30" s="76" t="inlineStr">
        <is>
          <t>https://africanmarketingconfederation.org/smoke-archive/page-27</t>
        </is>
      </c>
      <c r="FC30" s="30" t="inlineStr"/>
      <c r="FD30" s="30" t="n">
        <v>0</v>
      </c>
      <c r="FE30" s="31" t="inlineStr"/>
      <c r="FF30" s="30" t="b">
        <v>0</v>
      </c>
      <c r="FG30" s="30" t="b">
        <v>0</v>
      </c>
      <c r="FH30" s="32" t="b">
        <v>0</v>
      </c>
      <c r="FI30" s="30" t="n">
        <v>0</v>
      </c>
      <c r="FJ30" s="30" t="inlineStr">
        <is>
          <t>https://africanmarketingconfederation.org/smoke-archive/page-27</t>
        </is>
      </c>
      <c r="FK30" s="30" t="inlineStr"/>
      <c r="FL30" s="32" t="b">
        <v>0</v>
      </c>
      <c r="FM30" s="30" t="b">
        <v>0</v>
      </c>
      <c r="FN30" s="32" t="b">
        <v>0</v>
      </c>
      <c r="FO30" s="30" t="inlineStr"/>
      <c r="FP30" s="30" t="inlineStr"/>
      <c r="FQ30" s="30" t="inlineStr"/>
      <c r="FR30" s="30" t="inlineStr"/>
      <c r="FS30" s="30" t="inlineStr"/>
      <c r="FT30" s="30" t="inlineStr"/>
      <c r="FU30" s="30" t="inlineStr">
        <is>
          <t>Not specified</t>
        </is>
      </c>
      <c r="FV30" s="30" t="inlineStr">
        <is>
          <t>Not specified</t>
        </is>
      </c>
      <c r="FW30" s="30" t="inlineStr">
        <is>
          <t>Not specified</t>
        </is>
      </c>
      <c r="FX30" s="30" t="inlineStr">
        <is>
          <t>Not specified</t>
        </is>
      </c>
      <c r="FY30" s="30" t="inlineStr">
        <is>
          <t>Not specified</t>
        </is>
      </c>
      <c r="FZ30" s="30" t="b">
        <v>0</v>
      </c>
      <c r="GA30" s="30" t="n">
        <v>0</v>
      </c>
      <c r="GB30" s="30" t="inlineStr"/>
      <c r="GC30" s="30" t="inlineStr"/>
      <c r="GD30" s="30" t="b">
        <v>0</v>
      </c>
      <c r="GE30" s="30" t="b">
        <v>0</v>
      </c>
      <c r="GF30" s="30" t="b">
        <v>0</v>
      </c>
      <c r="GG30" s="30" t="b">
        <v>0</v>
      </c>
      <c r="GH30" s="30" t="b">
        <v>0</v>
      </c>
      <c r="GI30" s="30" t="b">
        <v>0</v>
      </c>
      <c r="GJ30" s="30" t="n">
        <v>0</v>
      </c>
      <c r="GK30" s="30" t="n">
        <v>0</v>
      </c>
      <c r="GL30" s="30" t="n">
        <v>0</v>
      </c>
      <c r="GM30" s="76" t="inlineStr"/>
      <c r="GN30" s="76" t="inlineStr"/>
      <c r="GO30" s="32" t="b">
        <v>0</v>
      </c>
      <c r="GP30" s="30" t="inlineStr"/>
      <c r="GQ30" s="76" t="inlineStr"/>
      <c r="GR30" s="30" t="inlineStr">
        <is>
          <t>Not Declared</t>
        </is>
      </c>
      <c r="GS30" s="30" t="b">
        <v>1</v>
      </c>
      <c r="GT30" s="30" t="n">
        <v>92.7</v>
      </c>
      <c r="GU30" s="30" t="inlineStr">
        <is>
          <t>Orphan</t>
        </is>
      </c>
      <c r="GV30" s="30" t="n">
        <v>0</v>
      </c>
      <c r="GW30" s="34" t="n">
        <v>0</v>
      </c>
      <c r="GX30" s="30" t="b">
        <v>0</v>
      </c>
      <c r="GY30" s="30" t="inlineStr">
        <is>
          <t>None</t>
        </is>
      </c>
      <c r="GZ30" s="30" t="n">
        <v>0</v>
      </c>
      <c r="HA30" s="30" t="b">
        <v>0</v>
      </c>
      <c r="HB30" s="30" t="inlineStr">
        <is>
          <t>smoke, body, copy, intent, classification</t>
        </is>
      </c>
      <c r="HC30" s="30" t="b">
        <v>0</v>
      </c>
      <c r="HD30" s="30" t="b">
        <v>0</v>
      </c>
      <c r="HE30" s="30" t="b">
        <v>0</v>
      </c>
      <c r="HF30" s="34" t="n">
        <v>0</v>
      </c>
      <c r="HG30" s="30" t="b">
        <v>0</v>
      </c>
      <c r="HH30" s="30" t="b">
        <v>0</v>
      </c>
      <c r="HI30" s="38">
        <f>IFERROR(HYPERLINK("#'Technical Diagnostics'!A"&amp;MATCH(B30,'Technical Diagnostics'!A:A,0),"Open Technical"),HYPERLINK("#'Technical Diagnostics'!A1","Open Technical"))</f>
        <v/>
      </c>
    </row>
    <row r="31" ht="18" customHeight="1">
      <c r="A31" s="28" t="inlineStr">
        <is>
          <t>WARN 🟡</t>
        </is>
      </c>
      <c r="B31" s="35" t="inlineStr">
        <is>
          <t>https://africanmarketingconfederation.org/smoke-archive/page-28</t>
        </is>
      </c>
      <c r="C31" s="28" t="inlineStr"/>
      <c r="D31" s="28" t="inlineStr">
        <is>
          <t>Indexable</t>
        </is>
      </c>
      <c r="E31" s="28" t="inlineStr"/>
      <c r="F31" s="28" t="inlineStr">
        <is>
          <t>Smoke title 28</t>
        </is>
      </c>
      <c r="G31" s="28" t="inlineStr">
        <is>
          <t>Smoke meta description for page 28.</t>
        </is>
      </c>
      <c r="H31" s="28" t="n">
        <v>348</v>
      </c>
      <c r="I31" s="28" t="n">
        <v>80</v>
      </c>
      <c r="J31" s="28" t="inlineStr">
        <is>
          <t>Warning</t>
        </is>
      </c>
      <c r="K31" s="28" t="inlineStr">
        <is>
          <t>Yes</t>
        </is>
      </c>
      <c r="L31" s="28" t="inlineStr"/>
      <c r="M31" s="28" t="inlineStr"/>
      <c r="N31" s="28" t="inlineStr">
        <is>
          <t>Lab only</t>
        </is>
      </c>
      <c r="O31" s="28" t="inlineStr">
        <is>
          <t>None</t>
        </is>
      </c>
      <c r="P31" s="28" t="inlineStr">
        <is>
          <t>PSI Lab</t>
        </is>
      </c>
      <c r="Q31" s="28" t="inlineStr">
        <is>
          <t>None</t>
        </is>
      </c>
      <c r="R31" s="28" t="inlineStr"/>
      <c r="S31" s="28" t="inlineStr"/>
      <c r="T31" s="28" t="inlineStr"/>
      <c r="U31" s="28" t="inlineStr"/>
      <c r="V31" s="28" t="inlineStr"/>
      <c r="W31" s="28" t="inlineStr"/>
      <c r="X31" s="28" t="inlineStr"/>
      <c r="Y31" s="28" t="inlineStr"/>
      <c r="Z31" s="28" t="inlineStr"/>
      <c r="AA31" s="28" t="n">
        <v>88</v>
      </c>
      <c r="AB31" s="28" t="n">
        <v>88</v>
      </c>
      <c r="AC31" s="28" t="n">
        <v>88</v>
      </c>
      <c r="AD31" s="28" t="n">
        <v>85</v>
      </c>
      <c r="AE31" s="28" t="n">
        <v>82</v>
      </c>
      <c r="AF31" s="28" t="n">
        <v>92</v>
      </c>
      <c r="AG31" s="28" t="n">
        <v>2.4</v>
      </c>
      <c r="AH31" s="28" t="n">
        <v>0.04</v>
      </c>
      <c r="AI31" s="28" t="n">
        <v>0.4</v>
      </c>
      <c r="AJ31" s="28" t="n">
        <v>2.4</v>
      </c>
      <c r="AK31" s="28" t="n">
        <v>0.04</v>
      </c>
      <c r="AL31" s="28" t="n">
        <v>180</v>
      </c>
      <c r="AM31" s="28" t="n">
        <v>120</v>
      </c>
      <c r="AN31" s="28" t="n">
        <v>1.8</v>
      </c>
      <c r="AO31" s="28" t="n">
        <v>3.2</v>
      </c>
      <c r="AP31" s="28" t="n">
        <v>4.1</v>
      </c>
      <c r="AQ31" s="28" t="n">
        <v>400</v>
      </c>
      <c r="AR31" s="28" t="n">
        <v>88</v>
      </c>
      <c r="AS31" s="28" t="n">
        <v>85</v>
      </c>
      <c r="AT31" s="28" t="n">
        <v>82</v>
      </c>
      <c r="AU31" s="28" t="n">
        <v>92</v>
      </c>
      <c r="AV31" s="28" t="n">
        <v>2.4</v>
      </c>
      <c r="AW31" s="28" t="n">
        <v>0.04</v>
      </c>
      <c r="AX31" s="28" t="n">
        <v>180</v>
      </c>
      <c r="AY31" s="28" t="n">
        <v>120</v>
      </c>
      <c r="AZ31" s="28" t="n">
        <v>1.8</v>
      </c>
      <c r="BA31" s="28" t="n">
        <v>3.2</v>
      </c>
      <c r="BB31" s="28" t="n">
        <v>4.1</v>
      </c>
      <c r="BC31" s="28" t="n">
        <v>400</v>
      </c>
      <c r="BD31" s="28" t="n">
        <v>500</v>
      </c>
      <c r="BE31" s="28" t="n">
        <v>842</v>
      </c>
      <c r="BF31" s="28" t="n">
        <v>1250</v>
      </c>
      <c r="BG31" s="28" t="n">
        <v>1</v>
      </c>
      <c r="BH31" s="28" t="b">
        <v>1</v>
      </c>
      <c r="BI31" s="34" t="b">
        <v>1</v>
      </c>
      <c r="BJ31" s="28" t="b">
        <v>1</v>
      </c>
      <c r="BK31" s="28" t="b">
        <v>1</v>
      </c>
      <c r="BL31" s="28" t="b">
        <v>0</v>
      </c>
      <c r="BM31" s="28" t="n">
        <v>65</v>
      </c>
      <c r="BN31" s="28" t="inlineStr">
        <is>
          <t>complete</t>
        </is>
      </c>
      <c r="BO31" s="28" t="inlineStr">
        <is>
          <t>rendered_browser</t>
        </is>
      </c>
      <c r="BP31" s="28" t="b">
        <v>0</v>
      </c>
      <c r="BQ31" s="28" t="n">
        <v>0</v>
      </c>
      <c r="BR31" s="28" t="n">
        <v>0</v>
      </c>
      <c r="BS31" s="28" t="inlineStr">
        <is>
          <t>https://africanmarketingconfederation.org/og-28.jpg</t>
        </is>
      </c>
      <c r="BT31" s="28" t="b">
        <v>0</v>
      </c>
      <c r="BU31" s="28" t="inlineStr"/>
      <c r="BV31" s="28" t="inlineStr"/>
      <c r="BW31" s="28" t="n">
        <v>0</v>
      </c>
      <c r="BX31" s="28" t="inlineStr"/>
      <c r="BY31" s="28" t="n">
        <v>0</v>
      </c>
      <c r="BZ31" s="28" t="inlineStr"/>
      <c r="CA31" s="28" t="n">
        <v>0</v>
      </c>
      <c r="CB31" s="28" t="inlineStr"/>
      <c r="CC31" s="28" t="n">
        <v>0</v>
      </c>
      <c r="CD31" s="28" t="inlineStr"/>
      <c r="CE31" s="28" t="n">
        <v>0</v>
      </c>
      <c r="CF31" s="28" t="inlineStr"/>
      <c r="CG31" s="28" t="n">
        <v>0</v>
      </c>
      <c r="CH31" s="28" t="inlineStr"/>
      <c r="CI31" s="28" t="inlineStr"/>
      <c r="CJ31" s="28" t="inlineStr"/>
      <c r="CK31" s="28" t="inlineStr"/>
      <c r="CL31" s="28" t="inlineStr">
        <is>
          <t>2026-06-01 to 2026-06-30 (30-day window; excludes today; typical GSC lag ~48h)</t>
        </is>
      </c>
      <c r="CM31" s="28" t="inlineStr">
        <is>
          <t>No Search Analytics row matched this URL in the 30-day export (compare Final URL with the page URL shown in GSC)</t>
        </is>
      </c>
      <c r="CN31" s="28" t="n">
        <v>-1</v>
      </c>
      <c r="CO31" s="28" t="b">
        <v>1</v>
      </c>
      <c r="CP31" s="28" t="n">
        <v>0.012048</v>
      </c>
      <c r="CQ31" s="28" t="b">
        <v>1</v>
      </c>
      <c r="CR31" s="28" t="b">
        <v>1</v>
      </c>
      <c r="CS31" s="28" t="inlineStr">
        <is>
          <t>Both</t>
        </is>
      </c>
      <c r="CT31" s="74" t="inlineStr"/>
      <c r="CU31" s="28" t="n">
        <v>29</v>
      </c>
      <c r="CV31" s="29">
        <f>IFERROR(INDEX(OFFSET('Technical Diagnostics'!$A$1,2,MATCH("SEO Health Score",'Technical Diagnostics'!$2:$2,0)-1,99998,1),MATCH(B31,OFFSET('Technical Diagnostics'!$A$1,2,MATCH("URL",'Technical Diagnostics'!$2:$2,0)-1,99998,1),0)),"")</f>
        <v/>
      </c>
      <c r="CW31" s="32" t="n">
        <v>100</v>
      </c>
      <c r="CX31" s="29" t="n">
        <v>85</v>
      </c>
      <c r="CY31" s="32" t="b">
        <v>1</v>
      </c>
      <c r="CZ31" s="28" t="b">
        <v>0</v>
      </c>
      <c r="DA31" s="28" t="inlineStr"/>
      <c r="DB31" s="28" t="inlineStr"/>
      <c r="DC31" s="28" t="inlineStr"/>
      <c r="DD31" s="28" t="n">
        <v>0</v>
      </c>
      <c r="DE31" s="28" t="n">
        <v>0</v>
      </c>
      <c r="DF31" s="28" t="inlineStr"/>
      <c r="DG31" s="28" t="inlineStr"/>
      <c r="DH31" s="28" t="inlineStr"/>
      <c r="DI31" s="28" t="n">
        <v>2</v>
      </c>
      <c r="DJ31" s="28" t="inlineStr"/>
      <c r="DK31" s="28" t="inlineStr"/>
      <c r="DL31" s="28" t="b">
        <v>0</v>
      </c>
      <c r="DM31" s="28" t="inlineStr"/>
      <c r="DN31" s="28" t="inlineStr">
        <is>
          <t>2026-06-01</t>
        </is>
      </c>
      <c r="DO31" s="28" t="inlineStr"/>
      <c r="DP31" s="28" t="inlineStr">
        <is>
          <t>2026-06-01</t>
        </is>
      </c>
      <c r="DQ31" s="28" t="inlineStr"/>
      <c r="DR31" s="28" t="b">
        <v>0</v>
      </c>
      <c r="DS31" s="28" t="b">
        <v>1</v>
      </c>
      <c r="DT31" s="28" t="b">
        <v>1</v>
      </c>
      <c r="DU31" s="28" t="b">
        <v>0</v>
      </c>
      <c r="DV31" s="28" t="n">
        <v>0</v>
      </c>
      <c r="DW31" s="28" t="b">
        <v>0</v>
      </c>
      <c r="DX31" s="28" t="b">
        <v>0</v>
      </c>
      <c r="DY31" s="28" t="b">
        <v>0</v>
      </c>
      <c r="DZ31" s="28" t="b">
        <v>0</v>
      </c>
      <c r="EA31" s="32" t="b">
        <v>0</v>
      </c>
      <c r="EB31" s="28" t="b">
        <v>0</v>
      </c>
      <c r="EC31" s="28" t="inlineStr"/>
      <c r="ED31" s="28" t="inlineStr"/>
      <c r="EE31" s="28" t="b">
        <v>0</v>
      </c>
      <c r="EF31" s="28" t="inlineStr"/>
      <c r="EG31" s="28" t="inlineStr"/>
      <c r="EH31" s="28" t="inlineStr"/>
      <c r="EI31" s="28" t="inlineStr"/>
      <c r="EJ31" s="28" t="inlineStr"/>
      <c r="EK31" s="28" t="inlineStr">
        <is>
          <t>Fresh</t>
        </is>
      </c>
      <c r="EL31" s="28" t="inlineStr">
        <is>
          <t>Smoke title 28</t>
        </is>
      </c>
      <c r="EM31" s="28" t="inlineStr">
        <is>
          <t>Smoke meta description for page 28.</t>
        </is>
      </c>
      <c r="EN31" s="28" t="inlineStr">
        <is>
          <t>article</t>
        </is>
      </c>
      <c r="EO31" s="74" t="inlineStr"/>
      <c r="EP31" s="74" t="inlineStr">
        <is>
          <t>https://africanmarketingconfederation.org/og-28.jpg</t>
        </is>
      </c>
      <c r="EQ31" s="28" t="inlineStr"/>
      <c r="ER31" s="28" t="inlineStr"/>
      <c r="ES31" s="28" t="inlineStr"/>
      <c r="ET31" s="28" t="inlineStr"/>
      <c r="EU31" s="75" t="b">
        <v>0</v>
      </c>
      <c r="EV31" s="28" t="inlineStr">
        <is>
          <t>summary_large_image</t>
        </is>
      </c>
      <c r="EW31" s="28" t="inlineStr"/>
      <c r="EX31" s="28" t="inlineStr"/>
      <c r="EY31" s="28" t="inlineStr"/>
      <c r="EZ31" s="28" t="n">
        <v>0</v>
      </c>
      <c r="FA31" s="40" t="b">
        <v>0</v>
      </c>
      <c r="FB31" s="74" t="inlineStr">
        <is>
          <t>https://africanmarketingconfederation.org/smoke-archive/page-28</t>
        </is>
      </c>
      <c r="FC31" s="28" t="inlineStr"/>
      <c r="FD31" s="28" t="n">
        <v>0</v>
      </c>
      <c r="FE31" s="20" t="inlineStr"/>
      <c r="FF31" s="28" t="b">
        <v>0</v>
      </c>
      <c r="FG31" s="28" t="b">
        <v>0</v>
      </c>
      <c r="FH31" s="32" t="b">
        <v>0</v>
      </c>
      <c r="FI31" s="28" t="n">
        <v>0</v>
      </c>
      <c r="FJ31" s="28" t="inlineStr">
        <is>
          <t>https://africanmarketingconfederation.org/smoke-archive/page-28</t>
        </is>
      </c>
      <c r="FK31" s="28" t="inlineStr"/>
      <c r="FL31" s="32" t="b">
        <v>0</v>
      </c>
      <c r="FM31" s="28" t="b">
        <v>0</v>
      </c>
      <c r="FN31" s="32" t="b">
        <v>0</v>
      </c>
      <c r="FO31" s="28" t="inlineStr"/>
      <c r="FP31" s="28" t="inlineStr"/>
      <c r="FQ31" s="28" t="inlineStr"/>
      <c r="FR31" s="28" t="inlineStr"/>
      <c r="FS31" s="28" t="inlineStr"/>
      <c r="FT31" s="28" t="inlineStr"/>
      <c r="FU31" s="28" t="inlineStr">
        <is>
          <t>Not specified</t>
        </is>
      </c>
      <c r="FV31" s="28" t="inlineStr">
        <is>
          <t>Not specified</t>
        </is>
      </c>
      <c r="FW31" s="28" t="inlineStr">
        <is>
          <t>Not specified</t>
        </is>
      </c>
      <c r="FX31" s="28" t="inlineStr">
        <is>
          <t>Not specified</t>
        </is>
      </c>
      <c r="FY31" s="28" t="inlineStr">
        <is>
          <t>Not specified</t>
        </is>
      </c>
      <c r="FZ31" s="28" t="b">
        <v>0</v>
      </c>
      <c r="GA31" s="28" t="n">
        <v>0</v>
      </c>
      <c r="GB31" s="28" t="inlineStr"/>
      <c r="GC31" s="28" t="inlineStr"/>
      <c r="GD31" s="28" t="b">
        <v>0</v>
      </c>
      <c r="GE31" s="28" t="b">
        <v>0</v>
      </c>
      <c r="GF31" s="28" t="b">
        <v>0</v>
      </c>
      <c r="GG31" s="28" t="b">
        <v>0</v>
      </c>
      <c r="GH31" s="28" t="b">
        <v>0</v>
      </c>
      <c r="GI31" s="28" t="b">
        <v>0</v>
      </c>
      <c r="GJ31" s="28" t="n">
        <v>0</v>
      </c>
      <c r="GK31" s="28" t="n">
        <v>0</v>
      </c>
      <c r="GL31" s="28" t="n">
        <v>0</v>
      </c>
      <c r="GM31" s="74" t="inlineStr"/>
      <c r="GN31" s="74" t="inlineStr"/>
      <c r="GO31" s="32" t="b">
        <v>0</v>
      </c>
      <c r="GP31" s="28" t="inlineStr"/>
      <c r="GQ31" s="74" t="inlineStr"/>
      <c r="GR31" s="28" t="inlineStr">
        <is>
          <t>Not Declared</t>
        </is>
      </c>
      <c r="GS31" s="28" t="b">
        <v>1</v>
      </c>
      <c r="GT31" s="28" t="n">
        <v>4.9</v>
      </c>
      <c r="GU31" s="28" t="inlineStr">
        <is>
          <t>Orphan</t>
        </is>
      </c>
      <c r="GV31" s="28" t="n">
        <v>0</v>
      </c>
      <c r="GW31" s="34" t="n">
        <v>0</v>
      </c>
      <c r="GX31" s="28" t="b">
        <v>0</v>
      </c>
      <c r="GY31" s="28" t="inlineStr">
        <is>
          <t>FAQ</t>
        </is>
      </c>
      <c r="GZ31" s="28" t="n">
        <v>9</v>
      </c>
      <c r="HA31" s="28" t="b">
        <v>0</v>
      </c>
      <c r="HB31" s="28" t="inlineStr">
        <is>
          <t>smoke, body, copy, intent, classification</t>
        </is>
      </c>
      <c r="HC31" s="28" t="b">
        <v>0</v>
      </c>
      <c r="HD31" s="28" t="b">
        <v>0</v>
      </c>
      <c r="HE31" s="28" t="b">
        <v>0</v>
      </c>
      <c r="HF31" s="34" t="n">
        <v>0</v>
      </c>
      <c r="HG31" s="28" t="b">
        <v>0</v>
      </c>
      <c r="HH31" s="28" t="b">
        <v>0</v>
      </c>
      <c r="HI31">
        <f>IFERROR(HYPERLINK("#'Technical Diagnostics'!A"&amp;MATCH(B31,'Technical Diagnostics'!A:A,0),"Open Technical"),HYPERLINK("#'Technical Diagnostics'!A1","Open Technical"))</f>
        <v/>
      </c>
    </row>
    <row r="32" ht="18" customHeight="1">
      <c r="A32" s="30" t="inlineStr">
        <is>
          <t>WARN 🟡</t>
        </is>
      </c>
      <c r="B32" s="37" t="inlineStr">
        <is>
          <t>https://africanmarketingconfederation.org/smoke-archive/page-29</t>
        </is>
      </c>
      <c r="C32" s="30" t="inlineStr"/>
      <c r="D32" s="30" t="inlineStr">
        <is>
          <t>Indexable</t>
        </is>
      </c>
      <c r="E32" s="30" t="inlineStr"/>
      <c r="F32" s="30" t="inlineStr">
        <is>
          <t>Smoke title 29</t>
        </is>
      </c>
      <c r="G32" s="30" t="inlineStr">
        <is>
          <t>Smoke meta description for page 29.</t>
        </is>
      </c>
      <c r="H32" s="30" t="n">
        <v>349</v>
      </c>
      <c r="I32" s="30" t="n">
        <v>80</v>
      </c>
      <c r="J32" s="30" t="inlineStr">
        <is>
          <t>Warning</t>
        </is>
      </c>
      <c r="K32" s="30" t="inlineStr">
        <is>
          <t>Yes</t>
        </is>
      </c>
      <c r="L32" s="30" t="inlineStr"/>
      <c r="M32" s="30" t="inlineStr"/>
      <c r="N32" s="30" t="inlineStr">
        <is>
          <t>Lab only</t>
        </is>
      </c>
      <c r="O32" s="30" t="inlineStr">
        <is>
          <t>None</t>
        </is>
      </c>
      <c r="P32" s="30" t="inlineStr">
        <is>
          <t>PSI Lab</t>
        </is>
      </c>
      <c r="Q32" s="30" t="inlineStr">
        <is>
          <t>None</t>
        </is>
      </c>
      <c r="R32" s="30" t="inlineStr"/>
      <c r="S32" s="30" t="inlineStr"/>
      <c r="T32" s="30" t="inlineStr"/>
      <c r="U32" s="30" t="inlineStr"/>
      <c r="V32" s="30" t="inlineStr"/>
      <c r="W32" s="30" t="inlineStr"/>
      <c r="X32" s="30" t="inlineStr"/>
      <c r="Y32" s="30" t="inlineStr"/>
      <c r="Z32" s="30" t="inlineStr"/>
      <c r="AA32" s="30" t="n">
        <v>88</v>
      </c>
      <c r="AB32" s="30" t="n">
        <v>88</v>
      </c>
      <c r="AC32" s="30" t="n">
        <v>88</v>
      </c>
      <c r="AD32" s="30" t="n">
        <v>85</v>
      </c>
      <c r="AE32" s="30" t="n">
        <v>82</v>
      </c>
      <c r="AF32" s="30" t="n">
        <v>92</v>
      </c>
      <c r="AG32" s="30" t="n">
        <v>2.4</v>
      </c>
      <c r="AH32" s="30" t="n">
        <v>0.04</v>
      </c>
      <c r="AI32" s="30" t="n">
        <v>0.4</v>
      </c>
      <c r="AJ32" s="30" t="n">
        <v>2.4</v>
      </c>
      <c r="AK32" s="30" t="n">
        <v>0.04</v>
      </c>
      <c r="AL32" s="30" t="n">
        <v>180</v>
      </c>
      <c r="AM32" s="30" t="n">
        <v>120</v>
      </c>
      <c r="AN32" s="30" t="n">
        <v>1.8</v>
      </c>
      <c r="AO32" s="30" t="n">
        <v>3.2</v>
      </c>
      <c r="AP32" s="30" t="n">
        <v>4.1</v>
      </c>
      <c r="AQ32" s="30" t="n">
        <v>400</v>
      </c>
      <c r="AR32" s="30" t="n">
        <v>88</v>
      </c>
      <c r="AS32" s="30" t="n">
        <v>85</v>
      </c>
      <c r="AT32" s="30" t="n">
        <v>82</v>
      </c>
      <c r="AU32" s="30" t="n">
        <v>92</v>
      </c>
      <c r="AV32" s="30" t="n">
        <v>2.4</v>
      </c>
      <c r="AW32" s="30" t="n">
        <v>0.04</v>
      </c>
      <c r="AX32" s="30" t="n">
        <v>180</v>
      </c>
      <c r="AY32" s="30" t="n">
        <v>120</v>
      </c>
      <c r="AZ32" s="30" t="n">
        <v>1.8</v>
      </c>
      <c r="BA32" s="30" t="n">
        <v>3.2</v>
      </c>
      <c r="BB32" s="30" t="n">
        <v>4.1</v>
      </c>
      <c r="BC32" s="30" t="n">
        <v>400</v>
      </c>
      <c r="BD32" s="30" t="n">
        <v>500</v>
      </c>
      <c r="BE32" s="30" t="n">
        <v>842</v>
      </c>
      <c r="BF32" s="30" t="n">
        <v>1250</v>
      </c>
      <c r="BG32" s="30" t="n">
        <v>1</v>
      </c>
      <c r="BH32" s="30" t="b">
        <v>1</v>
      </c>
      <c r="BI32" s="34" t="b">
        <v>1</v>
      </c>
      <c r="BJ32" s="30" t="b">
        <v>1</v>
      </c>
      <c r="BK32" s="30" t="b">
        <v>1</v>
      </c>
      <c r="BL32" s="30" t="b">
        <v>0</v>
      </c>
      <c r="BM32" s="30" t="n">
        <v>65</v>
      </c>
      <c r="BN32" s="30" t="inlineStr">
        <is>
          <t>complete</t>
        </is>
      </c>
      <c r="BO32" s="30" t="inlineStr">
        <is>
          <t>rendered_browser</t>
        </is>
      </c>
      <c r="BP32" s="30" t="b">
        <v>0</v>
      </c>
      <c r="BQ32" s="30" t="n">
        <v>0</v>
      </c>
      <c r="BR32" s="30" t="n">
        <v>0</v>
      </c>
      <c r="BS32" s="30" t="inlineStr"/>
      <c r="BT32" s="30" t="b">
        <v>0</v>
      </c>
      <c r="BU32" s="30" t="inlineStr"/>
      <c r="BV32" s="30" t="inlineStr"/>
      <c r="BW32" s="30" t="n">
        <v>0</v>
      </c>
      <c r="BX32" s="30" t="inlineStr"/>
      <c r="BY32" s="30" t="n">
        <v>0</v>
      </c>
      <c r="BZ32" s="30" t="inlineStr"/>
      <c r="CA32" s="30" t="n">
        <v>0</v>
      </c>
      <c r="CB32" s="30" t="inlineStr"/>
      <c r="CC32" s="30" t="n">
        <v>0</v>
      </c>
      <c r="CD32" s="30" t="inlineStr"/>
      <c r="CE32" s="30" t="n">
        <v>0</v>
      </c>
      <c r="CF32" s="30" t="inlineStr"/>
      <c r="CG32" s="30" t="n">
        <v>0</v>
      </c>
      <c r="CH32" s="30" t="inlineStr"/>
      <c r="CI32" s="30" t="inlineStr"/>
      <c r="CJ32" s="30" t="inlineStr"/>
      <c r="CK32" s="30" t="inlineStr"/>
      <c r="CL32" s="30" t="inlineStr">
        <is>
          <t>2026-06-01 to 2026-06-30 (30-day window; excludes today; typical GSC lag ~48h)</t>
        </is>
      </c>
      <c r="CM32" s="30" t="inlineStr">
        <is>
          <t>No Search Analytics row matched this URL in the 30-day export (compare Final URL with the page URL shown in GSC)</t>
        </is>
      </c>
      <c r="CN32" s="30" t="n">
        <v>-1</v>
      </c>
      <c r="CO32" s="30" t="b">
        <v>1</v>
      </c>
      <c r="CP32" s="30" t="n">
        <v>0.012048</v>
      </c>
      <c r="CQ32" s="30" t="b">
        <v>1</v>
      </c>
      <c r="CR32" s="30" t="b">
        <v>1</v>
      </c>
      <c r="CS32" s="30" t="inlineStr">
        <is>
          <t>Both</t>
        </is>
      </c>
      <c r="CT32" s="76" t="inlineStr"/>
      <c r="CU32" s="30" t="n">
        <v>30</v>
      </c>
      <c r="CV32" s="29">
        <f>IFERROR(INDEX(OFFSET('Technical Diagnostics'!$A$1,2,MATCH("SEO Health Score",'Technical Diagnostics'!$2:$2,0)-1,99998,1),MATCH(B32,OFFSET('Technical Diagnostics'!$A$1,2,MATCH("URL",'Technical Diagnostics'!$2:$2,0)-1,99998,1),0)),"")</f>
        <v/>
      </c>
      <c r="CW32" s="32" t="n">
        <v>100</v>
      </c>
      <c r="CX32" s="29" t="n">
        <v>85</v>
      </c>
      <c r="CY32" s="32" t="b">
        <v>1</v>
      </c>
      <c r="CZ32" s="30" t="b">
        <v>0</v>
      </c>
      <c r="DA32" s="30" t="inlineStr"/>
      <c r="DB32" s="30" t="inlineStr"/>
      <c r="DC32" s="30" t="inlineStr"/>
      <c r="DD32" s="30" t="n">
        <v>0</v>
      </c>
      <c r="DE32" s="30" t="n">
        <v>0</v>
      </c>
      <c r="DF32" s="30" t="inlineStr"/>
      <c r="DG32" s="30" t="inlineStr"/>
      <c r="DH32" s="30" t="inlineStr"/>
      <c r="DI32" s="30" t="n">
        <v>6</v>
      </c>
      <c r="DJ32" s="30" t="inlineStr">
        <is>
          <t>Author 29</t>
        </is>
      </c>
      <c r="DK32" s="30" t="inlineStr"/>
      <c r="DL32" s="30" t="b">
        <v>1</v>
      </c>
      <c r="DM32" s="30" t="inlineStr"/>
      <c r="DN32" s="30" t="inlineStr">
        <is>
          <t>2026-06-01</t>
        </is>
      </c>
      <c r="DO32" s="30" t="inlineStr"/>
      <c r="DP32" s="30" t="inlineStr">
        <is>
          <t>2026-06-01</t>
        </is>
      </c>
      <c r="DQ32" s="30" t="inlineStr"/>
      <c r="DR32" s="30" t="b">
        <v>0</v>
      </c>
      <c r="DS32" s="30" t="b">
        <v>1</v>
      </c>
      <c r="DT32" s="30" t="b">
        <v>1</v>
      </c>
      <c r="DU32" s="30" t="b">
        <v>0</v>
      </c>
      <c r="DV32" s="30" t="n">
        <v>0</v>
      </c>
      <c r="DW32" s="30" t="b">
        <v>0</v>
      </c>
      <c r="DX32" s="30" t="b">
        <v>0</v>
      </c>
      <c r="DY32" s="30" t="b">
        <v>0</v>
      </c>
      <c r="DZ32" s="30" t="b">
        <v>0</v>
      </c>
      <c r="EA32" s="32" t="b">
        <v>0</v>
      </c>
      <c r="EB32" s="30" t="b">
        <v>0</v>
      </c>
      <c r="EC32" s="30" t="inlineStr"/>
      <c r="ED32" s="30" t="inlineStr"/>
      <c r="EE32" s="30" t="b">
        <v>0</v>
      </c>
      <c r="EF32" s="30" t="inlineStr"/>
      <c r="EG32" s="30" t="inlineStr"/>
      <c r="EH32" s="30" t="inlineStr"/>
      <c r="EI32" s="30" t="inlineStr"/>
      <c r="EJ32" s="30" t="inlineStr"/>
      <c r="EK32" s="30" t="inlineStr">
        <is>
          <t>Fresh</t>
        </is>
      </c>
      <c r="EL32" s="30" t="inlineStr">
        <is>
          <t>Smoke title 29</t>
        </is>
      </c>
      <c r="EM32" s="30" t="inlineStr">
        <is>
          <t>Smoke meta description for page 29.</t>
        </is>
      </c>
      <c r="EN32" s="30" t="inlineStr">
        <is>
          <t>article</t>
        </is>
      </c>
      <c r="EO32" s="76" t="inlineStr"/>
      <c r="EP32" s="76" t="inlineStr"/>
      <c r="EQ32" s="30" t="inlineStr"/>
      <c r="ER32" s="30" t="inlineStr"/>
      <c r="ES32" s="30" t="inlineStr"/>
      <c r="ET32" s="30" t="inlineStr"/>
      <c r="EU32" s="75" t="b">
        <v>0</v>
      </c>
      <c r="EV32" s="30" t="inlineStr">
        <is>
          <t>summary_large_image</t>
        </is>
      </c>
      <c r="EW32" s="30" t="inlineStr"/>
      <c r="EX32" s="30" t="inlineStr"/>
      <c r="EY32" s="30" t="inlineStr"/>
      <c r="EZ32" s="30" t="n">
        <v>0</v>
      </c>
      <c r="FA32" s="40" t="b">
        <v>0</v>
      </c>
      <c r="FB32" s="76" t="inlineStr">
        <is>
          <t>https://africanmarketingconfederation.org/smoke-archive/page-29</t>
        </is>
      </c>
      <c r="FC32" s="30" t="inlineStr"/>
      <c r="FD32" s="30" t="n">
        <v>0</v>
      </c>
      <c r="FE32" s="31" t="inlineStr"/>
      <c r="FF32" s="30" t="b">
        <v>0</v>
      </c>
      <c r="FG32" s="30" t="b">
        <v>0</v>
      </c>
      <c r="FH32" s="32" t="b">
        <v>0</v>
      </c>
      <c r="FI32" s="30" t="n">
        <v>0</v>
      </c>
      <c r="FJ32" s="30" t="inlineStr">
        <is>
          <t>https://africanmarketingconfederation.org/smoke-archive/page-29</t>
        </is>
      </c>
      <c r="FK32" s="30" t="inlineStr"/>
      <c r="FL32" s="32" t="b">
        <v>0</v>
      </c>
      <c r="FM32" s="30" t="b">
        <v>0</v>
      </c>
      <c r="FN32" s="32" t="b">
        <v>0</v>
      </c>
      <c r="FO32" s="30" t="inlineStr"/>
      <c r="FP32" s="30" t="inlineStr"/>
      <c r="FQ32" s="30" t="inlineStr"/>
      <c r="FR32" s="30" t="inlineStr"/>
      <c r="FS32" s="30" t="inlineStr"/>
      <c r="FT32" s="30" t="inlineStr"/>
      <c r="FU32" s="30" t="inlineStr">
        <is>
          <t>Not specified</t>
        </is>
      </c>
      <c r="FV32" s="30" t="inlineStr">
        <is>
          <t>Not specified</t>
        </is>
      </c>
      <c r="FW32" s="30" t="inlineStr">
        <is>
          <t>Not specified</t>
        </is>
      </c>
      <c r="FX32" s="30" t="inlineStr">
        <is>
          <t>Not specified</t>
        </is>
      </c>
      <c r="FY32" s="30" t="inlineStr">
        <is>
          <t>Not specified</t>
        </is>
      </c>
      <c r="FZ32" s="30" t="b">
        <v>0</v>
      </c>
      <c r="GA32" s="30" t="n">
        <v>0</v>
      </c>
      <c r="GB32" s="30" t="inlineStr"/>
      <c r="GC32" s="30" t="inlineStr"/>
      <c r="GD32" s="30" t="b">
        <v>0</v>
      </c>
      <c r="GE32" s="30" t="b">
        <v>0</v>
      </c>
      <c r="GF32" s="30" t="b">
        <v>0</v>
      </c>
      <c r="GG32" s="30" t="b">
        <v>0</v>
      </c>
      <c r="GH32" s="30" t="b">
        <v>0</v>
      </c>
      <c r="GI32" s="30" t="b">
        <v>0</v>
      </c>
      <c r="GJ32" s="30" t="n">
        <v>0</v>
      </c>
      <c r="GK32" s="30" t="n">
        <v>0</v>
      </c>
      <c r="GL32" s="30" t="n">
        <v>0</v>
      </c>
      <c r="GM32" s="76" t="inlineStr"/>
      <c r="GN32" s="76" t="inlineStr"/>
      <c r="GO32" s="32" t="b">
        <v>0</v>
      </c>
      <c r="GP32" s="30" t="inlineStr"/>
      <c r="GQ32" s="76" t="inlineStr"/>
      <c r="GR32" s="30" t="inlineStr">
        <is>
          <t>Not Declared</t>
        </is>
      </c>
      <c r="GS32" s="30" t="b">
        <v>1</v>
      </c>
      <c r="GT32" s="30" t="n">
        <v>42.7</v>
      </c>
      <c r="GU32" s="30" t="inlineStr">
        <is>
          <t>Orphan</t>
        </is>
      </c>
      <c r="GV32" s="30" t="n">
        <v>0</v>
      </c>
      <c r="GW32" s="34" t="n">
        <v>0</v>
      </c>
      <c r="GX32" s="30" t="b">
        <v>0</v>
      </c>
      <c r="GY32" s="30" t="inlineStr">
        <is>
          <t>FAQ</t>
        </is>
      </c>
      <c r="GZ32" s="30" t="n">
        <v>9</v>
      </c>
      <c r="HA32" s="30" t="b">
        <v>0</v>
      </c>
      <c r="HB32" s="30" t="inlineStr">
        <is>
          <t>smoke, body, copy, intent, classification</t>
        </is>
      </c>
      <c r="HC32" s="30" t="b">
        <v>0</v>
      </c>
      <c r="HD32" s="30" t="b">
        <v>0</v>
      </c>
      <c r="HE32" s="30" t="b">
        <v>0</v>
      </c>
      <c r="HF32" s="34" t="n">
        <v>0</v>
      </c>
      <c r="HG32" s="30" t="b">
        <v>0</v>
      </c>
      <c r="HH32" s="30" t="b">
        <v>0</v>
      </c>
      <c r="HI32" s="38">
        <f>IFERROR(HYPERLINK("#'Technical Diagnostics'!A"&amp;MATCH(B32,'Technical Diagnostics'!A:A,0),"Open Technical"),HYPERLINK("#'Technical Diagnostics'!A1","Open Technical"))</f>
        <v/>
      </c>
    </row>
    <row r="33" ht="18" customHeight="1">
      <c r="A33" s="28" t="inlineStr">
        <is>
          <t>WARN 🟡</t>
        </is>
      </c>
      <c r="B33" s="35" t="inlineStr">
        <is>
          <t>https://africanmarketingconfederation.org/smoke-archive/page-30</t>
        </is>
      </c>
      <c r="C33" s="28" t="inlineStr"/>
      <c r="D33" s="28" t="inlineStr">
        <is>
          <t>Indexable</t>
        </is>
      </c>
      <c r="E33" s="28" t="inlineStr"/>
      <c r="F33" s="28" t="inlineStr">
        <is>
          <t>Smoke title 30</t>
        </is>
      </c>
      <c r="G33" s="28" t="inlineStr"/>
      <c r="H33" s="28" t="n">
        <v>350</v>
      </c>
      <c r="I33" s="28" t="n">
        <v>50</v>
      </c>
      <c r="J33" s="28" t="inlineStr">
        <is>
          <t>Warning</t>
        </is>
      </c>
      <c r="K33" s="28" t="inlineStr">
        <is>
          <t>Yes</t>
        </is>
      </c>
      <c r="L33" s="28" t="inlineStr"/>
      <c r="M33" s="28" t="inlineStr"/>
      <c r="N33" s="28" t="inlineStr">
        <is>
          <t>Lab only</t>
        </is>
      </c>
      <c r="O33" s="28" t="inlineStr">
        <is>
          <t>None</t>
        </is>
      </c>
      <c r="P33" s="28" t="inlineStr">
        <is>
          <t>PSI Lab</t>
        </is>
      </c>
      <c r="Q33" s="28" t="inlineStr">
        <is>
          <t>None</t>
        </is>
      </c>
      <c r="R33" s="28" t="inlineStr"/>
      <c r="S33" s="28" t="inlineStr"/>
      <c r="T33" s="28" t="inlineStr"/>
      <c r="U33" s="28" t="inlineStr"/>
      <c r="V33" s="28" t="inlineStr"/>
      <c r="W33" s="28" t="inlineStr"/>
      <c r="X33" s="28" t="inlineStr"/>
      <c r="Y33" s="28" t="inlineStr"/>
      <c r="Z33" s="28" t="inlineStr"/>
      <c r="AA33" s="28" t="n">
        <v>88</v>
      </c>
      <c r="AB33" s="28" t="n">
        <v>88</v>
      </c>
      <c r="AC33" s="28" t="n">
        <v>88</v>
      </c>
      <c r="AD33" s="28" t="n">
        <v>85</v>
      </c>
      <c r="AE33" s="28" t="n">
        <v>82</v>
      </c>
      <c r="AF33" s="28" t="n">
        <v>92</v>
      </c>
      <c r="AG33" s="28" t="n">
        <v>2.4</v>
      </c>
      <c r="AH33" s="28" t="n">
        <v>0.04</v>
      </c>
      <c r="AI33" s="28" t="n">
        <v>0.4</v>
      </c>
      <c r="AJ33" s="28" t="n">
        <v>2.4</v>
      </c>
      <c r="AK33" s="28" t="n">
        <v>0.04</v>
      </c>
      <c r="AL33" s="28" t="n">
        <v>180</v>
      </c>
      <c r="AM33" s="28" t="n">
        <v>120</v>
      </c>
      <c r="AN33" s="28" t="n">
        <v>1.8</v>
      </c>
      <c r="AO33" s="28" t="n">
        <v>3.2</v>
      </c>
      <c r="AP33" s="28" t="n">
        <v>4.1</v>
      </c>
      <c r="AQ33" s="28" t="n">
        <v>400</v>
      </c>
      <c r="AR33" s="28" t="n">
        <v>88</v>
      </c>
      <c r="AS33" s="28" t="n">
        <v>85</v>
      </c>
      <c r="AT33" s="28" t="n">
        <v>82</v>
      </c>
      <c r="AU33" s="28" t="n">
        <v>92</v>
      </c>
      <c r="AV33" s="28" t="n">
        <v>2.4</v>
      </c>
      <c r="AW33" s="28" t="n">
        <v>0.04</v>
      </c>
      <c r="AX33" s="28" t="n">
        <v>180</v>
      </c>
      <c r="AY33" s="28" t="n">
        <v>120</v>
      </c>
      <c r="AZ33" s="28" t="n">
        <v>1.8</v>
      </c>
      <c r="BA33" s="28" t="n">
        <v>3.2</v>
      </c>
      <c r="BB33" s="28" t="n">
        <v>4.1</v>
      </c>
      <c r="BC33" s="28" t="n">
        <v>400</v>
      </c>
      <c r="BD33" s="28" t="n">
        <v>500</v>
      </c>
      <c r="BE33" s="28" t="n">
        <v>842</v>
      </c>
      <c r="BF33" s="28" t="n">
        <v>1250</v>
      </c>
      <c r="BG33" s="28" t="n">
        <v>1</v>
      </c>
      <c r="BH33" s="28" t="b">
        <v>1</v>
      </c>
      <c r="BI33" s="34" t="b">
        <v>1</v>
      </c>
      <c r="BJ33" s="28" t="b">
        <v>1</v>
      </c>
      <c r="BK33" s="28" t="b">
        <v>1</v>
      </c>
      <c r="BL33" s="28" t="b">
        <v>0</v>
      </c>
      <c r="BM33" s="28" t="n">
        <v>65</v>
      </c>
      <c r="BN33" s="28" t="inlineStr">
        <is>
          <t>complete</t>
        </is>
      </c>
      <c r="BO33" s="28" t="inlineStr">
        <is>
          <t>rendered_browser</t>
        </is>
      </c>
      <c r="BP33" s="28" t="b">
        <v>0</v>
      </c>
      <c r="BQ33" s="28" t="n">
        <v>0</v>
      </c>
      <c r="BR33" s="28" t="n">
        <v>0</v>
      </c>
      <c r="BS33" s="28" t="inlineStr"/>
      <c r="BT33" s="28" t="b">
        <v>0</v>
      </c>
      <c r="BU33" s="28" t="inlineStr"/>
      <c r="BV33" s="28" t="inlineStr"/>
      <c r="BW33" s="28" t="n">
        <v>0</v>
      </c>
      <c r="BX33" s="28" t="inlineStr"/>
      <c r="BY33" s="28" t="n">
        <v>0</v>
      </c>
      <c r="BZ33" s="28" t="inlineStr"/>
      <c r="CA33" s="28" t="n">
        <v>0</v>
      </c>
      <c r="CB33" s="28" t="inlineStr"/>
      <c r="CC33" s="28" t="n">
        <v>0</v>
      </c>
      <c r="CD33" s="28" t="inlineStr"/>
      <c r="CE33" s="28" t="n">
        <v>0</v>
      </c>
      <c r="CF33" s="28" t="inlineStr"/>
      <c r="CG33" s="28" t="n">
        <v>0</v>
      </c>
      <c r="CH33" s="28" t="inlineStr"/>
      <c r="CI33" s="28" t="inlineStr"/>
      <c r="CJ33" s="28" t="inlineStr"/>
      <c r="CK33" s="28" t="inlineStr"/>
      <c r="CL33" s="28" t="inlineStr">
        <is>
          <t>2026-06-01 to 2026-06-30 (30-day window; excludes today; typical GSC lag ~48h)</t>
        </is>
      </c>
      <c r="CM33" s="28" t="inlineStr">
        <is>
          <t>No Search Analytics row matched this URL in the 30-day export (compare Final URL with the page URL shown in GSC)</t>
        </is>
      </c>
      <c r="CN33" s="28" t="n">
        <v>-1</v>
      </c>
      <c r="CO33" s="28" t="b">
        <v>1</v>
      </c>
      <c r="CP33" s="28" t="n">
        <v>0.012048</v>
      </c>
      <c r="CQ33" s="28" t="b">
        <v>1</v>
      </c>
      <c r="CR33" s="28" t="b">
        <v>1</v>
      </c>
      <c r="CS33" s="28" t="inlineStr">
        <is>
          <t>Both</t>
        </is>
      </c>
      <c r="CT33" s="74" t="inlineStr"/>
      <c r="CU33" s="28" t="n">
        <v>31</v>
      </c>
      <c r="CV33" s="34">
        <f>IFERROR(INDEX(OFFSET('Technical Diagnostics'!$A$1,2,MATCH("SEO Health Score",'Technical Diagnostics'!$2:$2,0)-1,99998,1),MATCH(B33,OFFSET('Technical Diagnostics'!$A$1,2,MATCH("URL",'Technical Diagnostics'!$2:$2,0)-1,99998,1),0)),"")</f>
        <v/>
      </c>
      <c r="CW33" s="29" t="n">
        <v>80</v>
      </c>
      <c r="CX33" s="34" t="n">
        <v>57.5</v>
      </c>
      <c r="CY33" s="32" t="b">
        <v>1</v>
      </c>
      <c r="CZ33" s="28" t="b">
        <v>0</v>
      </c>
      <c r="DA33" s="28" t="inlineStr"/>
      <c r="DB33" s="28" t="inlineStr"/>
      <c r="DC33" s="28" t="inlineStr"/>
      <c r="DD33" s="28" t="n">
        <v>0</v>
      </c>
      <c r="DE33" s="28" t="n">
        <v>0</v>
      </c>
      <c r="DF33" s="28" t="inlineStr"/>
      <c r="DG33" s="28" t="inlineStr"/>
      <c r="DH33" s="28" t="inlineStr"/>
      <c r="DI33" s="28" t="n">
        <v>6</v>
      </c>
      <c r="DJ33" s="28" t="inlineStr">
        <is>
          <t>Author 30</t>
        </is>
      </c>
      <c r="DK33" s="28" t="inlineStr"/>
      <c r="DL33" s="28" t="b">
        <v>1</v>
      </c>
      <c r="DM33" s="28" t="inlineStr"/>
      <c r="DN33" s="28" t="inlineStr">
        <is>
          <t>2026-06-01</t>
        </is>
      </c>
      <c r="DO33" s="28" t="inlineStr"/>
      <c r="DP33" s="28" t="inlineStr">
        <is>
          <t>2026-06-01</t>
        </is>
      </c>
      <c r="DQ33" s="28" t="inlineStr"/>
      <c r="DR33" s="28" t="b">
        <v>0</v>
      </c>
      <c r="DS33" s="28" t="b">
        <v>1</v>
      </c>
      <c r="DT33" s="28" t="b">
        <v>1</v>
      </c>
      <c r="DU33" s="28" t="b">
        <v>0</v>
      </c>
      <c r="DV33" s="28" t="n">
        <v>0</v>
      </c>
      <c r="DW33" s="28" t="b">
        <v>0</v>
      </c>
      <c r="DX33" s="28" t="b">
        <v>0</v>
      </c>
      <c r="DY33" s="28" t="b">
        <v>0</v>
      </c>
      <c r="DZ33" s="28" t="b">
        <v>0</v>
      </c>
      <c r="EA33" s="32" t="b">
        <v>0</v>
      </c>
      <c r="EB33" s="28" t="b">
        <v>0</v>
      </c>
      <c r="EC33" s="28" t="inlineStr"/>
      <c r="ED33" s="28" t="inlineStr"/>
      <c r="EE33" s="28" t="b">
        <v>0</v>
      </c>
      <c r="EF33" s="28" t="inlineStr"/>
      <c r="EG33" s="28" t="inlineStr"/>
      <c r="EH33" s="28" t="inlineStr"/>
      <c r="EI33" s="28" t="inlineStr">
        <is>
          <t>2026-06-01</t>
        </is>
      </c>
      <c r="EJ33" s="28" t="inlineStr"/>
      <c r="EK33" s="28" t="inlineStr">
        <is>
          <t>Fresh</t>
        </is>
      </c>
      <c r="EL33" s="28" t="inlineStr">
        <is>
          <t>Smoke title 30</t>
        </is>
      </c>
      <c r="EM33" s="28" t="inlineStr"/>
      <c r="EN33" s="28" t="inlineStr">
        <is>
          <t>article</t>
        </is>
      </c>
      <c r="EO33" s="74" t="inlineStr"/>
      <c r="EP33" s="74" t="inlineStr"/>
      <c r="EQ33" s="28" t="inlineStr"/>
      <c r="ER33" s="28" t="inlineStr"/>
      <c r="ES33" s="28" t="inlineStr"/>
      <c r="ET33" s="28" t="inlineStr"/>
      <c r="EU33" s="75" t="b">
        <v>0</v>
      </c>
      <c r="EV33" s="28" t="inlineStr">
        <is>
          <t>summary_large_image</t>
        </is>
      </c>
      <c r="EW33" s="28" t="inlineStr"/>
      <c r="EX33" s="28" t="inlineStr"/>
      <c r="EY33" s="28" t="inlineStr"/>
      <c r="EZ33" s="28" t="n">
        <v>0</v>
      </c>
      <c r="FA33" s="40" t="b">
        <v>0</v>
      </c>
      <c r="FB33" s="74" t="inlineStr">
        <is>
          <t>https://africanmarketingconfederation.org/smoke-archive/page-30</t>
        </is>
      </c>
      <c r="FC33" s="28" t="inlineStr"/>
      <c r="FD33" s="28" t="n">
        <v>0</v>
      </c>
      <c r="FE33" s="20" t="inlineStr"/>
      <c r="FF33" s="28" t="b">
        <v>0</v>
      </c>
      <c r="FG33" s="28" t="b">
        <v>0</v>
      </c>
      <c r="FH33" s="32" t="b">
        <v>0</v>
      </c>
      <c r="FI33" s="28" t="n">
        <v>0</v>
      </c>
      <c r="FJ33" s="28" t="inlineStr">
        <is>
          <t>https://africanmarketingconfederation.org/smoke-archive/page-30</t>
        </is>
      </c>
      <c r="FK33" s="28" t="inlineStr"/>
      <c r="FL33" s="32" t="b">
        <v>0</v>
      </c>
      <c r="FM33" s="28" t="b">
        <v>0</v>
      </c>
      <c r="FN33" s="32" t="b">
        <v>0</v>
      </c>
      <c r="FO33" s="28" t="inlineStr"/>
      <c r="FP33" s="28" t="inlineStr"/>
      <c r="FQ33" s="28" t="inlineStr"/>
      <c r="FR33" s="28" t="inlineStr"/>
      <c r="FS33" s="28" t="inlineStr"/>
      <c r="FT33" s="28" t="inlineStr"/>
      <c r="FU33" s="28" t="inlineStr">
        <is>
          <t>Not specified</t>
        </is>
      </c>
      <c r="FV33" s="28" t="inlineStr">
        <is>
          <t>Not specified</t>
        </is>
      </c>
      <c r="FW33" s="28" t="inlineStr">
        <is>
          <t>Not specified</t>
        </is>
      </c>
      <c r="FX33" s="28" t="inlineStr">
        <is>
          <t>Not specified</t>
        </is>
      </c>
      <c r="FY33" s="28" t="inlineStr">
        <is>
          <t>Not specified</t>
        </is>
      </c>
      <c r="FZ33" s="28" t="b">
        <v>0</v>
      </c>
      <c r="GA33" s="28" t="n">
        <v>0</v>
      </c>
      <c r="GB33" s="28" t="inlineStr"/>
      <c r="GC33" s="28" t="inlineStr"/>
      <c r="GD33" s="28" t="b">
        <v>0</v>
      </c>
      <c r="GE33" s="28" t="b">
        <v>0</v>
      </c>
      <c r="GF33" s="28" t="b">
        <v>0</v>
      </c>
      <c r="GG33" s="28" t="b">
        <v>0</v>
      </c>
      <c r="GH33" s="28" t="b">
        <v>0</v>
      </c>
      <c r="GI33" s="28" t="b">
        <v>0</v>
      </c>
      <c r="GJ33" s="28" t="n">
        <v>0</v>
      </c>
      <c r="GK33" s="28" t="n">
        <v>0</v>
      </c>
      <c r="GL33" s="28" t="n">
        <v>0</v>
      </c>
      <c r="GM33" s="74" t="inlineStr"/>
      <c r="GN33" s="74" t="inlineStr"/>
      <c r="GO33" s="32" t="b">
        <v>0</v>
      </c>
      <c r="GP33" s="28" t="inlineStr"/>
      <c r="GQ33" s="74" t="inlineStr"/>
      <c r="GR33" s="28" t="inlineStr">
        <is>
          <t>Not Declared</t>
        </is>
      </c>
      <c r="GS33" s="28" t="b">
        <v>1</v>
      </c>
      <c r="GT33" s="28" t="n">
        <v>62.2</v>
      </c>
      <c r="GU33" s="28" t="inlineStr">
        <is>
          <t>Orphan</t>
        </is>
      </c>
      <c r="GV33" s="28" t="n">
        <v>0</v>
      </c>
      <c r="GW33" s="34" t="n">
        <v>0</v>
      </c>
      <c r="GX33" s="28" t="b">
        <v>0</v>
      </c>
      <c r="GY33" s="28" t="inlineStr">
        <is>
          <t>FAQ</t>
        </is>
      </c>
      <c r="GZ33" s="28" t="n">
        <v>9</v>
      </c>
      <c r="HA33" s="28" t="b">
        <v>0</v>
      </c>
      <c r="HB33" s="28" t="inlineStr">
        <is>
          <t>smoke, body, copy, intent, classification</t>
        </is>
      </c>
      <c r="HC33" s="28" t="b">
        <v>0</v>
      </c>
      <c r="HD33" s="28" t="b">
        <v>0</v>
      </c>
      <c r="HE33" s="28" t="b">
        <v>0</v>
      </c>
      <c r="HF33" s="34" t="n">
        <v>0</v>
      </c>
      <c r="HG33" s="28" t="b">
        <v>0</v>
      </c>
      <c r="HH33" s="28" t="b">
        <v>0</v>
      </c>
      <c r="HI33">
        <f>IFERROR(HYPERLINK("#'Technical Diagnostics'!A"&amp;MATCH(B33,'Technical Diagnostics'!A:A,0),"Open Technical"),HYPERLINK("#'Technical Diagnostics'!A1","Open Technical"))</f>
        <v/>
      </c>
    </row>
    <row r="34" ht="18" customHeight="1">
      <c r="A34" s="30" t="inlineStr">
        <is>
          <t>WARN 🟡</t>
        </is>
      </c>
      <c r="B34" s="37" t="inlineStr">
        <is>
          <t>https://africanmarketingconfederation.org/smoke-archive/page-31</t>
        </is>
      </c>
      <c r="C34" s="30" t="inlineStr"/>
      <c r="D34" s="30" t="inlineStr">
        <is>
          <t>Indexable</t>
        </is>
      </c>
      <c r="E34" s="30" t="inlineStr"/>
      <c r="F34" s="30" t="inlineStr">
        <is>
          <t>Smoke title 31</t>
        </is>
      </c>
      <c r="G34" s="30" t="inlineStr">
        <is>
          <t>Smoke meta description for page 31.</t>
        </is>
      </c>
      <c r="H34" s="30" t="n">
        <v>351</v>
      </c>
      <c r="I34" s="30" t="n">
        <v>80</v>
      </c>
      <c r="J34" s="30" t="inlineStr">
        <is>
          <t>Warning</t>
        </is>
      </c>
      <c r="K34" s="30" t="inlineStr">
        <is>
          <t>Yes</t>
        </is>
      </c>
      <c r="L34" s="30" t="inlineStr"/>
      <c r="M34" s="30" t="inlineStr"/>
      <c r="N34" s="30" t="inlineStr">
        <is>
          <t>Lab only</t>
        </is>
      </c>
      <c r="O34" s="30" t="inlineStr">
        <is>
          <t>None</t>
        </is>
      </c>
      <c r="P34" s="30" t="inlineStr">
        <is>
          <t>PSI Lab</t>
        </is>
      </c>
      <c r="Q34" s="30" t="inlineStr">
        <is>
          <t>None</t>
        </is>
      </c>
      <c r="R34" s="30" t="inlineStr"/>
      <c r="S34" s="30" t="inlineStr"/>
      <c r="T34" s="30" t="inlineStr"/>
      <c r="U34" s="30" t="inlineStr"/>
      <c r="V34" s="30" t="inlineStr"/>
      <c r="W34" s="30" t="inlineStr"/>
      <c r="X34" s="30" t="inlineStr"/>
      <c r="Y34" s="30" t="inlineStr"/>
      <c r="Z34" s="30" t="inlineStr"/>
      <c r="AA34" s="30" t="n">
        <v>88</v>
      </c>
      <c r="AB34" s="30" t="n">
        <v>88</v>
      </c>
      <c r="AC34" s="30" t="n">
        <v>88</v>
      </c>
      <c r="AD34" s="30" t="n">
        <v>85</v>
      </c>
      <c r="AE34" s="30" t="n">
        <v>82</v>
      </c>
      <c r="AF34" s="30" t="n">
        <v>92</v>
      </c>
      <c r="AG34" s="30" t="n">
        <v>2.4</v>
      </c>
      <c r="AH34" s="30" t="n">
        <v>0.04</v>
      </c>
      <c r="AI34" s="30" t="n">
        <v>0.4</v>
      </c>
      <c r="AJ34" s="30" t="n">
        <v>2.4</v>
      </c>
      <c r="AK34" s="30" t="n">
        <v>0.04</v>
      </c>
      <c r="AL34" s="30" t="n">
        <v>180</v>
      </c>
      <c r="AM34" s="30" t="n">
        <v>120</v>
      </c>
      <c r="AN34" s="30" t="n">
        <v>1.8</v>
      </c>
      <c r="AO34" s="30" t="n">
        <v>3.2</v>
      </c>
      <c r="AP34" s="30" t="n">
        <v>4.1</v>
      </c>
      <c r="AQ34" s="30" t="n">
        <v>400</v>
      </c>
      <c r="AR34" s="30" t="n">
        <v>88</v>
      </c>
      <c r="AS34" s="30" t="n">
        <v>85</v>
      </c>
      <c r="AT34" s="30" t="n">
        <v>82</v>
      </c>
      <c r="AU34" s="30" t="n">
        <v>92</v>
      </c>
      <c r="AV34" s="30" t="n">
        <v>2.4</v>
      </c>
      <c r="AW34" s="30" t="n">
        <v>0.04</v>
      </c>
      <c r="AX34" s="30" t="n">
        <v>180</v>
      </c>
      <c r="AY34" s="30" t="n">
        <v>120</v>
      </c>
      <c r="AZ34" s="30" t="n">
        <v>1.8</v>
      </c>
      <c r="BA34" s="30" t="n">
        <v>3.2</v>
      </c>
      <c r="BB34" s="30" t="n">
        <v>4.1</v>
      </c>
      <c r="BC34" s="30" t="n">
        <v>400</v>
      </c>
      <c r="BD34" s="30" t="n">
        <v>500</v>
      </c>
      <c r="BE34" s="30" t="n">
        <v>842</v>
      </c>
      <c r="BF34" s="30" t="n">
        <v>1250</v>
      </c>
      <c r="BG34" s="30" t="n">
        <v>1</v>
      </c>
      <c r="BH34" s="30" t="b">
        <v>1</v>
      </c>
      <c r="BI34" s="34" t="b">
        <v>1</v>
      </c>
      <c r="BJ34" s="30" t="b">
        <v>1</v>
      </c>
      <c r="BK34" s="30" t="b">
        <v>1</v>
      </c>
      <c r="BL34" s="30" t="b">
        <v>0</v>
      </c>
      <c r="BM34" s="30" t="n">
        <v>65</v>
      </c>
      <c r="BN34" s="30" t="inlineStr">
        <is>
          <t>complete</t>
        </is>
      </c>
      <c r="BO34" s="30" t="inlineStr">
        <is>
          <t>rendered_browser</t>
        </is>
      </c>
      <c r="BP34" s="30" t="b">
        <v>0</v>
      </c>
      <c r="BQ34" s="30" t="n">
        <v>0</v>
      </c>
      <c r="BR34" s="30" t="n">
        <v>0</v>
      </c>
      <c r="BS34" s="30" t="inlineStr"/>
      <c r="BT34" s="30" t="b">
        <v>0</v>
      </c>
      <c r="BU34" s="30" t="inlineStr"/>
      <c r="BV34" s="30" t="inlineStr"/>
      <c r="BW34" s="30" t="n">
        <v>0</v>
      </c>
      <c r="BX34" s="30" t="inlineStr"/>
      <c r="BY34" s="30" t="n">
        <v>0</v>
      </c>
      <c r="BZ34" s="30" t="inlineStr"/>
      <c r="CA34" s="30" t="n">
        <v>0</v>
      </c>
      <c r="CB34" s="30" t="inlineStr"/>
      <c r="CC34" s="30" t="n">
        <v>0</v>
      </c>
      <c r="CD34" s="30" t="inlineStr"/>
      <c r="CE34" s="30" t="n">
        <v>0</v>
      </c>
      <c r="CF34" s="30" t="inlineStr"/>
      <c r="CG34" s="30" t="n">
        <v>0</v>
      </c>
      <c r="CH34" s="30" t="inlineStr"/>
      <c r="CI34" s="30" t="inlineStr"/>
      <c r="CJ34" s="30" t="inlineStr"/>
      <c r="CK34" s="30" t="inlineStr"/>
      <c r="CL34" s="30" t="inlineStr">
        <is>
          <t>2026-06-01 to 2026-06-30 (30-day window; excludes today; typical GSC lag ~48h)</t>
        </is>
      </c>
      <c r="CM34" s="30" t="inlineStr">
        <is>
          <t>No Search Analytics row matched this URL in the 30-day export (compare Final URL with the page URL shown in GSC)</t>
        </is>
      </c>
      <c r="CN34" s="30" t="n">
        <v>-1</v>
      </c>
      <c r="CO34" s="30" t="b">
        <v>1</v>
      </c>
      <c r="CP34" s="30" t="n">
        <v>0.012048</v>
      </c>
      <c r="CQ34" s="30" t="b">
        <v>1</v>
      </c>
      <c r="CR34" s="30" t="b">
        <v>1</v>
      </c>
      <c r="CS34" s="30" t="inlineStr">
        <is>
          <t>Both</t>
        </is>
      </c>
      <c r="CT34" s="76" t="inlineStr"/>
      <c r="CU34" s="30" t="n">
        <v>32</v>
      </c>
      <c r="CV34" s="29">
        <f>IFERROR(INDEX(OFFSET('Technical Diagnostics'!$A$1,2,MATCH("SEO Health Score",'Technical Diagnostics'!$2:$2,0)-1,99998,1),MATCH(B34,OFFSET('Technical Diagnostics'!$A$1,2,MATCH("URL",'Technical Diagnostics'!$2:$2,0)-1,99998,1),0)),"")</f>
        <v/>
      </c>
      <c r="CW34" s="32" t="n">
        <v>100</v>
      </c>
      <c r="CX34" s="29" t="n">
        <v>85</v>
      </c>
      <c r="CY34" s="32" t="b">
        <v>1</v>
      </c>
      <c r="CZ34" s="30" t="b">
        <v>0</v>
      </c>
      <c r="DA34" s="30" t="inlineStr"/>
      <c r="DB34" s="30" t="inlineStr"/>
      <c r="DC34" s="30" t="inlineStr"/>
      <c r="DD34" s="30" t="n">
        <v>0</v>
      </c>
      <c r="DE34" s="30" t="n">
        <v>0</v>
      </c>
      <c r="DF34" s="30" t="inlineStr"/>
      <c r="DG34" s="30" t="inlineStr"/>
      <c r="DH34" s="30" t="inlineStr"/>
      <c r="DI34" s="30" t="n">
        <v>6</v>
      </c>
      <c r="DJ34" s="30" t="inlineStr">
        <is>
          <t>Author 31</t>
        </is>
      </c>
      <c r="DK34" s="30" t="inlineStr"/>
      <c r="DL34" s="30" t="b">
        <v>1</v>
      </c>
      <c r="DM34" s="30" t="inlineStr"/>
      <c r="DN34" s="30" t="inlineStr">
        <is>
          <t>2026-06-01</t>
        </is>
      </c>
      <c r="DO34" s="30" t="inlineStr"/>
      <c r="DP34" s="30" t="inlineStr">
        <is>
          <t>2026-06-01</t>
        </is>
      </c>
      <c r="DQ34" s="30" t="inlineStr"/>
      <c r="DR34" s="30" t="b">
        <v>0</v>
      </c>
      <c r="DS34" s="30" t="b">
        <v>1</v>
      </c>
      <c r="DT34" s="30" t="b">
        <v>1</v>
      </c>
      <c r="DU34" s="30" t="b">
        <v>0</v>
      </c>
      <c r="DV34" s="30" t="n">
        <v>0</v>
      </c>
      <c r="DW34" s="30" t="b">
        <v>0</v>
      </c>
      <c r="DX34" s="30" t="b">
        <v>0</v>
      </c>
      <c r="DY34" s="30" t="b">
        <v>0</v>
      </c>
      <c r="DZ34" s="30" t="b">
        <v>0</v>
      </c>
      <c r="EA34" s="32" t="b">
        <v>0</v>
      </c>
      <c r="EB34" s="30" t="b">
        <v>0</v>
      </c>
      <c r="EC34" s="30" t="inlineStr"/>
      <c r="ED34" s="30" t="inlineStr"/>
      <c r="EE34" s="30" t="b">
        <v>0</v>
      </c>
      <c r="EF34" s="30" t="inlineStr"/>
      <c r="EG34" s="30" t="inlineStr"/>
      <c r="EH34" s="30" t="inlineStr"/>
      <c r="EI34" s="30" t="inlineStr"/>
      <c r="EJ34" s="30" t="inlineStr"/>
      <c r="EK34" s="30" t="inlineStr">
        <is>
          <t>Fresh</t>
        </is>
      </c>
      <c r="EL34" s="30" t="inlineStr">
        <is>
          <t>Smoke title 31</t>
        </is>
      </c>
      <c r="EM34" s="30" t="inlineStr">
        <is>
          <t>Smoke meta description for page 31.</t>
        </is>
      </c>
      <c r="EN34" s="30" t="inlineStr">
        <is>
          <t>article</t>
        </is>
      </c>
      <c r="EO34" s="76" t="inlineStr"/>
      <c r="EP34" s="76" t="inlineStr"/>
      <c r="EQ34" s="30" t="inlineStr"/>
      <c r="ER34" s="30" t="inlineStr"/>
      <c r="ES34" s="30" t="inlineStr"/>
      <c r="ET34" s="30" t="inlineStr"/>
      <c r="EU34" s="75" t="b">
        <v>0</v>
      </c>
      <c r="EV34" s="30" t="inlineStr">
        <is>
          <t>summary_large_image</t>
        </is>
      </c>
      <c r="EW34" s="30" t="inlineStr"/>
      <c r="EX34" s="30" t="inlineStr"/>
      <c r="EY34" s="30" t="inlineStr"/>
      <c r="EZ34" s="30" t="n">
        <v>0</v>
      </c>
      <c r="FA34" s="40" t="b">
        <v>0</v>
      </c>
      <c r="FB34" s="76" t="inlineStr">
        <is>
          <t>https://africanmarketingconfederation.org/smoke-archive/page-31</t>
        </is>
      </c>
      <c r="FC34" s="30" t="inlineStr"/>
      <c r="FD34" s="30" t="n">
        <v>0</v>
      </c>
      <c r="FE34" s="31" t="inlineStr"/>
      <c r="FF34" s="30" t="b">
        <v>0</v>
      </c>
      <c r="FG34" s="30" t="b">
        <v>0</v>
      </c>
      <c r="FH34" s="32" t="b">
        <v>0</v>
      </c>
      <c r="FI34" s="30" t="n">
        <v>0</v>
      </c>
      <c r="FJ34" s="30" t="inlineStr">
        <is>
          <t>https://africanmarketingconfederation.org/smoke-archive/page-31</t>
        </is>
      </c>
      <c r="FK34" s="30" t="inlineStr"/>
      <c r="FL34" s="32" t="b">
        <v>0</v>
      </c>
      <c r="FM34" s="30" t="b">
        <v>0</v>
      </c>
      <c r="FN34" s="32" t="b">
        <v>0</v>
      </c>
      <c r="FO34" s="30" t="inlineStr"/>
      <c r="FP34" s="30" t="inlineStr"/>
      <c r="FQ34" s="30" t="inlineStr"/>
      <c r="FR34" s="30" t="inlineStr"/>
      <c r="FS34" s="30" t="inlineStr"/>
      <c r="FT34" s="30" t="inlineStr"/>
      <c r="FU34" s="30" t="inlineStr">
        <is>
          <t>Not specified</t>
        </is>
      </c>
      <c r="FV34" s="30" t="inlineStr">
        <is>
          <t>Not specified</t>
        </is>
      </c>
      <c r="FW34" s="30" t="inlineStr">
        <is>
          <t>Not specified</t>
        </is>
      </c>
      <c r="FX34" s="30" t="inlineStr">
        <is>
          <t>Not specified</t>
        </is>
      </c>
      <c r="FY34" s="30" t="inlineStr">
        <is>
          <t>Not specified</t>
        </is>
      </c>
      <c r="FZ34" s="30" t="b">
        <v>0</v>
      </c>
      <c r="GA34" s="30" t="n">
        <v>0</v>
      </c>
      <c r="GB34" s="30" t="inlineStr"/>
      <c r="GC34" s="30" t="inlineStr"/>
      <c r="GD34" s="30" t="b">
        <v>0</v>
      </c>
      <c r="GE34" s="30" t="b">
        <v>0</v>
      </c>
      <c r="GF34" s="30" t="b">
        <v>0</v>
      </c>
      <c r="GG34" s="30" t="b">
        <v>0</v>
      </c>
      <c r="GH34" s="30" t="b">
        <v>0</v>
      </c>
      <c r="GI34" s="30" t="b">
        <v>0</v>
      </c>
      <c r="GJ34" s="30" t="n">
        <v>0</v>
      </c>
      <c r="GK34" s="30" t="n">
        <v>0</v>
      </c>
      <c r="GL34" s="30" t="n">
        <v>0</v>
      </c>
      <c r="GM34" s="76" t="inlineStr"/>
      <c r="GN34" s="76" t="inlineStr"/>
      <c r="GO34" s="32" t="b">
        <v>0</v>
      </c>
      <c r="GP34" s="30" t="inlineStr"/>
      <c r="GQ34" s="76" t="inlineStr"/>
      <c r="GR34" s="30" t="inlineStr">
        <is>
          <t>Not Declared</t>
        </is>
      </c>
      <c r="GS34" s="30" t="b">
        <v>1</v>
      </c>
      <c r="GT34" s="30" t="n">
        <v>65.90000000000001</v>
      </c>
      <c r="GU34" s="30" t="inlineStr">
        <is>
          <t>Orphan</t>
        </is>
      </c>
      <c r="GV34" s="30" t="n">
        <v>0</v>
      </c>
      <c r="GW34" s="34" t="n">
        <v>0</v>
      </c>
      <c r="GX34" s="30" t="b">
        <v>0</v>
      </c>
      <c r="GY34" s="30" t="inlineStr">
        <is>
          <t>FAQ</t>
        </is>
      </c>
      <c r="GZ34" s="30" t="n">
        <v>9</v>
      </c>
      <c r="HA34" s="30" t="b">
        <v>0</v>
      </c>
      <c r="HB34" s="30" t="inlineStr">
        <is>
          <t>smoke, body, copy, intent, classification</t>
        </is>
      </c>
      <c r="HC34" s="30" t="b">
        <v>0</v>
      </c>
      <c r="HD34" s="30" t="b">
        <v>0</v>
      </c>
      <c r="HE34" s="30" t="b">
        <v>0</v>
      </c>
      <c r="HF34" s="34" t="n">
        <v>0</v>
      </c>
      <c r="HG34" s="30" t="b">
        <v>0</v>
      </c>
      <c r="HH34" s="30" t="b">
        <v>0</v>
      </c>
      <c r="HI34" s="38">
        <f>IFERROR(HYPERLINK("#'Technical Diagnostics'!A"&amp;MATCH(B34,'Technical Diagnostics'!A:A,0),"Open Technical"),HYPERLINK("#'Technical Diagnostics'!A1","Open Technical"))</f>
        <v/>
      </c>
    </row>
    <row r="35" ht="18" customHeight="1">
      <c r="A35" s="28" t="inlineStr">
        <is>
          <t>WARN 🟡</t>
        </is>
      </c>
      <c r="B35" s="35" t="inlineStr">
        <is>
          <t>https://africanmarketingconfederation.org/smoke-archive/page-32</t>
        </is>
      </c>
      <c r="C35" s="28" t="inlineStr"/>
      <c r="D35" s="28" t="inlineStr">
        <is>
          <t>Indexable</t>
        </is>
      </c>
      <c r="E35" s="28" t="inlineStr"/>
      <c r="F35" s="28" t="inlineStr">
        <is>
          <t>Smoke title 32</t>
        </is>
      </c>
      <c r="G35" s="28" t="inlineStr">
        <is>
          <t>Smoke meta description for page 32.</t>
        </is>
      </c>
      <c r="H35" s="28" t="n">
        <v>352</v>
      </c>
      <c r="I35" s="28" t="n">
        <v>80</v>
      </c>
      <c r="J35" s="28" t="inlineStr">
        <is>
          <t>Warning</t>
        </is>
      </c>
      <c r="K35" s="28" t="inlineStr">
        <is>
          <t>Yes</t>
        </is>
      </c>
      <c r="L35" s="28" t="inlineStr"/>
      <c r="M35" s="28" t="inlineStr"/>
      <c r="N35" s="28" t="inlineStr">
        <is>
          <t>Lab only</t>
        </is>
      </c>
      <c r="O35" s="28" t="inlineStr">
        <is>
          <t>None</t>
        </is>
      </c>
      <c r="P35" s="28" t="inlineStr">
        <is>
          <t>PSI Lab</t>
        </is>
      </c>
      <c r="Q35" s="28" t="inlineStr">
        <is>
          <t>None</t>
        </is>
      </c>
      <c r="R35" s="28" t="inlineStr"/>
      <c r="S35" s="28" t="inlineStr"/>
      <c r="T35" s="28" t="inlineStr"/>
      <c r="U35" s="28" t="inlineStr"/>
      <c r="V35" s="28" t="inlineStr"/>
      <c r="W35" s="28" t="inlineStr"/>
      <c r="X35" s="28" t="inlineStr"/>
      <c r="Y35" s="28" t="inlineStr"/>
      <c r="Z35" s="28" t="inlineStr"/>
      <c r="AA35" s="28" t="n">
        <v>88</v>
      </c>
      <c r="AB35" s="28" t="n">
        <v>88</v>
      </c>
      <c r="AC35" s="28" t="n">
        <v>88</v>
      </c>
      <c r="AD35" s="28" t="n">
        <v>85</v>
      </c>
      <c r="AE35" s="28" t="n">
        <v>82</v>
      </c>
      <c r="AF35" s="28" t="n">
        <v>92</v>
      </c>
      <c r="AG35" s="28" t="n">
        <v>2.4</v>
      </c>
      <c r="AH35" s="28" t="n">
        <v>0.04</v>
      </c>
      <c r="AI35" s="28" t="n">
        <v>0.4</v>
      </c>
      <c r="AJ35" s="28" t="n">
        <v>2.4</v>
      </c>
      <c r="AK35" s="28" t="n">
        <v>0.04</v>
      </c>
      <c r="AL35" s="28" t="n">
        <v>180</v>
      </c>
      <c r="AM35" s="28" t="n">
        <v>120</v>
      </c>
      <c r="AN35" s="28" t="n">
        <v>1.8</v>
      </c>
      <c r="AO35" s="28" t="n">
        <v>3.2</v>
      </c>
      <c r="AP35" s="28" t="n">
        <v>4.1</v>
      </c>
      <c r="AQ35" s="28" t="n">
        <v>400</v>
      </c>
      <c r="AR35" s="28" t="n">
        <v>88</v>
      </c>
      <c r="AS35" s="28" t="n">
        <v>85</v>
      </c>
      <c r="AT35" s="28" t="n">
        <v>82</v>
      </c>
      <c r="AU35" s="28" t="n">
        <v>92</v>
      </c>
      <c r="AV35" s="28" t="n">
        <v>2.4</v>
      </c>
      <c r="AW35" s="28" t="n">
        <v>0.04</v>
      </c>
      <c r="AX35" s="28" t="n">
        <v>180</v>
      </c>
      <c r="AY35" s="28" t="n">
        <v>120</v>
      </c>
      <c r="AZ35" s="28" t="n">
        <v>1.8</v>
      </c>
      <c r="BA35" s="28" t="n">
        <v>3.2</v>
      </c>
      <c r="BB35" s="28" t="n">
        <v>4.1</v>
      </c>
      <c r="BC35" s="28" t="n">
        <v>400</v>
      </c>
      <c r="BD35" s="28" t="n">
        <v>500</v>
      </c>
      <c r="BE35" s="28" t="n">
        <v>842</v>
      </c>
      <c r="BF35" s="28" t="n">
        <v>1250</v>
      </c>
      <c r="BG35" s="28" t="n">
        <v>1</v>
      </c>
      <c r="BH35" s="28" t="b">
        <v>1</v>
      </c>
      <c r="BI35" s="34" t="b">
        <v>1</v>
      </c>
      <c r="BJ35" s="28" t="b">
        <v>1</v>
      </c>
      <c r="BK35" s="28" t="b">
        <v>1</v>
      </c>
      <c r="BL35" s="28" t="b">
        <v>0</v>
      </c>
      <c r="BM35" s="28" t="n">
        <v>65</v>
      </c>
      <c r="BN35" s="28" t="inlineStr">
        <is>
          <t>complete</t>
        </is>
      </c>
      <c r="BO35" s="28" t="inlineStr">
        <is>
          <t>rendered_browser</t>
        </is>
      </c>
      <c r="BP35" s="28" t="b">
        <v>0</v>
      </c>
      <c r="BQ35" s="28" t="n">
        <v>0</v>
      </c>
      <c r="BR35" s="28" t="n">
        <v>0</v>
      </c>
      <c r="BS35" s="28" t="inlineStr">
        <is>
          <t>https://africanmarketingconfederation.org/og-32.jpg</t>
        </is>
      </c>
      <c r="BT35" s="28" t="b">
        <v>0</v>
      </c>
      <c r="BU35" s="28" t="inlineStr"/>
      <c r="BV35" s="28" t="inlineStr"/>
      <c r="BW35" s="28" t="n">
        <v>0</v>
      </c>
      <c r="BX35" s="28" t="inlineStr"/>
      <c r="BY35" s="28" t="n">
        <v>0</v>
      </c>
      <c r="BZ35" s="28" t="inlineStr"/>
      <c r="CA35" s="28" t="n">
        <v>0</v>
      </c>
      <c r="CB35" s="28" t="inlineStr"/>
      <c r="CC35" s="28" t="n">
        <v>0</v>
      </c>
      <c r="CD35" s="28" t="inlineStr"/>
      <c r="CE35" s="28" t="n">
        <v>0</v>
      </c>
      <c r="CF35" s="28" t="inlineStr"/>
      <c r="CG35" s="28" t="n">
        <v>0</v>
      </c>
      <c r="CH35" s="28" t="inlineStr"/>
      <c r="CI35" s="28" t="inlineStr"/>
      <c r="CJ35" s="28" t="inlineStr"/>
      <c r="CK35" s="28" t="inlineStr"/>
      <c r="CL35" s="28" t="inlineStr">
        <is>
          <t>2026-06-01 to 2026-06-30 (30-day window; excludes today; typical GSC lag ~48h)</t>
        </is>
      </c>
      <c r="CM35" s="28" t="inlineStr">
        <is>
          <t>No Search Analytics row matched this URL in the 30-day export (compare Final URL with the page URL shown in GSC)</t>
        </is>
      </c>
      <c r="CN35" s="28" t="n">
        <v>-1</v>
      </c>
      <c r="CO35" s="28" t="b">
        <v>1</v>
      </c>
      <c r="CP35" s="28" t="n">
        <v>0.012048</v>
      </c>
      <c r="CQ35" s="28" t="b">
        <v>1</v>
      </c>
      <c r="CR35" s="28" t="b">
        <v>1</v>
      </c>
      <c r="CS35" s="28" t="inlineStr">
        <is>
          <t>Both</t>
        </is>
      </c>
      <c r="CT35" s="74" t="inlineStr"/>
      <c r="CU35" s="28" t="n">
        <v>33</v>
      </c>
      <c r="CV35" s="29">
        <f>IFERROR(INDEX(OFFSET('Technical Diagnostics'!$A$1,2,MATCH("SEO Health Score",'Technical Diagnostics'!$2:$2,0)-1,99998,1),MATCH(B35,OFFSET('Technical Diagnostics'!$A$1,2,MATCH("URL",'Technical Diagnostics'!$2:$2,0)-1,99998,1),0)),"")</f>
        <v/>
      </c>
      <c r="CW35" s="32" t="n">
        <v>100</v>
      </c>
      <c r="CX35" s="29" t="n">
        <v>85</v>
      </c>
      <c r="CY35" s="32" t="b">
        <v>1</v>
      </c>
      <c r="CZ35" s="28" t="b">
        <v>0</v>
      </c>
      <c r="DA35" s="28" t="inlineStr"/>
      <c r="DB35" s="28" t="inlineStr"/>
      <c r="DC35" s="28" t="inlineStr"/>
      <c r="DD35" s="28" t="n">
        <v>0</v>
      </c>
      <c r="DE35" s="28" t="n">
        <v>0</v>
      </c>
      <c r="DF35" s="28" t="inlineStr"/>
      <c r="DG35" s="28" t="inlineStr"/>
      <c r="DH35" s="28" t="inlineStr"/>
      <c r="DI35" s="28" t="n">
        <v>6</v>
      </c>
      <c r="DJ35" s="28" t="inlineStr">
        <is>
          <t>Author 32</t>
        </is>
      </c>
      <c r="DK35" s="28" t="inlineStr"/>
      <c r="DL35" s="28" t="b">
        <v>1</v>
      </c>
      <c r="DM35" s="28" t="inlineStr"/>
      <c r="DN35" s="28" t="inlineStr">
        <is>
          <t>2026-06-01</t>
        </is>
      </c>
      <c r="DO35" s="28" t="inlineStr"/>
      <c r="DP35" s="28" t="inlineStr">
        <is>
          <t>2026-06-01</t>
        </is>
      </c>
      <c r="DQ35" s="28" t="inlineStr"/>
      <c r="DR35" s="28" t="b">
        <v>0</v>
      </c>
      <c r="DS35" s="28" t="b">
        <v>1</v>
      </c>
      <c r="DT35" s="28" t="b">
        <v>1</v>
      </c>
      <c r="DU35" s="28" t="b">
        <v>0</v>
      </c>
      <c r="DV35" s="28" t="n">
        <v>0</v>
      </c>
      <c r="DW35" s="28" t="b">
        <v>0</v>
      </c>
      <c r="DX35" s="28" t="b">
        <v>0</v>
      </c>
      <c r="DY35" s="28" t="b">
        <v>0</v>
      </c>
      <c r="DZ35" s="28" t="b">
        <v>0</v>
      </c>
      <c r="EA35" s="32" t="b">
        <v>0</v>
      </c>
      <c r="EB35" s="28" t="b">
        <v>0</v>
      </c>
      <c r="EC35" s="28" t="inlineStr"/>
      <c r="ED35" s="28" t="inlineStr"/>
      <c r="EE35" s="28" t="b">
        <v>0</v>
      </c>
      <c r="EF35" s="28" t="inlineStr"/>
      <c r="EG35" s="28" t="inlineStr"/>
      <c r="EH35" s="28" t="inlineStr"/>
      <c r="EI35" s="28" t="inlineStr"/>
      <c r="EJ35" s="28" t="inlineStr"/>
      <c r="EK35" s="28" t="inlineStr">
        <is>
          <t>Fresh</t>
        </is>
      </c>
      <c r="EL35" s="28" t="inlineStr"/>
      <c r="EM35" s="28" t="inlineStr">
        <is>
          <t>Smoke meta description for page 32.</t>
        </is>
      </c>
      <c r="EN35" s="28" t="inlineStr">
        <is>
          <t>article</t>
        </is>
      </c>
      <c r="EO35" s="74" t="inlineStr"/>
      <c r="EP35" s="74" t="inlineStr">
        <is>
          <t>https://africanmarketingconfederation.org/og-32.jpg</t>
        </is>
      </c>
      <c r="EQ35" s="28" t="inlineStr"/>
      <c r="ER35" s="28" t="inlineStr"/>
      <c r="ES35" s="28" t="inlineStr"/>
      <c r="ET35" s="28" t="inlineStr"/>
      <c r="EU35" s="75" t="b">
        <v>0</v>
      </c>
      <c r="EV35" s="28" t="inlineStr">
        <is>
          <t>summary_large_image</t>
        </is>
      </c>
      <c r="EW35" s="28" t="inlineStr"/>
      <c r="EX35" s="28" t="inlineStr"/>
      <c r="EY35" s="28" t="inlineStr"/>
      <c r="EZ35" s="28" t="n">
        <v>0</v>
      </c>
      <c r="FA35" s="40" t="b">
        <v>0</v>
      </c>
      <c r="FB35" s="74" t="inlineStr">
        <is>
          <t>https://africanmarketingconfederation.org/smoke-archive/page-32</t>
        </is>
      </c>
      <c r="FC35" s="28" t="inlineStr"/>
      <c r="FD35" s="28" t="n">
        <v>0</v>
      </c>
      <c r="FE35" s="20" t="inlineStr"/>
      <c r="FF35" s="28" t="b">
        <v>0</v>
      </c>
      <c r="FG35" s="28" t="b">
        <v>0</v>
      </c>
      <c r="FH35" s="32" t="b">
        <v>0</v>
      </c>
      <c r="FI35" s="28" t="n">
        <v>0</v>
      </c>
      <c r="FJ35" s="28" t="inlineStr">
        <is>
          <t>https://africanmarketingconfederation.org/smoke-archive/page-32</t>
        </is>
      </c>
      <c r="FK35" s="28" t="inlineStr"/>
      <c r="FL35" s="32" t="b">
        <v>0</v>
      </c>
      <c r="FM35" s="28" t="b">
        <v>0</v>
      </c>
      <c r="FN35" s="32" t="b">
        <v>0</v>
      </c>
      <c r="FO35" s="28" t="inlineStr"/>
      <c r="FP35" s="28" t="inlineStr"/>
      <c r="FQ35" s="28" t="inlineStr"/>
      <c r="FR35" s="28" t="inlineStr"/>
      <c r="FS35" s="28" t="inlineStr"/>
      <c r="FT35" s="28" t="inlineStr"/>
      <c r="FU35" s="28" t="inlineStr">
        <is>
          <t>Not specified</t>
        </is>
      </c>
      <c r="FV35" s="28" t="inlineStr">
        <is>
          <t>Not specified</t>
        </is>
      </c>
      <c r="FW35" s="28" t="inlineStr">
        <is>
          <t>Not specified</t>
        </is>
      </c>
      <c r="FX35" s="28" t="inlineStr">
        <is>
          <t>Not specified</t>
        </is>
      </c>
      <c r="FY35" s="28" t="inlineStr">
        <is>
          <t>Not specified</t>
        </is>
      </c>
      <c r="FZ35" s="28" t="b">
        <v>0</v>
      </c>
      <c r="GA35" s="28" t="n">
        <v>0</v>
      </c>
      <c r="GB35" s="28" t="inlineStr"/>
      <c r="GC35" s="28" t="inlineStr"/>
      <c r="GD35" s="28" t="b">
        <v>0</v>
      </c>
      <c r="GE35" s="28" t="b">
        <v>0</v>
      </c>
      <c r="GF35" s="28" t="b">
        <v>0</v>
      </c>
      <c r="GG35" s="28" t="b">
        <v>0</v>
      </c>
      <c r="GH35" s="28" t="b">
        <v>0</v>
      </c>
      <c r="GI35" s="28" t="b">
        <v>0</v>
      </c>
      <c r="GJ35" s="28" t="n">
        <v>0</v>
      </c>
      <c r="GK35" s="28" t="n">
        <v>0</v>
      </c>
      <c r="GL35" s="28" t="n">
        <v>0</v>
      </c>
      <c r="GM35" s="74" t="inlineStr"/>
      <c r="GN35" s="74" t="inlineStr"/>
      <c r="GO35" s="32" t="b">
        <v>0</v>
      </c>
      <c r="GP35" s="28" t="inlineStr"/>
      <c r="GQ35" s="74" t="inlineStr"/>
      <c r="GR35" s="28" t="inlineStr">
        <is>
          <t>Not Declared</t>
        </is>
      </c>
      <c r="GS35" s="28" t="b">
        <v>1</v>
      </c>
      <c r="GT35" s="28" t="n">
        <v>2.4</v>
      </c>
      <c r="GU35" s="28" t="inlineStr">
        <is>
          <t>Orphan</t>
        </is>
      </c>
      <c r="GV35" s="28" t="n">
        <v>0</v>
      </c>
      <c r="GW35" s="34" t="n">
        <v>0</v>
      </c>
      <c r="GX35" s="28" t="b">
        <v>0</v>
      </c>
      <c r="GY35" s="28" t="inlineStr">
        <is>
          <t>FAQ</t>
        </is>
      </c>
      <c r="GZ35" s="28" t="n">
        <v>9</v>
      </c>
      <c r="HA35" s="28" t="b">
        <v>0</v>
      </c>
      <c r="HB35" s="28" t="inlineStr">
        <is>
          <t>smoke, body, copy, intent, classification</t>
        </is>
      </c>
      <c r="HC35" s="28" t="b">
        <v>0</v>
      </c>
      <c r="HD35" s="28" t="b">
        <v>0</v>
      </c>
      <c r="HE35" s="28" t="b">
        <v>0</v>
      </c>
      <c r="HF35" s="34" t="n">
        <v>0</v>
      </c>
      <c r="HG35" s="28" t="b">
        <v>0</v>
      </c>
      <c r="HH35" s="28" t="b">
        <v>0</v>
      </c>
      <c r="HI35">
        <f>IFERROR(HYPERLINK("#'Technical Diagnostics'!A"&amp;MATCH(B35,'Technical Diagnostics'!A:A,0),"Open Technical"),HYPERLINK("#'Technical Diagnostics'!A1","Open Technical"))</f>
        <v/>
      </c>
    </row>
    <row r="36" ht="18" customHeight="1">
      <c r="A36" s="30" t="inlineStr">
        <is>
          <t>WARN 🟡</t>
        </is>
      </c>
      <c r="B36" s="37" t="inlineStr">
        <is>
          <t>https://africanmarketingconfederation.org/smoke-archive/page-33</t>
        </is>
      </c>
      <c r="C36" s="30" t="inlineStr"/>
      <c r="D36" s="30" t="inlineStr">
        <is>
          <t>Indexable</t>
        </is>
      </c>
      <c r="E36" s="30" t="inlineStr"/>
      <c r="F36" s="30" t="inlineStr">
        <is>
          <t>Smoke title 33</t>
        </is>
      </c>
      <c r="G36" s="30" t="inlineStr">
        <is>
          <t>Smoke meta description for page 33.</t>
        </is>
      </c>
      <c r="H36" s="30" t="n">
        <v>353</v>
      </c>
      <c r="I36" s="30" t="n">
        <v>80</v>
      </c>
      <c r="J36" s="30" t="inlineStr">
        <is>
          <t>Warning</t>
        </is>
      </c>
      <c r="K36" s="30" t="inlineStr">
        <is>
          <t>Yes</t>
        </is>
      </c>
      <c r="L36" s="30" t="inlineStr"/>
      <c r="M36" s="30" t="inlineStr"/>
      <c r="N36" s="30" t="inlineStr">
        <is>
          <t>Lab only</t>
        </is>
      </c>
      <c r="O36" s="30" t="inlineStr">
        <is>
          <t>None</t>
        </is>
      </c>
      <c r="P36" s="30" t="inlineStr">
        <is>
          <t>PSI Lab</t>
        </is>
      </c>
      <c r="Q36" s="30" t="inlineStr">
        <is>
          <t>None</t>
        </is>
      </c>
      <c r="R36" s="30" t="inlineStr"/>
      <c r="S36" s="30" t="inlineStr"/>
      <c r="T36" s="30" t="inlineStr"/>
      <c r="U36" s="30" t="inlineStr"/>
      <c r="V36" s="30" t="inlineStr"/>
      <c r="W36" s="30" t="inlineStr"/>
      <c r="X36" s="30" t="inlineStr"/>
      <c r="Y36" s="30" t="inlineStr"/>
      <c r="Z36" s="30" t="inlineStr"/>
      <c r="AA36" s="30" t="n">
        <v>88</v>
      </c>
      <c r="AB36" s="30" t="n">
        <v>88</v>
      </c>
      <c r="AC36" s="30" t="n">
        <v>88</v>
      </c>
      <c r="AD36" s="30" t="n">
        <v>85</v>
      </c>
      <c r="AE36" s="30" t="n">
        <v>82</v>
      </c>
      <c r="AF36" s="30" t="n">
        <v>92</v>
      </c>
      <c r="AG36" s="30" t="n">
        <v>2.4</v>
      </c>
      <c r="AH36" s="30" t="n">
        <v>0.04</v>
      </c>
      <c r="AI36" s="30" t="n">
        <v>0.4</v>
      </c>
      <c r="AJ36" s="30" t="n">
        <v>2.4</v>
      </c>
      <c r="AK36" s="30" t="n">
        <v>0.04</v>
      </c>
      <c r="AL36" s="30" t="n">
        <v>180</v>
      </c>
      <c r="AM36" s="30" t="n">
        <v>120</v>
      </c>
      <c r="AN36" s="30" t="n">
        <v>1.8</v>
      </c>
      <c r="AO36" s="30" t="n">
        <v>3.2</v>
      </c>
      <c r="AP36" s="30" t="n">
        <v>4.1</v>
      </c>
      <c r="AQ36" s="30" t="n">
        <v>400</v>
      </c>
      <c r="AR36" s="30" t="n">
        <v>88</v>
      </c>
      <c r="AS36" s="30" t="n">
        <v>85</v>
      </c>
      <c r="AT36" s="30" t="n">
        <v>82</v>
      </c>
      <c r="AU36" s="30" t="n">
        <v>92</v>
      </c>
      <c r="AV36" s="30" t="n">
        <v>2.4</v>
      </c>
      <c r="AW36" s="30" t="n">
        <v>0.04</v>
      </c>
      <c r="AX36" s="30" t="n">
        <v>180</v>
      </c>
      <c r="AY36" s="30" t="n">
        <v>120</v>
      </c>
      <c r="AZ36" s="30" t="n">
        <v>1.8</v>
      </c>
      <c r="BA36" s="30" t="n">
        <v>3.2</v>
      </c>
      <c r="BB36" s="30" t="n">
        <v>4.1</v>
      </c>
      <c r="BC36" s="30" t="n">
        <v>400</v>
      </c>
      <c r="BD36" s="30" t="n">
        <v>500</v>
      </c>
      <c r="BE36" s="30" t="n">
        <v>842</v>
      </c>
      <c r="BF36" s="30" t="n">
        <v>1250</v>
      </c>
      <c r="BG36" s="30" t="n">
        <v>1</v>
      </c>
      <c r="BH36" s="30" t="b">
        <v>1</v>
      </c>
      <c r="BI36" s="34" t="b">
        <v>1</v>
      </c>
      <c r="BJ36" s="30" t="b">
        <v>1</v>
      </c>
      <c r="BK36" s="30" t="b">
        <v>1</v>
      </c>
      <c r="BL36" s="30" t="b">
        <v>0</v>
      </c>
      <c r="BM36" s="30" t="n">
        <v>65</v>
      </c>
      <c r="BN36" s="30" t="inlineStr">
        <is>
          <t>complete</t>
        </is>
      </c>
      <c r="BO36" s="30" t="inlineStr">
        <is>
          <t>rendered_browser</t>
        </is>
      </c>
      <c r="BP36" s="30" t="b">
        <v>0</v>
      </c>
      <c r="BQ36" s="30" t="n">
        <v>0</v>
      </c>
      <c r="BR36" s="30" t="n">
        <v>0</v>
      </c>
      <c r="BS36" s="30" t="inlineStr"/>
      <c r="BT36" s="30" t="b">
        <v>0</v>
      </c>
      <c r="BU36" s="30" t="inlineStr"/>
      <c r="BV36" s="30" t="inlineStr"/>
      <c r="BW36" s="30" t="n">
        <v>0</v>
      </c>
      <c r="BX36" s="30" t="inlineStr"/>
      <c r="BY36" s="30" t="n">
        <v>0</v>
      </c>
      <c r="BZ36" s="30" t="inlineStr"/>
      <c r="CA36" s="30" t="n">
        <v>0</v>
      </c>
      <c r="CB36" s="30" t="inlineStr"/>
      <c r="CC36" s="30" t="n">
        <v>0</v>
      </c>
      <c r="CD36" s="30" t="inlineStr"/>
      <c r="CE36" s="30" t="n">
        <v>0</v>
      </c>
      <c r="CF36" s="30" t="inlineStr"/>
      <c r="CG36" s="30" t="n">
        <v>0</v>
      </c>
      <c r="CH36" s="30" t="inlineStr"/>
      <c r="CI36" s="30" t="inlineStr"/>
      <c r="CJ36" s="30" t="inlineStr"/>
      <c r="CK36" s="30" t="inlineStr"/>
      <c r="CL36" s="30" t="inlineStr">
        <is>
          <t>2026-06-01 to 2026-06-30 (30-day window; excludes today; typical GSC lag ~48h)</t>
        </is>
      </c>
      <c r="CM36" s="30" t="inlineStr">
        <is>
          <t>No Search Analytics row matched this URL in the 30-day export (compare Final URL with the page URL shown in GSC)</t>
        </is>
      </c>
      <c r="CN36" s="30" t="n">
        <v>-1</v>
      </c>
      <c r="CO36" s="30" t="b">
        <v>1</v>
      </c>
      <c r="CP36" s="30" t="n">
        <v>0.012048</v>
      </c>
      <c r="CQ36" s="30" t="b">
        <v>1</v>
      </c>
      <c r="CR36" s="30" t="b">
        <v>1</v>
      </c>
      <c r="CS36" s="30" t="inlineStr">
        <is>
          <t>Both</t>
        </is>
      </c>
      <c r="CT36" s="76" t="inlineStr"/>
      <c r="CU36" s="30" t="n">
        <v>34</v>
      </c>
      <c r="CV36" s="29">
        <f>IFERROR(INDEX(OFFSET('Technical Diagnostics'!$A$1,2,MATCH("SEO Health Score",'Technical Diagnostics'!$2:$2,0)-1,99998,1),MATCH(B36,OFFSET('Technical Diagnostics'!$A$1,2,MATCH("URL",'Technical Diagnostics'!$2:$2,0)-1,99998,1),0)),"")</f>
        <v/>
      </c>
      <c r="CW36" s="32" t="n">
        <v>100</v>
      </c>
      <c r="CX36" s="29" t="n">
        <v>85</v>
      </c>
      <c r="CY36" s="32" t="b">
        <v>1</v>
      </c>
      <c r="CZ36" s="30" t="b">
        <v>0</v>
      </c>
      <c r="DA36" s="30" t="inlineStr"/>
      <c r="DB36" s="30" t="inlineStr"/>
      <c r="DC36" s="30" t="inlineStr"/>
      <c r="DD36" s="30" t="n">
        <v>0</v>
      </c>
      <c r="DE36" s="30" t="n">
        <v>0</v>
      </c>
      <c r="DF36" s="30" t="inlineStr"/>
      <c r="DG36" s="30" t="inlineStr"/>
      <c r="DH36" s="30" t="inlineStr"/>
      <c r="DI36" s="30" t="n">
        <v>6</v>
      </c>
      <c r="DJ36" s="30" t="inlineStr">
        <is>
          <t>Author 33</t>
        </is>
      </c>
      <c r="DK36" s="30" t="inlineStr"/>
      <c r="DL36" s="30" t="b">
        <v>1</v>
      </c>
      <c r="DM36" s="30" t="inlineStr"/>
      <c r="DN36" s="30" t="inlineStr">
        <is>
          <t>2026-06-01</t>
        </is>
      </c>
      <c r="DO36" s="30" t="inlineStr"/>
      <c r="DP36" s="30" t="inlineStr">
        <is>
          <t>2026-06-01</t>
        </is>
      </c>
      <c r="DQ36" s="30" t="inlineStr"/>
      <c r="DR36" s="30" t="b">
        <v>0</v>
      </c>
      <c r="DS36" s="30" t="b">
        <v>1</v>
      </c>
      <c r="DT36" s="30" t="b">
        <v>1</v>
      </c>
      <c r="DU36" s="30" t="b">
        <v>0</v>
      </c>
      <c r="DV36" s="30" t="n">
        <v>0</v>
      </c>
      <c r="DW36" s="30" t="b">
        <v>0</v>
      </c>
      <c r="DX36" s="30" t="b">
        <v>0</v>
      </c>
      <c r="DY36" s="30" t="b">
        <v>0</v>
      </c>
      <c r="DZ36" s="30" t="b">
        <v>0</v>
      </c>
      <c r="EA36" s="32" t="b">
        <v>0</v>
      </c>
      <c r="EB36" s="30" t="b">
        <v>0</v>
      </c>
      <c r="EC36" s="30" t="inlineStr"/>
      <c r="ED36" s="30" t="inlineStr"/>
      <c r="EE36" s="30" t="b">
        <v>0</v>
      </c>
      <c r="EF36" s="30" t="inlineStr"/>
      <c r="EG36" s="30" t="inlineStr"/>
      <c r="EH36" s="30" t="inlineStr"/>
      <c r="EI36" s="30" t="inlineStr">
        <is>
          <t>2026-06-01</t>
        </is>
      </c>
      <c r="EJ36" s="30" t="inlineStr"/>
      <c r="EK36" s="30" t="inlineStr">
        <is>
          <t>Fresh</t>
        </is>
      </c>
      <c r="EL36" s="30" t="inlineStr">
        <is>
          <t>Smoke title 33</t>
        </is>
      </c>
      <c r="EM36" s="30" t="inlineStr">
        <is>
          <t>Smoke meta description for page 33.</t>
        </is>
      </c>
      <c r="EN36" s="30" t="inlineStr">
        <is>
          <t>article</t>
        </is>
      </c>
      <c r="EO36" s="76" t="inlineStr"/>
      <c r="EP36" s="76" t="inlineStr"/>
      <c r="EQ36" s="30" t="inlineStr"/>
      <c r="ER36" s="30" t="inlineStr"/>
      <c r="ES36" s="30" t="inlineStr"/>
      <c r="ET36" s="30" t="inlineStr"/>
      <c r="EU36" s="75" t="b">
        <v>0</v>
      </c>
      <c r="EV36" s="30" t="inlineStr">
        <is>
          <t>summary_large_image</t>
        </is>
      </c>
      <c r="EW36" s="30" t="inlineStr"/>
      <c r="EX36" s="30" t="inlineStr"/>
      <c r="EY36" s="30" t="inlineStr"/>
      <c r="EZ36" s="30" t="n">
        <v>0</v>
      </c>
      <c r="FA36" s="40" t="b">
        <v>0</v>
      </c>
      <c r="FB36" s="76" t="inlineStr">
        <is>
          <t>https://africanmarketingconfederation.org/smoke-archive/page-33-canonical/</t>
        </is>
      </c>
      <c r="FC36" s="30" t="inlineStr"/>
      <c r="FD36" s="30" t="n">
        <v>1</v>
      </c>
      <c r="FE36" s="31" t="inlineStr"/>
      <c r="FF36" s="30" t="b">
        <v>0</v>
      </c>
      <c r="FG36" s="30" t="b">
        <v>0</v>
      </c>
      <c r="FH36" s="32" t="b">
        <v>0</v>
      </c>
      <c r="FI36" s="30" t="n">
        <v>0</v>
      </c>
      <c r="FJ36" s="30" t="inlineStr">
        <is>
          <t>https://africanmarketingconfederation.org/smoke-archive/page-33</t>
        </is>
      </c>
      <c r="FK36" s="30" t="inlineStr"/>
      <c r="FL36" s="32" t="b">
        <v>0</v>
      </c>
      <c r="FM36" s="30" t="b">
        <v>0</v>
      </c>
      <c r="FN36" s="32" t="b">
        <v>0</v>
      </c>
      <c r="FO36" s="30" t="inlineStr"/>
      <c r="FP36" s="30" t="inlineStr"/>
      <c r="FQ36" s="30" t="inlineStr"/>
      <c r="FR36" s="30" t="inlineStr"/>
      <c r="FS36" s="30" t="inlineStr"/>
      <c r="FT36" s="30" t="inlineStr"/>
      <c r="FU36" s="30" t="inlineStr">
        <is>
          <t>Not specified</t>
        </is>
      </c>
      <c r="FV36" s="30" t="inlineStr">
        <is>
          <t>Not specified</t>
        </is>
      </c>
      <c r="FW36" s="30" t="inlineStr">
        <is>
          <t>Not specified</t>
        </is>
      </c>
      <c r="FX36" s="30" t="inlineStr">
        <is>
          <t>Not specified</t>
        </is>
      </c>
      <c r="FY36" s="30" t="inlineStr">
        <is>
          <t>Not specified</t>
        </is>
      </c>
      <c r="FZ36" s="30" t="b">
        <v>0</v>
      </c>
      <c r="GA36" s="30" t="n">
        <v>0</v>
      </c>
      <c r="GB36" s="30" t="inlineStr"/>
      <c r="GC36" s="30" t="inlineStr"/>
      <c r="GD36" s="30" t="b">
        <v>0</v>
      </c>
      <c r="GE36" s="30" t="b">
        <v>0</v>
      </c>
      <c r="GF36" s="30" t="b">
        <v>0</v>
      </c>
      <c r="GG36" s="30" t="b">
        <v>0</v>
      </c>
      <c r="GH36" s="30" t="b">
        <v>0</v>
      </c>
      <c r="GI36" s="30" t="b">
        <v>0</v>
      </c>
      <c r="GJ36" s="30" t="n">
        <v>0</v>
      </c>
      <c r="GK36" s="30" t="n">
        <v>0</v>
      </c>
      <c r="GL36" s="30" t="n">
        <v>0</v>
      </c>
      <c r="GM36" s="76" t="inlineStr"/>
      <c r="GN36" s="76" t="inlineStr"/>
      <c r="GO36" s="32" t="b">
        <v>0</v>
      </c>
      <c r="GP36" s="30" t="inlineStr"/>
      <c r="GQ36" s="76" t="inlineStr"/>
      <c r="GR36" s="30" t="inlineStr">
        <is>
          <t>Not Declared</t>
        </is>
      </c>
      <c r="GS36" s="30" t="b">
        <v>1</v>
      </c>
      <c r="GT36" s="30" t="n">
        <v>6.1</v>
      </c>
      <c r="GU36" s="30" t="inlineStr">
        <is>
          <t>Orphan</t>
        </is>
      </c>
      <c r="GV36" s="30" t="n">
        <v>0</v>
      </c>
      <c r="GW36" s="34" t="n">
        <v>0</v>
      </c>
      <c r="GX36" s="30" t="b">
        <v>0</v>
      </c>
      <c r="GY36" s="30" t="inlineStr">
        <is>
          <t>FAQ</t>
        </is>
      </c>
      <c r="GZ36" s="30" t="n">
        <v>9</v>
      </c>
      <c r="HA36" s="30" t="b">
        <v>0</v>
      </c>
      <c r="HB36" s="30" t="inlineStr">
        <is>
          <t>smoke, body, copy, intent, classification</t>
        </is>
      </c>
      <c r="HC36" s="30" t="b">
        <v>0</v>
      </c>
      <c r="HD36" s="30" t="b">
        <v>0</v>
      </c>
      <c r="HE36" s="30" t="b">
        <v>0</v>
      </c>
      <c r="HF36" s="34" t="n">
        <v>0</v>
      </c>
      <c r="HG36" s="30" t="b">
        <v>0</v>
      </c>
      <c r="HH36" s="30" t="b">
        <v>0</v>
      </c>
      <c r="HI36" s="38">
        <f>IFERROR(HYPERLINK("#'Technical Diagnostics'!A"&amp;MATCH(B36,'Technical Diagnostics'!A:A,0),"Open Technical"),HYPERLINK("#'Technical Diagnostics'!A1","Open Technical"))</f>
        <v/>
      </c>
    </row>
    <row r="37" ht="18" customHeight="1">
      <c r="A37" s="28" t="inlineStr">
        <is>
          <t>FAIL 🔴</t>
        </is>
      </c>
      <c r="B37" s="35" t="inlineStr">
        <is>
          <t>https://africanmarketingconfederation.org/smoke-archive/page-34</t>
        </is>
      </c>
      <c r="C37" s="28" t="inlineStr"/>
      <c r="D37" s="28" t="inlineStr">
        <is>
          <t>Non-Indexable</t>
        </is>
      </c>
      <c r="E37" s="28" t="inlineStr"/>
      <c r="F37" s="28" t="inlineStr">
        <is>
          <t>Smoke title 34</t>
        </is>
      </c>
      <c r="G37" s="28" t="inlineStr">
        <is>
          <t>Smoke meta description for page 34.</t>
        </is>
      </c>
      <c r="H37" s="28" t="n">
        <v>354</v>
      </c>
      <c r="I37" s="28" t="n">
        <v>0</v>
      </c>
      <c r="J37" s="28" t="inlineStr">
        <is>
          <t>Critical</t>
        </is>
      </c>
      <c r="K37" s="28" t="inlineStr">
        <is>
          <t>Yes</t>
        </is>
      </c>
      <c r="L37" s="28" t="inlineStr"/>
      <c r="M37" s="28" t="inlineStr"/>
      <c r="N37" s="28" t="inlineStr">
        <is>
          <t>Lab only</t>
        </is>
      </c>
      <c r="O37" s="28" t="inlineStr">
        <is>
          <t>None</t>
        </is>
      </c>
      <c r="P37" s="28" t="inlineStr">
        <is>
          <t>PSI Lab</t>
        </is>
      </c>
      <c r="Q37" s="28" t="inlineStr">
        <is>
          <t>None</t>
        </is>
      </c>
      <c r="R37" s="28" t="inlineStr"/>
      <c r="S37" s="28" t="inlineStr"/>
      <c r="T37" s="28" t="inlineStr"/>
      <c r="U37" s="28" t="inlineStr"/>
      <c r="V37" s="28" t="inlineStr"/>
      <c r="W37" s="28" t="inlineStr"/>
      <c r="X37" s="28" t="inlineStr"/>
      <c r="Y37" s="28" t="inlineStr"/>
      <c r="Z37" s="28" t="inlineStr"/>
      <c r="AA37" s="28" t="n">
        <v>88</v>
      </c>
      <c r="AB37" s="28" t="n">
        <v>88</v>
      </c>
      <c r="AC37" s="28" t="n">
        <v>88</v>
      </c>
      <c r="AD37" s="28" t="n">
        <v>85</v>
      </c>
      <c r="AE37" s="28" t="n">
        <v>82</v>
      </c>
      <c r="AF37" s="28" t="n">
        <v>92</v>
      </c>
      <c r="AG37" s="28" t="n">
        <v>2.4</v>
      </c>
      <c r="AH37" s="28" t="n">
        <v>0.04</v>
      </c>
      <c r="AI37" s="28" t="n">
        <v>0.4</v>
      </c>
      <c r="AJ37" s="28" t="n">
        <v>2.4</v>
      </c>
      <c r="AK37" s="28" t="n">
        <v>0.04</v>
      </c>
      <c r="AL37" s="28" t="n">
        <v>180</v>
      </c>
      <c r="AM37" s="28" t="n">
        <v>120</v>
      </c>
      <c r="AN37" s="28" t="n">
        <v>1.8</v>
      </c>
      <c r="AO37" s="28" t="n">
        <v>3.2</v>
      </c>
      <c r="AP37" s="28" t="n">
        <v>4.1</v>
      </c>
      <c r="AQ37" s="28" t="n">
        <v>400</v>
      </c>
      <c r="AR37" s="28" t="n">
        <v>88</v>
      </c>
      <c r="AS37" s="28" t="n">
        <v>85</v>
      </c>
      <c r="AT37" s="28" t="n">
        <v>82</v>
      </c>
      <c r="AU37" s="28" t="n">
        <v>92</v>
      </c>
      <c r="AV37" s="28" t="n">
        <v>2.4</v>
      </c>
      <c r="AW37" s="28" t="n">
        <v>0.04</v>
      </c>
      <c r="AX37" s="28" t="n">
        <v>180</v>
      </c>
      <c r="AY37" s="28" t="n">
        <v>120</v>
      </c>
      <c r="AZ37" s="28" t="n">
        <v>1.8</v>
      </c>
      <c r="BA37" s="28" t="n">
        <v>3.2</v>
      </c>
      <c r="BB37" s="28" t="n">
        <v>4.1</v>
      </c>
      <c r="BC37" s="28" t="n">
        <v>400</v>
      </c>
      <c r="BD37" s="28" t="n">
        <v>500</v>
      </c>
      <c r="BE37" s="28" t="n">
        <v>842</v>
      </c>
      <c r="BF37" s="28" t="n">
        <v>1250</v>
      </c>
      <c r="BG37" s="28" t="n">
        <v>1</v>
      </c>
      <c r="BH37" s="28" t="b">
        <v>1</v>
      </c>
      <c r="BI37" s="34" t="b">
        <v>1</v>
      </c>
      <c r="BJ37" s="28" t="b">
        <v>1</v>
      </c>
      <c r="BK37" s="28" t="b">
        <v>1</v>
      </c>
      <c r="BL37" s="28" t="b">
        <v>0</v>
      </c>
      <c r="BM37" s="28" t="n">
        <v>65</v>
      </c>
      <c r="BN37" s="28" t="inlineStr">
        <is>
          <t>complete</t>
        </is>
      </c>
      <c r="BO37" s="28" t="inlineStr">
        <is>
          <t>rendered_browser</t>
        </is>
      </c>
      <c r="BP37" s="28" t="b">
        <v>0</v>
      </c>
      <c r="BQ37" s="28" t="n">
        <v>0</v>
      </c>
      <c r="BR37" s="28" t="n">
        <v>0</v>
      </c>
      <c r="BS37" s="28" t="inlineStr"/>
      <c r="BT37" s="28" t="b">
        <v>0</v>
      </c>
      <c r="BU37" s="28" t="inlineStr"/>
      <c r="BV37" s="28" t="inlineStr"/>
      <c r="BW37" s="28" t="n">
        <v>0</v>
      </c>
      <c r="BX37" s="28" t="inlineStr"/>
      <c r="BY37" s="28" t="n">
        <v>0</v>
      </c>
      <c r="BZ37" s="28" t="inlineStr"/>
      <c r="CA37" s="28" t="n">
        <v>0</v>
      </c>
      <c r="CB37" s="28" t="inlineStr"/>
      <c r="CC37" s="28" t="n">
        <v>0</v>
      </c>
      <c r="CD37" s="28" t="inlineStr"/>
      <c r="CE37" s="28" t="n">
        <v>0</v>
      </c>
      <c r="CF37" s="28" t="inlineStr"/>
      <c r="CG37" s="28" t="n">
        <v>0</v>
      </c>
      <c r="CH37" s="28" t="inlineStr"/>
      <c r="CI37" s="28" t="inlineStr"/>
      <c r="CJ37" s="28" t="inlineStr"/>
      <c r="CK37" s="28" t="inlineStr"/>
      <c r="CL37" s="28" t="inlineStr">
        <is>
          <t>2026-06-01 to 2026-06-30 (30-day window; excludes today; typical GSC lag ~48h)</t>
        </is>
      </c>
      <c r="CM37" s="28" t="inlineStr">
        <is>
          <t>No Search Analytics row matched this URL in the 30-day export (compare Final URL with the page URL shown in GSC)</t>
        </is>
      </c>
      <c r="CN37" s="28" t="n">
        <v>-1</v>
      </c>
      <c r="CO37" s="28" t="b">
        <v>1</v>
      </c>
      <c r="CP37" s="28" t="n">
        <v>0.012048</v>
      </c>
      <c r="CQ37" s="28" t="b">
        <v>1</v>
      </c>
      <c r="CR37" s="28" t="b">
        <v>1</v>
      </c>
      <c r="CS37" s="28" t="inlineStr">
        <is>
          <t>Both</t>
        </is>
      </c>
      <c r="CT37" s="74" t="inlineStr"/>
      <c r="CU37" s="28" t="n">
        <v>35</v>
      </c>
      <c r="CV37" s="34">
        <f>IFERROR(INDEX(OFFSET('Technical Diagnostics'!$A$1,2,MATCH("SEO Health Score",'Technical Diagnostics'!$2:$2,0)-1,99998,1),MATCH(B37,OFFSET('Technical Diagnostics'!$A$1,2,MATCH("URL",'Technical Diagnostics'!$2:$2,0)-1,99998,1),0)),"")</f>
        <v/>
      </c>
      <c r="CW37" s="32" t="n">
        <v>100</v>
      </c>
      <c r="CX37" s="34" t="n">
        <v>25</v>
      </c>
      <c r="CY37" s="32" t="b">
        <v>1</v>
      </c>
      <c r="CZ37" s="28" t="b">
        <v>0</v>
      </c>
      <c r="DA37" s="28" t="inlineStr"/>
      <c r="DB37" s="28" t="inlineStr"/>
      <c r="DC37" s="28" t="inlineStr"/>
      <c r="DD37" s="28" t="n">
        <v>0</v>
      </c>
      <c r="DE37" s="28" t="n">
        <v>0</v>
      </c>
      <c r="DF37" s="28" t="inlineStr"/>
      <c r="DG37" s="28" t="inlineStr"/>
      <c r="DH37" s="28" t="inlineStr"/>
      <c r="DI37" s="28" t="n">
        <v>6</v>
      </c>
      <c r="DJ37" s="28" t="inlineStr">
        <is>
          <t>Author 34</t>
        </is>
      </c>
      <c r="DK37" s="28" t="inlineStr"/>
      <c r="DL37" s="28" t="b">
        <v>1</v>
      </c>
      <c r="DM37" s="28" t="inlineStr"/>
      <c r="DN37" s="28" t="inlineStr">
        <is>
          <t>2026-06-01</t>
        </is>
      </c>
      <c r="DO37" s="28" t="inlineStr"/>
      <c r="DP37" s="28" t="inlineStr">
        <is>
          <t>2026-06-01</t>
        </is>
      </c>
      <c r="DQ37" s="28" t="inlineStr"/>
      <c r="DR37" s="28" t="b">
        <v>0</v>
      </c>
      <c r="DS37" s="28" t="b">
        <v>1</v>
      </c>
      <c r="DT37" s="28" t="b">
        <v>1</v>
      </c>
      <c r="DU37" s="28" t="b">
        <v>0</v>
      </c>
      <c r="DV37" s="28" t="n">
        <v>0</v>
      </c>
      <c r="DW37" s="28" t="b">
        <v>0</v>
      </c>
      <c r="DX37" s="28" t="b">
        <v>0</v>
      </c>
      <c r="DY37" s="28" t="b">
        <v>0</v>
      </c>
      <c r="DZ37" s="28" t="b">
        <v>0</v>
      </c>
      <c r="EA37" s="32" t="b">
        <v>0</v>
      </c>
      <c r="EB37" s="28" t="b">
        <v>0</v>
      </c>
      <c r="EC37" s="28" t="inlineStr"/>
      <c r="ED37" s="28" t="inlineStr"/>
      <c r="EE37" s="28" t="b">
        <v>0</v>
      </c>
      <c r="EF37" s="28" t="inlineStr"/>
      <c r="EG37" s="28" t="inlineStr"/>
      <c r="EH37" s="28" t="inlineStr"/>
      <c r="EI37" s="28" t="inlineStr"/>
      <c r="EJ37" s="28" t="inlineStr"/>
      <c r="EK37" s="28" t="inlineStr">
        <is>
          <t>Fresh</t>
        </is>
      </c>
      <c r="EL37" s="28" t="inlineStr">
        <is>
          <t>Smoke title 34</t>
        </is>
      </c>
      <c r="EM37" s="28" t="inlineStr">
        <is>
          <t>Smoke meta description for page 34.</t>
        </is>
      </c>
      <c r="EN37" s="28" t="inlineStr">
        <is>
          <t>article</t>
        </is>
      </c>
      <c r="EO37" s="74" t="inlineStr"/>
      <c r="EP37" s="74" t="inlineStr"/>
      <c r="EQ37" s="28" t="inlineStr"/>
      <c r="ER37" s="28" t="inlineStr"/>
      <c r="ES37" s="28" t="inlineStr"/>
      <c r="ET37" s="28" t="inlineStr"/>
      <c r="EU37" s="75" t="b">
        <v>0</v>
      </c>
      <c r="EV37" s="28" t="inlineStr">
        <is>
          <t>summary_large_image</t>
        </is>
      </c>
      <c r="EW37" s="28" t="inlineStr"/>
      <c r="EX37" s="28" t="inlineStr"/>
      <c r="EY37" s="28" t="inlineStr"/>
      <c r="EZ37" s="28" t="n">
        <v>0</v>
      </c>
      <c r="FA37" s="40" t="b">
        <v>0</v>
      </c>
      <c r="FB37" s="74" t="inlineStr">
        <is>
          <t>https://africanmarketingconfederation.org/smoke-archive/page-34</t>
        </is>
      </c>
      <c r="FC37" s="28" t="inlineStr"/>
      <c r="FD37" s="28" t="n">
        <v>0</v>
      </c>
      <c r="FE37" s="20" t="inlineStr"/>
      <c r="FF37" s="28" t="b">
        <v>0</v>
      </c>
      <c r="FG37" s="28" t="b">
        <v>0</v>
      </c>
      <c r="FH37" s="32" t="b">
        <v>0</v>
      </c>
      <c r="FI37" s="28" t="n">
        <v>0</v>
      </c>
      <c r="FJ37" s="28" t="inlineStr">
        <is>
          <t>https://africanmarketingconfederation.org/smoke-archive/page-34</t>
        </is>
      </c>
      <c r="FK37" s="28" t="inlineStr"/>
      <c r="FL37" s="32" t="b">
        <v>0</v>
      </c>
      <c r="FM37" s="28" t="b">
        <v>0</v>
      </c>
      <c r="FN37" s="32" t="b">
        <v>0</v>
      </c>
      <c r="FO37" s="28" t="inlineStr"/>
      <c r="FP37" s="28" t="inlineStr"/>
      <c r="FQ37" s="28" t="inlineStr"/>
      <c r="FR37" s="28" t="inlineStr"/>
      <c r="FS37" s="28" t="inlineStr"/>
      <c r="FT37" s="28" t="inlineStr"/>
      <c r="FU37" s="28" t="inlineStr">
        <is>
          <t>Not specified</t>
        </is>
      </c>
      <c r="FV37" s="28" t="inlineStr">
        <is>
          <t>Not specified</t>
        </is>
      </c>
      <c r="FW37" s="28" t="inlineStr">
        <is>
          <t>Not specified</t>
        </is>
      </c>
      <c r="FX37" s="28" t="inlineStr">
        <is>
          <t>Not specified</t>
        </is>
      </c>
      <c r="FY37" s="28" t="inlineStr">
        <is>
          <t>Not specified</t>
        </is>
      </c>
      <c r="FZ37" s="28" t="b">
        <v>0</v>
      </c>
      <c r="GA37" s="28" t="n">
        <v>0</v>
      </c>
      <c r="GB37" s="28" t="inlineStr"/>
      <c r="GC37" s="28" t="inlineStr"/>
      <c r="GD37" s="28" t="b">
        <v>0</v>
      </c>
      <c r="GE37" s="28" t="b">
        <v>0</v>
      </c>
      <c r="GF37" s="28" t="b">
        <v>0</v>
      </c>
      <c r="GG37" s="28" t="b">
        <v>0</v>
      </c>
      <c r="GH37" s="28" t="b">
        <v>0</v>
      </c>
      <c r="GI37" s="28" t="b">
        <v>0</v>
      </c>
      <c r="GJ37" s="28" t="n">
        <v>0</v>
      </c>
      <c r="GK37" s="28" t="n">
        <v>0</v>
      </c>
      <c r="GL37" s="28" t="n">
        <v>0</v>
      </c>
      <c r="GM37" s="74" t="inlineStr"/>
      <c r="GN37" s="74" t="inlineStr"/>
      <c r="GO37" s="32" t="b">
        <v>0</v>
      </c>
      <c r="GP37" s="28" t="inlineStr"/>
      <c r="GQ37" s="74" t="inlineStr"/>
      <c r="GR37" s="28" t="inlineStr">
        <is>
          <t>Not Declared</t>
        </is>
      </c>
      <c r="GS37" s="28" t="b">
        <v>1</v>
      </c>
      <c r="GT37" s="28" t="n">
        <v>0</v>
      </c>
      <c r="GU37" s="28" t="inlineStr">
        <is>
          <t>Orphan</t>
        </is>
      </c>
      <c r="GV37" s="28" t="n">
        <v>0</v>
      </c>
      <c r="GW37" s="34" t="n">
        <v>0</v>
      </c>
      <c r="GX37" s="28" t="b">
        <v>0</v>
      </c>
      <c r="GY37" s="28" t="inlineStr">
        <is>
          <t>FAQ</t>
        </is>
      </c>
      <c r="GZ37" s="28" t="n">
        <v>9</v>
      </c>
      <c r="HA37" s="28" t="b">
        <v>0</v>
      </c>
      <c r="HB37" s="28" t="inlineStr">
        <is>
          <t>smoke, body, copy, intent, classification</t>
        </is>
      </c>
      <c r="HC37" s="28" t="b">
        <v>0</v>
      </c>
      <c r="HD37" s="28" t="b">
        <v>0</v>
      </c>
      <c r="HE37" s="28" t="b">
        <v>0</v>
      </c>
      <c r="HF37" s="34" t="n">
        <v>0</v>
      </c>
      <c r="HG37" s="28" t="b">
        <v>0</v>
      </c>
      <c r="HH37" s="28" t="b">
        <v>0</v>
      </c>
      <c r="HI37">
        <f>IFERROR(HYPERLINK("#'Technical Diagnostics'!A"&amp;MATCH(B37,'Technical Diagnostics'!A:A,0),"Open Technical"),HYPERLINK("#'Technical Diagnostics'!A1","Open Technical"))</f>
        <v/>
      </c>
    </row>
    <row r="38" ht="18" customHeight="1">
      <c r="A38" s="30" t="inlineStr">
        <is>
          <t>WARN 🟡</t>
        </is>
      </c>
      <c r="B38" s="37" t="inlineStr">
        <is>
          <t>https://africanmarketingconfederation.org/smoke-archive/page-35</t>
        </is>
      </c>
      <c r="C38" s="30" t="inlineStr"/>
      <c r="D38" s="30" t="inlineStr">
        <is>
          <t>Indexable</t>
        </is>
      </c>
      <c r="E38" s="30" t="inlineStr"/>
      <c r="F38" s="30" t="inlineStr">
        <is>
          <t>Smoke title 35</t>
        </is>
      </c>
      <c r="G38" s="30" t="inlineStr"/>
      <c r="H38" s="30" t="n">
        <v>355</v>
      </c>
      <c r="I38" s="30" t="n">
        <v>50</v>
      </c>
      <c r="J38" s="30" t="inlineStr">
        <is>
          <t>Warning</t>
        </is>
      </c>
      <c r="K38" s="30" t="inlineStr">
        <is>
          <t>Yes</t>
        </is>
      </c>
      <c r="L38" s="30" t="inlineStr"/>
      <c r="M38" s="30" t="inlineStr"/>
      <c r="N38" s="30" t="inlineStr">
        <is>
          <t>Lab only</t>
        </is>
      </c>
      <c r="O38" s="30" t="inlineStr">
        <is>
          <t>None</t>
        </is>
      </c>
      <c r="P38" s="30" t="inlineStr">
        <is>
          <t>PSI Lab</t>
        </is>
      </c>
      <c r="Q38" s="30" t="inlineStr">
        <is>
          <t>None</t>
        </is>
      </c>
      <c r="R38" s="30" t="inlineStr"/>
      <c r="S38" s="30" t="inlineStr"/>
      <c r="T38" s="30" t="inlineStr"/>
      <c r="U38" s="30" t="inlineStr"/>
      <c r="V38" s="30" t="inlineStr"/>
      <c r="W38" s="30" t="inlineStr"/>
      <c r="X38" s="30" t="inlineStr"/>
      <c r="Y38" s="30" t="inlineStr"/>
      <c r="Z38" s="30" t="inlineStr"/>
      <c r="AA38" s="30" t="n">
        <v>88</v>
      </c>
      <c r="AB38" s="30" t="n">
        <v>88</v>
      </c>
      <c r="AC38" s="30" t="n">
        <v>88</v>
      </c>
      <c r="AD38" s="30" t="n">
        <v>85</v>
      </c>
      <c r="AE38" s="30" t="n">
        <v>82</v>
      </c>
      <c r="AF38" s="30" t="n">
        <v>92</v>
      </c>
      <c r="AG38" s="30" t="n">
        <v>2.4</v>
      </c>
      <c r="AH38" s="30" t="n">
        <v>0.04</v>
      </c>
      <c r="AI38" s="30" t="n">
        <v>0.4</v>
      </c>
      <c r="AJ38" s="30" t="n">
        <v>2.4</v>
      </c>
      <c r="AK38" s="30" t="n">
        <v>0.04</v>
      </c>
      <c r="AL38" s="30" t="n">
        <v>180</v>
      </c>
      <c r="AM38" s="30" t="n">
        <v>120</v>
      </c>
      <c r="AN38" s="30" t="n">
        <v>1.8</v>
      </c>
      <c r="AO38" s="30" t="n">
        <v>3.2</v>
      </c>
      <c r="AP38" s="30" t="n">
        <v>4.1</v>
      </c>
      <c r="AQ38" s="30" t="n">
        <v>400</v>
      </c>
      <c r="AR38" s="30" t="n">
        <v>88</v>
      </c>
      <c r="AS38" s="30" t="n">
        <v>85</v>
      </c>
      <c r="AT38" s="30" t="n">
        <v>82</v>
      </c>
      <c r="AU38" s="30" t="n">
        <v>92</v>
      </c>
      <c r="AV38" s="30" t="n">
        <v>2.4</v>
      </c>
      <c r="AW38" s="30" t="n">
        <v>0.04</v>
      </c>
      <c r="AX38" s="30" t="n">
        <v>180</v>
      </c>
      <c r="AY38" s="30" t="n">
        <v>120</v>
      </c>
      <c r="AZ38" s="30" t="n">
        <v>1.8</v>
      </c>
      <c r="BA38" s="30" t="n">
        <v>3.2</v>
      </c>
      <c r="BB38" s="30" t="n">
        <v>4.1</v>
      </c>
      <c r="BC38" s="30" t="n">
        <v>400</v>
      </c>
      <c r="BD38" s="30" t="n">
        <v>500</v>
      </c>
      <c r="BE38" s="30" t="n">
        <v>842</v>
      </c>
      <c r="BF38" s="30" t="n">
        <v>1250</v>
      </c>
      <c r="BG38" s="30" t="n">
        <v>1</v>
      </c>
      <c r="BH38" s="30" t="b">
        <v>1</v>
      </c>
      <c r="BI38" s="34" t="b">
        <v>1</v>
      </c>
      <c r="BJ38" s="30" t="b">
        <v>1</v>
      </c>
      <c r="BK38" s="30" t="b">
        <v>1</v>
      </c>
      <c r="BL38" s="30" t="b">
        <v>0</v>
      </c>
      <c r="BM38" s="30" t="n">
        <v>65</v>
      </c>
      <c r="BN38" s="30" t="inlineStr">
        <is>
          <t>complete</t>
        </is>
      </c>
      <c r="BO38" s="30" t="inlineStr">
        <is>
          <t>rendered_browser</t>
        </is>
      </c>
      <c r="BP38" s="30" t="b">
        <v>0</v>
      </c>
      <c r="BQ38" s="30" t="n">
        <v>0</v>
      </c>
      <c r="BR38" s="30" t="n">
        <v>0</v>
      </c>
      <c r="BS38" s="30" t="inlineStr"/>
      <c r="BT38" s="30" t="b">
        <v>0</v>
      </c>
      <c r="BU38" s="30" t="inlineStr"/>
      <c r="BV38" s="30" t="inlineStr"/>
      <c r="BW38" s="30" t="n">
        <v>0</v>
      </c>
      <c r="BX38" s="30" t="inlineStr"/>
      <c r="BY38" s="30" t="n">
        <v>0</v>
      </c>
      <c r="BZ38" s="30" t="inlineStr"/>
      <c r="CA38" s="30" t="n">
        <v>0</v>
      </c>
      <c r="CB38" s="30" t="inlineStr"/>
      <c r="CC38" s="30" t="n">
        <v>0</v>
      </c>
      <c r="CD38" s="30" t="inlineStr"/>
      <c r="CE38" s="30" t="n">
        <v>0</v>
      </c>
      <c r="CF38" s="30" t="inlineStr"/>
      <c r="CG38" s="30" t="n">
        <v>0</v>
      </c>
      <c r="CH38" s="30" t="inlineStr"/>
      <c r="CI38" s="30" t="inlineStr"/>
      <c r="CJ38" s="30" t="inlineStr"/>
      <c r="CK38" s="30" t="inlineStr"/>
      <c r="CL38" s="30" t="inlineStr">
        <is>
          <t>2026-06-01 to 2026-06-30 (30-day window; excludes today; typical GSC lag ~48h)</t>
        </is>
      </c>
      <c r="CM38" s="30" t="inlineStr">
        <is>
          <t>No Search Analytics row matched this URL in the 30-day export (compare Final URL with the page URL shown in GSC)</t>
        </is>
      </c>
      <c r="CN38" s="30" t="n">
        <v>-1</v>
      </c>
      <c r="CO38" s="30" t="b">
        <v>1</v>
      </c>
      <c r="CP38" s="30" t="n">
        <v>0.012048</v>
      </c>
      <c r="CQ38" s="30" t="b">
        <v>1</v>
      </c>
      <c r="CR38" s="30" t="b">
        <v>1</v>
      </c>
      <c r="CS38" s="30" t="inlineStr">
        <is>
          <t>Both</t>
        </is>
      </c>
      <c r="CT38" s="76" t="inlineStr"/>
      <c r="CU38" s="30" t="n">
        <v>36</v>
      </c>
      <c r="CV38" s="34">
        <f>IFERROR(INDEX(OFFSET('Technical Diagnostics'!$A$1,2,MATCH("SEO Health Score",'Technical Diagnostics'!$2:$2,0)-1,99998,1),MATCH(B38,OFFSET('Technical Diagnostics'!$A$1,2,MATCH("URL",'Technical Diagnostics'!$2:$2,0)-1,99998,1),0)),"")</f>
        <v/>
      </c>
      <c r="CW38" s="29" t="n">
        <v>80</v>
      </c>
      <c r="CX38" s="34" t="n">
        <v>57.5</v>
      </c>
      <c r="CY38" s="32" t="b">
        <v>1</v>
      </c>
      <c r="CZ38" s="30" t="b">
        <v>0</v>
      </c>
      <c r="DA38" s="30" t="inlineStr"/>
      <c r="DB38" s="30" t="inlineStr"/>
      <c r="DC38" s="30" t="inlineStr"/>
      <c r="DD38" s="30" t="n">
        <v>0</v>
      </c>
      <c r="DE38" s="30" t="n">
        <v>0</v>
      </c>
      <c r="DF38" s="30" t="inlineStr"/>
      <c r="DG38" s="30" t="inlineStr"/>
      <c r="DH38" s="30" t="inlineStr"/>
      <c r="DI38" s="30" t="n">
        <v>2</v>
      </c>
      <c r="DJ38" s="30" t="inlineStr"/>
      <c r="DK38" s="30" t="inlineStr"/>
      <c r="DL38" s="30" t="b">
        <v>0</v>
      </c>
      <c r="DM38" s="30" t="inlineStr"/>
      <c r="DN38" s="30" t="inlineStr">
        <is>
          <t>2026-06-01</t>
        </is>
      </c>
      <c r="DO38" s="30" t="inlineStr"/>
      <c r="DP38" s="30" t="inlineStr">
        <is>
          <t>2026-06-01</t>
        </is>
      </c>
      <c r="DQ38" s="30" t="inlineStr"/>
      <c r="DR38" s="30" t="b">
        <v>0</v>
      </c>
      <c r="DS38" s="30" t="b">
        <v>1</v>
      </c>
      <c r="DT38" s="30" t="b">
        <v>1</v>
      </c>
      <c r="DU38" s="30" t="b">
        <v>0</v>
      </c>
      <c r="DV38" s="30" t="n">
        <v>0</v>
      </c>
      <c r="DW38" s="30" t="b">
        <v>0</v>
      </c>
      <c r="DX38" s="30" t="b">
        <v>0</v>
      </c>
      <c r="DY38" s="30" t="b">
        <v>0</v>
      </c>
      <c r="DZ38" s="30" t="b">
        <v>0</v>
      </c>
      <c r="EA38" s="32" t="b">
        <v>0</v>
      </c>
      <c r="EB38" s="30" t="b">
        <v>0</v>
      </c>
      <c r="EC38" s="30" t="inlineStr"/>
      <c r="ED38" s="30" t="inlineStr"/>
      <c r="EE38" s="30" t="b">
        <v>0</v>
      </c>
      <c r="EF38" s="30" t="inlineStr"/>
      <c r="EG38" s="30" t="inlineStr"/>
      <c r="EH38" s="30" t="inlineStr"/>
      <c r="EI38" s="30" t="inlineStr"/>
      <c r="EJ38" s="30" t="inlineStr"/>
      <c r="EK38" s="30" t="inlineStr">
        <is>
          <t>Fresh</t>
        </is>
      </c>
      <c r="EL38" s="30" t="inlineStr">
        <is>
          <t>Smoke title 35</t>
        </is>
      </c>
      <c r="EM38" s="30" t="inlineStr"/>
      <c r="EN38" s="30" t="inlineStr">
        <is>
          <t>article</t>
        </is>
      </c>
      <c r="EO38" s="76" t="inlineStr"/>
      <c r="EP38" s="76" t="inlineStr"/>
      <c r="EQ38" s="30" t="inlineStr"/>
      <c r="ER38" s="30" t="inlineStr"/>
      <c r="ES38" s="30" t="inlineStr"/>
      <c r="ET38" s="30" t="inlineStr"/>
      <c r="EU38" s="75" t="b">
        <v>0</v>
      </c>
      <c r="EV38" s="30" t="inlineStr">
        <is>
          <t>summary_large_image</t>
        </is>
      </c>
      <c r="EW38" s="30" t="inlineStr"/>
      <c r="EX38" s="30" t="inlineStr"/>
      <c r="EY38" s="30" t="inlineStr"/>
      <c r="EZ38" s="30" t="n">
        <v>0</v>
      </c>
      <c r="FA38" s="40" t="b">
        <v>0</v>
      </c>
      <c r="FB38" s="76" t="inlineStr">
        <is>
          <t>https://africanmarketingconfederation.org/smoke-archive/page-35</t>
        </is>
      </c>
      <c r="FC38" s="30" t="inlineStr"/>
      <c r="FD38" s="30" t="n">
        <v>0</v>
      </c>
      <c r="FE38" s="31" t="inlineStr"/>
      <c r="FF38" s="30" t="b">
        <v>0</v>
      </c>
      <c r="FG38" s="30" t="b">
        <v>0</v>
      </c>
      <c r="FH38" s="32" t="b">
        <v>0</v>
      </c>
      <c r="FI38" s="30" t="n">
        <v>0</v>
      </c>
      <c r="FJ38" s="30" t="inlineStr">
        <is>
          <t>https://africanmarketingconfederation.org/smoke-archive/page-35</t>
        </is>
      </c>
      <c r="FK38" s="30" t="inlineStr"/>
      <c r="FL38" s="32" t="b">
        <v>0</v>
      </c>
      <c r="FM38" s="30" t="b">
        <v>0</v>
      </c>
      <c r="FN38" s="32" t="b">
        <v>0</v>
      </c>
      <c r="FO38" s="30" t="inlineStr"/>
      <c r="FP38" s="30" t="inlineStr"/>
      <c r="FQ38" s="30" t="inlineStr"/>
      <c r="FR38" s="30" t="inlineStr"/>
      <c r="FS38" s="30" t="inlineStr"/>
      <c r="FT38" s="30" t="inlineStr"/>
      <c r="FU38" s="30" t="inlineStr">
        <is>
          <t>Not specified</t>
        </is>
      </c>
      <c r="FV38" s="30" t="inlineStr">
        <is>
          <t>Not specified</t>
        </is>
      </c>
      <c r="FW38" s="30" t="inlineStr">
        <is>
          <t>Not specified</t>
        </is>
      </c>
      <c r="FX38" s="30" t="inlineStr">
        <is>
          <t>Not specified</t>
        </is>
      </c>
      <c r="FY38" s="30" t="inlineStr">
        <is>
          <t>Not specified</t>
        </is>
      </c>
      <c r="FZ38" s="30" t="b">
        <v>0</v>
      </c>
      <c r="GA38" s="30" t="n">
        <v>0</v>
      </c>
      <c r="GB38" s="30" t="inlineStr"/>
      <c r="GC38" s="30" t="inlineStr"/>
      <c r="GD38" s="30" t="b">
        <v>0</v>
      </c>
      <c r="GE38" s="30" t="b">
        <v>0</v>
      </c>
      <c r="GF38" s="30" t="b">
        <v>0</v>
      </c>
      <c r="GG38" s="30" t="b">
        <v>0</v>
      </c>
      <c r="GH38" s="30" t="b">
        <v>0</v>
      </c>
      <c r="GI38" s="30" t="b">
        <v>0</v>
      </c>
      <c r="GJ38" s="30" t="n">
        <v>0</v>
      </c>
      <c r="GK38" s="30" t="n">
        <v>0</v>
      </c>
      <c r="GL38" s="30" t="n">
        <v>0</v>
      </c>
      <c r="GM38" s="76" t="inlineStr"/>
      <c r="GN38" s="76" t="inlineStr"/>
      <c r="GO38" s="32" t="b">
        <v>0</v>
      </c>
      <c r="GP38" s="30" t="inlineStr"/>
      <c r="GQ38" s="76" t="inlineStr"/>
      <c r="GR38" s="30" t="inlineStr">
        <is>
          <t>Not Declared</t>
        </is>
      </c>
      <c r="GS38" s="30" t="b">
        <v>1</v>
      </c>
      <c r="GT38" s="30" t="n">
        <v>36.6</v>
      </c>
      <c r="GU38" s="30" t="inlineStr">
        <is>
          <t>Orphan</t>
        </is>
      </c>
      <c r="GV38" s="30" t="n">
        <v>0</v>
      </c>
      <c r="GW38" s="34" t="n">
        <v>0</v>
      </c>
      <c r="GX38" s="30" t="b">
        <v>0</v>
      </c>
      <c r="GY38" s="30" t="inlineStr">
        <is>
          <t>FAQ</t>
        </is>
      </c>
      <c r="GZ38" s="30" t="n">
        <v>9</v>
      </c>
      <c r="HA38" s="30" t="b">
        <v>0</v>
      </c>
      <c r="HB38" s="30" t="inlineStr">
        <is>
          <t>smoke, body, copy, intent, classification</t>
        </is>
      </c>
      <c r="HC38" s="30" t="b">
        <v>0</v>
      </c>
      <c r="HD38" s="30" t="b">
        <v>0</v>
      </c>
      <c r="HE38" s="30" t="b">
        <v>0</v>
      </c>
      <c r="HF38" s="34" t="n">
        <v>0</v>
      </c>
      <c r="HG38" s="30" t="b">
        <v>0</v>
      </c>
      <c r="HH38" s="30" t="b">
        <v>0</v>
      </c>
      <c r="HI38" s="38">
        <f>IFERROR(HYPERLINK("#'Technical Diagnostics'!A"&amp;MATCH(B38,'Technical Diagnostics'!A:A,0),"Open Technical"),HYPERLINK("#'Technical Diagnostics'!A1","Open Technical"))</f>
        <v/>
      </c>
    </row>
    <row r="39" ht="18" customHeight="1">
      <c r="A39" s="28" t="inlineStr">
        <is>
          <t>FAIL 🔴</t>
        </is>
      </c>
      <c r="B39" s="35" t="inlineStr">
        <is>
          <t>https://africanmarketingconfederation.org/smoke-archive/page-36</t>
        </is>
      </c>
      <c r="C39" s="28" t="inlineStr"/>
      <c r="D39" s="28" t="inlineStr">
        <is>
          <t>Indexable</t>
        </is>
      </c>
      <c r="E39" s="28" t="inlineStr"/>
      <c r="F39" s="28" t="inlineStr">
        <is>
          <t>Smoke title 36</t>
        </is>
      </c>
      <c r="G39" s="28" t="inlineStr">
        <is>
          <t>Smoke meta description for page 36.</t>
        </is>
      </c>
      <c r="H39" s="28" t="n">
        <v>356</v>
      </c>
      <c r="I39" s="28" t="n">
        <v>45</v>
      </c>
      <c r="J39" s="28" t="inlineStr">
        <is>
          <t>Critical</t>
        </is>
      </c>
      <c r="K39" s="28" t="inlineStr">
        <is>
          <t>Yes</t>
        </is>
      </c>
      <c r="L39" s="28" t="inlineStr"/>
      <c r="M39" s="28" t="inlineStr"/>
      <c r="N39" s="28" t="inlineStr">
        <is>
          <t>Lab only</t>
        </is>
      </c>
      <c r="O39" s="28" t="inlineStr">
        <is>
          <t>None</t>
        </is>
      </c>
      <c r="P39" s="28" t="inlineStr">
        <is>
          <t>PSI Lab</t>
        </is>
      </c>
      <c r="Q39" s="28" t="inlineStr">
        <is>
          <t>None</t>
        </is>
      </c>
      <c r="R39" s="28" t="inlineStr"/>
      <c r="S39" s="28" t="inlineStr"/>
      <c r="T39" s="28" t="inlineStr"/>
      <c r="U39" s="28" t="inlineStr"/>
      <c r="V39" s="28" t="inlineStr"/>
      <c r="W39" s="28" t="inlineStr"/>
      <c r="X39" s="28" t="inlineStr"/>
      <c r="Y39" s="28" t="inlineStr"/>
      <c r="Z39" s="28" t="inlineStr"/>
      <c r="AA39" s="28" t="n">
        <v>88</v>
      </c>
      <c r="AB39" s="28" t="n">
        <v>88</v>
      </c>
      <c r="AC39" s="28" t="n">
        <v>88</v>
      </c>
      <c r="AD39" s="28" t="n">
        <v>85</v>
      </c>
      <c r="AE39" s="28" t="n">
        <v>82</v>
      </c>
      <c r="AF39" s="28" t="n">
        <v>92</v>
      </c>
      <c r="AG39" s="28" t="n">
        <v>2.4</v>
      </c>
      <c r="AH39" s="28" t="n">
        <v>0.04</v>
      </c>
      <c r="AI39" s="28" t="n">
        <v>0.4</v>
      </c>
      <c r="AJ39" s="28" t="n">
        <v>2.4</v>
      </c>
      <c r="AK39" s="28" t="n">
        <v>0.04</v>
      </c>
      <c r="AL39" s="28" t="n">
        <v>180</v>
      </c>
      <c r="AM39" s="28" t="n">
        <v>120</v>
      </c>
      <c r="AN39" s="28" t="n">
        <v>1.8</v>
      </c>
      <c r="AO39" s="28" t="n">
        <v>3.2</v>
      </c>
      <c r="AP39" s="28" t="n">
        <v>4.1</v>
      </c>
      <c r="AQ39" s="28" t="n">
        <v>400</v>
      </c>
      <c r="AR39" s="28" t="n">
        <v>88</v>
      </c>
      <c r="AS39" s="28" t="n">
        <v>85</v>
      </c>
      <c r="AT39" s="28" t="n">
        <v>82</v>
      </c>
      <c r="AU39" s="28" t="n">
        <v>92</v>
      </c>
      <c r="AV39" s="28" t="n">
        <v>2.4</v>
      </c>
      <c r="AW39" s="28" t="n">
        <v>0.04</v>
      </c>
      <c r="AX39" s="28" t="n">
        <v>180</v>
      </c>
      <c r="AY39" s="28" t="n">
        <v>120</v>
      </c>
      <c r="AZ39" s="28" t="n">
        <v>1.8</v>
      </c>
      <c r="BA39" s="28" t="n">
        <v>3.2</v>
      </c>
      <c r="BB39" s="28" t="n">
        <v>4.1</v>
      </c>
      <c r="BC39" s="28" t="n">
        <v>400</v>
      </c>
      <c r="BD39" s="28" t="n">
        <v>500</v>
      </c>
      <c r="BE39" s="28" t="n">
        <v>842</v>
      </c>
      <c r="BF39" s="28" t="n">
        <v>1250</v>
      </c>
      <c r="BG39" s="28" t="n">
        <v>1</v>
      </c>
      <c r="BH39" s="28" t="b">
        <v>1</v>
      </c>
      <c r="BI39" s="34" t="b">
        <v>1</v>
      </c>
      <c r="BJ39" s="28" t="b">
        <v>1</v>
      </c>
      <c r="BK39" s="28" t="b">
        <v>1</v>
      </c>
      <c r="BL39" s="28" t="b">
        <v>0</v>
      </c>
      <c r="BM39" s="28" t="n">
        <v>65</v>
      </c>
      <c r="BN39" s="28" t="inlineStr">
        <is>
          <t>complete</t>
        </is>
      </c>
      <c r="BO39" s="28" t="inlineStr">
        <is>
          <t>rendered_browser</t>
        </is>
      </c>
      <c r="BP39" s="28" t="b">
        <v>0</v>
      </c>
      <c r="BQ39" s="28" t="n">
        <v>0</v>
      </c>
      <c r="BR39" s="28" t="n">
        <v>0</v>
      </c>
      <c r="BS39" s="28" t="inlineStr">
        <is>
          <t>https://africanmarketingconfederation.org/og-36.jpg</t>
        </is>
      </c>
      <c r="BT39" s="28" t="b">
        <v>0</v>
      </c>
      <c r="BU39" s="28" t="inlineStr"/>
      <c r="BV39" s="28" t="inlineStr"/>
      <c r="BW39" s="28" t="n">
        <v>0</v>
      </c>
      <c r="BX39" s="28" t="inlineStr"/>
      <c r="BY39" s="28" t="n">
        <v>0</v>
      </c>
      <c r="BZ39" s="28" t="inlineStr"/>
      <c r="CA39" s="28" t="n">
        <v>0</v>
      </c>
      <c r="CB39" s="28" t="inlineStr"/>
      <c r="CC39" s="28" t="n">
        <v>0</v>
      </c>
      <c r="CD39" s="28" t="inlineStr"/>
      <c r="CE39" s="28" t="n">
        <v>0</v>
      </c>
      <c r="CF39" s="28" t="inlineStr"/>
      <c r="CG39" s="28" t="n">
        <v>0</v>
      </c>
      <c r="CH39" s="28" t="inlineStr"/>
      <c r="CI39" s="28" t="inlineStr"/>
      <c r="CJ39" s="28" t="inlineStr"/>
      <c r="CK39" s="28" t="inlineStr"/>
      <c r="CL39" s="28" t="inlineStr">
        <is>
          <t>2026-06-01 to 2026-06-30 (30-day window; excludes today; typical GSC lag ~48h)</t>
        </is>
      </c>
      <c r="CM39" s="28" t="inlineStr">
        <is>
          <t>No Search Analytics row matched this URL in the 30-day export (compare Final URL with the page URL shown in GSC)</t>
        </is>
      </c>
      <c r="CN39" s="28" t="n">
        <v>-1</v>
      </c>
      <c r="CO39" s="28" t="b">
        <v>1</v>
      </c>
      <c r="CP39" s="28" t="n">
        <v>0.012048</v>
      </c>
      <c r="CQ39" s="28" t="b">
        <v>1</v>
      </c>
      <c r="CR39" s="28" t="b">
        <v>1</v>
      </c>
      <c r="CS39" s="28" t="inlineStr">
        <is>
          <t>Both</t>
        </is>
      </c>
      <c r="CT39" s="74" t="inlineStr"/>
      <c r="CU39" s="28" t="n">
        <v>37</v>
      </c>
      <c r="CV39" s="34">
        <f>IFERROR(INDEX(OFFSET('Technical Diagnostics'!$A$1,2,MATCH("SEO Health Score",'Technical Diagnostics'!$2:$2,0)-1,99998,1),MATCH(B39,OFFSET('Technical Diagnostics'!$A$1,2,MATCH("URL",'Technical Diagnostics'!$2:$2,0)-1,99998,1),0)),"")</f>
        <v/>
      </c>
      <c r="CW39" s="32" t="n">
        <v>100</v>
      </c>
      <c r="CX39" s="34" t="n">
        <v>58.75</v>
      </c>
      <c r="CY39" s="40" t="b">
        <v>0</v>
      </c>
      <c r="CZ39" s="28" t="b">
        <v>0</v>
      </c>
      <c r="DA39" s="28" t="inlineStr"/>
      <c r="DB39" s="28" t="inlineStr"/>
      <c r="DC39" s="28" t="inlineStr"/>
      <c r="DD39" s="28" t="n">
        <v>0</v>
      </c>
      <c r="DE39" s="28" t="n">
        <v>0</v>
      </c>
      <c r="DF39" s="28" t="inlineStr"/>
      <c r="DG39" s="28" t="inlineStr"/>
      <c r="DH39" s="28" t="inlineStr"/>
      <c r="DI39" s="28" t="n">
        <v>6</v>
      </c>
      <c r="DJ39" s="28" t="inlineStr">
        <is>
          <t>Author 36</t>
        </is>
      </c>
      <c r="DK39" s="28" t="inlineStr"/>
      <c r="DL39" s="28" t="b">
        <v>1</v>
      </c>
      <c r="DM39" s="28" t="inlineStr"/>
      <c r="DN39" s="28" t="inlineStr">
        <is>
          <t>2026-06-01</t>
        </is>
      </c>
      <c r="DO39" s="28" t="inlineStr"/>
      <c r="DP39" s="28" t="inlineStr">
        <is>
          <t>2026-06-01</t>
        </is>
      </c>
      <c r="DQ39" s="28" t="inlineStr"/>
      <c r="DR39" s="28" t="b">
        <v>0</v>
      </c>
      <c r="DS39" s="28" t="b">
        <v>1</v>
      </c>
      <c r="DT39" s="28" t="b">
        <v>1</v>
      </c>
      <c r="DU39" s="28" t="b">
        <v>0</v>
      </c>
      <c r="DV39" s="28" t="n">
        <v>0</v>
      </c>
      <c r="DW39" s="28" t="b">
        <v>0</v>
      </c>
      <c r="DX39" s="28" t="b">
        <v>0</v>
      </c>
      <c r="DY39" s="28" t="b">
        <v>0</v>
      </c>
      <c r="DZ39" s="28" t="b">
        <v>0</v>
      </c>
      <c r="EA39" s="32" t="b">
        <v>0</v>
      </c>
      <c r="EB39" s="28" t="b">
        <v>0</v>
      </c>
      <c r="EC39" s="28" t="inlineStr"/>
      <c r="ED39" s="28" t="inlineStr"/>
      <c r="EE39" s="28" t="b">
        <v>0</v>
      </c>
      <c r="EF39" s="28" t="inlineStr"/>
      <c r="EG39" s="28" t="inlineStr"/>
      <c r="EH39" s="28" t="inlineStr"/>
      <c r="EI39" s="28" t="inlineStr">
        <is>
          <t>2026-06-01</t>
        </is>
      </c>
      <c r="EJ39" s="28" t="inlineStr"/>
      <c r="EK39" s="28" t="inlineStr">
        <is>
          <t>Fresh</t>
        </is>
      </c>
      <c r="EL39" s="28" t="inlineStr">
        <is>
          <t>Smoke title 36</t>
        </is>
      </c>
      <c r="EM39" s="28" t="inlineStr">
        <is>
          <t>Smoke meta description for page 36.</t>
        </is>
      </c>
      <c r="EN39" s="28" t="inlineStr">
        <is>
          <t>article</t>
        </is>
      </c>
      <c r="EO39" s="74" t="inlineStr"/>
      <c r="EP39" s="74" t="inlineStr">
        <is>
          <t>https://africanmarketingconfederation.org/og-36.jpg</t>
        </is>
      </c>
      <c r="EQ39" s="28" t="inlineStr"/>
      <c r="ER39" s="28" t="inlineStr"/>
      <c r="ES39" s="28" t="inlineStr"/>
      <c r="ET39" s="28" t="inlineStr"/>
      <c r="EU39" s="75" t="b">
        <v>0</v>
      </c>
      <c r="EV39" s="28" t="inlineStr">
        <is>
          <t>summary_large_image</t>
        </is>
      </c>
      <c r="EW39" s="28" t="inlineStr"/>
      <c r="EX39" s="28" t="inlineStr"/>
      <c r="EY39" s="28" t="inlineStr"/>
      <c r="EZ39" s="28" t="n">
        <v>0</v>
      </c>
      <c r="FA39" s="40" t="b">
        <v>0</v>
      </c>
      <c r="FB39" s="74" t="inlineStr">
        <is>
          <t>https://africanmarketingconfederation.org/smoke-archive/page-36</t>
        </is>
      </c>
      <c r="FC39" s="28" t="inlineStr"/>
      <c r="FD39" s="28" t="n">
        <v>0</v>
      </c>
      <c r="FE39" s="20" t="inlineStr"/>
      <c r="FF39" s="28" t="b">
        <v>0</v>
      </c>
      <c r="FG39" s="28" t="b">
        <v>0</v>
      </c>
      <c r="FH39" s="32" t="b">
        <v>0</v>
      </c>
      <c r="FI39" s="28" t="n">
        <v>0</v>
      </c>
      <c r="FJ39" s="28" t="inlineStr">
        <is>
          <t>https://africanmarketingconfederation.org/smoke-archive/page-36</t>
        </is>
      </c>
      <c r="FK39" s="28" t="inlineStr"/>
      <c r="FL39" s="32" t="b">
        <v>0</v>
      </c>
      <c r="FM39" s="28" t="b">
        <v>0</v>
      </c>
      <c r="FN39" s="32" t="b">
        <v>0</v>
      </c>
      <c r="FO39" s="28" t="inlineStr"/>
      <c r="FP39" s="28" t="inlineStr"/>
      <c r="FQ39" s="28" t="inlineStr"/>
      <c r="FR39" s="28" t="inlineStr"/>
      <c r="FS39" s="28" t="inlineStr"/>
      <c r="FT39" s="28" t="inlineStr"/>
      <c r="FU39" s="28" t="inlineStr">
        <is>
          <t>Not specified</t>
        </is>
      </c>
      <c r="FV39" s="28" t="inlineStr">
        <is>
          <t>Not specified</t>
        </is>
      </c>
      <c r="FW39" s="28" t="inlineStr">
        <is>
          <t>Not specified</t>
        </is>
      </c>
      <c r="FX39" s="28" t="inlineStr">
        <is>
          <t>Not specified</t>
        </is>
      </c>
      <c r="FY39" s="28" t="inlineStr">
        <is>
          <t>Not specified</t>
        </is>
      </c>
      <c r="FZ39" s="28" t="b">
        <v>0</v>
      </c>
      <c r="GA39" s="28" t="n">
        <v>0</v>
      </c>
      <c r="GB39" s="28" t="inlineStr"/>
      <c r="GC39" s="28" t="inlineStr"/>
      <c r="GD39" s="28" t="b">
        <v>0</v>
      </c>
      <c r="GE39" s="28" t="b">
        <v>0</v>
      </c>
      <c r="GF39" s="28" t="b">
        <v>0</v>
      </c>
      <c r="GG39" s="28" t="b">
        <v>0</v>
      </c>
      <c r="GH39" s="28" t="b">
        <v>0</v>
      </c>
      <c r="GI39" s="28" t="b">
        <v>0</v>
      </c>
      <c r="GJ39" s="28" t="n">
        <v>0</v>
      </c>
      <c r="GK39" s="28" t="n">
        <v>0</v>
      </c>
      <c r="GL39" s="28" t="n">
        <v>0</v>
      </c>
      <c r="GM39" s="74" t="inlineStr"/>
      <c r="GN39" s="74" t="inlineStr"/>
      <c r="GO39" s="32" t="b">
        <v>0</v>
      </c>
      <c r="GP39" s="28" t="inlineStr"/>
      <c r="GQ39" s="74" t="inlineStr"/>
      <c r="GR39" s="28" t="inlineStr">
        <is>
          <t>Not Declared</t>
        </is>
      </c>
      <c r="GS39" s="28" t="b">
        <v>1</v>
      </c>
      <c r="GT39" s="28" t="n">
        <v>50</v>
      </c>
      <c r="GU39" s="28" t="inlineStr">
        <is>
          <t>Orphan</t>
        </is>
      </c>
      <c r="GV39" s="28" t="n">
        <v>0</v>
      </c>
      <c r="GW39" s="34" t="n">
        <v>0</v>
      </c>
      <c r="GX39" s="28" t="b">
        <v>0</v>
      </c>
      <c r="GY39" s="28" t="inlineStr">
        <is>
          <t>None</t>
        </is>
      </c>
      <c r="GZ39" s="28" t="n">
        <v>0</v>
      </c>
      <c r="HA39" s="28" t="b">
        <v>0</v>
      </c>
      <c r="HB39" s="28" t="inlineStr">
        <is>
          <t>smoke, body, copy, intent, classification</t>
        </is>
      </c>
      <c r="HC39" s="28" t="b">
        <v>0</v>
      </c>
      <c r="HD39" s="28" t="b">
        <v>0</v>
      </c>
      <c r="HE39" s="28" t="b">
        <v>0</v>
      </c>
      <c r="HF39" s="34" t="n">
        <v>0</v>
      </c>
      <c r="HG39" s="28" t="b">
        <v>0</v>
      </c>
      <c r="HH39" s="28" t="b">
        <v>0</v>
      </c>
      <c r="HI39">
        <f>IFERROR(HYPERLINK("#'Technical Diagnostics'!A"&amp;MATCH(B39,'Technical Diagnostics'!A:A,0),"Open Technical"),HYPERLINK("#'Technical Diagnostics'!A1","Open Technical"))</f>
        <v/>
      </c>
    </row>
    <row r="40" ht="18" customHeight="1">
      <c r="A40" s="30" t="inlineStr">
        <is>
          <t>WARN 🟡</t>
        </is>
      </c>
      <c r="B40" s="37" t="inlineStr">
        <is>
          <t>https://africanmarketingconfederation.org/smoke-archive/page-37</t>
        </is>
      </c>
      <c r="C40" s="30" t="inlineStr"/>
      <c r="D40" s="30" t="inlineStr">
        <is>
          <t>Indexable</t>
        </is>
      </c>
      <c r="E40" s="30" t="inlineStr"/>
      <c r="F40" s="30" t="inlineStr">
        <is>
          <t>Smoke title 37</t>
        </is>
      </c>
      <c r="G40" s="30" t="inlineStr">
        <is>
          <t>Smoke meta description for page 37.</t>
        </is>
      </c>
      <c r="H40" s="30" t="n">
        <v>357</v>
      </c>
      <c r="I40" s="30" t="n">
        <v>80</v>
      </c>
      <c r="J40" s="30" t="inlineStr">
        <is>
          <t>Warning</t>
        </is>
      </c>
      <c r="K40" s="30" t="inlineStr">
        <is>
          <t>Yes</t>
        </is>
      </c>
      <c r="L40" s="30" t="inlineStr"/>
      <c r="M40" s="30" t="inlineStr"/>
      <c r="N40" s="30" t="inlineStr">
        <is>
          <t>Lab only</t>
        </is>
      </c>
      <c r="O40" s="30" t="inlineStr">
        <is>
          <t>None</t>
        </is>
      </c>
      <c r="P40" s="30" t="inlineStr">
        <is>
          <t>PSI Lab</t>
        </is>
      </c>
      <c r="Q40" s="30" t="inlineStr">
        <is>
          <t>None</t>
        </is>
      </c>
      <c r="R40" s="30" t="inlineStr"/>
      <c r="S40" s="30" t="inlineStr"/>
      <c r="T40" s="30" t="inlineStr"/>
      <c r="U40" s="30" t="inlineStr"/>
      <c r="V40" s="30" t="inlineStr"/>
      <c r="W40" s="30" t="inlineStr"/>
      <c r="X40" s="30" t="inlineStr"/>
      <c r="Y40" s="30" t="inlineStr"/>
      <c r="Z40" s="30" t="inlineStr"/>
      <c r="AA40" s="30" t="n">
        <v>88</v>
      </c>
      <c r="AB40" s="30" t="n">
        <v>88</v>
      </c>
      <c r="AC40" s="30" t="n">
        <v>88</v>
      </c>
      <c r="AD40" s="30" t="n">
        <v>85</v>
      </c>
      <c r="AE40" s="30" t="n">
        <v>82</v>
      </c>
      <c r="AF40" s="30" t="n">
        <v>92</v>
      </c>
      <c r="AG40" s="30" t="n">
        <v>2.4</v>
      </c>
      <c r="AH40" s="30" t="n">
        <v>0.04</v>
      </c>
      <c r="AI40" s="30" t="n">
        <v>0.4</v>
      </c>
      <c r="AJ40" s="30" t="n">
        <v>2.4</v>
      </c>
      <c r="AK40" s="30" t="n">
        <v>0.04</v>
      </c>
      <c r="AL40" s="30" t="n">
        <v>180</v>
      </c>
      <c r="AM40" s="30" t="n">
        <v>120</v>
      </c>
      <c r="AN40" s="30" t="n">
        <v>1.8</v>
      </c>
      <c r="AO40" s="30" t="n">
        <v>3.2</v>
      </c>
      <c r="AP40" s="30" t="n">
        <v>4.1</v>
      </c>
      <c r="AQ40" s="30" t="n">
        <v>400</v>
      </c>
      <c r="AR40" s="30" t="n">
        <v>88</v>
      </c>
      <c r="AS40" s="30" t="n">
        <v>85</v>
      </c>
      <c r="AT40" s="30" t="n">
        <v>82</v>
      </c>
      <c r="AU40" s="30" t="n">
        <v>92</v>
      </c>
      <c r="AV40" s="30" t="n">
        <v>2.4</v>
      </c>
      <c r="AW40" s="30" t="n">
        <v>0.04</v>
      </c>
      <c r="AX40" s="30" t="n">
        <v>180</v>
      </c>
      <c r="AY40" s="30" t="n">
        <v>120</v>
      </c>
      <c r="AZ40" s="30" t="n">
        <v>1.8</v>
      </c>
      <c r="BA40" s="30" t="n">
        <v>3.2</v>
      </c>
      <c r="BB40" s="30" t="n">
        <v>4.1</v>
      </c>
      <c r="BC40" s="30" t="n">
        <v>400</v>
      </c>
      <c r="BD40" s="30" t="n">
        <v>500</v>
      </c>
      <c r="BE40" s="30" t="n">
        <v>842</v>
      </c>
      <c r="BF40" s="30" t="n">
        <v>1250</v>
      </c>
      <c r="BG40" s="30" t="n">
        <v>1</v>
      </c>
      <c r="BH40" s="30" t="b">
        <v>1</v>
      </c>
      <c r="BI40" s="34" t="b">
        <v>1</v>
      </c>
      <c r="BJ40" s="30" t="b">
        <v>1</v>
      </c>
      <c r="BK40" s="30" t="b">
        <v>1</v>
      </c>
      <c r="BL40" s="30" t="b">
        <v>0</v>
      </c>
      <c r="BM40" s="30" t="n">
        <v>65</v>
      </c>
      <c r="BN40" s="30" t="inlineStr">
        <is>
          <t>complete</t>
        </is>
      </c>
      <c r="BO40" s="30" t="inlineStr">
        <is>
          <t>rendered_browser</t>
        </is>
      </c>
      <c r="BP40" s="30" t="b">
        <v>0</v>
      </c>
      <c r="BQ40" s="30" t="n">
        <v>0</v>
      </c>
      <c r="BR40" s="30" t="n">
        <v>0</v>
      </c>
      <c r="BS40" s="30" t="inlineStr"/>
      <c r="BT40" s="30" t="b">
        <v>0</v>
      </c>
      <c r="BU40" s="30" t="inlineStr"/>
      <c r="BV40" s="30" t="inlineStr"/>
      <c r="BW40" s="30" t="n">
        <v>0</v>
      </c>
      <c r="BX40" s="30" t="inlineStr"/>
      <c r="BY40" s="30" t="n">
        <v>0</v>
      </c>
      <c r="BZ40" s="30" t="inlineStr"/>
      <c r="CA40" s="30" t="n">
        <v>0</v>
      </c>
      <c r="CB40" s="30" t="inlineStr"/>
      <c r="CC40" s="30" t="n">
        <v>0</v>
      </c>
      <c r="CD40" s="30" t="inlineStr"/>
      <c r="CE40" s="30" t="n">
        <v>0</v>
      </c>
      <c r="CF40" s="30" t="inlineStr"/>
      <c r="CG40" s="30" t="n">
        <v>0</v>
      </c>
      <c r="CH40" s="30" t="inlineStr"/>
      <c r="CI40" s="30" t="inlineStr"/>
      <c r="CJ40" s="30" t="inlineStr"/>
      <c r="CK40" s="30" t="inlineStr"/>
      <c r="CL40" s="30" t="inlineStr">
        <is>
          <t>2026-06-01 to 2026-06-30 (30-day window; excludes today; typical GSC lag ~48h)</t>
        </is>
      </c>
      <c r="CM40" s="30" t="inlineStr">
        <is>
          <t>No Search Analytics row matched this URL in the 30-day export (compare Final URL with the page URL shown in GSC)</t>
        </is>
      </c>
      <c r="CN40" s="30" t="n">
        <v>-1</v>
      </c>
      <c r="CO40" s="30" t="b">
        <v>1</v>
      </c>
      <c r="CP40" s="30" t="n">
        <v>0.012048</v>
      </c>
      <c r="CQ40" s="30" t="b">
        <v>1</v>
      </c>
      <c r="CR40" s="30" t="b">
        <v>1</v>
      </c>
      <c r="CS40" s="30" t="inlineStr">
        <is>
          <t>Both</t>
        </is>
      </c>
      <c r="CT40" s="76" t="inlineStr"/>
      <c r="CU40" s="30" t="n">
        <v>38</v>
      </c>
      <c r="CV40" s="29">
        <f>IFERROR(INDEX(OFFSET('Technical Diagnostics'!$A$1,2,MATCH("SEO Health Score",'Technical Diagnostics'!$2:$2,0)-1,99998,1),MATCH(B40,OFFSET('Technical Diagnostics'!$A$1,2,MATCH("URL",'Technical Diagnostics'!$2:$2,0)-1,99998,1),0)),"")</f>
        <v/>
      </c>
      <c r="CW40" s="32" t="n">
        <v>100</v>
      </c>
      <c r="CX40" s="29" t="n">
        <v>85</v>
      </c>
      <c r="CY40" s="32" t="b">
        <v>1</v>
      </c>
      <c r="CZ40" s="30" t="b">
        <v>0</v>
      </c>
      <c r="DA40" s="30" t="inlineStr"/>
      <c r="DB40" s="30" t="inlineStr"/>
      <c r="DC40" s="30" t="inlineStr"/>
      <c r="DD40" s="30" t="n">
        <v>0</v>
      </c>
      <c r="DE40" s="30" t="n">
        <v>0</v>
      </c>
      <c r="DF40" s="30" t="inlineStr"/>
      <c r="DG40" s="30" t="inlineStr"/>
      <c r="DH40" s="30" t="inlineStr"/>
      <c r="DI40" s="30" t="n">
        <v>6</v>
      </c>
      <c r="DJ40" s="30" t="inlineStr">
        <is>
          <t>Author 37</t>
        </is>
      </c>
      <c r="DK40" s="30" t="inlineStr"/>
      <c r="DL40" s="30" t="b">
        <v>1</v>
      </c>
      <c r="DM40" s="30" t="inlineStr"/>
      <c r="DN40" s="30" t="inlineStr">
        <is>
          <t>2026-06-01</t>
        </is>
      </c>
      <c r="DO40" s="30" t="inlineStr"/>
      <c r="DP40" s="30" t="inlineStr">
        <is>
          <t>2026-06-01</t>
        </is>
      </c>
      <c r="DQ40" s="30" t="inlineStr"/>
      <c r="DR40" s="30" t="b">
        <v>0</v>
      </c>
      <c r="DS40" s="30" t="b">
        <v>1</v>
      </c>
      <c r="DT40" s="30" t="b">
        <v>1</v>
      </c>
      <c r="DU40" s="30" t="b">
        <v>0</v>
      </c>
      <c r="DV40" s="30" t="n">
        <v>0</v>
      </c>
      <c r="DW40" s="30" t="b">
        <v>0</v>
      </c>
      <c r="DX40" s="30" t="b">
        <v>0</v>
      </c>
      <c r="DY40" s="30" t="b">
        <v>0</v>
      </c>
      <c r="DZ40" s="30" t="b">
        <v>0</v>
      </c>
      <c r="EA40" s="32" t="b">
        <v>0</v>
      </c>
      <c r="EB40" s="30" t="b">
        <v>0</v>
      </c>
      <c r="EC40" s="30" t="inlineStr"/>
      <c r="ED40" s="30" t="inlineStr"/>
      <c r="EE40" s="30" t="b">
        <v>0</v>
      </c>
      <c r="EF40" s="30" t="inlineStr"/>
      <c r="EG40" s="30" t="inlineStr"/>
      <c r="EH40" s="30" t="inlineStr"/>
      <c r="EI40" s="30" t="inlineStr"/>
      <c r="EJ40" s="30" t="inlineStr"/>
      <c r="EK40" s="30" t="inlineStr">
        <is>
          <t>Fresh</t>
        </is>
      </c>
      <c r="EL40" s="30" t="inlineStr">
        <is>
          <t>Smoke title 37</t>
        </is>
      </c>
      <c r="EM40" s="30" t="inlineStr">
        <is>
          <t>Smoke meta description for page 37.</t>
        </is>
      </c>
      <c r="EN40" s="30" t="inlineStr">
        <is>
          <t>article</t>
        </is>
      </c>
      <c r="EO40" s="76" t="inlineStr"/>
      <c r="EP40" s="76" t="inlineStr"/>
      <c r="EQ40" s="30" t="inlineStr"/>
      <c r="ER40" s="30" t="inlineStr"/>
      <c r="ES40" s="30" t="inlineStr"/>
      <c r="ET40" s="30" t="inlineStr"/>
      <c r="EU40" s="75" t="b">
        <v>0</v>
      </c>
      <c r="EV40" s="30" t="inlineStr">
        <is>
          <t>summary_large_image</t>
        </is>
      </c>
      <c r="EW40" s="30" t="inlineStr"/>
      <c r="EX40" s="30" t="inlineStr"/>
      <c r="EY40" s="30" t="inlineStr"/>
      <c r="EZ40" s="30" t="n">
        <v>0</v>
      </c>
      <c r="FA40" s="40" t="b">
        <v>0</v>
      </c>
      <c r="FB40" s="76" t="inlineStr">
        <is>
          <t>https://africanmarketingconfederation.org/smoke-archive/page-37</t>
        </is>
      </c>
      <c r="FC40" s="30" t="inlineStr"/>
      <c r="FD40" s="30" t="n">
        <v>0</v>
      </c>
      <c r="FE40" s="31" t="inlineStr"/>
      <c r="FF40" s="30" t="b">
        <v>0</v>
      </c>
      <c r="FG40" s="30" t="b">
        <v>0</v>
      </c>
      <c r="FH40" s="32" t="b">
        <v>0</v>
      </c>
      <c r="FI40" s="30" t="n">
        <v>0</v>
      </c>
      <c r="FJ40" s="30" t="inlineStr">
        <is>
          <t>https://africanmarketingconfederation.org/smoke-archive/page-37</t>
        </is>
      </c>
      <c r="FK40" s="30" t="inlineStr"/>
      <c r="FL40" s="32" t="b">
        <v>0</v>
      </c>
      <c r="FM40" s="30" t="b">
        <v>0</v>
      </c>
      <c r="FN40" s="32" t="b">
        <v>0</v>
      </c>
      <c r="FO40" s="30" t="inlineStr"/>
      <c r="FP40" s="30" t="inlineStr"/>
      <c r="FQ40" s="30" t="inlineStr"/>
      <c r="FR40" s="30" t="inlineStr"/>
      <c r="FS40" s="30" t="inlineStr"/>
      <c r="FT40" s="30" t="inlineStr"/>
      <c r="FU40" s="30" t="inlineStr">
        <is>
          <t>Not specified</t>
        </is>
      </c>
      <c r="FV40" s="30" t="inlineStr">
        <is>
          <t>Not specified</t>
        </is>
      </c>
      <c r="FW40" s="30" t="inlineStr">
        <is>
          <t>Not specified</t>
        </is>
      </c>
      <c r="FX40" s="30" t="inlineStr">
        <is>
          <t>Not specified</t>
        </is>
      </c>
      <c r="FY40" s="30" t="inlineStr">
        <is>
          <t>Not specified</t>
        </is>
      </c>
      <c r="FZ40" s="30" t="b">
        <v>0</v>
      </c>
      <c r="GA40" s="30" t="n">
        <v>0</v>
      </c>
      <c r="GB40" s="30" t="inlineStr"/>
      <c r="GC40" s="30" t="inlineStr"/>
      <c r="GD40" s="30" t="b">
        <v>0</v>
      </c>
      <c r="GE40" s="30" t="b">
        <v>0</v>
      </c>
      <c r="GF40" s="30" t="b">
        <v>0</v>
      </c>
      <c r="GG40" s="30" t="b">
        <v>0</v>
      </c>
      <c r="GH40" s="30" t="b">
        <v>0</v>
      </c>
      <c r="GI40" s="30" t="b">
        <v>0</v>
      </c>
      <c r="GJ40" s="30" t="n">
        <v>0</v>
      </c>
      <c r="GK40" s="30" t="n">
        <v>0</v>
      </c>
      <c r="GL40" s="30" t="n">
        <v>0</v>
      </c>
      <c r="GM40" s="76" t="inlineStr"/>
      <c r="GN40" s="76" t="inlineStr"/>
      <c r="GO40" s="32" t="b">
        <v>0</v>
      </c>
      <c r="GP40" s="30" t="inlineStr"/>
      <c r="GQ40" s="76" t="inlineStr"/>
      <c r="GR40" s="30" t="inlineStr">
        <is>
          <t>Not Declared</t>
        </is>
      </c>
      <c r="GS40" s="30" t="b">
        <v>1</v>
      </c>
      <c r="GT40" s="30" t="n">
        <v>7.3</v>
      </c>
      <c r="GU40" s="30" t="inlineStr">
        <is>
          <t>Orphan</t>
        </is>
      </c>
      <c r="GV40" s="30" t="n">
        <v>0</v>
      </c>
      <c r="GW40" s="34" t="n">
        <v>0</v>
      </c>
      <c r="GX40" s="30" t="b">
        <v>0</v>
      </c>
      <c r="GY40" s="30" t="inlineStr">
        <is>
          <t>FAQ</t>
        </is>
      </c>
      <c r="GZ40" s="30" t="n">
        <v>9</v>
      </c>
      <c r="HA40" s="30" t="b">
        <v>0</v>
      </c>
      <c r="HB40" s="30" t="inlineStr">
        <is>
          <t>smoke, body, copy, intent, classification</t>
        </is>
      </c>
      <c r="HC40" s="30" t="b">
        <v>0</v>
      </c>
      <c r="HD40" s="30" t="b">
        <v>0</v>
      </c>
      <c r="HE40" s="30" t="b">
        <v>0</v>
      </c>
      <c r="HF40" s="34" t="n">
        <v>0</v>
      </c>
      <c r="HG40" s="30" t="b">
        <v>0</v>
      </c>
      <c r="HH40" s="30" t="b">
        <v>0</v>
      </c>
      <c r="HI40" s="38">
        <f>IFERROR(HYPERLINK("#'Technical Diagnostics'!A"&amp;MATCH(B40,'Technical Diagnostics'!A:A,0),"Open Technical"),HYPERLINK("#'Technical Diagnostics'!A1","Open Technical"))</f>
        <v/>
      </c>
    </row>
    <row r="41" ht="18" customHeight="1">
      <c r="A41" s="28" t="inlineStr">
        <is>
          <t>WARN 🟡</t>
        </is>
      </c>
      <c r="B41" s="35" t="inlineStr">
        <is>
          <t>https://africanmarketingconfederation.org/smoke-archive/page-38</t>
        </is>
      </c>
      <c r="C41" s="28" t="inlineStr"/>
      <c r="D41" s="28" t="inlineStr">
        <is>
          <t>Indexable</t>
        </is>
      </c>
      <c r="E41" s="28" t="inlineStr"/>
      <c r="F41" s="28" t="inlineStr">
        <is>
          <t>Smoke title 38</t>
        </is>
      </c>
      <c r="G41" s="28" t="inlineStr">
        <is>
          <t>Smoke meta description for page 38.</t>
        </is>
      </c>
      <c r="H41" s="28" t="n">
        <v>358</v>
      </c>
      <c r="I41" s="28" t="n">
        <v>80</v>
      </c>
      <c r="J41" s="28" t="inlineStr">
        <is>
          <t>Warning</t>
        </is>
      </c>
      <c r="K41" s="28" t="inlineStr">
        <is>
          <t>Yes</t>
        </is>
      </c>
      <c r="L41" s="28" t="inlineStr"/>
      <c r="M41" s="28" t="inlineStr"/>
      <c r="N41" s="28" t="inlineStr">
        <is>
          <t>Lab only</t>
        </is>
      </c>
      <c r="O41" s="28" t="inlineStr">
        <is>
          <t>None</t>
        </is>
      </c>
      <c r="P41" s="28" t="inlineStr">
        <is>
          <t>PSI Lab</t>
        </is>
      </c>
      <c r="Q41" s="28" t="inlineStr">
        <is>
          <t>None</t>
        </is>
      </c>
      <c r="R41" s="28" t="inlineStr"/>
      <c r="S41" s="28" t="inlineStr"/>
      <c r="T41" s="28" t="inlineStr"/>
      <c r="U41" s="28" t="inlineStr"/>
      <c r="V41" s="28" t="inlineStr"/>
      <c r="W41" s="28" t="inlineStr"/>
      <c r="X41" s="28" t="inlineStr"/>
      <c r="Y41" s="28" t="inlineStr"/>
      <c r="Z41" s="28" t="inlineStr"/>
      <c r="AA41" s="28" t="n">
        <v>88</v>
      </c>
      <c r="AB41" s="28" t="n">
        <v>88</v>
      </c>
      <c r="AC41" s="28" t="n">
        <v>88</v>
      </c>
      <c r="AD41" s="28" t="n">
        <v>85</v>
      </c>
      <c r="AE41" s="28" t="n">
        <v>82</v>
      </c>
      <c r="AF41" s="28" t="n">
        <v>92</v>
      </c>
      <c r="AG41" s="28" t="n">
        <v>2.4</v>
      </c>
      <c r="AH41" s="28" t="n">
        <v>0.04</v>
      </c>
      <c r="AI41" s="28" t="n">
        <v>0.4</v>
      </c>
      <c r="AJ41" s="28" t="n">
        <v>2.4</v>
      </c>
      <c r="AK41" s="28" t="n">
        <v>0.04</v>
      </c>
      <c r="AL41" s="28" t="n">
        <v>180</v>
      </c>
      <c r="AM41" s="28" t="n">
        <v>120</v>
      </c>
      <c r="AN41" s="28" t="n">
        <v>1.8</v>
      </c>
      <c r="AO41" s="28" t="n">
        <v>3.2</v>
      </c>
      <c r="AP41" s="28" t="n">
        <v>4.1</v>
      </c>
      <c r="AQ41" s="28" t="n">
        <v>400</v>
      </c>
      <c r="AR41" s="28" t="n">
        <v>88</v>
      </c>
      <c r="AS41" s="28" t="n">
        <v>85</v>
      </c>
      <c r="AT41" s="28" t="n">
        <v>82</v>
      </c>
      <c r="AU41" s="28" t="n">
        <v>92</v>
      </c>
      <c r="AV41" s="28" t="n">
        <v>2.4</v>
      </c>
      <c r="AW41" s="28" t="n">
        <v>0.04</v>
      </c>
      <c r="AX41" s="28" t="n">
        <v>180</v>
      </c>
      <c r="AY41" s="28" t="n">
        <v>120</v>
      </c>
      <c r="AZ41" s="28" t="n">
        <v>1.8</v>
      </c>
      <c r="BA41" s="28" t="n">
        <v>3.2</v>
      </c>
      <c r="BB41" s="28" t="n">
        <v>4.1</v>
      </c>
      <c r="BC41" s="28" t="n">
        <v>400</v>
      </c>
      <c r="BD41" s="28" t="n">
        <v>500</v>
      </c>
      <c r="BE41" s="28" t="n">
        <v>842</v>
      </c>
      <c r="BF41" s="28" t="n">
        <v>1250</v>
      </c>
      <c r="BG41" s="28" t="n">
        <v>1</v>
      </c>
      <c r="BH41" s="28" t="b">
        <v>1</v>
      </c>
      <c r="BI41" s="34" t="b">
        <v>1</v>
      </c>
      <c r="BJ41" s="28" t="b">
        <v>1</v>
      </c>
      <c r="BK41" s="28" t="b">
        <v>1</v>
      </c>
      <c r="BL41" s="28" t="b">
        <v>0</v>
      </c>
      <c r="BM41" s="28" t="n">
        <v>65</v>
      </c>
      <c r="BN41" s="28" t="inlineStr">
        <is>
          <t>partial</t>
        </is>
      </c>
      <c r="BO41" s="28" t="inlineStr">
        <is>
          <t>rendered_browser</t>
        </is>
      </c>
      <c r="BP41" s="28" t="b">
        <v>0</v>
      </c>
      <c r="BQ41" s="28" t="n">
        <v>0</v>
      </c>
      <c r="BR41" s="28" t="n">
        <v>0</v>
      </c>
      <c r="BS41" s="28" t="inlineStr"/>
      <c r="BT41" s="28" t="b">
        <v>0</v>
      </c>
      <c r="BU41" s="28" t="inlineStr"/>
      <c r="BV41" s="28" t="inlineStr"/>
      <c r="BW41" s="28" t="n">
        <v>0</v>
      </c>
      <c r="BX41" s="28" t="inlineStr"/>
      <c r="BY41" s="28" t="n">
        <v>0</v>
      </c>
      <c r="BZ41" s="28" t="inlineStr"/>
      <c r="CA41" s="28" t="n">
        <v>0</v>
      </c>
      <c r="CB41" s="28" t="inlineStr"/>
      <c r="CC41" s="28" t="n">
        <v>0</v>
      </c>
      <c r="CD41" s="28" t="inlineStr"/>
      <c r="CE41" s="28" t="n">
        <v>0</v>
      </c>
      <c r="CF41" s="28" t="inlineStr"/>
      <c r="CG41" s="28" t="n">
        <v>0</v>
      </c>
      <c r="CH41" s="28" t="inlineStr"/>
      <c r="CI41" s="28" t="inlineStr"/>
      <c r="CJ41" s="28" t="inlineStr"/>
      <c r="CK41" s="28" t="inlineStr"/>
      <c r="CL41" s="28" t="inlineStr">
        <is>
          <t>2026-06-01 to 2026-06-30 (30-day window; excludes today; typical GSC lag ~48h)</t>
        </is>
      </c>
      <c r="CM41" s="28" t="inlineStr">
        <is>
          <t>No Search Analytics row matched this URL in the 30-day export (compare Final URL with the page URL shown in GSC)</t>
        </is>
      </c>
      <c r="CN41" s="28" t="n">
        <v>-1</v>
      </c>
      <c r="CO41" s="28" t="b">
        <v>1</v>
      </c>
      <c r="CP41" s="28" t="n">
        <v>0.012048</v>
      </c>
      <c r="CQ41" s="28" t="b">
        <v>1</v>
      </c>
      <c r="CR41" s="28" t="b">
        <v>1</v>
      </c>
      <c r="CS41" s="28" t="inlineStr">
        <is>
          <t>Both</t>
        </is>
      </c>
      <c r="CT41" s="74" t="inlineStr"/>
      <c r="CU41" s="28" t="n">
        <v>39</v>
      </c>
      <c r="CV41" s="29">
        <f>IFERROR(INDEX(OFFSET('Technical Diagnostics'!$A$1,2,MATCH("SEO Health Score",'Technical Diagnostics'!$2:$2,0)-1,99998,1),MATCH(B41,OFFSET('Technical Diagnostics'!$A$1,2,MATCH("URL",'Technical Diagnostics'!$2:$2,0)-1,99998,1),0)),"")</f>
        <v/>
      </c>
      <c r="CW41" s="32" t="n">
        <v>100</v>
      </c>
      <c r="CX41" s="29" t="n">
        <v>85</v>
      </c>
      <c r="CY41" s="32" t="b">
        <v>1</v>
      </c>
      <c r="CZ41" s="28" t="b">
        <v>0</v>
      </c>
      <c r="DA41" s="28" t="inlineStr"/>
      <c r="DB41" s="28" t="inlineStr"/>
      <c r="DC41" s="28" t="inlineStr"/>
      <c r="DD41" s="28" t="n">
        <v>0</v>
      </c>
      <c r="DE41" s="28" t="n">
        <v>0</v>
      </c>
      <c r="DF41" s="28" t="inlineStr"/>
      <c r="DG41" s="28" t="inlineStr"/>
      <c r="DH41" s="28" t="inlineStr"/>
      <c r="DI41" s="28" t="n">
        <v>6</v>
      </c>
      <c r="DJ41" s="28" t="inlineStr">
        <is>
          <t>Author 38</t>
        </is>
      </c>
      <c r="DK41" s="28" t="inlineStr"/>
      <c r="DL41" s="28" t="b">
        <v>1</v>
      </c>
      <c r="DM41" s="28" t="inlineStr"/>
      <c r="DN41" s="28" t="inlineStr">
        <is>
          <t>2026-06-01</t>
        </is>
      </c>
      <c r="DO41" s="28" t="inlineStr"/>
      <c r="DP41" s="28" t="inlineStr">
        <is>
          <t>2026-06-01</t>
        </is>
      </c>
      <c r="DQ41" s="28" t="inlineStr"/>
      <c r="DR41" s="28" t="b">
        <v>0</v>
      </c>
      <c r="DS41" s="28" t="b">
        <v>1</v>
      </c>
      <c r="DT41" s="28" t="b">
        <v>1</v>
      </c>
      <c r="DU41" s="28" t="b">
        <v>0</v>
      </c>
      <c r="DV41" s="28" t="n">
        <v>0</v>
      </c>
      <c r="DW41" s="28" t="b">
        <v>0</v>
      </c>
      <c r="DX41" s="28" t="b">
        <v>0</v>
      </c>
      <c r="DY41" s="28" t="b">
        <v>0</v>
      </c>
      <c r="DZ41" s="28" t="b">
        <v>0</v>
      </c>
      <c r="EA41" s="32" t="b">
        <v>0</v>
      </c>
      <c r="EB41" s="28" t="b">
        <v>0</v>
      </c>
      <c r="EC41" s="28" t="inlineStr"/>
      <c r="ED41" s="28" t="inlineStr"/>
      <c r="EE41" s="28" t="b">
        <v>0</v>
      </c>
      <c r="EF41" s="28" t="inlineStr"/>
      <c r="EG41" s="28" t="inlineStr"/>
      <c r="EH41" s="28" t="inlineStr"/>
      <c r="EI41" s="28" t="inlineStr"/>
      <c r="EJ41" s="28" t="inlineStr"/>
      <c r="EK41" s="28" t="inlineStr">
        <is>
          <t>Fresh</t>
        </is>
      </c>
      <c r="EL41" s="28" t="inlineStr">
        <is>
          <t>Smoke title 38</t>
        </is>
      </c>
      <c r="EM41" s="28" t="inlineStr">
        <is>
          <t>Smoke meta description for page 38.</t>
        </is>
      </c>
      <c r="EN41" s="28" t="inlineStr">
        <is>
          <t>article</t>
        </is>
      </c>
      <c r="EO41" s="74" t="inlineStr"/>
      <c r="EP41" s="74" t="inlineStr"/>
      <c r="EQ41" s="28" t="inlineStr"/>
      <c r="ER41" s="28" t="inlineStr"/>
      <c r="ES41" s="28" t="inlineStr"/>
      <c r="ET41" s="28" t="inlineStr"/>
      <c r="EU41" s="75" t="b">
        <v>0</v>
      </c>
      <c r="EV41" s="28" t="inlineStr">
        <is>
          <t>summary_large_image</t>
        </is>
      </c>
      <c r="EW41" s="28" t="inlineStr"/>
      <c r="EX41" s="28" t="inlineStr"/>
      <c r="EY41" s="28" t="inlineStr"/>
      <c r="EZ41" s="28" t="n">
        <v>0</v>
      </c>
      <c r="FA41" s="40" t="b">
        <v>0</v>
      </c>
      <c r="FB41" s="74" t="inlineStr">
        <is>
          <t>https://africanmarketingconfederation.org/smoke-archive/page-38</t>
        </is>
      </c>
      <c r="FC41" s="28" t="inlineStr"/>
      <c r="FD41" s="28" t="n">
        <v>0</v>
      </c>
      <c r="FE41" s="20" t="inlineStr"/>
      <c r="FF41" s="28" t="b">
        <v>0</v>
      </c>
      <c r="FG41" s="28" t="b">
        <v>0</v>
      </c>
      <c r="FH41" s="32" t="b">
        <v>0</v>
      </c>
      <c r="FI41" s="28" t="n">
        <v>0</v>
      </c>
      <c r="FJ41" s="28" t="inlineStr">
        <is>
          <t>https://africanmarketingconfederation.org/smoke-archive/page-38</t>
        </is>
      </c>
      <c r="FK41" s="28" t="inlineStr"/>
      <c r="FL41" s="32" t="b">
        <v>0</v>
      </c>
      <c r="FM41" s="28" t="b">
        <v>0</v>
      </c>
      <c r="FN41" s="32" t="b">
        <v>0</v>
      </c>
      <c r="FO41" s="28" t="inlineStr"/>
      <c r="FP41" s="28" t="inlineStr"/>
      <c r="FQ41" s="28" t="inlineStr"/>
      <c r="FR41" s="28" t="inlineStr"/>
      <c r="FS41" s="28" t="inlineStr"/>
      <c r="FT41" s="28" t="inlineStr"/>
      <c r="FU41" s="28" t="inlineStr">
        <is>
          <t>Not specified</t>
        </is>
      </c>
      <c r="FV41" s="28" t="inlineStr">
        <is>
          <t>Not specified</t>
        </is>
      </c>
      <c r="FW41" s="28" t="inlineStr">
        <is>
          <t>Not specified</t>
        </is>
      </c>
      <c r="FX41" s="28" t="inlineStr">
        <is>
          <t>Not specified</t>
        </is>
      </c>
      <c r="FY41" s="28" t="inlineStr">
        <is>
          <t>Not specified</t>
        </is>
      </c>
      <c r="FZ41" s="28" t="b">
        <v>0</v>
      </c>
      <c r="GA41" s="28" t="n">
        <v>0</v>
      </c>
      <c r="GB41" s="28" t="inlineStr"/>
      <c r="GC41" s="28" t="inlineStr"/>
      <c r="GD41" s="28" t="b">
        <v>0</v>
      </c>
      <c r="GE41" s="28" t="b">
        <v>0</v>
      </c>
      <c r="GF41" s="28" t="b">
        <v>0</v>
      </c>
      <c r="GG41" s="28" t="b">
        <v>0</v>
      </c>
      <c r="GH41" s="28" t="b">
        <v>0</v>
      </c>
      <c r="GI41" s="28" t="b">
        <v>0</v>
      </c>
      <c r="GJ41" s="28" t="n">
        <v>0</v>
      </c>
      <c r="GK41" s="28" t="n">
        <v>0</v>
      </c>
      <c r="GL41" s="28" t="n">
        <v>0</v>
      </c>
      <c r="GM41" s="74" t="inlineStr"/>
      <c r="GN41" s="74" t="inlineStr"/>
      <c r="GO41" s="32" t="b">
        <v>0</v>
      </c>
      <c r="GP41" s="28" t="inlineStr"/>
      <c r="GQ41" s="74" t="inlineStr"/>
      <c r="GR41" s="28" t="inlineStr">
        <is>
          <t>Not Declared</t>
        </is>
      </c>
      <c r="GS41" s="28" t="b">
        <v>1</v>
      </c>
      <c r="GT41" s="28" t="n">
        <v>56.1</v>
      </c>
      <c r="GU41" s="28" t="inlineStr">
        <is>
          <t>Orphan</t>
        </is>
      </c>
      <c r="GV41" s="28" t="n">
        <v>0</v>
      </c>
      <c r="GW41" s="34" t="n">
        <v>0</v>
      </c>
      <c r="GX41" s="28" t="b">
        <v>0</v>
      </c>
      <c r="GY41" s="28" t="inlineStr">
        <is>
          <t>FAQ</t>
        </is>
      </c>
      <c r="GZ41" s="28" t="n">
        <v>9</v>
      </c>
      <c r="HA41" s="28" t="b">
        <v>0</v>
      </c>
      <c r="HB41" s="28" t="inlineStr">
        <is>
          <t>smoke, body, copy, intent, classification</t>
        </is>
      </c>
      <c r="HC41" s="28" t="b">
        <v>0</v>
      </c>
      <c r="HD41" s="28" t="b">
        <v>0</v>
      </c>
      <c r="HE41" s="28" t="b">
        <v>0</v>
      </c>
      <c r="HF41" s="34" t="n">
        <v>0</v>
      </c>
      <c r="HG41" s="28" t="b">
        <v>0</v>
      </c>
      <c r="HH41" s="28" t="b">
        <v>0</v>
      </c>
      <c r="HI41">
        <f>IFERROR(HYPERLINK("#'Technical Diagnostics'!A"&amp;MATCH(B41,'Technical Diagnostics'!A:A,0),"Open Technical"),HYPERLINK("#'Technical Diagnostics'!A1","Open Technical"))</f>
        <v/>
      </c>
    </row>
    <row r="42" ht="18" customHeight="1">
      <c r="A42" s="30" t="inlineStr">
        <is>
          <t>FAIL 🔴</t>
        </is>
      </c>
      <c r="B42" s="37" t="inlineStr">
        <is>
          <t>https://africanmarketingconfederation.org/smoke-archive/page-39</t>
        </is>
      </c>
      <c r="C42" s="30" t="inlineStr"/>
      <c r="D42" s="30" t="inlineStr">
        <is>
          <t>Non-Indexable</t>
        </is>
      </c>
      <c r="E42" s="30" t="inlineStr"/>
      <c r="F42" s="30" t="inlineStr">
        <is>
          <t>Smoke title 39</t>
        </is>
      </c>
      <c r="G42" s="30" t="inlineStr">
        <is>
          <t>Smoke meta description for page 39.</t>
        </is>
      </c>
      <c r="H42" s="30" t="n">
        <v>359</v>
      </c>
      <c r="I42" s="30" t="n">
        <v>0</v>
      </c>
      <c r="J42" s="30" t="inlineStr">
        <is>
          <t>Critical</t>
        </is>
      </c>
      <c r="K42" s="30" t="inlineStr">
        <is>
          <t>Yes</t>
        </is>
      </c>
      <c r="L42" s="30" t="inlineStr"/>
      <c r="M42" s="30" t="inlineStr"/>
      <c r="N42" s="30" t="inlineStr">
        <is>
          <t>Lab only</t>
        </is>
      </c>
      <c r="O42" s="30" t="inlineStr">
        <is>
          <t>None</t>
        </is>
      </c>
      <c r="P42" s="30" t="inlineStr">
        <is>
          <t>PSI Lab</t>
        </is>
      </c>
      <c r="Q42" s="30" t="inlineStr">
        <is>
          <t>None</t>
        </is>
      </c>
      <c r="R42" s="30" t="inlineStr"/>
      <c r="S42" s="30" t="inlineStr"/>
      <c r="T42" s="30" t="inlineStr"/>
      <c r="U42" s="30" t="inlineStr"/>
      <c r="V42" s="30" t="inlineStr"/>
      <c r="W42" s="30" t="inlineStr"/>
      <c r="X42" s="30" t="inlineStr"/>
      <c r="Y42" s="30" t="inlineStr"/>
      <c r="Z42" s="30" t="inlineStr"/>
      <c r="AA42" s="30" t="n">
        <v>88</v>
      </c>
      <c r="AB42" s="30" t="n">
        <v>88</v>
      </c>
      <c r="AC42" s="30" t="n">
        <v>88</v>
      </c>
      <c r="AD42" s="30" t="n">
        <v>85</v>
      </c>
      <c r="AE42" s="30" t="n">
        <v>82</v>
      </c>
      <c r="AF42" s="30" t="n">
        <v>92</v>
      </c>
      <c r="AG42" s="30" t="n">
        <v>2.4</v>
      </c>
      <c r="AH42" s="30" t="n">
        <v>0.04</v>
      </c>
      <c r="AI42" s="30" t="n">
        <v>0.4</v>
      </c>
      <c r="AJ42" s="30" t="n">
        <v>2.4</v>
      </c>
      <c r="AK42" s="30" t="n">
        <v>0.04</v>
      </c>
      <c r="AL42" s="30" t="n">
        <v>180</v>
      </c>
      <c r="AM42" s="30" t="n">
        <v>120</v>
      </c>
      <c r="AN42" s="30" t="n">
        <v>1.8</v>
      </c>
      <c r="AO42" s="30" t="n">
        <v>3.2</v>
      </c>
      <c r="AP42" s="30" t="n">
        <v>4.1</v>
      </c>
      <c r="AQ42" s="30" t="n">
        <v>400</v>
      </c>
      <c r="AR42" s="30" t="n">
        <v>88</v>
      </c>
      <c r="AS42" s="30" t="n">
        <v>85</v>
      </c>
      <c r="AT42" s="30" t="n">
        <v>82</v>
      </c>
      <c r="AU42" s="30" t="n">
        <v>92</v>
      </c>
      <c r="AV42" s="30" t="n">
        <v>2.4</v>
      </c>
      <c r="AW42" s="30" t="n">
        <v>0.04</v>
      </c>
      <c r="AX42" s="30" t="n">
        <v>180</v>
      </c>
      <c r="AY42" s="30" t="n">
        <v>120</v>
      </c>
      <c r="AZ42" s="30" t="n">
        <v>1.8</v>
      </c>
      <c r="BA42" s="30" t="n">
        <v>3.2</v>
      </c>
      <c r="BB42" s="30" t="n">
        <v>4.1</v>
      </c>
      <c r="BC42" s="30" t="n">
        <v>400</v>
      </c>
      <c r="BD42" s="30" t="n">
        <v>500</v>
      </c>
      <c r="BE42" s="30" t="n">
        <v>842</v>
      </c>
      <c r="BF42" s="30" t="n">
        <v>1250</v>
      </c>
      <c r="BG42" s="30" t="n">
        <v>1</v>
      </c>
      <c r="BH42" s="30" t="b">
        <v>1</v>
      </c>
      <c r="BI42" s="34" t="b">
        <v>1</v>
      </c>
      <c r="BJ42" s="30" t="b">
        <v>1</v>
      </c>
      <c r="BK42" s="30" t="b">
        <v>1</v>
      </c>
      <c r="BL42" s="30" t="b">
        <v>0</v>
      </c>
      <c r="BM42" s="30" t="n">
        <v>65</v>
      </c>
      <c r="BN42" s="30" t="inlineStr">
        <is>
          <t>complete</t>
        </is>
      </c>
      <c r="BO42" s="30" t="inlineStr">
        <is>
          <t>rendered_browser</t>
        </is>
      </c>
      <c r="BP42" s="30" t="b">
        <v>0</v>
      </c>
      <c r="BQ42" s="30" t="n">
        <v>0</v>
      </c>
      <c r="BR42" s="30" t="n">
        <v>0</v>
      </c>
      <c r="BS42" s="30" t="inlineStr"/>
      <c r="BT42" s="30" t="b">
        <v>0</v>
      </c>
      <c r="BU42" s="30" t="inlineStr"/>
      <c r="BV42" s="30" t="inlineStr"/>
      <c r="BW42" s="30" t="n">
        <v>0</v>
      </c>
      <c r="BX42" s="30" t="inlineStr"/>
      <c r="BY42" s="30" t="n">
        <v>0</v>
      </c>
      <c r="BZ42" s="30" t="inlineStr"/>
      <c r="CA42" s="30" t="n">
        <v>0</v>
      </c>
      <c r="CB42" s="30" t="inlineStr"/>
      <c r="CC42" s="30" t="n">
        <v>0</v>
      </c>
      <c r="CD42" s="30" t="inlineStr"/>
      <c r="CE42" s="30" t="n">
        <v>0</v>
      </c>
      <c r="CF42" s="30" t="inlineStr"/>
      <c r="CG42" s="30" t="n">
        <v>0</v>
      </c>
      <c r="CH42" s="30" t="inlineStr"/>
      <c r="CI42" s="30" t="inlineStr"/>
      <c r="CJ42" s="30" t="inlineStr"/>
      <c r="CK42" s="30" t="inlineStr"/>
      <c r="CL42" s="30" t="inlineStr">
        <is>
          <t>2026-06-01 to 2026-06-30 (30-day window; excludes today; typical GSC lag ~48h)</t>
        </is>
      </c>
      <c r="CM42" s="30" t="inlineStr">
        <is>
          <t>No Search Analytics row matched this URL in the 30-day export (compare Final URL with the page URL shown in GSC)</t>
        </is>
      </c>
      <c r="CN42" s="30" t="n">
        <v>-1</v>
      </c>
      <c r="CO42" s="30" t="b">
        <v>1</v>
      </c>
      <c r="CP42" s="30" t="n">
        <v>0.012048</v>
      </c>
      <c r="CQ42" s="30" t="b">
        <v>1</v>
      </c>
      <c r="CR42" s="30" t="b">
        <v>1</v>
      </c>
      <c r="CS42" s="30" t="inlineStr">
        <is>
          <t>Both</t>
        </is>
      </c>
      <c r="CT42" s="76" t="inlineStr"/>
      <c r="CU42" s="30" t="n">
        <v>40</v>
      </c>
      <c r="CV42" s="34">
        <f>IFERROR(INDEX(OFFSET('Technical Diagnostics'!$A$1,2,MATCH("SEO Health Score",'Technical Diagnostics'!$2:$2,0)-1,99998,1),MATCH(B42,OFFSET('Technical Diagnostics'!$A$1,2,MATCH("URL",'Technical Diagnostics'!$2:$2,0)-1,99998,1),0)),"")</f>
        <v/>
      </c>
      <c r="CW42" s="32" t="n">
        <v>100</v>
      </c>
      <c r="CX42" s="34" t="n">
        <v>5</v>
      </c>
      <c r="CY42" s="32" t="b">
        <v>1</v>
      </c>
      <c r="CZ42" s="30" t="b">
        <v>0</v>
      </c>
      <c r="DA42" s="30" t="inlineStr"/>
      <c r="DB42" s="30" t="inlineStr"/>
      <c r="DC42" s="30" t="inlineStr"/>
      <c r="DD42" s="30" t="n">
        <v>0</v>
      </c>
      <c r="DE42" s="30" t="n">
        <v>0</v>
      </c>
      <c r="DF42" s="30" t="inlineStr"/>
      <c r="DG42" s="30" t="inlineStr"/>
      <c r="DH42" s="30" t="inlineStr"/>
      <c r="DI42" s="30" t="n">
        <v>6</v>
      </c>
      <c r="DJ42" s="30" t="inlineStr">
        <is>
          <t>Author 39</t>
        </is>
      </c>
      <c r="DK42" s="30" t="inlineStr"/>
      <c r="DL42" s="30" t="b">
        <v>1</v>
      </c>
      <c r="DM42" s="30" t="inlineStr"/>
      <c r="DN42" s="30" t="inlineStr">
        <is>
          <t>2026-06-01</t>
        </is>
      </c>
      <c r="DO42" s="30" t="inlineStr"/>
      <c r="DP42" s="30" t="inlineStr">
        <is>
          <t>2026-06-01</t>
        </is>
      </c>
      <c r="DQ42" s="30" t="inlineStr"/>
      <c r="DR42" s="30" t="b">
        <v>0</v>
      </c>
      <c r="DS42" s="30" t="b">
        <v>1</v>
      </c>
      <c r="DT42" s="30" t="b">
        <v>1</v>
      </c>
      <c r="DU42" s="30" t="b">
        <v>0</v>
      </c>
      <c r="DV42" s="30" t="n">
        <v>0</v>
      </c>
      <c r="DW42" s="30" t="b">
        <v>0</v>
      </c>
      <c r="DX42" s="30" t="b">
        <v>0</v>
      </c>
      <c r="DY42" s="30" t="b">
        <v>0</v>
      </c>
      <c r="DZ42" s="30" t="b">
        <v>0</v>
      </c>
      <c r="EA42" s="32" t="b">
        <v>0</v>
      </c>
      <c r="EB42" s="30" t="b">
        <v>0</v>
      </c>
      <c r="EC42" s="30" t="inlineStr"/>
      <c r="ED42" s="30" t="inlineStr"/>
      <c r="EE42" s="30" t="b">
        <v>0</v>
      </c>
      <c r="EF42" s="30" t="inlineStr"/>
      <c r="EG42" s="30" t="inlineStr"/>
      <c r="EH42" s="30" t="inlineStr"/>
      <c r="EI42" s="30" t="inlineStr">
        <is>
          <t>2026-06-01</t>
        </is>
      </c>
      <c r="EJ42" s="30" t="inlineStr"/>
      <c r="EK42" s="30" t="inlineStr">
        <is>
          <t>Fresh</t>
        </is>
      </c>
      <c r="EL42" s="30" t="inlineStr">
        <is>
          <t>Smoke title 39</t>
        </is>
      </c>
      <c r="EM42" s="30" t="inlineStr">
        <is>
          <t>Smoke meta description for page 39.</t>
        </is>
      </c>
      <c r="EN42" s="30" t="inlineStr">
        <is>
          <t>article</t>
        </is>
      </c>
      <c r="EO42" s="76" t="inlineStr"/>
      <c r="EP42" s="76" t="inlineStr"/>
      <c r="EQ42" s="30" t="inlineStr"/>
      <c r="ER42" s="30" t="inlineStr"/>
      <c r="ES42" s="30" t="inlineStr"/>
      <c r="ET42" s="30" t="inlineStr"/>
      <c r="EU42" s="75" t="b">
        <v>0</v>
      </c>
      <c r="EV42" s="30" t="inlineStr">
        <is>
          <t>summary_large_image</t>
        </is>
      </c>
      <c r="EW42" s="30" t="inlineStr"/>
      <c r="EX42" s="30" t="inlineStr"/>
      <c r="EY42" s="30" t="inlineStr"/>
      <c r="EZ42" s="30" t="n">
        <v>0</v>
      </c>
      <c r="FA42" s="40" t="b">
        <v>0</v>
      </c>
      <c r="FB42" s="76" t="inlineStr">
        <is>
          <t>https://africanmarketingconfederation.org/smoke-archive/page-39</t>
        </is>
      </c>
      <c r="FC42" s="30" t="inlineStr"/>
      <c r="FD42" s="30" t="n">
        <v>0</v>
      </c>
      <c r="FE42" s="31" t="inlineStr"/>
      <c r="FF42" s="30" t="b">
        <v>0</v>
      </c>
      <c r="FG42" s="30" t="b">
        <v>0</v>
      </c>
      <c r="FH42" s="32" t="b">
        <v>0</v>
      </c>
      <c r="FI42" s="30" t="n">
        <v>0</v>
      </c>
      <c r="FJ42" s="30" t="inlineStr">
        <is>
          <t>https://africanmarketingconfederation.org/smoke-archive/page-39</t>
        </is>
      </c>
      <c r="FK42" s="30" t="inlineStr"/>
      <c r="FL42" s="32" t="b">
        <v>0</v>
      </c>
      <c r="FM42" s="30" t="b">
        <v>0</v>
      </c>
      <c r="FN42" s="32" t="b">
        <v>0</v>
      </c>
      <c r="FO42" s="30" t="inlineStr"/>
      <c r="FP42" s="30" t="inlineStr"/>
      <c r="FQ42" s="30" t="inlineStr"/>
      <c r="FR42" s="30" t="inlineStr"/>
      <c r="FS42" s="30" t="inlineStr"/>
      <c r="FT42" s="30" t="inlineStr"/>
      <c r="FU42" s="30" t="inlineStr">
        <is>
          <t>Not specified</t>
        </is>
      </c>
      <c r="FV42" s="30" t="inlineStr">
        <is>
          <t>Not specified</t>
        </is>
      </c>
      <c r="FW42" s="30" t="inlineStr">
        <is>
          <t>Not specified</t>
        </is>
      </c>
      <c r="FX42" s="30" t="inlineStr">
        <is>
          <t>Not specified</t>
        </is>
      </c>
      <c r="FY42" s="30" t="inlineStr">
        <is>
          <t>Not specified</t>
        </is>
      </c>
      <c r="FZ42" s="30" t="b">
        <v>0</v>
      </c>
      <c r="GA42" s="30" t="n">
        <v>0</v>
      </c>
      <c r="GB42" s="30" t="inlineStr"/>
      <c r="GC42" s="30" t="inlineStr"/>
      <c r="GD42" s="30" t="b">
        <v>0</v>
      </c>
      <c r="GE42" s="30" t="b">
        <v>0</v>
      </c>
      <c r="GF42" s="30" t="b">
        <v>0</v>
      </c>
      <c r="GG42" s="30" t="b">
        <v>0</v>
      </c>
      <c r="GH42" s="30" t="b">
        <v>0</v>
      </c>
      <c r="GI42" s="30" t="b">
        <v>0</v>
      </c>
      <c r="GJ42" s="30" t="n">
        <v>0</v>
      </c>
      <c r="GK42" s="30" t="n">
        <v>0</v>
      </c>
      <c r="GL42" s="30" t="n">
        <v>0</v>
      </c>
      <c r="GM42" s="76" t="inlineStr"/>
      <c r="GN42" s="76" t="inlineStr"/>
      <c r="GO42" s="32" t="b">
        <v>0</v>
      </c>
      <c r="GP42" s="30" t="inlineStr"/>
      <c r="GQ42" s="76" t="inlineStr"/>
      <c r="GR42" s="30" t="inlineStr">
        <is>
          <t>Not Declared</t>
        </is>
      </c>
      <c r="GS42" s="30" t="b">
        <v>1</v>
      </c>
      <c r="GT42" s="30" t="n">
        <v>90.2</v>
      </c>
      <c r="GU42" s="30" t="inlineStr">
        <is>
          <t>Orphan</t>
        </is>
      </c>
      <c r="GV42" s="30" t="n">
        <v>0</v>
      </c>
      <c r="GW42" s="34" t="n">
        <v>0</v>
      </c>
      <c r="GX42" s="30" t="b">
        <v>0</v>
      </c>
      <c r="GY42" s="30" t="inlineStr">
        <is>
          <t>FAQ</t>
        </is>
      </c>
      <c r="GZ42" s="30" t="n">
        <v>9</v>
      </c>
      <c r="HA42" s="30" t="b">
        <v>0</v>
      </c>
      <c r="HB42" s="30" t="inlineStr">
        <is>
          <t>smoke, body, copy, intent, classification</t>
        </is>
      </c>
      <c r="HC42" s="30" t="b">
        <v>0</v>
      </c>
      <c r="HD42" s="30" t="b">
        <v>0</v>
      </c>
      <c r="HE42" s="30" t="b">
        <v>0</v>
      </c>
      <c r="HF42" s="34" t="n">
        <v>0</v>
      </c>
      <c r="HG42" s="30" t="b">
        <v>0</v>
      </c>
      <c r="HH42" s="30" t="b">
        <v>0</v>
      </c>
      <c r="HI42" s="38">
        <f>IFERROR(HYPERLINK("#'Technical Diagnostics'!A"&amp;MATCH(B42,'Technical Diagnostics'!A:A,0),"Open Technical"),HYPERLINK("#'Technical Diagnostics'!A1","Open Technical"))</f>
        <v/>
      </c>
    </row>
    <row r="43" ht="18" customHeight="1">
      <c r="A43" s="28" t="inlineStr">
        <is>
          <t>WARN 🟡</t>
        </is>
      </c>
      <c r="B43" s="35" t="inlineStr">
        <is>
          <t>https://africanmarketingconfederation.org/smoke-archive/page-40</t>
        </is>
      </c>
      <c r="C43" s="28" t="inlineStr"/>
      <c r="D43" s="28" t="inlineStr">
        <is>
          <t>Indexable</t>
        </is>
      </c>
      <c r="E43" s="28" t="inlineStr"/>
      <c r="F43" s="28" t="inlineStr">
        <is>
          <t>Smoke title 40</t>
        </is>
      </c>
      <c r="G43" s="28" t="inlineStr"/>
      <c r="H43" s="28" t="n">
        <v>360</v>
      </c>
      <c r="I43" s="28" t="n">
        <v>60</v>
      </c>
      <c r="J43" s="28" t="inlineStr">
        <is>
          <t>Warning</t>
        </is>
      </c>
      <c r="K43" s="28" t="inlineStr">
        <is>
          <t>Yes</t>
        </is>
      </c>
      <c r="L43" s="28" t="inlineStr"/>
      <c r="M43" s="28" t="inlineStr"/>
      <c r="N43" s="28" t="inlineStr">
        <is>
          <t>Lab only</t>
        </is>
      </c>
      <c r="O43" s="28" t="inlineStr">
        <is>
          <t>None</t>
        </is>
      </c>
      <c r="P43" s="28" t="inlineStr">
        <is>
          <t>PSI Lab</t>
        </is>
      </c>
      <c r="Q43" s="28" t="inlineStr">
        <is>
          <t>None</t>
        </is>
      </c>
      <c r="R43" s="28" t="inlineStr"/>
      <c r="S43" s="28" t="inlineStr"/>
      <c r="T43" s="28" t="inlineStr"/>
      <c r="U43" s="28" t="inlineStr"/>
      <c r="V43" s="28" t="inlineStr"/>
      <c r="W43" s="28" t="inlineStr"/>
      <c r="X43" s="28" t="inlineStr"/>
      <c r="Y43" s="28" t="inlineStr"/>
      <c r="Z43" s="28" t="inlineStr"/>
      <c r="AA43" s="28" t="n">
        <v>88</v>
      </c>
      <c r="AB43" s="28" t="n">
        <v>88</v>
      </c>
      <c r="AC43" s="28" t="n">
        <v>88</v>
      </c>
      <c r="AD43" s="28" t="n">
        <v>85</v>
      </c>
      <c r="AE43" s="28" t="n">
        <v>82</v>
      </c>
      <c r="AF43" s="28" t="n">
        <v>92</v>
      </c>
      <c r="AG43" s="28" t="n">
        <v>2.4</v>
      </c>
      <c r="AH43" s="28" t="n">
        <v>0.04</v>
      </c>
      <c r="AI43" s="28" t="n">
        <v>0.4</v>
      </c>
      <c r="AJ43" s="28" t="n">
        <v>2.4</v>
      </c>
      <c r="AK43" s="28" t="n">
        <v>0.04</v>
      </c>
      <c r="AL43" s="28" t="n">
        <v>180</v>
      </c>
      <c r="AM43" s="28" t="n">
        <v>120</v>
      </c>
      <c r="AN43" s="28" t="n">
        <v>1.8</v>
      </c>
      <c r="AO43" s="28" t="n">
        <v>3.2</v>
      </c>
      <c r="AP43" s="28" t="n">
        <v>4.1</v>
      </c>
      <c r="AQ43" s="28" t="n">
        <v>400</v>
      </c>
      <c r="AR43" s="28" t="n">
        <v>88</v>
      </c>
      <c r="AS43" s="28" t="n">
        <v>85</v>
      </c>
      <c r="AT43" s="28" t="n">
        <v>82</v>
      </c>
      <c r="AU43" s="28" t="n">
        <v>92</v>
      </c>
      <c r="AV43" s="28" t="n">
        <v>2.4</v>
      </c>
      <c r="AW43" s="28" t="n">
        <v>0.04</v>
      </c>
      <c r="AX43" s="28" t="n">
        <v>180</v>
      </c>
      <c r="AY43" s="28" t="n">
        <v>120</v>
      </c>
      <c r="AZ43" s="28" t="n">
        <v>1.8</v>
      </c>
      <c r="BA43" s="28" t="n">
        <v>3.2</v>
      </c>
      <c r="BB43" s="28" t="n">
        <v>4.1</v>
      </c>
      <c r="BC43" s="28" t="n">
        <v>400</v>
      </c>
      <c r="BD43" s="28" t="n">
        <v>500</v>
      </c>
      <c r="BE43" s="28" t="n">
        <v>842</v>
      </c>
      <c r="BF43" s="28" t="n">
        <v>1250</v>
      </c>
      <c r="BG43" s="28" t="n">
        <v>1</v>
      </c>
      <c r="BH43" s="28" t="b">
        <v>1</v>
      </c>
      <c r="BI43" s="34" t="b">
        <v>1</v>
      </c>
      <c r="BJ43" s="28" t="b">
        <v>1</v>
      </c>
      <c r="BK43" s="28" t="b">
        <v>1</v>
      </c>
      <c r="BL43" s="28" t="b">
        <v>0</v>
      </c>
      <c r="BM43" s="28" t="n">
        <v>65</v>
      </c>
      <c r="BN43" s="28" t="inlineStr">
        <is>
          <t>complete</t>
        </is>
      </c>
      <c r="BO43" s="28" t="inlineStr">
        <is>
          <t>rendered_browser</t>
        </is>
      </c>
      <c r="BP43" s="28" t="b">
        <v>0</v>
      </c>
      <c r="BQ43" s="28" t="n">
        <v>0</v>
      </c>
      <c r="BR43" s="28" t="n">
        <v>0</v>
      </c>
      <c r="BS43" s="28" t="inlineStr">
        <is>
          <t>https://africanmarketingconfederation.org/og-40.jpg</t>
        </is>
      </c>
      <c r="BT43" s="28" t="b">
        <v>0</v>
      </c>
      <c r="BU43" s="28" t="inlineStr"/>
      <c r="BV43" s="28" t="inlineStr"/>
      <c r="BW43" s="28" t="n">
        <v>0</v>
      </c>
      <c r="BX43" s="28" t="inlineStr"/>
      <c r="BY43" s="28" t="n">
        <v>0</v>
      </c>
      <c r="BZ43" s="28" t="inlineStr"/>
      <c r="CA43" s="28" t="n">
        <v>0</v>
      </c>
      <c r="CB43" s="28" t="inlineStr"/>
      <c r="CC43" s="28" t="n">
        <v>0</v>
      </c>
      <c r="CD43" s="28" t="inlineStr"/>
      <c r="CE43" s="28" t="n">
        <v>0</v>
      </c>
      <c r="CF43" s="28" t="inlineStr"/>
      <c r="CG43" s="28" t="n">
        <v>0</v>
      </c>
      <c r="CH43" s="28" t="inlineStr"/>
      <c r="CI43" s="28" t="inlineStr"/>
      <c r="CJ43" s="28" t="inlineStr"/>
      <c r="CK43" s="28" t="inlineStr"/>
      <c r="CL43" s="28" t="inlineStr">
        <is>
          <t>2026-06-01 to 2026-06-30 (30-day window; excludes today; typical GSC lag ~48h)</t>
        </is>
      </c>
      <c r="CM43" s="28" t="inlineStr">
        <is>
          <t>No Search Analytics row matched this URL in the 30-day export (compare Final URL with the page URL shown in GSC)</t>
        </is>
      </c>
      <c r="CN43" s="28" t="n">
        <v>-1</v>
      </c>
      <c r="CO43" s="28" t="b">
        <v>1</v>
      </c>
      <c r="CP43" s="28" t="n">
        <v>0.012048</v>
      </c>
      <c r="CQ43" s="28" t="b">
        <v>1</v>
      </c>
      <c r="CR43" s="28" t="b">
        <v>1</v>
      </c>
      <c r="CS43" s="28" t="inlineStr">
        <is>
          <t>Both</t>
        </is>
      </c>
      <c r="CT43" s="74" t="inlineStr"/>
      <c r="CU43" s="28" t="n">
        <v>41</v>
      </c>
      <c r="CV43" s="34">
        <f>IFERROR(INDEX(OFFSET('Technical Diagnostics'!$A$1,2,MATCH("SEO Health Score",'Technical Diagnostics'!$2:$2,0)-1,99998,1),MATCH(B43,OFFSET('Technical Diagnostics'!$A$1,2,MATCH("URL",'Technical Diagnostics'!$2:$2,0)-1,99998,1),0)),"")</f>
        <v/>
      </c>
      <c r="CW43" s="29" t="n">
        <v>80</v>
      </c>
      <c r="CX43" s="34" t="n">
        <v>65</v>
      </c>
      <c r="CY43" s="32" t="b">
        <v>1</v>
      </c>
      <c r="CZ43" s="28" t="b">
        <v>0</v>
      </c>
      <c r="DA43" s="28" t="inlineStr"/>
      <c r="DB43" s="28" t="inlineStr"/>
      <c r="DC43" s="28" t="inlineStr"/>
      <c r="DD43" s="28" t="n">
        <v>0</v>
      </c>
      <c r="DE43" s="28" t="n">
        <v>0</v>
      </c>
      <c r="DF43" s="28" t="inlineStr"/>
      <c r="DG43" s="28" t="inlineStr"/>
      <c r="DH43" s="28" t="inlineStr"/>
      <c r="DI43" s="28" t="n">
        <v>6</v>
      </c>
      <c r="DJ43" s="28" t="inlineStr">
        <is>
          <t>Author 40</t>
        </is>
      </c>
      <c r="DK43" s="28" t="inlineStr"/>
      <c r="DL43" s="28" t="b">
        <v>1</v>
      </c>
      <c r="DM43" s="28" t="inlineStr"/>
      <c r="DN43" s="28" t="inlineStr">
        <is>
          <t>2026-06-01</t>
        </is>
      </c>
      <c r="DO43" s="28" t="inlineStr"/>
      <c r="DP43" s="28" t="inlineStr">
        <is>
          <t>2026-06-01</t>
        </is>
      </c>
      <c r="DQ43" s="28" t="inlineStr"/>
      <c r="DR43" s="28" t="b">
        <v>0</v>
      </c>
      <c r="DS43" s="28" t="b">
        <v>1</v>
      </c>
      <c r="DT43" s="28" t="b">
        <v>1</v>
      </c>
      <c r="DU43" s="28" t="b">
        <v>0</v>
      </c>
      <c r="DV43" s="28" t="n">
        <v>0</v>
      </c>
      <c r="DW43" s="28" t="b">
        <v>0</v>
      </c>
      <c r="DX43" s="28" t="b">
        <v>0</v>
      </c>
      <c r="DY43" s="28" t="b">
        <v>0</v>
      </c>
      <c r="DZ43" s="28" t="b">
        <v>0</v>
      </c>
      <c r="EA43" s="32" t="b">
        <v>0</v>
      </c>
      <c r="EB43" s="28" t="b">
        <v>0</v>
      </c>
      <c r="EC43" s="28" t="inlineStr"/>
      <c r="ED43" s="28" t="inlineStr"/>
      <c r="EE43" s="28" t="b">
        <v>0</v>
      </c>
      <c r="EF43" s="28" t="inlineStr"/>
      <c r="EG43" s="28" t="inlineStr"/>
      <c r="EH43" s="28" t="inlineStr"/>
      <c r="EI43" s="28" t="inlineStr"/>
      <c r="EJ43" s="28" t="inlineStr"/>
      <c r="EK43" s="28" t="inlineStr">
        <is>
          <t>Fresh</t>
        </is>
      </c>
      <c r="EL43" s="28" t="inlineStr"/>
      <c r="EM43" s="28" t="inlineStr"/>
      <c r="EN43" s="28" t="inlineStr">
        <is>
          <t>article</t>
        </is>
      </c>
      <c r="EO43" s="74" t="inlineStr"/>
      <c r="EP43" s="74" t="inlineStr">
        <is>
          <t>https://africanmarketingconfederation.org/og-40.jpg</t>
        </is>
      </c>
      <c r="EQ43" s="28" t="inlineStr"/>
      <c r="ER43" s="28" t="inlineStr"/>
      <c r="ES43" s="28" t="inlineStr"/>
      <c r="ET43" s="28" t="inlineStr"/>
      <c r="EU43" s="75" t="b">
        <v>0</v>
      </c>
      <c r="EV43" s="28" t="inlineStr">
        <is>
          <t>summary_large_image</t>
        </is>
      </c>
      <c r="EW43" s="28" t="inlineStr"/>
      <c r="EX43" s="28" t="inlineStr"/>
      <c r="EY43" s="28" t="inlineStr"/>
      <c r="EZ43" s="28" t="n">
        <v>0</v>
      </c>
      <c r="FA43" s="40" t="b">
        <v>0</v>
      </c>
      <c r="FB43" s="74" t="inlineStr">
        <is>
          <t>https://africanmarketingconfederation.org/smoke-archive/page-40</t>
        </is>
      </c>
      <c r="FC43" s="28" t="inlineStr"/>
      <c r="FD43" s="28" t="n">
        <v>0</v>
      </c>
      <c r="FE43" s="20" t="inlineStr"/>
      <c r="FF43" s="28" t="b">
        <v>0</v>
      </c>
      <c r="FG43" s="28" t="b">
        <v>0</v>
      </c>
      <c r="FH43" s="32" t="b">
        <v>0</v>
      </c>
      <c r="FI43" s="28" t="n">
        <v>0</v>
      </c>
      <c r="FJ43" s="28" t="inlineStr">
        <is>
          <t>https://africanmarketingconfederation.org/smoke-archive/page-40</t>
        </is>
      </c>
      <c r="FK43" s="28" t="inlineStr"/>
      <c r="FL43" s="32" t="b">
        <v>0</v>
      </c>
      <c r="FM43" s="28" t="b">
        <v>0</v>
      </c>
      <c r="FN43" s="32" t="b">
        <v>0</v>
      </c>
      <c r="FO43" s="28" t="inlineStr"/>
      <c r="FP43" s="28" t="inlineStr"/>
      <c r="FQ43" s="28" t="inlineStr"/>
      <c r="FR43" s="28" t="inlineStr"/>
      <c r="FS43" s="28" t="inlineStr"/>
      <c r="FT43" s="28" t="inlineStr"/>
      <c r="FU43" s="28" t="inlineStr">
        <is>
          <t>Not specified</t>
        </is>
      </c>
      <c r="FV43" s="28" t="inlineStr">
        <is>
          <t>Not specified</t>
        </is>
      </c>
      <c r="FW43" s="28" t="inlineStr">
        <is>
          <t>Not specified</t>
        </is>
      </c>
      <c r="FX43" s="28" t="inlineStr">
        <is>
          <t>Not specified</t>
        </is>
      </c>
      <c r="FY43" s="28" t="inlineStr">
        <is>
          <t>Not specified</t>
        </is>
      </c>
      <c r="FZ43" s="28" t="b">
        <v>0</v>
      </c>
      <c r="GA43" s="28" t="n">
        <v>0</v>
      </c>
      <c r="GB43" s="28" t="inlineStr"/>
      <c r="GC43" s="28" t="inlineStr"/>
      <c r="GD43" s="28" t="b">
        <v>0</v>
      </c>
      <c r="GE43" s="28" t="b">
        <v>0</v>
      </c>
      <c r="GF43" s="28" t="b">
        <v>0</v>
      </c>
      <c r="GG43" s="28" t="b">
        <v>0</v>
      </c>
      <c r="GH43" s="28" t="b">
        <v>0</v>
      </c>
      <c r="GI43" s="28" t="b">
        <v>0</v>
      </c>
      <c r="GJ43" s="28" t="n">
        <v>0</v>
      </c>
      <c r="GK43" s="28" t="n">
        <v>0</v>
      </c>
      <c r="GL43" s="28" t="n">
        <v>0</v>
      </c>
      <c r="GM43" s="74" t="inlineStr"/>
      <c r="GN43" s="74" t="inlineStr"/>
      <c r="GO43" s="32" t="b">
        <v>0</v>
      </c>
      <c r="GP43" s="28" t="inlineStr"/>
      <c r="GQ43" s="74" t="inlineStr"/>
      <c r="GR43" s="28" t="inlineStr">
        <is>
          <t>Not Declared</t>
        </is>
      </c>
      <c r="GS43" s="28" t="b">
        <v>1</v>
      </c>
      <c r="GT43" s="28" t="n">
        <v>73.2</v>
      </c>
      <c r="GU43" s="28" t="inlineStr">
        <is>
          <t>Orphan</t>
        </is>
      </c>
      <c r="GV43" s="28" t="n">
        <v>0</v>
      </c>
      <c r="GW43" s="34" t="n">
        <v>0</v>
      </c>
      <c r="GX43" s="28" t="b">
        <v>0</v>
      </c>
      <c r="GY43" s="28" t="inlineStr">
        <is>
          <t>FAQ</t>
        </is>
      </c>
      <c r="GZ43" s="28" t="n">
        <v>9</v>
      </c>
      <c r="HA43" s="28" t="b">
        <v>0</v>
      </c>
      <c r="HB43" s="28" t="inlineStr">
        <is>
          <t>smoke, body, copy, intent, classification</t>
        </is>
      </c>
      <c r="HC43" s="28" t="b">
        <v>0</v>
      </c>
      <c r="HD43" s="28" t="b">
        <v>0</v>
      </c>
      <c r="HE43" s="28" t="b">
        <v>0</v>
      </c>
      <c r="HF43" s="34" t="n">
        <v>0</v>
      </c>
      <c r="HG43" s="28" t="b">
        <v>0</v>
      </c>
      <c r="HH43" s="28" t="b">
        <v>0</v>
      </c>
      <c r="HI43">
        <f>IFERROR(HYPERLINK("#'Technical Diagnostics'!A"&amp;MATCH(B43,'Technical Diagnostics'!A:A,0),"Open Technical"),HYPERLINK("#'Technical Diagnostics'!A1","Open Technical"))</f>
        <v/>
      </c>
    </row>
    <row r="44" ht="18" customHeight="1">
      <c r="A44" s="30" t="inlineStr">
        <is>
          <t>WARN 🟡</t>
        </is>
      </c>
      <c r="B44" s="37" t="inlineStr">
        <is>
          <t>https://africanmarketingconfederation.org/smoke-archive/page-41</t>
        </is>
      </c>
      <c r="C44" s="30" t="inlineStr"/>
      <c r="D44" s="30" t="inlineStr">
        <is>
          <t>Indexable</t>
        </is>
      </c>
      <c r="E44" s="30" t="inlineStr"/>
      <c r="F44" s="30" t="inlineStr">
        <is>
          <t>Smoke title 41</t>
        </is>
      </c>
      <c r="G44" s="30" t="inlineStr">
        <is>
          <t>Smoke meta description for page 41.</t>
        </is>
      </c>
      <c r="H44" s="30" t="n">
        <v>361</v>
      </c>
      <c r="I44" s="30" t="n">
        <v>80</v>
      </c>
      <c r="J44" s="30" t="inlineStr">
        <is>
          <t>Warning</t>
        </is>
      </c>
      <c r="K44" s="30" t="inlineStr">
        <is>
          <t>Yes</t>
        </is>
      </c>
      <c r="L44" s="30" t="inlineStr"/>
      <c r="M44" s="30" t="inlineStr"/>
      <c r="N44" s="30" t="inlineStr">
        <is>
          <t>Lab only</t>
        </is>
      </c>
      <c r="O44" s="30" t="inlineStr">
        <is>
          <t>None</t>
        </is>
      </c>
      <c r="P44" s="30" t="inlineStr">
        <is>
          <t>PSI Lab</t>
        </is>
      </c>
      <c r="Q44" s="30" t="inlineStr">
        <is>
          <t>None</t>
        </is>
      </c>
      <c r="R44" s="30" t="inlineStr"/>
      <c r="S44" s="30" t="inlineStr"/>
      <c r="T44" s="30" t="inlineStr"/>
      <c r="U44" s="30" t="inlineStr"/>
      <c r="V44" s="30" t="inlineStr"/>
      <c r="W44" s="30" t="inlineStr"/>
      <c r="X44" s="30" t="inlineStr"/>
      <c r="Y44" s="30" t="inlineStr"/>
      <c r="Z44" s="30" t="inlineStr"/>
      <c r="AA44" s="30" t="n">
        <v>88</v>
      </c>
      <c r="AB44" s="30" t="n">
        <v>88</v>
      </c>
      <c r="AC44" s="30" t="n">
        <v>88</v>
      </c>
      <c r="AD44" s="30" t="n">
        <v>85</v>
      </c>
      <c r="AE44" s="30" t="n">
        <v>82</v>
      </c>
      <c r="AF44" s="30" t="n">
        <v>92</v>
      </c>
      <c r="AG44" s="30" t="n">
        <v>2.4</v>
      </c>
      <c r="AH44" s="30" t="n">
        <v>0.04</v>
      </c>
      <c r="AI44" s="30" t="n">
        <v>0.4</v>
      </c>
      <c r="AJ44" s="30" t="n">
        <v>2.4</v>
      </c>
      <c r="AK44" s="30" t="n">
        <v>0.04</v>
      </c>
      <c r="AL44" s="30" t="n">
        <v>180</v>
      </c>
      <c r="AM44" s="30" t="n">
        <v>120</v>
      </c>
      <c r="AN44" s="30" t="n">
        <v>1.8</v>
      </c>
      <c r="AO44" s="30" t="n">
        <v>3.2</v>
      </c>
      <c r="AP44" s="30" t="n">
        <v>4.1</v>
      </c>
      <c r="AQ44" s="30" t="n">
        <v>400</v>
      </c>
      <c r="AR44" s="30" t="n">
        <v>88</v>
      </c>
      <c r="AS44" s="30" t="n">
        <v>85</v>
      </c>
      <c r="AT44" s="30" t="n">
        <v>82</v>
      </c>
      <c r="AU44" s="30" t="n">
        <v>92</v>
      </c>
      <c r="AV44" s="30" t="n">
        <v>2.4</v>
      </c>
      <c r="AW44" s="30" t="n">
        <v>0.04</v>
      </c>
      <c r="AX44" s="30" t="n">
        <v>180</v>
      </c>
      <c r="AY44" s="30" t="n">
        <v>120</v>
      </c>
      <c r="AZ44" s="30" t="n">
        <v>1.8</v>
      </c>
      <c r="BA44" s="30" t="n">
        <v>3.2</v>
      </c>
      <c r="BB44" s="30" t="n">
        <v>4.1</v>
      </c>
      <c r="BC44" s="30" t="n">
        <v>400</v>
      </c>
      <c r="BD44" s="30" t="n">
        <v>500</v>
      </c>
      <c r="BE44" s="30" t="n">
        <v>842</v>
      </c>
      <c r="BF44" s="30" t="n">
        <v>1250</v>
      </c>
      <c r="BG44" s="30" t="n">
        <v>1</v>
      </c>
      <c r="BH44" s="30" t="b">
        <v>1</v>
      </c>
      <c r="BI44" s="34" t="b">
        <v>1</v>
      </c>
      <c r="BJ44" s="30" t="b">
        <v>1</v>
      </c>
      <c r="BK44" s="30" t="b">
        <v>1</v>
      </c>
      <c r="BL44" s="30" t="b">
        <v>0</v>
      </c>
      <c r="BM44" s="30" t="n">
        <v>65</v>
      </c>
      <c r="BN44" s="30" t="inlineStr">
        <is>
          <t>complete</t>
        </is>
      </c>
      <c r="BO44" s="30" t="inlineStr">
        <is>
          <t>rendered_browser</t>
        </is>
      </c>
      <c r="BP44" s="30" t="b">
        <v>0</v>
      </c>
      <c r="BQ44" s="30" t="n">
        <v>0</v>
      </c>
      <c r="BR44" s="30" t="n">
        <v>0</v>
      </c>
      <c r="BS44" s="30" t="inlineStr"/>
      <c r="BT44" s="30" t="b">
        <v>0</v>
      </c>
      <c r="BU44" s="30" t="inlineStr"/>
      <c r="BV44" s="30" t="inlineStr"/>
      <c r="BW44" s="30" t="n">
        <v>0</v>
      </c>
      <c r="BX44" s="30" t="inlineStr"/>
      <c r="BY44" s="30" t="n">
        <v>0</v>
      </c>
      <c r="BZ44" s="30" t="inlineStr"/>
      <c r="CA44" s="30" t="n">
        <v>0</v>
      </c>
      <c r="CB44" s="30" t="inlineStr"/>
      <c r="CC44" s="30" t="n">
        <v>0</v>
      </c>
      <c r="CD44" s="30" t="inlineStr"/>
      <c r="CE44" s="30" t="n">
        <v>0</v>
      </c>
      <c r="CF44" s="30" t="inlineStr"/>
      <c r="CG44" s="30" t="n">
        <v>0</v>
      </c>
      <c r="CH44" s="30" t="inlineStr"/>
      <c r="CI44" s="30" t="inlineStr"/>
      <c r="CJ44" s="30" t="inlineStr"/>
      <c r="CK44" s="30" t="inlineStr"/>
      <c r="CL44" s="30" t="inlineStr">
        <is>
          <t>2026-06-01 to 2026-06-30 (30-day window; excludes today; typical GSC lag ~48h)</t>
        </is>
      </c>
      <c r="CM44" s="30" t="inlineStr">
        <is>
          <t>No Search Analytics row matched this URL in the 30-day export (compare Final URL with the page URL shown in GSC)</t>
        </is>
      </c>
      <c r="CN44" s="30" t="n">
        <v>-1</v>
      </c>
      <c r="CO44" s="30" t="b">
        <v>1</v>
      </c>
      <c r="CP44" s="30" t="n">
        <v>0.012048</v>
      </c>
      <c r="CQ44" s="30" t="b">
        <v>1</v>
      </c>
      <c r="CR44" s="30" t="b">
        <v>1</v>
      </c>
      <c r="CS44" s="30" t="inlineStr">
        <is>
          <t>Both</t>
        </is>
      </c>
      <c r="CT44" s="76" t="inlineStr"/>
      <c r="CU44" s="30" t="n">
        <v>42</v>
      </c>
      <c r="CV44" s="29">
        <f>IFERROR(INDEX(OFFSET('Technical Diagnostics'!$A$1,2,MATCH("SEO Health Score",'Technical Diagnostics'!$2:$2,0)-1,99998,1),MATCH(B44,OFFSET('Technical Diagnostics'!$A$1,2,MATCH("URL",'Technical Diagnostics'!$2:$2,0)-1,99998,1),0)),"")</f>
        <v/>
      </c>
      <c r="CW44" s="32" t="n">
        <v>100</v>
      </c>
      <c r="CX44" s="29" t="n">
        <v>85</v>
      </c>
      <c r="CY44" s="32" t="b">
        <v>1</v>
      </c>
      <c r="CZ44" s="30" t="b">
        <v>0</v>
      </c>
      <c r="DA44" s="30" t="inlineStr"/>
      <c r="DB44" s="30" t="inlineStr"/>
      <c r="DC44" s="30" t="inlineStr"/>
      <c r="DD44" s="30" t="n">
        <v>0</v>
      </c>
      <c r="DE44" s="30" t="n">
        <v>0</v>
      </c>
      <c r="DF44" s="30" t="inlineStr"/>
      <c r="DG44" s="30" t="inlineStr"/>
      <c r="DH44" s="30" t="inlineStr"/>
      <c r="DI44" s="30" t="n">
        <v>6</v>
      </c>
      <c r="DJ44" s="30" t="inlineStr">
        <is>
          <t>Author 41</t>
        </is>
      </c>
      <c r="DK44" s="30" t="inlineStr"/>
      <c r="DL44" s="30" t="b">
        <v>1</v>
      </c>
      <c r="DM44" s="30" t="inlineStr"/>
      <c r="DN44" s="30" t="inlineStr">
        <is>
          <t>2026-06-01</t>
        </is>
      </c>
      <c r="DO44" s="30" t="inlineStr"/>
      <c r="DP44" s="30" t="inlineStr">
        <is>
          <t>2026-06-01</t>
        </is>
      </c>
      <c r="DQ44" s="30" t="inlineStr"/>
      <c r="DR44" s="30" t="b">
        <v>0</v>
      </c>
      <c r="DS44" s="30" t="b">
        <v>1</v>
      </c>
      <c r="DT44" s="30" t="b">
        <v>1</v>
      </c>
      <c r="DU44" s="30" t="b">
        <v>0</v>
      </c>
      <c r="DV44" s="30" t="n">
        <v>0</v>
      </c>
      <c r="DW44" s="30" t="b">
        <v>0</v>
      </c>
      <c r="DX44" s="30" t="b">
        <v>0</v>
      </c>
      <c r="DY44" s="30" t="b">
        <v>0</v>
      </c>
      <c r="DZ44" s="30" t="b">
        <v>0</v>
      </c>
      <c r="EA44" s="32" t="b">
        <v>0</v>
      </c>
      <c r="EB44" s="30" t="b">
        <v>0</v>
      </c>
      <c r="EC44" s="30" t="inlineStr"/>
      <c r="ED44" s="30" t="inlineStr"/>
      <c r="EE44" s="30" t="b">
        <v>0</v>
      </c>
      <c r="EF44" s="30" t="inlineStr"/>
      <c r="EG44" s="30" t="inlineStr"/>
      <c r="EH44" s="30" t="inlineStr"/>
      <c r="EI44" s="30" t="inlineStr"/>
      <c r="EJ44" s="30" t="inlineStr"/>
      <c r="EK44" s="30" t="inlineStr">
        <is>
          <t>Fresh</t>
        </is>
      </c>
      <c r="EL44" s="30" t="inlineStr">
        <is>
          <t>Smoke title 41</t>
        </is>
      </c>
      <c r="EM44" s="30" t="inlineStr">
        <is>
          <t>Smoke meta description for page 41.</t>
        </is>
      </c>
      <c r="EN44" s="30" t="inlineStr">
        <is>
          <t>article</t>
        </is>
      </c>
      <c r="EO44" s="76" t="inlineStr"/>
      <c r="EP44" s="76" t="inlineStr"/>
      <c r="EQ44" s="30" t="inlineStr"/>
      <c r="ER44" s="30" t="inlineStr"/>
      <c r="ES44" s="30" t="inlineStr"/>
      <c r="ET44" s="30" t="inlineStr"/>
      <c r="EU44" s="75" t="b">
        <v>0</v>
      </c>
      <c r="EV44" s="30" t="inlineStr">
        <is>
          <t>summary_large_image</t>
        </is>
      </c>
      <c r="EW44" s="30" t="inlineStr"/>
      <c r="EX44" s="30" t="inlineStr"/>
      <c r="EY44" s="30" t="inlineStr"/>
      <c r="EZ44" s="30" t="n">
        <v>0</v>
      </c>
      <c r="FA44" s="40" t="b">
        <v>0</v>
      </c>
      <c r="FB44" s="76" t="inlineStr">
        <is>
          <t>https://africanmarketingconfederation.org/smoke-archive/page-41</t>
        </is>
      </c>
      <c r="FC44" s="30" t="inlineStr"/>
      <c r="FD44" s="30" t="n">
        <v>0</v>
      </c>
      <c r="FE44" s="31" t="inlineStr"/>
      <c r="FF44" s="30" t="b">
        <v>0</v>
      </c>
      <c r="FG44" s="30" t="b">
        <v>0</v>
      </c>
      <c r="FH44" s="32" t="b">
        <v>0</v>
      </c>
      <c r="FI44" s="30" t="n">
        <v>0</v>
      </c>
      <c r="FJ44" s="30" t="inlineStr">
        <is>
          <t>https://africanmarketingconfederation.org/smoke-archive/page-41</t>
        </is>
      </c>
      <c r="FK44" s="30" t="inlineStr"/>
      <c r="FL44" s="32" t="b">
        <v>0</v>
      </c>
      <c r="FM44" s="30" t="b">
        <v>0</v>
      </c>
      <c r="FN44" s="32" t="b">
        <v>0</v>
      </c>
      <c r="FO44" s="30" t="inlineStr"/>
      <c r="FP44" s="30" t="inlineStr"/>
      <c r="FQ44" s="30" t="inlineStr"/>
      <c r="FR44" s="30" t="inlineStr"/>
      <c r="FS44" s="30" t="inlineStr"/>
      <c r="FT44" s="30" t="inlineStr"/>
      <c r="FU44" s="30" t="inlineStr">
        <is>
          <t>Not specified</t>
        </is>
      </c>
      <c r="FV44" s="30" t="inlineStr">
        <is>
          <t>Not specified</t>
        </is>
      </c>
      <c r="FW44" s="30" t="inlineStr">
        <is>
          <t>Not specified</t>
        </is>
      </c>
      <c r="FX44" s="30" t="inlineStr">
        <is>
          <t>Not specified</t>
        </is>
      </c>
      <c r="FY44" s="30" t="inlineStr">
        <is>
          <t>Not specified</t>
        </is>
      </c>
      <c r="FZ44" s="30" t="b">
        <v>0</v>
      </c>
      <c r="GA44" s="30" t="n">
        <v>0</v>
      </c>
      <c r="GB44" s="30" t="inlineStr"/>
      <c r="GC44" s="30" t="inlineStr"/>
      <c r="GD44" s="30" t="b">
        <v>0</v>
      </c>
      <c r="GE44" s="30" t="b">
        <v>0</v>
      </c>
      <c r="GF44" s="30" t="b">
        <v>0</v>
      </c>
      <c r="GG44" s="30" t="b">
        <v>0</v>
      </c>
      <c r="GH44" s="30" t="b">
        <v>0</v>
      </c>
      <c r="GI44" s="30" t="b">
        <v>0</v>
      </c>
      <c r="GJ44" s="30" t="n">
        <v>0</v>
      </c>
      <c r="GK44" s="30" t="n">
        <v>0</v>
      </c>
      <c r="GL44" s="30" t="n">
        <v>0</v>
      </c>
      <c r="GM44" s="76" t="inlineStr"/>
      <c r="GN44" s="76" t="inlineStr"/>
      <c r="GO44" s="32" t="b">
        <v>0</v>
      </c>
      <c r="GP44" s="30" t="inlineStr"/>
      <c r="GQ44" s="76" t="inlineStr"/>
      <c r="GR44" s="30" t="inlineStr">
        <is>
          <t>Not Declared</t>
        </is>
      </c>
      <c r="GS44" s="30" t="b">
        <v>1</v>
      </c>
      <c r="GT44" s="30" t="n">
        <v>64.59999999999999</v>
      </c>
      <c r="GU44" s="30" t="inlineStr">
        <is>
          <t>Orphan</t>
        </is>
      </c>
      <c r="GV44" s="30" t="n">
        <v>0</v>
      </c>
      <c r="GW44" s="34" t="n">
        <v>0</v>
      </c>
      <c r="GX44" s="30" t="b">
        <v>0</v>
      </c>
      <c r="GY44" s="30" t="inlineStr">
        <is>
          <t>FAQ</t>
        </is>
      </c>
      <c r="GZ44" s="30" t="n">
        <v>9</v>
      </c>
      <c r="HA44" s="30" t="b">
        <v>0</v>
      </c>
      <c r="HB44" s="30" t="inlineStr">
        <is>
          <t>smoke, body, copy, intent, classification</t>
        </is>
      </c>
      <c r="HC44" s="30" t="b">
        <v>0</v>
      </c>
      <c r="HD44" s="30" t="b">
        <v>0</v>
      </c>
      <c r="HE44" s="30" t="b">
        <v>0</v>
      </c>
      <c r="HF44" s="34" t="n">
        <v>0</v>
      </c>
      <c r="HG44" s="30" t="b">
        <v>0</v>
      </c>
      <c r="HH44" s="30" t="b">
        <v>0</v>
      </c>
      <c r="HI44" s="38">
        <f>IFERROR(HYPERLINK("#'Technical Diagnostics'!A"&amp;MATCH(B44,'Technical Diagnostics'!A:A,0),"Open Technical"),HYPERLINK("#'Technical Diagnostics'!A1","Open Technical"))</f>
        <v/>
      </c>
    </row>
    <row r="45" ht="18" customHeight="1">
      <c r="A45" s="28" t="inlineStr">
        <is>
          <t>WARN 🟡</t>
        </is>
      </c>
      <c r="B45" s="35" t="inlineStr">
        <is>
          <t>https://africanmarketingconfederation.org/smoke-archive/page-42</t>
        </is>
      </c>
      <c r="C45" s="28" t="inlineStr"/>
      <c r="D45" s="28" t="inlineStr">
        <is>
          <t>Indexable</t>
        </is>
      </c>
      <c r="E45" s="28" t="inlineStr"/>
      <c r="F45" s="28" t="inlineStr">
        <is>
          <t>Smoke title 42</t>
        </is>
      </c>
      <c r="G45" s="28" t="inlineStr">
        <is>
          <t>Smoke meta description for page 42.</t>
        </is>
      </c>
      <c r="H45" s="28" t="n">
        <v>362</v>
      </c>
      <c r="I45" s="28" t="n">
        <v>60</v>
      </c>
      <c r="J45" s="28" t="inlineStr">
        <is>
          <t>Warning</t>
        </is>
      </c>
      <c r="K45" s="28" t="inlineStr">
        <is>
          <t>Yes</t>
        </is>
      </c>
      <c r="L45" s="28" t="inlineStr"/>
      <c r="M45" s="28" t="inlineStr"/>
      <c r="N45" s="28" t="inlineStr">
        <is>
          <t>Lab only</t>
        </is>
      </c>
      <c r="O45" s="28" t="inlineStr">
        <is>
          <t>None</t>
        </is>
      </c>
      <c r="P45" s="28" t="inlineStr">
        <is>
          <t>PSI Lab</t>
        </is>
      </c>
      <c r="Q45" s="28" t="inlineStr">
        <is>
          <t>None</t>
        </is>
      </c>
      <c r="R45" s="28" t="inlineStr"/>
      <c r="S45" s="28" t="inlineStr"/>
      <c r="T45" s="28" t="inlineStr"/>
      <c r="U45" s="28" t="inlineStr"/>
      <c r="V45" s="28" t="inlineStr"/>
      <c r="W45" s="28" t="inlineStr"/>
      <c r="X45" s="28" t="inlineStr"/>
      <c r="Y45" s="28" t="inlineStr"/>
      <c r="Z45" s="28" t="inlineStr"/>
      <c r="AA45" s="28" t="n">
        <v>88</v>
      </c>
      <c r="AB45" s="28" t="n">
        <v>88</v>
      </c>
      <c r="AC45" s="28" t="n">
        <v>88</v>
      </c>
      <c r="AD45" s="28" t="n">
        <v>85</v>
      </c>
      <c r="AE45" s="28" t="n">
        <v>82</v>
      </c>
      <c r="AF45" s="28" t="n">
        <v>92</v>
      </c>
      <c r="AG45" s="28" t="n">
        <v>2.4</v>
      </c>
      <c r="AH45" s="28" t="n">
        <v>0.04</v>
      </c>
      <c r="AI45" s="28" t="n">
        <v>0.4</v>
      </c>
      <c r="AJ45" s="28" t="n">
        <v>2.4</v>
      </c>
      <c r="AK45" s="28" t="n">
        <v>0.04</v>
      </c>
      <c r="AL45" s="28" t="n">
        <v>180</v>
      </c>
      <c r="AM45" s="28" t="n">
        <v>120</v>
      </c>
      <c r="AN45" s="28" t="n">
        <v>1.8</v>
      </c>
      <c r="AO45" s="28" t="n">
        <v>3.2</v>
      </c>
      <c r="AP45" s="28" t="n">
        <v>4.1</v>
      </c>
      <c r="AQ45" s="28" t="n">
        <v>400</v>
      </c>
      <c r="AR45" s="28" t="n">
        <v>88</v>
      </c>
      <c r="AS45" s="28" t="n">
        <v>85</v>
      </c>
      <c r="AT45" s="28" t="n">
        <v>82</v>
      </c>
      <c r="AU45" s="28" t="n">
        <v>92</v>
      </c>
      <c r="AV45" s="28" t="n">
        <v>2.4</v>
      </c>
      <c r="AW45" s="28" t="n">
        <v>0.04</v>
      </c>
      <c r="AX45" s="28" t="n">
        <v>180</v>
      </c>
      <c r="AY45" s="28" t="n">
        <v>120</v>
      </c>
      <c r="AZ45" s="28" t="n">
        <v>1.8</v>
      </c>
      <c r="BA45" s="28" t="n">
        <v>3.2</v>
      </c>
      <c r="BB45" s="28" t="n">
        <v>4.1</v>
      </c>
      <c r="BC45" s="28" t="n">
        <v>400</v>
      </c>
      <c r="BD45" s="28" t="n">
        <v>500</v>
      </c>
      <c r="BE45" s="28" t="n">
        <v>842</v>
      </c>
      <c r="BF45" s="28" t="n">
        <v>1250</v>
      </c>
      <c r="BG45" s="28" t="n">
        <v>1</v>
      </c>
      <c r="BH45" s="28" t="b">
        <v>1</v>
      </c>
      <c r="BI45" s="34" t="b">
        <v>1</v>
      </c>
      <c r="BJ45" s="28" t="b">
        <v>1</v>
      </c>
      <c r="BK45" s="28" t="b">
        <v>1</v>
      </c>
      <c r="BL45" s="28" t="b">
        <v>0</v>
      </c>
      <c r="BM45" s="28" t="n">
        <v>65</v>
      </c>
      <c r="BN45" s="28" t="inlineStr">
        <is>
          <t>complete</t>
        </is>
      </c>
      <c r="BO45" s="28" t="inlineStr">
        <is>
          <t>rendered_browser</t>
        </is>
      </c>
      <c r="BP45" s="28" t="b">
        <v>0</v>
      </c>
      <c r="BQ45" s="28" t="n">
        <v>0</v>
      </c>
      <c r="BR45" s="28" t="n">
        <v>0</v>
      </c>
      <c r="BS45" s="28" t="inlineStr"/>
      <c r="BT45" s="28" t="b">
        <v>0</v>
      </c>
      <c r="BU45" s="28" t="inlineStr"/>
      <c r="BV45" s="28" t="inlineStr"/>
      <c r="BW45" s="28" t="n">
        <v>0</v>
      </c>
      <c r="BX45" s="28" t="inlineStr"/>
      <c r="BY45" s="28" t="n">
        <v>0</v>
      </c>
      <c r="BZ45" s="28" t="inlineStr"/>
      <c r="CA45" s="28" t="n">
        <v>0</v>
      </c>
      <c r="CB45" s="28" t="inlineStr"/>
      <c r="CC45" s="28" t="n">
        <v>0</v>
      </c>
      <c r="CD45" s="28" t="inlineStr"/>
      <c r="CE45" s="28" t="n">
        <v>0</v>
      </c>
      <c r="CF45" s="28" t="inlineStr"/>
      <c r="CG45" s="28" t="n">
        <v>0</v>
      </c>
      <c r="CH45" s="28" t="inlineStr"/>
      <c r="CI45" s="28" t="inlineStr"/>
      <c r="CJ45" s="28" t="inlineStr"/>
      <c r="CK45" s="28" t="inlineStr"/>
      <c r="CL45" s="28" t="inlineStr">
        <is>
          <t>2026-06-01 to 2026-06-30 (30-day window; excludes today; typical GSC lag ~48h)</t>
        </is>
      </c>
      <c r="CM45" s="28" t="inlineStr">
        <is>
          <t>No Search Analytics row matched this URL in the 30-day export (compare Final URL with the page URL shown in GSC)</t>
        </is>
      </c>
      <c r="CN45" s="28" t="n">
        <v>-1</v>
      </c>
      <c r="CO45" s="28" t="b">
        <v>1</v>
      </c>
      <c r="CP45" s="28" t="n">
        <v>0.012048</v>
      </c>
      <c r="CQ45" s="28" t="b">
        <v>1</v>
      </c>
      <c r="CR45" s="28" t="b">
        <v>1</v>
      </c>
      <c r="CS45" s="28" t="inlineStr">
        <is>
          <t>Both</t>
        </is>
      </c>
      <c r="CT45" s="74" t="inlineStr"/>
      <c r="CU45" s="28" t="n">
        <v>43</v>
      </c>
      <c r="CV45" s="34">
        <f>IFERROR(INDEX(OFFSET('Technical Diagnostics'!$A$1,2,MATCH("SEO Health Score",'Technical Diagnostics'!$2:$2,0)-1,99998,1),MATCH(B45,OFFSET('Technical Diagnostics'!$A$1,2,MATCH("URL",'Technical Diagnostics'!$2:$2,0)-1,99998,1),0)),"")</f>
        <v/>
      </c>
      <c r="CW45" s="32" t="n">
        <v>100</v>
      </c>
      <c r="CX45" s="29" t="n">
        <v>70</v>
      </c>
      <c r="CY45" s="32" t="b">
        <v>1</v>
      </c>
      <c r="CZ45" s="28" t="b">
        <v>0</v>
      </c>
      <c r="DA45" s="28" t="inlineStr"/>
      <c r="DB45" s="28" t="inlineStr"/>
      <c r="DC45" s="28" t="inlineStr"/>
      <c r="DD45" s="28" t="n">
        <v>0</v>
      </c>
      <c r="DE45" s="28" t="n">
        <v>0</v>
      </c>
      <c r="DF45" s="28" t="inlineStr"/>
      <c r="DG45" s="28" t="inlineStr"/>
      <c r="DH45" s="28" t="inlineStr"/>
      <c r="DI45" s="28" t="n">
        <v>2</v>
      </c>
      <c r="DJ45" s="28" t="inlineStr"/>
      <c r="DK45" s="28" t="inlineStr"/>
      <c r="DL45" s="28" t="b">
        <v>0</v>
      </c>
      <c r="DM45" s="28" t="inlineStr"/>
      <c r="DN45" s="28" t="inlineStr">
        <is>
          <t>2026-06-01</t>
        </is>
      </c>
      <c r="DO45" s="28" t="inlineStr"/>
      <c r="DP45" s="28" t="inlineStr">
        <is>
          <t>2026-06-01</t>
        </is>
      </c>
      <c r="DQ45" s="28" t="inlineStr"/>
      <c r="DR45" s="28" t="b">
        <v>0</v>
      </c>
      <c r="DS45" s="28" t="b">
        <v>1</v>
      </c>
      <c r="DT45" s="28" t="b">
        <v>1</v>
      </c>
      <c r="DU45" s="28" t="b">
        <v>0</v>
      </c>
      <c r="DV45" s="28" t="n">
        <v>0</v>
      </c>
      <c r="DW45" s="28" t="b">
        <v>0</v>
      </c>
      <c r="DX45" s="28" t="b">
        <v>0</v>
      </c>
      <c r="DY45" s="28" t="b">
        <v>0</v>
      </c>
      <c r="DZ45" s="28" t="b">
        <v>0</v>
      </c>
      <c r="EA45" s="32" t="b">
        <v>0</v>
      </c>
      <c r="EB45" s="28" t="b">
        <v>0</v>
      </c>
      <c r="EC45" s="28" t="inlineStr"/>
      <c r="ED45" s="28" t="inlineStr"/>
      <c r="EE45" s="28" t="b">
        <v>0</v>
      </c>
      <c r="EF45" s="28" t="inlineStr"/>
      <c r="EG45" s="28" t="inlineStr"/>
      <c r="EH45" s="28" t="inlineStr"/>
      <c r="EI45" s="28" t="inlineStr">
        <is>
          <t>2026-06-01</t>
        </is>
      </c>
      <c r="EJ45" s="28" t="inlineStr"/>
      <c r="EK45" s="28" t="inlineStr">
        <is>
          <t>Fresh</t>
        </is>
      </c>
      <c r="EL45" s="28" t="inlineStr">
        <is>
          <t>Smoke title 42</t>
        </is>
      </c>
      <c r="EM45" s="28" t="inlineStr">
        <is>
          <t>Smoke meta description for page 42.</t>
        </is>
      </c>
      <c r="EN45" s="28" t="inlineStr">
        <is>
          <t>article</t>
        </is>
      </c>
      <c r="EO45" s="74" t="inlineStr"/>
      <c r="EP45" s="74" t="inlineStr"/>
      <c r="EQ45" s="28" t="inlineStr"/>
      <c r="ER45" s="28" t="inlineStr"/>
      <c r="ES45" s="28" t="inlineStr"/>
      <c r="ET45" s="28" t="inlineStr"/>
      <c r="EU45" s="75" t="b">
        <v>0</v>
      </c>
      <c r="EV45" s="28" t="inlineStr">
        <is>
          <t>summary_large_image</t>
        </is>
      </c>
      <c r="EW45" s="28" t="inlineStr"/>
      <c r="EX45" s="28" t="inlineStr"/>
      <c r="EY45" s="28" t="inlineStr"/>
      <c r="EZ45" s="28" t="n">
        <v>0</v>
      </c>
      <c r="FA45" s="40" t="b">
        <v>0</v>
      </c>
      <c r="FB45" s="74" t="inlineStr">
        <is>
          <t>https://africanmarketingconfederation.org/smoke-archive/page-42</t>
        </is>
      </c>
      <c r="FC45" s="28" t="inlineStr"/>
      <c r="FD45" s="28" t="n">
        <v>0</v>
      </c>
      <c r="FE45" s="20" t="inlineStr"/>
      <c r="FF45" s="28" t="b">
        <v>0</v>
      </c>
      <c r="FG45" s="28" t="b">
        <v>0</v>
      </c>
      <c r="FH45" s="32" t="b">
        <v>0</v>
      </c>
      <c r="FI45" s="28" t="n">
        <v>0</v>
      </c>
      <c r="FJ45" s="28" t="inlineStr">
        <is>
          <t>https://africanmarketingconfederation.org/smoke-archive/page-42</t>
        </is>
      </c>
      <c r="FK45" s="28" t="inlineStr"/>
      <c r="FL45" s="32" t="b">
        <v>0</v>
      </c>
      <c r="FM45" s="28" t="b">
        <v>0</v>
      </c>
      <c r="FN45" s="32" t="b">
        <v>0</v>
      </c>
      <c r="FO45" s="28" t="inlineStr"/>
      <c r="FP45" s="28" t="inlineStr"/>
      <c r="FQ45" s="28" t="inlineStr"/>
      <c r="FR45" s="28" t="inlineStr"/>
      <c r="FS45" s="28" t="inlineStr"/>
      <c r="FT45" s="28" t="inlineStr"/>
      <c r="FU45" s="28" t="inlineStr">
        <is>
          <t>Not specified</t>
        </is>
      </c>
      <c r="FV45" s="28" t="inlineStr">
        <is>
          <t>Not specified</t>
        </is>
      </c>
      <c r="FW45" s="28" t="inlineStr">
        <is>
          <t>Not specified</t>
        </is>
      </c>
      <c r="FX45" s="28" t="inlineStr">
        <is>
          <t>Not specified</t>
        </is>
      </c>
      <c r="FY45" s="28" t="inlineStr">
        <is>
          <t>Not specified</t>
        </is>
      </c>
      <c r="FZ45" s="28" t="b">
        <v>0</v>
      </c>
      <c r="GA45" s="28" t="n">
        <v>0</v>
      </c>
      <c r="GB45" s="28" t="inlineStr"/>
      <c r="GC45" s="28" t="inlineStr"/>
      <c r="GD45" s="28" t="b">
        <v>0</v>
      </c>
      <c r="GE45" s="28" t="b">
        <v>0</v>
      </c>
      <c r="GF45" s="28" t="b">
        <v>0</v>
      </c>
      <c r="GG45" s="28" t="b">
        <v>0</v>
      </c>
      <c r="GH45" s="28" t="b">
        <v>0</v>
      </c>
      <c r="GI45" s="28" t="b">
        <v>0</v>
      </c>
      <c r="GJ45" s="28" t="n">
        <v>0</v>
      </c>
      <c r="GK45" s="28" t="n">
        <v>0</v>
      </c>
      <c r="GL45" s="28" t="n">
        <v>0</v>
      </c>
      <c r="GM45" s="74" t="inlineStr"/>
      <c r="GN45" s="74" t="inlineStr"/>
      <c r="GO45" s="32" t="b">
        <v>0</v>
      </c>
      <c r="GP45" s="28" t="inlineStr"/>
      <c r="GQ45" s="74" t="inlineStr"/>
      <c r="GR45" s="28" t="inlineStr">
        <is>
          <t>Not Declared</t>
        </is>
      </c>
      <c r="GS45" s="28" t="b">
        <v>1</v>
      </c>
      <c r="GT45" s="28" t="n">
        <v>12.2</v>
      </c>
      <c r="GU45" s="28" t="inlineStr">
        <is>
          <t>Orphan</t>
        </is>
      </c>
      <c r="GV45" s="28" t="n">
        <v>0</v>
      </c>
      <c r="GW45" s="34" t="n">
        <v>0</v>
      </c>
      <c r="GX45" s="28" t="b">
        <v>0</v>
      </c>
      <c r="GY45" s="28" t="inlineStr">
        <is>
          <t>FAQ</t>
        </is>
      </c>
      <c r="GZ45" s="28" t="n">
        <v>9</v>
      </c>
      <c r="HA45" s="28" t="b">
        <v>0</v>
      </c>
      <c r="HB45" s="28" t="inlineStr">
        <is>
          <t>smoke, body, copy, intent, classification</t>
        </is>
      </c>
      <c r="HC45" s="28" t="b">
        <v>0</v>
      </c>
      <c r="HD45" s="28" t="b">
        <v>0</v>
      </c>
      <c r="HE45" s="28" t="b">
        <v>0</v>
      </c>
      <c r="HF45" s="34" t="n">
        <v>0</v>
      </c>
      <c r="HG45" s="28" t="b">
        <v>0</v>
      </c>
      <c r="HH45" s="28" t="b">
        <v>0</v>
      </c>
      <c r="HI45">
        <f>IFERROR(HYPERLINK("#'Technical Diagnostics'!A"&amp;MATCH(B45,'Technical Diagnostics'!A:A,0),"Open Technical"),HYPERLINK("#'Technical Diagnostics'!A1","Open Technical"))</f>
        <v/>
      </c>
    </row>
    <row r="46" ht="18" customHeight="1">
      <c r="A46" s="30" t="inlineStr">
        <is>
          <t>WARN 🟡</t>
        </is>
      </c>
      <c r="B46" s="37" t="inlineStr">
        <is>
          <t>https://africanmarketingconfederation.org/smoke-archive/page-43</t>
        </is>
      </c>
      <c r="C46" s="30" t="inlineStr"/>
      <c r="D46" s="30" t="inlineStr">
        <is>
          <t>Indexable</t>
        </is>
      </c>
      <c r="E46" s="30" t="inlineStr"/>
      <c r="F46" s="30" t="inlineStr">
        <is>
          <t>Smoke title 43</t>
        </is>
      </c>
      <c r="G46" s="30" t="inlineStr">
        <is>
          <t>Smoke meta description for page 43.</t>
        </is>
      </c>
      <c r="H46" s="30" t="n">
        <v>363</v>
      </c>
      <c r="I46" s="30" t="n">
        <v>80</v>
      </c>
      <c r="J46" s="30" t="inlineStr">
        <is>
          <t>Warning</t>
        </is>
      </c>
      <c r="K46" s="30" t="inlineStr">
        <is>
          <t>Yes</t>
        </is>
      </c>
      <c r="L46" s="30" t="inlineStr"/>
      <c r="M46" s="30" t="inlineStr"/>
      <c r="N46" s="30" t="inlineStr">
        <is>
          <t>Lab only</t>
        </is>
      </c>
      <c r="O46" s="30" t="inlineStr">
        <is>
          <t>None</t>
        </is>
      </c>
      <c r="P46" s="30" t="inlineStr">
        <is>
          <t>PSI Lab</t>
        </is>
      </c>
      <c r="Q46" s="30" t="inlineStr">
        <is>
          <t>None</t>
        </is>
      </c>
      <c r="R46" s="30" t="inlineStr"/>
      <c r="S46" s="30" t="inlineStr"/>
      <c r="T46" s="30" t="inlineStr"/>
      <c r="U46" s="30" t="inlineStr"/>
      <c r="V46" s="30" t="inlineStr"/>
      <c r="W46" s="30" t="inlineStr"/>
      <c r="X46" s="30" t="inlineStr"/>
      <c r="Y46" s="30" t="inlineStr"/>
      <c r="Z46" s="30" t="inlineStr"/>
      <c r="AA46" s="30" t="n">
        <v>88</v>
      </c>
      <c r="AB46" s="30" t="n">
        <v>88</v>
      </c>
      <c r="AC46" s="30" t="n">
        <v>88</v>
      </c>
      <c r="AD46" s="30" t="n">
        <v>85</v>
      </c>
      <c r="AE46" s="30" t="n">
        <v>82</v>
      </c>
      <c r="AF46" s="30" t="n">
        <v>92</v>
      </c>
      <c r="AG46" s="30" t="n">
        <v>2.4</v>
      </c>
      <c r="AH46" s="30" t="n">
        <v>0.04</v>
      </c>
      <c r="AI46" s="30" t="n">
        <v>0.4</v>
      </c>
      <c r="AJ46" s="30" t="n">
        <v>2.4</v>
      </c>
      <c r="AK46" s="30" t="n">
        <v>0.04</v>
      </c>
      <c r="AL46" s="30" t="n">
        <v>180</v>
      </c>
      <c r="AM46" s="30" t="n">
        <v>120</v>
      </c>
      <c r="AN46" s="30" t="n">
        <v>1.8</v>
      </c>
      <c r="AO46" s="30" t="n">
        <v>3.2</v>
      </c>
      <c r="AP46" s="30" t="n">
        <v>4.1</v>
      </c>
      <c r="AQ46" s="30" t="n">
        <v>400</v>
      </c>
      <c r="AR46" s="30" t="n">
        <v>88</v>
      </c>
      <c r="AS46" s="30" t="n">
        <v>85</v>
      </c>
      <c r="AT46" s="30" t="n">
        <v>82</v>
      </c>
      <c r="AU46" s="30" t="n">
        <v>92</v>
      </c>
      <c r="AV46" s="30" t="n">
        <v>2.4</v>
      </c>
      <c r="AW46" s="30" t="n">
        <v>0.04</v>
      </c>
      <c r="AX46" s="30" t="n">
        <v>180</v>
      </c>
      <c r="AY46" s="30" t="n">
        <v>120</v>
      </c>
      <c r="AZ46" s="30" t="n">
        <v>1.8</v>
      </c>
      <c r="BA46" s="30" t="n">
        <v>3.2</v>
      </c>
      <c r="BB46" s="30" t="n">
        <v>4.1</v>
      </c>
      <c r="BC46" s="30" t="n">
        <v>400</v>
      </c>
      <c r="BD46" s="30" t="n">
        <v>500</v>
      </c>
      <c r="BE46" s="30" t="n">
        <v>842</v>
      </c>
      <c r="BF46" s="30" t="n">
        <v>1250</v>
      </c>
      <c r="BG46" s="30" t="n">
        <v>1</v>
      </c>
      <c r="BH46" s="30" t="b">
        <v>1</v>
      </c>
      <c r="BI46" s="34" t="b">
        <v>1</v>
      </c>
      <c r="BJ46" s="30" t="b">
        <v>1</v>
      </c>
      <c r="BK46" s="30" t="b">
        <v>1</v>
      </c>
      <c r="BL46" s="30" t="b">
        <v>0</v>
      </c>
      <c r="BM46" s="30" t="n">
        <v>65</v>
      </c>
      <c r="BN46" s="30" t="inlineStr">
        <is>
          <t>complete</t>
        </is>
      </c>
      <c r="BO46" s="30" t="inlineStr">
        <is>
          <t>rendered_browser</t>
        </is>
      </c>
      <c r="BP46" s="30" t="b">
        <v>0</v>
      </c>
      <c r="BQ46" s="30" t="n">
        <v>0</v>
      </c>
      <c r="BR46" s="30" t="n">
        <v>0</v>
      </c>
      <c r="BS46" s="30" t="inlineStr"/>
      <c r="BT46" s="30" t="b">
        <v>0</v>
      </c>
      <c r="BU46" s="30" t="inlineStr"/>
      <c r="BV46" s="30" t="inlineStr"/>
      <c r="BW46" s="30" t="n">
        <v>0</v>
      </c>
      <c r="BX46" s="30" t="inlineStr"/>
      <c r="BY46" s="30" t="n">
        <v>0</v>
      </c>
      <c r="BZ46" s="30" t="inlineStr"/>
      <c r="CA46" s="30" t="n">
        <v>0</v>
      </c>
      <c r="CB46" s="30" t="inlineStr"/>
      <c r="CC46" s="30" t="n">
        <v>0</v>
      </c>
      <c r="CD46" s="30" t="inlineStr"/>
      <c r="CE46" s="30" t="n">
        <v>0</v>
      </c>
      <c r="CF46" s="30" t="inlineStr"/>
      <c r="CG46" s="30" t="n">
        <v>0</v>
      </c>
      <c r="CH46" s="30" t="inlineStr"/>
      <c r="CI46" s="30" t="inlineStr"/>
      <c r="CJ46" s="30" t="inlineStr"/>
      <c r="CK46" s="30" t="inlineStr"/>
      <c r="CL46" s="30" t="inlineStr">
        <is>
          <t>2026-06-01 to 2026-06-30 (30-day window; excludes today; typical GSC lag ~48h)</t>
        </is>
      </c>
      <c r="CM46" s="30" t="inlineStr">
        <is>
          <t>No Search Analytics row matched this URL in the 30-day export (compare Final URL with the page URL shown in GSC)</t>
        </is>
      </c>
      <c r="CN46" s="30" t="n">
        <v>-1</v>
      </c>
      <c r="CO46" s="30" t="b">
        <v>1</v>
      </c>
      <c r="CP46" s="30" t="n">
        <v>0.012048</v>
      </c>
      <c r="CQ46" s="30" t="b">
        <v>1</v>
      </c>
      <c r="CR46" s="30" t="b">
        <v>1</v>
      </c>
      <c r="CS46" s="30" t="inlineStr">
        <is>
          <t>Both</t>
        </is>
      </c>
      <c r="CT46" s="76" t="inlineStr"/>
      <c r="CU46" s="30" t="n">
        <v>44</v>
      </c>
      <c r="CV46" s="29">
        <f>IFERROR(INDEX(OFFSET('Technical Diagnostics'!$A$1,2,MATCH("SEO Health Score",'Technical Diagnostics'!$2:$2,0)-1,99998,1),MATCH(B46,OFFSET('Technical Diagnostics'!$A$1,2,MATCH("URL",'Technical Diagnostics'!$2:$2,0)-1,99998,1),0)),"")</f>
        <v/>
      </c>
      <c r="CW46" s="32" t="n">
        <v>100</v>
      </c>
      <c r="CX46" s="29" t="n">
        <v>85</v>
      </c>
      <c r="CY46" s="32" t="b">
        <v>1</v>
      </c>
      <c r="CZ46" s="30" t="b">
        <v>0</v>
      </c>
      <c r="DA46" s="30" t="inlineStr"/>
      <c r="DB46" s="30" t="inlineStr"/>
      <c r="DC46" s="30" t="inlineStr"/>
      <c r="DD46" s="30" t="n">
        <v>0</v>
      </c>
      <c r="DE46" s="30" t="n">
        <v>0</v>
      </c>
      <c r="DF46" s="30" t="inlineStr"/>
      <c r="DG46" s="30" t="inlineStr"/>
      <c r="DH46" s="30" t="inlineStr"/>
      <c r="DI46" s="30" t="n">
        <v>6</v>
      </c>
      <c r="DJ46" s="30" t="inlineStr">
        <is>
          <t>Author 43</t>
        </is>
      </c>
      <c r="DK46" s="30" t="inlineStr"/>
      <c r="DL46" s="30" t="b">
        <v>1</v>
      </c>
      <c r="DM46" s="30" t="inlineStr"/>
      <c r="DN46" s="30" t="inlineStr">
        <is>
          <t>2026-06-01</t>
        </is>
      </c>
      <c r="DO46" s="30" t="inlineStr"/>
      <c r="DP46" s="30" t="inlineStr">
        <is>
          <t>2026-06-01</t>
        </is>
      </c>
      <c r="DQ46" s="30" t="inlineStr"/>
      <c r="DR46" s="30" t="b">
        <v>0</v>
      </c>
      <c r="DS46" s="30" t="b">
        <v>1</v>
      </c>
      <c r="DT46" s="30" t="b">
        <v>1</v>
      </c>
      <c r="DU46" s="30" t="b">
        <v>0</v>
      </c>
      <c r="DV46" s="30" t="n">
        <v>0</v>
      </c>
      <c r="DW46" s="30" t="b">
        <v>0</v>
      </c>
      <c r="DX46" s="30" t="b">
        <v>0</v>
      </c>
      <c r="DY46" s="30" t="b">
        <v>0</v>
      </c>
      <c r="DZ46" s="30" t="b">
        <v>0</v>
      </c>
      <c r="EA46" s="32" t="b">
        <v>0</v>
      </c>
      <c r="EB46" s="30" t="b">
        <v>0</v>
      </c>
      <c r="EC46" s="30" t="inlineStr"/>
      <c r="ED46" s="30" t="inlineStr"/>
      <c r="EE46" s="30" t="b">
        <v>0</v>
      </c>
      <c r="EF46" s="30" t="inlineStr"/>
      <c r="EG46" s="30" t="inlineStr"/>
      <c r="EH46" s="30" t="inlineStr"/>
      <c r="EI46" s="30" t="inlineStr"/>
      <c r="EJ46" s="30" t="inlineStr"/>
      <c r="EK46" s="30" t="inlineStr">
        <is>
          <t>Fresh</t>
        </is>
      </c>
      <c r="EL46" s="30" t="inlineStr">
        <is>
          <t>Smoke title 43</t>
        </is>
      </c>
      <c r="EM46" s="30" t="inlineStr">
        <is>
          <t>Smoke meta description for page 43.</t>
        </is>
      </c>
      <c r="EN46" s="30" t="inlineStr">
        <is>
          <t>article</t>
        </is>
      </c>
      <c r="EO46" s="76" t="inlineStr"/>
      <c r="EP46" s="76" t="inlineStr"/>
      <c r="EQ46" s="30" t="inlineStr"/>
      <c r="ER46" s="30" t="inlineStr"/>
      <c r="ES46" s="30" t="inlineStr"/>
      <c r="ET46" s="30" t="inlineStr"/>
      <c r="EU46" s="75" t="b">
        <v>0</v>
      </c>
      <c r="EV46" s="30" t="inlineStr">
        <is>
          <t>summary_large_image</t>
        </is>
      </c>
      <c r="EW46" s="30" t="inlineStr"/>
      <c r="EX46" s="30" t="inlineStr"/>
      <c r="EY46" s="30" t="inlineStr"/>
      <c r="EZ46" s="30" t="n">
        <v>0</v>
      </c>
      <c r="FA46" s="40" t="b">
        <v>0</v>
      </c>
      <c r="FB46" s="76" t="inlineStr">
        <is>
          <t>https://africanmarketingconfederation.org/smoke-archive/page-43</t>
        </is>
      </c>
      <c r="FC46" s="30" t="inlineStr"/>
      <c r="FD46" s="30" t="n">
        <v>0</v>
      </c>
      <c r="FE46" s="31" t="inlineStr"/>
      <c r="FF46" s="30" t="b">
        <v>0</v>
      </c>
      <c r="FG46" s="30" t="b">
        <v>0</v>
      </c>
      <c r="FH46" s="32" t="b">
        <v>0</v>
      </c>
      <c r="FI46" s="30" t="n">
        <v>0</v>
      </c>
      <c r="FJ46" s="30" t="inlineStr">
        <is>
          <t>https://africanmarketingconfederation.org/smoke-archive/page-43</t>
        </is>
      </c>
      <c r="FK46" s="30" t="inlineStr"/>
      <c r="FL46" s="32" t="b">
        <v>0</v>
      </c>
      <c r="FM46" s="30" t="b">
        <v>0</v>
      </c>
      <c r="FN46" s="32" t="b">
        <v>0</v>
      </c>
      <c r="FO46" s="30" t="inlineStr"/>
      <c r="FP46" s="30" t="inlineStr"/>
      <c r="FQ46" s="30" t="inlineStr"/>
      <c r="FR46" s="30" t="inlineStr"/>
      <c r="FS46" s="30" t="inlineStr"/>
      <c r="FT46" s="30" t="inlineStr"/>
      <c r="FU46" s="30" t="inlineStr">
        <is>
          <t>Not specified</t>
        </is>
      </c>
      <c r="FV46" s="30" t="inlineStr">
        <is>
          <t>Not specified</t>
        </is>
      </c>
      <c r="FW46" s="30" t="inlineStr">
        <is>
          <t>Not specified</t>
        </is>
      </c>
      <c r="FX46" s="30" t="inlineStr">
        <is>
          <t>Not specified</t>
        </is>
      </c>
      <c r="FY46" s="30" t="inlineStr">
        <is>
          <t>Not specified</t>
        </is>
      </c>
      <c r="FZ46" s="30" t="b">
        <v>0</v>
      </c>
      <c r="GA46" s="30" t="n">
        <v>0</v>
      </c>
      <c r="GB46" s="30" t="inlineStr"/>
      <c r="GC46" s="30" t="inlineStr"/>
      <c r="GD46" s="30" t="b">
        <v>0</v>
      </c>
      <c r="GE46" s="30" t="b">
        <v>0</v>
      </c>
      <c r="GF46" s="30" t="b">
        <v>0</v>
      </c>
      <c r="GG46" s="30" t="b">
        <v>0</v>
      </c>
      <c r="GH46" s="30" t="b">
        <v>0</v>
      </c>
      <c r="GI46" s="30" t="b">
        <v>0</v>
      </c>
      <c r="GJ46" s="30" t="n">
        <v>0</v>
      </c>
      <c r="GK46" s="30" t="n">
        <v>0</v>
      </c>
      <c r="GL46" s="30" t="n">
        <v>0</v>
      </c>
      <c r="GM46" s="76" t="inlineStr"/>
      <c r="GN46" s="76" t="inlineStr"/>
      <c r="GO46" s="32" t="b">
        <v>0</v>
      </c>
      <c r="GP46" s="30" t="inlineStr"/>
      <c r="GQ46" s="76" t="inlineStr"/>
      <c r="GR46" s="30" t="inlineStr">
        <is>
          <t>Not Declared</t>
        </is>
      </c>
      <c r="GS46" s="30" t="b">
        <v>1</v>
      </c>
      <c r="GT46" s="30" t="n">
        <v>30.5</v>
      </c>
      <c r="GU46" s="30" t="inlineStr">
        <is>
          <t>Orphan</t>
        </is>
      </c>
      <c r="GV46" s="30" t="n">
        <v>0</v>
      </c>
      <c r="GW46" s="34" t="n">
        <v>0</v>
      </c>
      <c r="GX46" s="30" t="b">
        <v>0</v>
      </c>
      <c r="GY46" s="30" t="inlineStr">
        <is>
          <t>FAQ</t>
        </is>
      </c>
      <c r="GZ46" s="30" t="n">
        <v>9</v>
      </c>
      <c r="HA46" s="30" t="b">
        <v>0</v>
      </c>
      <c r="HB46" s="30" t="inlineStr">
        <is>
          <t>smoke, body, copy, intent, classification</t>
        </is>
      </c>
      <c r="HC46" s="30" t="b">
        <v>0</v>
      </c>
      <c r="HD46" s="30" t="b">
        <v>0</v>
      </c>
      <c r="HE46" s="30" t="b">
        <v>0</v>
      </c>
      <c r="HF46" s="34" t="n">
        <v>0</v>
      </c>
      <c r="HG46" s="30" t="b">
        <v>0</v>
      </c>
      <c r="HH46" s="30" t="b">
        <v>0</v>
      </c>
      <c r="HI46" s="38">
        <f>IFERROR(HYPERLINK("#'Technical Diagnostics'!A"&amp;MATCH(B46,'Technical Diagnostics'!A:A,0),"Open Technical"),HYPERLINK("#'Technical Diagnostics'!A1","Open Technical"))</f>
        <v/>
      </c>
    </row>
    <row r="47" ht="18" customHeight="1">
      <c r="A47" s="28" t="inlineStr">
        <is>
          <t>OBS 🔵</t>
        </is>
      </c>
      <c r="B47" s="35" t="inlineStr">
        <is>
          <t>https://africanmarketingconfederation.org/smoke-archive/page-44</t>
        </is>
      </c>
      <c r="C47" s="28" t="inlineStr"/>
      <c r="D47" s="28" t="inlineStr">
        <is>
          <t>Indexable</t>
        </is>
      </c>
      <c r="E47" s="28" t="inlineStr"/>
      <c r="F47" s="28" t="inlineStr">
        <is>
          <t>Smoke title 44</t>
        </is>
      </c>
      <c r="G47" s="28" t="inlineStr">
        <is>
          <t>Smoke meta description for page 44.</t>
        </is>
      </c>
      <c r="H47" s="28" t="n">
        <v>364</v>
      </c>
      <c r="I47" s="28" t="n">
        <v>90</v>
      </c>
      <c r="J47" s="28" t="inlineStr">
        <is>
          <t>Observation</t>
        </is>
      </c>
      <c r="K47" s="28" t="inlineStr">
        <is>
          <t>No</t>
        </is>
      </c>
      <c r="L47" s="28" t="inlineStr"/>
      <c r="M47" s="28" t="inlineStr"/>
      <c r="N47" s="28" t="inlineStr">
        <is>
          <t>Lab only</t>
        </is>
      </c>
      <c r="O47" s="28" t="inlineStr">
        <is>
          <t>None</t>
        </is>
      </c>
      <c r="P47" s="28" t="inlineStr">
        <is>
          <t>PSI Lab</t>
        </is>
      </c>
      <c r="Q47" s="28" t="inlineStr">
        <is>
          <t>None</t>
        </is>
      </c>
      <c r="R47" s="28" t="inlineStr"/>
      <c r="S47" s="28" t="inlineStr"/>
      <c r="T47" s="28" t="inlineStr"/>
      <c r="U47" s="28" t="inlineStr"/>
      <c r="V47" s="28" t="inlineStr"/>
      <c r="W47" s="28" t="inlineStr"/>
      <c r="X47" s="28" t="inlineStr"/>
      <c r="Y47" s="28" t="inlineStr"/>
      <c r="Z47" s="28" t="inlineStr"/>
      <c r="AA47" s="28" t="n">
        <v>88</v>
      </c>
      <c r="AB47" s="28" t="n">
        <v>88</v>
      </c>
      <c r="AC47" s="28" t="n">
        <v>88</v>
      </c>
      <c r="AD47" s="28" t="n">
        <v>85</v>
      </c>
      <c r="AE47" s="28" t="n">
        <v>82</v>
      </c>
      <c r="AF47" s="28" t="n">
        <v>92</v>
      </c>
      <c r="AG47" s="28" t="n">
        <v>2.4</v>
      </c>
      <c r="AH47" s="28" t="n">
        <v>0.04</v>
      </c>
      <c r="AI47" s="28" t="n">
        <v>0.4</v>
      </c>
      <c r="AJ47" s="28" t="n">
        <v>2.4</v>
      </c>
      <c r="AK47" s="28" t="n">
        <v>0.04</v>
      </c>
      <c r="AL47" s="28" t="n">
        <v>180</v>
      </c>
      <c r="AM47" s="28" t="n">
        <v>120</v>
      </c>
      <c r="AN47" s="28" t="n">
        <v>1.8</v>
      </c>
      <c r="AO47" s="28" t="n">
        <v>3.2</v>
      </c>
      <c r="AP47" s="28" t="n">
        <v>4.1</v>
      </c>
      <c r="AQ47" s="28" t="n">
        <v>400</v>
      </c>
      <c r="AR47" s="28" t="n">
        <v>88</v>
      </c>
      <c r="AS47" s="28" t="n">
        <v>85</v>
      </c>
      <c r="AT47" s="28" t="n">
        <v>82</v>
      </c>
      <c r="AU47" s="28" t="n">
        <v>92</v>
      </c>
      <c r="AV47" s="28" t="n">
        <v>2.4</v>
      </c>
      <c r="AW47" s="28" t="n">
        <v>0.04</v>
      </c>
      <c r="AX47" s="28" t="n">
        <v>180</v>
      </c>
      <c r="AY47" s="28" t="n">
        <v>120</v>
      </c>
      <c r="AZ47" s="28" t="n">
        <v>1.8</v>
      </c>
      <c r="BA47" s="28" t="n">
        <v>3.2</v>
      </c>
      <c r="BB47" s="28" t="n">
        <v>4.1</v>
      </c>
      <c r="BC47" s="28" t="n">
        <v>400</v>
      </c>
      <c r="BD47" s="28" t="n">
        <v>500</v>
      </c>
      <c r="BE47" s="28" t="n">
        <v>842</v>
      </c>
      <c r="BF47" s="28" t="n">
        <v>1250</v>
      </c>
      <c r="BG47" s="28" t="n">
        <v>1</v>
      </c>
      <c r="BH47" s="28" t="b">
        <v>1</v>
      </c>
      <c r="BI47" s="34" t="b">
        <v>1</v>
      </c>
      <c r="BJ47" s="28" t="b">
        <v>1</v>
      </c>
      <c r="BK47" s="28" t="b">
        <v>1</v>
      </c>
      <c r="BL47" s="28" t="b">
        <v>0</v>
      </c>
      <c r="BM47" s="28" t="n">
        <v>65</v>
      </c>
      <c r="BN47" s="28" t="inlineStr">
        <is>
          <t>complete</t>
        </is>
      </c>
      <c r="BO47" s="28" t="inlineStr">
        <is>
          <t>rendered_browser</t>
        </is>
      </c>
      <c r="BP47" s="28" t="b">
        <v>0</v>
      </c>
      <c r="BQ47" s="28" t="n">
        <v>0</v>
      </c>
      <c r="BR47" s="28" t="n">
        <v>0</v>
      </c>
      <c r="BS47" s="28" t="inlineStr">
        <is>
          <t>https://africanmarketingconfederation.org/og-44.jpg</t>
        </is>
      </c>
      <c r="BT47" s="28" t="b">
        <v>0</v>
      </c>
      <c r="BU47" s="28" t="inlineStr"/>
      <c r="BV47" s="28" t="inlineStr"/>
      <c r="BW47" s="28" t="n">
        <v>0</v>
      </c>
      <c r="BX47" s="28" t="inlineStr"/>
      <c r="BY47" s="28" t="n">
        <v>0</v>
      </c>
      <c r="BZ47" s="28" t="inlineStr"/>
      <c r="CA47" s="28" t="n">
        <v>0</v>
      </c>
      <c r="CB47" s="28" t="inlineStr"/>
      <c r="CC47" s="28" t="n">
        <v>0</v>
      </c>
      <c r="CD47" s="28" t="inlineStr"/>
      <c r="CE47" s="28" t="n">
        <v>0</v>
      </c>
      <c r="CF47" s="28" t="inlineStr"/>
      <c r="CG47" s="28" t="n">
        <v>0</v>
      </c>
      <c r="CH47" s="28" t="inlineStr"/>
      <c r="CI47" s="28" t="inlineStr"/>
      <c r="CJ47" s="28" t="inlineStr"/>
      <c r="CK47" s="28" t="inlineStr"/>
      <c r="CL47" s="28" t="inlineStr">
        <is>
          <t>2026-06-01 to 2026-06-30 (30-day window; excludes today; typical GSC lag ~48h)</t>
        </is>
      </c>
      <c r="CM47" s="28" t="inlineStr">
        <is>
          <t>No Search Analytics row matched this URL in the 30-day export (compare Final URL with the page URL shown in GSC)</t>
        </is>
      </c>
      <c r="CN47" s="28" t="n">
        <v>-1</v>
      </c>
      <c r="CO47" s="28" t="b">
        <v>1</v>
      </c>
      <c r="CP47" s="28" t="n">
        <v>0.012048</v>
      </c>
      <c r="CQ47" s="28" t="b">
        <v>1</v>
      </c>
      <c r="CR47" s="28" t="b">
        <v>1</v>
      </c>
      <c r="CS47" s="28" t="inlineStr">
        <is>
          <t>Both</t>
        </is>
      </c>
      <c r="CT47" s="74" t="inlineStr"/>
      <c r="CU47" s="28" t="n">
        <v>45</v>
      </c>
      <c r="CV47" s="32">
        <f>IFERROR(INDEX(OFFSET('Technical Diagnostics'!$A$1,2,MATCH("SEO Health Score",'Technical Diagnostics'!$2:$2,0)-1,99998,1),MATCH(B47,OFFSET('Technical Diagnostics'!$A$1,2,MATCH("URL",'Technical Diagnostics'!$2:$2,0)-1,99998,1),0)),"")</f>
        <v/>
      </c>
      <c r="CW47" s="32" t="n">
        <v>100</v>
      </c>
      <c r="CX47" s="32" t="n">
        <v>92.5</v>
      </c>
      <c r="CY47" s="32" t="b">
        <v>1</v>
      </c>
      <c r="CZ47" s="28" t="b">
        <v>0</v>
      </c>
      <c r="DA47" s="28" t="inlineStr"/>
      <c r="DB47" s="28" t="inlineStr"/>
      <c r="DC47" s="28" t="inlineStr"/>
      <c r="DD47" s="28" t="n">
        <v>0</v>
      </c>
      <c r="DE47" s="28" t="n">
        <v>0</v>
      </c>
      <c r="DF47" s="28" t="inlineStr"/>
      <c r="DG47" s="28" t="inlineStr"/>
      <c r="DH47" s="28" t="inlineStr"/>
      <c r="DI47" s="28" t="n">
        <v>6</v>
      </c>
      <c r="DJ47" s="28" t="inlineStr">
        <is>
          <t>Author 44</t>
        </is>
      </c>
      <c r="DK47" s="28" t="inlineStr"/>
      <c r="DL47" s="28" t="b">
        <v>1</v>
      </c>
      <c r="DM47" s="28" t="inlineStr"/>
      <c r="DN47" s="28" t="inlineStr">
        <is>
          <t>2026-06-01</t>
        </is>
      </c>
      <c r="DO47" s="28" t="inlineStr"/>
      <c r="DP47" s="28" t="inlineStr">
        <is>
          <t>2026-06-01</t>
        </is>
      </c>
      <c r="DQ47" s="28" t="inlineStr"/>
      <c r="DR47" s="28" t="b">
        <v>0</v>
      </c>
      <c r="DS47" s="28" t="b">
        <v>1</v>
      </c>
      <c r="DT47" s="28" t="b">
        <v>1</v>
      </c>
      <c r="DU47" s="28" t="b">
        <v>0</v>
      </c>
      <c r="DV47" s="28" t="n">
        <v>0</v>
      </c>
      <c r="DW47" s="28" t="b">
        <v>0</v>
      </c>
      <c r="DX47" s="28" t="b">
        <v>0</v>
      </c>
      <c r="DY47" s="28" t="b">
        <v>0</v>
      </c>
      <c r="DZ47" s="28" t="b">
        <v>0</v>
      </c>
      <c r="EA47" s="32" t="b">
        <v>0</v>
      </c>
      <c r="EB47" s="28" t="b">
        <v>0</v>
      </c>
      <c r="EC47" s="28" t="inlineStr"/>
      <c r="ED47" s="28" t="inlineStr"/>
      <c r="EE47" s="28" t="b">
        <v>0</v>
      </c>
      <c r="EF47" s="28" t="inlineStr"/>
      <c r="EG47" s="28" t="inlineStr"/>
      <c r="EH47" s="28" t="inlineStr"/>
      <c r="EI47" s="28" t="inlineStr"/>
      <c r="EJ47" s="28" t="inlineStr"/>
      <c r="EK47" s="28" t="inlineStr">
        <is>
          <t>Fresh</t>
        </is>
      </c>
      <c r="EL47" s="28" t="inlineStr">
        <is>
          <t>Smoke title 44</t>
        </is>
      </c>
      <c r="EM47" s="28" t="inlineStr">
        <is>
          <t>Smoke meta description for page 44.</t>
        </is>
      </c>
      <c r="EN47" s="28" t="inlineStr">
        <is>
          <t>article</t>
        </is>
      </c>
      <c r="EO47" s="74" t="inlineStr"/>
      <c r="EP47" s="74" t="inlineStr">
        <is>
          <t>https://africanmarketingconfederation.org/og-44.jpg</t>
        </is>
      </c>
      <c r="EQ47" s="28" t="inlineStr"/>
      <c r="ER47" s="28" t="inlineStr"/>
      <c r="ES47" s="28" t="inlineStr"/>
      <c r="ET47" s="28" t="inlineStr"/>
      <c r="EU47" s="75" t="b">
        <v>0</v>
      </c>
      <c r="EV47" s="28" t="inlineStr">
        <is>
          <t>summary_large_image</t>
        </is>
      </c>
      <c r="EW47" s="28" t="inlineStr"/>
      <c r="EX47" s="28" t="inlineStr"/>
      <c r="EY47" s="28" t="inlineStr"/>
      <c r="EZ47" s="28" t="n">
        <v>0</v>
      </c>
      <c r="FA47" s="40" t="b">
        <v>0</v>
      </c>
      <c r="FB47" s="74" t="inlineStr">
        <is>
          <t>https://africanmarketingconfederation.org/smoke-archive/page-44-canonical/</t>
        </is>
      </c>
      <c r="FC47" s="28" t="inlineStr"/>
      <c r="FD47" s="28" t="n">
        <v>1</v>
      </c>
      <c r="FE47" s="20" t="inlineStr"/>
      <c r="FF47" s="28" t="b">
        <v>0</v>
      </c>
      <c r="FG47" s="28" t="b">
        <v>0</v>
      </c>
      <c r="FH47" s="32" t="b">
        <v>0</v>
      </c>
      <c r="FI47" s="28" t="n">
        <v>0</v>
      </c>
      <c r="FJ47" s="28" t="inlineStr">
        <is>
          <t>https://africanmarketingconfederation.org/smoke-archive/page-44</t>
        </is>
      </c>
      <c r="FK47" s="28" t="inlineStr"/>
      <c r="FL47" s="32" t="b">
        <v>0</v>
      </c>
      <c r="FM47" s="28" t="b">
        <v>0</v>
      </c>
      <c r="FN47" s="32" t="b">
        <v>0</v>
      </c>
      <c r="FO47" s="28" t="inlineStr"/>
      <c r="FP47" s="28" t="inlineStr"/>
      <c r="FQ47" s="28" t="inlineStr"/>
      <c r="FR47" s="28" t="inlineStr"/>
      <c r="FS47" s="28" t="inlineStr"/>
      <c r="FT47" s="28" t="inlineStr"/>
      <c r="FU47" s="28" t="inlineStr">
        <is>
          <t>Not specified</t>
        </is>
      </c>
      <c r="FV47" s="28" t="inlineStr">
        <is>
          <t>Not specified</t>
        </is>
      </c>
      <c r="FW47" s="28" t="inlineStr">
        <is>
          <t>Not specified</t>
        </is>
      </c>
      <c r="FX47" s="28" t="inlineStr">
        <is>
          <t>Not specified</t>
        </is>
      </c>
      <c r="FY47" s="28" t="inlineStr">
        <is>
          <t>Not specified</t>
        </is>
      </c>
      <c r="FZ47" s="28" t="b">
        <v>0</v>
      </c>
      <c r="GA47" s="28" t="n">
        <v>0</v>
      </c>
      <c r="GB47" s="28" t="inlineStr"/>
      <c r="GC47" s="28" t="inlineStr"/>
      <c r="GD47" s="28" t="b">
        <v>0</v>
      </c>
      <c r="GE47" s="28" t="b">
        <v>0</v>
      </c>
      <c r="GF47" s="28" t="b">
        <v>0</v>
      </c>
      <c r="GG47" s="28" t="b">
        <v>0</v>
      </c>
      <c r="GH47" s="28" t="b">
        <v>0</v>
      </c>
      <c r="GI47" s="28" t="b">
        <v>0</v>
      </c>
      <c r="GJ47" s="28" t="n">
        <v>0</v>
      </c>
      <c r="GK47" s="28" t="n">
        <v>0</v>
      </c>
      <c r="GL47" s="28" t="n">
        <v>0</v>
      </c>
      <c r="GM47" s="74" t="inlineStr"/>
      <c r="GN47" s="74" t="inlineStr"/>
      <c r="GO47" s="32" t="b">
        <v>0</v>
      </c>
      <c r="GP47" s="28" t="inlineStr"/>
      <c r="GQ47" s="74" t="inlineStr"/>
      <c r="GR47" s="28" t="inlineStr">
        <is>
          <t>Not Declared</t>
        </is>
      </c>
      <c r="GS47" s="28" t="b">
        <v>1</v>
      </c>
      <c r="GT47" s="28" t="n">
        <v>67.09999999999999</v>
      </c>
      <c r="GU47" s="28" t="inlineStr">
        <is>
          <t>Orphan</t>
        </is>
      </c>
      <c r="GV47" s="28" t="n">
        <v>0</v>
      </c>
      <c r="GW47" s="34" t="n">
        <v>0</v>
      </c>
      <c r="GX47" s="28" t="b">
        <v>0</v>
      </c>
      <c r="GY47" s="28" t="inlineStr">
        <is>
          <t>FAQ</t>
        </is>
      </c>
      <c r="GZ47" s="28" t="n">
        <v>9</v>
      </c>
      <c r="HA47" s="28" t="b">
        <v>0</v>
      </c>
      <c r="HB47" s="28" t="inlineStr">
        <is>
          <t>smoke, body, copy, intent, classification</t>
        </is>
      </c>
      <c r="HC47" s="28" t="b">
        <v>0</v>
      </c>
      <c r="HD47" s="28" t="b">
        <v>0</v>
      </c>
      <c r="HE47" s="28" t="b">
        <v>0</v>
      </c>
      <c r="HF47" s="34" t="n">
        <v>0</v>
      </c>
      <c r="HG47" s="28" t="b">
        <v>0</v>
      </c>
      <c r="HH47" s="28" t="b">
        <v>0</v>
      </c>
      <c r="HI47">
        <f>IFERROR(HYPERLINK("#'Technical Diagnostics'!A"&amp;MATCH(B47,'Technical Diagnostics'!A:A,0),"Open Technical"),HYPERLINK("#'Technical Diagnostics'!A1","Open Technical"))</f>
        <v/>
      </c>
    </row>
    <row r="48" ht="18" customHeight="1">
      <c r="A48" s="30" t="inlineStr">
        <is>
          <t>WARN 🟡</t>
        </is>
      </c>
      <c r="B48" s="37" t="inlineStr">
        <is>
          <t>https://africanmarketingconfederation.org/smoke-archive/page-45</t>
        </is>
      </c>
      <c r="C48" s="30" t="inlineStr"/>
      <c r="D48" s="30" t="inlineStr">
        <is>
          <t>Indexable</t>
        </is>
      </c>
      <c r="E48" s="30" t="inlineStr"/>
      <c r="F48" s="30" t="inlineStr">
        <is>
          <t>Smoke title 45</t>
        </is>
      </c>
      <c r="G48" s="30" t="inlineStr"/>
      <c r="H48" s="30" t="n">
        <v>365</v>
      </c>
      <c r="I48" s="30" t="n">
        <v>50</v>
      </c>
      <c r="J48" s="30" t="inlineStr">
        <is>
          <t>Warning</t>
        </is>
      </c>
      <c r="K48" s="30" t="inlineStr">
        <is>
          <t>Yes</t>
        </is>
      </c>
      <c r="L48" s="30" t="inlineStr"/>
      <c r="M48" s="30" t="inlineStr"/>
      <c r="N48" s="30" t="inlineStr">
        <is>
          <t>Lab only</t>
        </is>
      </c>
      <c r="O48" s="30" t="inlineStr">
        <is>
          <t>None</t>
        </is>
      </c>
      <c r="P48" s="30" t="inlineStr">
        <is>
          <t>PSI Lab</t>
        </is>
      </c>
      <c r="Q48" s="30" t="inlineStr">
        <is>
          <t>None</t>
        </is>
      </c>
      <c r="R48" s="30" t="inlineStr"/>
      <c r="S48" s="30" t="inlineStr"/>
      <c r="T48" s="30" t="inlineStr"/>
      <c r="U48" s="30" t="inlineStr"/>
      <c r="V48" s="30" t="inlineStr"/>
      <c r="W48" s="30" t="inlineStr"/>
      <c r="X48" s="30" t="inlineStr"/>
      <c r="Y48" s="30" t="inlineStr"/>
      <c r="Z48" s="30" t="inlineStr"/>
      <c r="AA48" s="30" t="n">
        <v>88</v>
      </c>
      <c r="AB48" s="30" t="n">
        <v>88</v>
      </c>
      <c r="AC48" s="30" t="n">
        <v>88</v>
      </c>
      <c r="AD48" s="30" t="n">
        <v>85</v>
      </c>
      <c r="AE48" s="30" t="n">
        <v>82</v>
      </c>
      <c r="AF48" s="30" t="n">
        <v>92</v>
      </c>
      <c r="AG48" s="30" t="n">
        <v>2.4</v>
      </c>
      <c r="AH48" s="30" t="n">
        <v>0.04</v>
      </c>
      <c r="AI48" s="30" t="n">
        <v>0.4</v>
      </c>
      <c r="AJ48" s="30" t="n">
        <v>2.4</v>
      </c>
      <c r="AK48" s="30" t="n">
        <v>0.04</v>
      </c>
      <c r="AL48" s="30" t="n">
        <v>180</v>
      </c>
      <c r="AM48" s="30" t="n">
        <v>120</v>
      </c>
      <c r="AN48" s="30" t="n">
        <v>1.8</v>
      </c>
      <c r="AO48" s="30" t="n">
        <v>3.2</v>
      </c>
      <c r="AP48" s="30" t="n">
        <v>4.1</v>
      </c>
      <c r="AQ48" s="30" t="n">
        <v>400</v>
      </c>
      <c r="AR48" s="30" t="n">
        <v>88</v>
      </c>
      <c r="AS48" s="30" t="n">
        <v>85</v>
      </c>
      <c r="AT48" s="30" t="n">
        <v>82</v>
      </c>
      <c r="AU48" s="30" t="n">
        <v>92</v>
      </c>
      <c r="AV48" s="30" t="n">
        <v>2.4</v>
      </c>
      <c r="AW48" s="30" t="n">
        <v>0.04</v>
      </c>
      <c r="AX48" s="30" t="n">
        <v>180</v>
      </c>
      <c r="AY48" s="30" t="n">
        <v>120</v>
      </c>
      <c r="AZ48" s="30" t="n">
        <v>1.8</v>
      </c>
      <c r="BA48" s="30" t="n">
        <v>3.2</v>
      </c>
      <c r="BB48" s="30" t="n">
        <v>4.1</v>
      </c>
      <c r="BC48" s="30" t="n">
        <v>400</v>
      </c>
      <c r="BD48" s="30" t="n">
        <v>500</v>
      </c>
      <c r="BE48" s="30" t="n">
        <v>842</v>
      </c>
      <c r="BF48" s="30" t="n">
        <v>1250</v>
      </c>
      <c r="BG48" s="30" t="n">
        <v>1</v>
      </c>
      <c r="BH48" s="30" t="b">
        <v>1</v>
      </c>
      <c r="BI48" s="34" t="b">
        <v>1</v>
      </c>
      <c r="BJ48" s="30" t="b">
        <v>1</v>
      </c>
      <c r="BK48" s="30" t="b">
        <v>1</v>
      </c>
      <c r="BL48" s="30" t="b">
        <v>0</v>
      </c>
      <c r="BM48" s="30" t="n">
        <v>65</v>
      </c>
      <c r="BN48" s="30" t="inlineStr">
        <is>
          <t>complete</t>
        </is>
      </c>
      <c r="BO48" s="30" t="inlineStr">
        <is>
          <t>rendered_browser</t>
        </is>
      </c>
      <c r="BP48" s="30" t="b">
        <v>0</v>
      </c>
      <c r="BQ48" s="30" t="n">
        <v>0</v>
      </c>
      <c r="BR48" s="30" t="n">
        <v>0</v>
      </c>
      <c r="BS48" s="30" t="inlineStr"/>
      <c r="BT48" s="30" t="b">
        <v>0</v>
      </c>
      <c r="BU48" s="30" t="inlineStr"/>
      <c r="BV48" s="30" t="inlineStr"/>
      <c r="BW48" s="30" t="n">
        <v>0</v>
      </c>
      <c r="BX48" s="30" t="inlineStr"/>
      <c r="BY48" s="30" t="n">
        <v>0</v>
      </c>
      <c r="BZ48" s="30" t="inlineStr"/>
      <c r="CA48" s="30" t="n">
        <v>0</v>
      </c>
      <c r="CB48" s="30" t="inlineStr"/>
      <c r="CC48" s="30" t="n">
        <v>0</v>
      </c>
      <c r="CD48" s="30" t="inlineStr"/>
      <c r="CE48" s="30" t="n">
        <v>0</v>
      </c>
      <c r="CF48" s="30" t="inlineStr"/>
      <c r="CG48" s="30" t="n">
        <v>0</v>
      </c>
      <c r="CH48" s="30" t="inlineStr"/>
      <c r="CI48" s="30" t="inlineStr"/>
      <c r="CJ48" s="30" t="inlineStr"/>
      <c r="CK48" s="30" t="inlineStr"/>
      <c r="CL48" s="30" t="inlineStr">
        <is>
          <t>2026-06-01 to 2026-06-30 (30-day window; excludes today; typical GSC lag ~48h)</t>
        </is>
      </c>
      <c r="CM48" s="30" t="inlineStr">
        <is>
          <t>No Search Analytics row matched this URL in the 30-day export (compare Final URL with the page URL shown in GSC)</t>
        </is>
      </c>
      <c r="CN48" s="30" t="n">
        <v>-1</v>
      </c>
      <c r="CO48" s="30" t="b">
        <v>1</v>
      </c>
      <c r="CP48" s="30" t="n">
        <v>0.012048</v>
      </c>
      <c r="CQ48" s="30" t="b">
        <v>1</v>
      </c>
      <c r="CR48" s="30" t="b">
        <v>1</v>
      </c>
      <c r="CS48" s="30" t="inlineStr">
        <is>
          <t>Both</t>
        </is>
      </c>
      <c r="CT48" s="76" t="inlineStr"/>
      <c r="CU48" s="30" t="n">
        <v>46</v>
      </c>
      <c r="CV48" s="34">
        <f>IFERROR(INDEX(OFFSET('Technical Diagnostics'!$A$1,2,MATCH("SEO Health Score",'Technical Diagnostics'!$2:$2,0)-1,99998,1),MATCH(B48,OFFSET('Technical Diagnostics'!$A$1,2,MATCH("URL",'Technical Diagnostics'!$2:$2,0)-1,99998,1),0)),"")</f>
        <v/>
      </c>
      <c r="CW48" s="29" t="n">
        <v>80</v>
      </c>
      <c r="CX48" s="34" t="n">
        <v>57.5</v>
      </c>
      <c r="CY48" s="32" t="b">
        <v>1</v>
      </c>
      <c r="CZ48" s="30" t="b">
        <v>0</v>
      </c>
      <c r="DA48" s="30" t="inlineStr"/>
      <c r="DB48" s="30" t="inlineStr"/>
      <c r="DC48" s="30" t="inlineStr"/>
      <c r="DD48" s="30" t="n">
        <v>0</v>
      </c>
      <c r="DE48" s="30" t="n">
        <v>0</v>
      </c>
      <c r="DF48" s="30" t="inlineStr"/>
      <c r="DG48" s="30" t="inlineStr"/>
      <c r="DH48" s="30" t="inlineStr"/>
      <c r="DI48" s="30" t="n">
        <v>6</v>
      </c>
      <c r="DJ48" s="30" t="inlineStr">
        <is>
          <t>Author 45</t>
        </is>
      </c>
      <c r="DK48" s="30" t="inlineStr"/>
      <c r="DL48" s="30" t="b">
        <v>1</v>
      </c>
      <c r="DM48" s="30" t="inlineStr"/>
      <c r="DN48" s="30" t="inlineStr">
        <is>
          <t>2026-06-01</t>
        </is>
      </c>
      <c r="DO48" s="30" t="inlineStr"/>
      <c r="DP48" s="30" t="inlineStr">
        <is>
          <t>2026-06-01</t>
        </is>
      </c>
      <c r="DQ48" s="30" t="inlineStr"/>
      <c r="DR48" s="30" t="b">
        <v>0</v>
      </c>
      <c r="DS48" s="30" t="b">
        <v>1</v>
      </c>
      <c r="DT48" s="30" t="b">
        <v>1</v>
      </c>
      <c r="DU48" s="30" t="b">
        <v>0</v>
      </c>
      <c r="DV48" s="30" t="n">
        <v>0</v>
      </c>
      <c r="DW48" s="30" t="b">
        <v>0</v>
      </c>
      <c r="DX48" s="30" t="b">
        <v>0</v>
      </c>
      <c r="DY48" s="30" t="b">
        <v>0</v>
      </c>
      <c r="DZ48" s="30" t="b">
        <v>0</v>
      </c>
      <c r="EA48" s="32" t="b">
        <v>0</v>
      </c>
      <c r="EB48" s="30" t="b">
        <v>0</v>
      </c>
      <c r="EC48" s="30" t="inlineStr"/>
      <c r="ED48" s="30" t="inlineStr"/>
      <c r="EE48" s="30" t="b">
        <v>0</v>
      </c>
      <c r="EF48" s="30" t="inlineStr"/>
      <c r="EG48" s="30" t="inlineStr"/>
      <c r="EH48" s="30" t="inlineStr"/>
      <c r="EI48" s="30" t="inlineStr">
        <is>
          <t>2026-06-01</t>
        </is>
      </c>
      <c r="EJ48" s="30" t="inlineStr"/>
      <c r="EK48" s="30" t="inlineStr">
        <is>
          <t>Fresh</t>
        </is>
      </c>
      <c r="EL48" s="30" t="inlineStr">
        <is>
          <t>Smoke title 45</t>
        </is>
      </c>
      <c r="EM48" s="30" t="inlineStr"/>
      <c r="EN48" s="30" t="inlineStr">
        <is>
          <t>article</t>
        </is>
      </c>
      <c r="EO48" s="76" t="inlineStr"/>
      <c r="EP48" s="76" t="inlineStr"/>
      <c r="EQ48" s="30" t="inlineStr"/>
      <c r="ER48" s="30" t="inlineStr"/>
      <c r="ES48" s="30" t="inlineStr"/>
      <c r="ET48" s="30" t="inlineStr"/>
      <c r="EU48" s="75" t="b">
        <v>0</v>
      </c>
      <c r="EV48" s="30" t="inlineStr">
        <is>
          <t>summary_large_image</t>
        </is>
      </c>
      <c r="EW48" s="30" t="inlineStr"/>
      <c r="EX48" s="30" t="inlineStr"/>
      <c r="EY48" s="30" t="inlineStr"/>
      <c r="EZ48" s="30" t="n">
        <v>0</v>
      </c>
      <c r="FA48" s="40" t="b">
        <v>0</v>
      </c>
      <c r="FB48" s="76" t="inlineStr">
        <is>
          <t>https://africanmarketingconfederation.org/smoke-archive/page-45</t>
        </is>
      </c>
      <c r="FC48" s="30" t="inlineStr"/>
      <c r="FD48" s="30" t="n">
        <v>0</v>
      </c>
      <c r="FE48" s="31" t="inlineStr"/>
      <c r="FF48" s="30" t="b">
        <v>0</v>
      </c>
      <c r="FG48" s="30" t="b">
        <v>0</v>
      </c>
      <c r="FH48" s="32" t="b">
        <v>0</v>
      </c>
      <c r="FI48" s="30" t="n">
        <v>0</v>
      </c>
      <c r="FJ48" s="30" t="inlineStr">
        <is>
          <t>https://africanmarketingconfederation.org/smoke-archive/page-45</t>
        </is>
      </c>
      <c r="FK48" s="30" t="inlineStr"/>
      <c r="FL48" s="32" t="b">
        <v>0</v>
      </c>
      <c r="FM48" s="30" t="b">
        <v>0</v>
      </c>
      <c r="FN48" s="32" t="b">
        <v>0</v>
      </c>
      <c r="FO48" s="30" t="inlineStr"/>
      <c r="FP48" s="30" t="inlineStr"/>
      <c r="FQ48" s="30" t="inlineStr"/>
      <c r="FR48" s="30" t="inlineStr"/>
      <c r="FS48" s="30" t="inlineStr"/>
      <c r="FT48" s="30" t="inlineStr"/>
      <c r="FU48" s="30" t="inlineStr">
        <is>
          <t>Not specified</t>
        </is>
      </c>
      <c r="FV48" s="30" t="inlineStr">
        <is>
          <t>Not specified</t>
        </is>
      </c>
      <c r="FW48" s="30" t="inlineStr">
        <is>
          <t>Not specified</t>
        </is>
      </c>
      <c r="FX48" s="30" t="inlineStr">
        <is>
          <t>Not specified</t>
        </is>
      </c>
      <c r="FY48" s="30" t="inlineStr">
        <is>
          <t>Not specified</t>
        </is>
      </c>
      <c r="FZ48" s="30" t="b">
        <v>0</v>
      </c>
      <c r="GA48" s="30" t="n">
        <v>0</v>
      </c>
      <c r="GB48" s="30" t="inlineStr"/>
      <c r="GC48" s="30" t="inlineStr"/>
      <c r="GD48" s="30" t="b">
        <v>0</v>
      </c>
      <c r="GE48" s="30" t="b">
        <v>0</v>
      </c>
      <c r="GF48" s="30" t="b">
        <v>0</v>
      </c>
      <c r="GG48" s="30" t="b">
        <v>0</v>
      </c>
      <c r="GH48" s="30" t="b">
        <v>0</v>
      </c>
      <c r="GI48" s="30" t="b">
        <v>0</v>
      </c>
      <c r="GJ48" s="30" t="n">
        <v>0</v>
      </c>
      <c r="GK48" s="30" t="n">
        <v>0</v>
      </c>
      <c r="GL48" s="30" t="n">
        <v>0</v>
      </c>
      <c r="GM48" s="76" t="inlineStr"/>
      <c r="GN48" s="76" t="inlineStr"/>
      <c r="GO48" s="32" t="b">
        <v>0</v>
      </c>
      <c r="GP48" s="30" t="inlineStr"/>
      <c r="GQ48" s="76" t="inlineStr"/>
      <c r="GR48" s="30" t="inlineStr">
        <is>
          <t>Not Declared</t>
        </is>
      </c>
      <c r="GS48" s="30" t="b">
        <v>1</v>
      </c>
      <c r="GT48" s="30" t="n">
        <v>51.2</v>
      </c>
      <c r="GU48" s="30" t="inlineStr">
        <is>
          <t>Orphan</t>
        </is>
      </c>
      <c r="GV48" s="30" t="n">
        <v>0</v>
      </c>
      <c r="GW48" s="34" t="n">
        <v>0</v>
      </c>
      <c r="GX48" s="30" t="b">
        <v>0</v>
      </c>
      <c r="GY48" s="30" t="inlineStr">
        <is>
          <t>None</t>
        </is>
      </c>
      <c r="GZ48" s="30" t="n">
        <v>0</v>
      </c>
      <c r="HA48" s="30" t="b">
        <v>0</v>
      </c>
      <c r="HB48" s="30" t="inlineStr">
        <is>
          <t>smoke, body, copy, intent, classification</t>
        </is>
      </c>
      <c r="HC48" s="30" t="b">
        <v>0</v>
      </c>
      <c r="HD48" s="30" t="b">
        <v>0</v>
      </c>
      <c r="HE48" s="30" t="b">
        <v>0</v>
      </c>
      <c r="HF48" s="34" t="n">
        <v>0</v>
      </c>
      <c r="HG48" s="30" t="b">
        <v>0</v>
      </c>
      <c r="HH48" s="30" t="b">
        <v>0</v>
      </c>
      <c r="HI48" s="38">
        <f>IFERROR(HYPERLINK("#'Technical Diagnostics'!A"&amp;MATCH(B48,'Technical Diagnostics'!A:A,0),"Open Technical"),HYPERLINK("#'Technical Diagnostics'!A1","Open Technical"))</f>
        <v/>
      </c>
    </row>
    <row r="49" ht="18" customHeight="1">
      <c r="A49" s="28" t="inlineStr">
        <is>
          <t>WARN 🟡</t>
        </is>
      </c>
      <c r="B49" s="35" t="inlineStr">
        <is>
          <t>https://africanmarketingconfederation.org/smoke-archive/page-46</t>
        </is>
      </c>
      <c r="C49" s="28" t="inlineStr"/>
      <c r="D49" s="28" t="inlineStr">
        <is>
          <t>Indexable</t>
        </is>
      </c>
      <c r="E49" s="28" t="inlineStr"/>
      <c r="F49" s="28" t="inlineStr">
        <is>
          <t>Smoke title 46</t>
        </is>
      </c>
      <c r="G49" s="28" t="inlineStr">
        <is>
          <t>Smoke meta description for page 46.</t>
        </is>
      </c>
      <c r="H49" s="28" t="n">
        <v>366</v>
      </c>
      <c r="I49" s="28" t="n">
        <v>80</v>
      </c>
      <c r="J49" s="28" t="inlineStr">
        <is>
          <t>Warning</t>
        </is>
      </c>
      <c r="K49" s="28" t="inlineStr">
        <is>
          <t>Yes</t>
        </is>
      </c>
      <c r="L49" s="28" t="inlineStr"/>
      <c r="M49" s="28" t="inlineStr"/>
      <c r="N49" s="28" t="inlineStr">
        <is>
          <t>Lab only</t>
        </is>
      </c>
      <c r="O49" s="28" t="inlineStr">
        <is>
          <t>None</t>
        </is>
      </c>
      <c r="P49" s="28" t="inlineStr">
        <is>
          <t>PSI Lab</t>
        </is>
      </c>
      <c r="Q49" s="28" t="inlineStr">
        <is>
          <t>None</t>
        </is>
      </c>
      <c r="R49" s="28" t="inlineStr"/>
      <c r="S49" s="28" t="inlineStr"/>
      <c r="T49" s="28" t="inlineStr"/>
      <c r="U49" s="28" t="inlineStr"/>
      <c r="V49" s="28" t="inlineStr"/>
      <c r="W49" s="28" t="inlineStr"/>
      <c r="X49" s="28" t="inlineStr"/>
      <c r="Y49" s="28" t="inlineStr"/>
      <c r="Z49" s="28" t="inlineStr"/>
      <c r="AA49" s="28" t="n">
        <v>88</v>
      </c>
      <c r="AB49" s="28" t="n">
        <v>88</v>
      </c>
      <c r="AC49" s="28" t="n">
        <v>88</v>
      </c>
      <c r="AD49" s="28" t="n">
        <v>85</v>
      </c>
      <c r="AE49" s="28" t="n">
        <v>82</v>
      </c>
      <c r="AF49" s="28" t="n">
        <v>92</v>
      </c>
      <c r="AG49" s="28" t="n">
        <v>2.4</v>
      </c>
      <c r="AH49" s="28" t="n">
        <v>0.04</v>
      </c>
      <c r="AI49" s="28" t="n">
        <v>0.4</v>
      </c>
      <c r="AJ49" s="28" t="n">
        <v>2.4</v>
      </c>
      <c r="AK49" s="28" t="n">
        <v>0.04</v>
      </c>
      <c r="AL49" s="28" t="n">
        <v>180</v>
      </c>
      <c r="AM49" s="28" t="n">
        <v>120</v>
      </c>
      <c r="AN49" s="28" t="n">
        <v>1.8</v>
      </c>
      <c r="AO49" s="28" t="n">
        <v>3.2</v>
      </c>
      <c r="AP49" s="28" t="n">
        <v>4.1</v>
      </c>
      <c r="AQ49" s="28" t="n">
        <v>400</v>
      </c>
      <c r="AR49" s="28" t="n">
        <v>88</v>
      </c>
      <c r="AS49" s="28" t="n">
        <v>85</v>
      </c>
      <c r="AT49" s="28" t="n">
        <v>82</v>
      </c>
      <c r="AU49" s="28" t="n">
        <v>92</v>
      </c>
      <c r="AV49" s="28" t="n">
        <v>2.4</v>
      </c>
      <c r="AW49" s="28" t="n">
        <v>0.04</v>
      </c>
      <c r="AX49" s="28" t="n">
        <v>180</v>
      </c>
      <c r="AY49" s="28" t="n">
        <v>120</v>
      </c>
      <c r="AZ49" s="28" t="n">
        <v>1.8</v>
      </c>
      <c r="BA49" s="28" t="n">
        <v>3.2</v>
      </c>
      <c r="BB49" s="28" t="n">
        <v>4.1</v>
      </c>
      <c r="BC49" s="28" t="n">
        <v>400</v>
      </c>
      <c r="BD49" s="28" t="n">
        <v>500</v>
      </c>
      <c r="BE49" s="28" t="n">
        <v>842</v>
      </c>
      <c r="BF49" s="28" t="n">
        <v>1250</v>
      </c>
      <c r="BG49" s="28" t="n">
        <v>1</v>
      </c>
      <c r="BH49" s="28" t="b">
        <v>1</v>
      </c>
      <c r="BI49" s="34" t="b">
        <v>1</v>
      </c>
      <c r="BJ49" s="28" t="b">
        <v>1</v>
      </c>
      <c r="BK49" s="28" t="b">
        <v>1</v>
      </c>
      <c r="BL49" s="28" t="b">
        <v>0</v>
      </c>
      <c r="BM49" s="28" t="n">
        <v>65</v>
      </c>
      <c r="BN49" s="28" t="inlineStr">
        <is>
          <t>complete</t>
        </is>
      </c>
      <c r="BO49" s="28" t="inlineStr">
        <is>
          <t>rendered_browser</t>
        </is>
      </c>
      <c r="BP49" s="28" t="b">
        <v>0</v>
      </c>
      <c r="BQ49" s="28" t="n">
        <v>0</v>
      </c>
      <c r="BR49" s="28" t="n">
        <v>0</v>
      </c>
      <c r="BS49" s="28" t="inlineStr"/>
      <c r="BT49" s="28" t="b">
        <v>0</v>
      </c>
      <c r="BU49" s="28" t="inlineStr"/>
      <c r="BV49" s="28" t="inlineStr"/>
      <c r="BW49" s="28" t="n">
        <v>0</v>
      </c>
      <c r="BX49" s="28" t="inlineStr"/>
      <c r="BY49" s="28" t="n">
        <v>0</v>
      </c>
      <c r="BZ49" s="28" t="inlineStr"/>
      <c r="CA49" s="28" t="n">
        <v>0</v>
      </c>
      <c r="CB49" s="28" t="inlineStr"/>
      <c r="CC49" s="28" t="n">
        <v>0</v>
      </c>
      <c r="CD49" s="28" t="inlineStr"/>
      <c r="CE49" s="28" t="n">
        <v>0</v>
      </c>
      <c r="CF49" s="28" t="inlineStr"/>
      <c r="CG49" s="28" t="n">
        <v>0</v>
      </c>
      <c r="CH49" s="28" t="inlineStr"/>
      <c r="CI49" s="28" t="inlineStr"/>
      <c r="CJ49" s="28" t="inlineStr"/>
      <c r="CK49" s="28" t="inlineStr"/>
      <c r="CL49" s="28" t="inlineStr">
        <is>
          <t>2026-06-01 to 2026-06-30 (30-day window; excludes today; typical GSC lag ~48h)</t>
        </is>
      </c>
      <c r="CM49" s="28" t="inlineStr">
        <is>
          <t>No Search Analytics row matched this URL in the 30-day export (compare Final URL with the page URL shown in GSC)</t>
        </is>
      </c>
      <c r="CN49" s="28" t="n">
        <v>-1</v>
      </c>
      <c r="CO49" s="28" t="b">
        <v>1</v>
      </c>
      <c r="CP49" s="28" t="n">
        <v>0.012048</v>
      </c>
      <c r="CQ49" s="28" t="b">
        <v>1</v>
      </c>
      <c r="CR49" s="28" t="b">
        <v>1</v>
      </c>
      <c r="CS49" s="28" t="inlineStr">
        <is>
          <t>Both</t>
        </is>
      </c>
      <c r="CT49" s="74" t="inlineStr"/>
      <c r="CU49" s="28" t="n">
        <v>47</v>
      </c>
      <c r="CV49" s="29">
        <f>IFERROR(INDEX(OFFSET('Technical Diagnostics'!$A$1,2,MATCH("SEO Health Score",'Technical Diagnostics'!$2:$2,0)-1,99998,1),MATCH(B49,OFFSET('Technical Diagnostics'!$A$1,2,MATCH("URL",'Technical Diagnostics'!$2:$2,0)-1,99998,1),0)),"")</f>
        <v/>
      </c>
      <c r="CW49" s="32" t="n">
        <v>100</v>
      </c>
      <c r="CX49" s="29" t="n">
        <v>85</v>
      </c>
      <c r="CY49" s="32" t="b">
        <v>1</v>
      </c>
      <c r="CZ49" s="28" t="b">
        <v>0</v>
      </c>
      <c r="DA49" s="28" t="inlineStr"/>
      <c r="DB49" s="28" t="inlineStr"/>
      <c r="DC49" s="28" t="inlineStr"/>
      <c r="DD49" s="28" t="n">
        <v>0</v>
      </c>
      <c r="DE49" s="28" t="n">
        <v>0</v>
      </c>
      <c r="DF49" s="28" t="inlineStr"/>
      <c r="DG49" s="28" t="inlineStr"/>
      <c r="DH49" s="28" t="inlineStr"/>
      <c r="DI49" s="28" t="n">
        <v>6</v>
      </c>
      <c r="DJ49" s="28" t="inlineStr">
        <is>
          <t>Author 46</t>
        </is>
      </c>
      <c r="DK49" s="28" t="inlineStr"/>
      <c r="DL49" s="28" t="b">
        <v>1</v>
      </c>
      <c r="DM49" s="28" t="inlineStr"/>
      <c r="DN49" s="28" t="inlineStr">
        <is>
          <t>2026-06-01</t>
        </is>
      </c>
      <c r="DO49" s="28" t="inlineStr"/>
      <c r="DP49" s="28" t="inlineStr">
        <is>
          <t>2026-06-01</t>
        </is>
      </c>
      <c r="DQ49" s="28" t="inlineStr"/>
      <c r="DR49" s="28" t="b">
        <v>0</v>
      </c>
      <c r="DS49" s="28" t="b">
        <v>1</v>
      </c>
      <c r="DT49" s="28" t="b">
        <v>1</v>
      </c>
      <c r="DU49" s="28" t="b">
        <v>0</v>
      </c>
      <c r="DV49" s="28" t="n">
        <v>0</v>
      </c>
      <c r="DW49" s="28" t="b">
        <v>0</v>
      </c>
      <c r="DX49" s="28" t="b">
        <v>0</v>
      </c>
      <c r="DY49" s="28" t="b">
        <v>0</v>
      </c>
      <c r="DZ49" s="28" t="b">
        <v>0</v>
      </c>
      <c r="EA49" s="32" t="b">
        <v>0</v>
      </c>
      <c r="EB49" s="28" t="b">
        <v>0</v>
      </c>
      <c r="EC49" s="28" t="inlineStr"/>
      <c r="ED49" s="28" t="inlineStr"/>
      <c r="EE49" s="28" t="b">
        <v>0</v>
      </c>
      <c r="EF49" s="28" t="inlineStr"/>
      <c r="EG49" s="28" t="inlineStr"/>
      <c r="EH49" s="28" t="inlineStr"/>
      <c r="EI49" s="28" t="inlineStr"/>
      <c r="EJ49" s="28" t="inlineStr"/>
      <c r="EK49" s="28" t="inlineStr">
        <is>
          <t>Fresh</t>
        </is>
      </c>
      <c r="EL49" s="28" t="inlineStr">
        <is>
          <t>Smoke title 46</t>
        </is>
      </c>
      <c r="EM49" s="28" t="inlineStr">
        <is>
          <t>Smoke meta description for page 46.</t>
        </is>
      </c>
      <c r="EN49" s="28" t="inlineStr">
        <is>
          <t>article</t>
        </is>
      </c>
      <c r="EO49" s="74" t="inlineStr"/>
      <c r="EP49" s="74" t="inlineStr"/>
      <c r="EQ49" s="28" t="inlineStr"/>
      <c r="ER49" s="28" t="inlineStr"/>
      <c r="ES49" s="28" t="inlineStr"/>
      <c r="ET49" s="28" t="inlineStr"/>
      <c r="EU49" s="75" t="b">
        <v>0</v>
      </c>
      <c r="EV49" s="28" t="inlineStr">
        <is>
          <t>summary_large_image</t>
        </is>
      </c>
      <c r="EW49" s="28" t="inlineStr"/>
      <c r="EX49" s="28" t="inlineStr"/>
      <c r="EY49" s="28" t="inlineStr"/>
      <c r="EZ49" s="28" t="n">
        <v>0</v>
      </c>
      <c r="FA49" s="40" t="b">
        <v>0</v>
      </c>
      <c r="FB49" s="74" t="inlineStr">
        <is>
          <t>https://africanmarketingconfederation.org/smoke-archive/page-46</t>
        </is>
      </c>
      <c r="FC49" s="28" t="inlineStr"/>
      <c r="FD49" s="28" t="n">
        <v>0</v>
      </c>
      <c r="FE49" s="20" t="inlineStr"/>
      <c r="FF49" s="28" t="b">
        <v>0</v>
      </c>
      <c r="FG49" s="28" t="b">
        <v>0</v>
      </c>
      <c r="FH49" s="32" t="b">
        <v>0</v>
      </c>
      <c r="FI49" s="28" t="n">
        <v>0</v>
      </c>
      <c r="FJ49" s="28" t="inlineStr">
        <is>
          <t>https://africanmarketingconfederation.org/smoke-archive/page-46</t>
        </is>
      </c>
      <c r="FK49" s="28" t="inlineStr"/>
      <c r="FL49" s="32" t="b">
        <v>0</v>
      </c>
      <c r="FM49" s="28" t="b">
        <v>0</v>
      </c>
      <c r="FN49" s="32" t="b">
        <v>0</v>
      </c>
      <c r="FO49" s="28" t="inlineStr"/>
      <c r="FP49" s="28" t="inlineStr"/>
      <c r="FQ49" s="28" t="inlineStr"/>
      <c r="FR49" s="28" t="inlineStr"/>
      <c r="FS49" s="28" t="inlineStr"/>
      <c r="FT49" s="28" t="inlineStr"/>
      <c r="FU49" s="28" t="inlineStr">
        <is>
          <t>Not specified</t>
        </is>
      </c>
      <c r="FV49" s="28" t="inlineStr">
        <is>
          <t>Not specified</t>
        </is>
      </c>
      <c r="FW49" s="28" t="inlineStr">
        <is>
          <t>Not specified</t>
        </is>
      </c>
      <c r="FX49" s="28" t="inlineStr">
        <is>
          <t>Not specified</t>
        </is>
      </c>
      <c r="FY49" s="28" t="inlineStr">
        <is>
          <t>Not specified</t>
        </is>
      </c>
      <c r="FZ49" s="28" t="b">
        <v>0</v>
      </c>
      <c r="GA49" s="28" t="n">
        <v>0</v>
      </c>
      <c r="GB49" s="28" t="inlineStr"/>
      <c r="GC49" s="28" t="inlineStr"/>
      <c r="GD49" s="28" t="b">
        <v>0</v>
      </c>
      <c r="GE49" s="28" t="b">
        <v>0</v>
      </c>
      <c r="GF49" s="28" t="b">
        <v>0</v>
      </c>
      <c r="GG49" s="28" t="b">
        <v>0</v>
      </c>
      <c r="GH49" s="28" t="b">
        <v>0</v>
      </c>
      <c r="GI49" s="28" t="b">
        <v>0</v>
      </c>
      <c r="GJ49" s="28" t="n">
        <v>0</v>
      </c>
      <c r="GK49" s="28" t="n">
        <v>0</v>
      </c>
      <c r="GL49" s="28" t="n">
        <v>0</v>
      </c>
      <c r="GM49" s="74" t="inlineStr"/>
      <c r="GN49" s="74" t="inlineStr"/>
      <c r="GO49" s="32" t="b">
        <v>0</v>
      </c>
      <c r="GP49" s="28" t="inlineStr"/>
      <c r="GQ49" s="74" t="inlineStr"/>
      <c r="GR49" s="28" t="inlineStr">
        <is>
          <t>Not Declared</t>
        </is>
      </c>
      <c r="GS49" s="28" t="b">
        <v>1</v>
      </c>
      <c r="GT49" s="28" t="n">
        <v>89</v>
      </c>
      <c r="GU49" s="28" t="inlineStr">
        <is>
          <t>Orphan</t>
        </is>
      </c>
      <c r="GV49" s="28" t="n">
        <v>0</v>
      </c>
      <c r="GW49" s="34" t="n">
        <v>0</v>
      </c>
      <c r="GX49" s="28" t="b">
        <v>0</v>
      </c>
      <c r="GY49" s="28" t="inlineStr">
        <is>
          <t>FAQ</t>
        </is>
      </c>
      <c r="GZ49" s="28" t="n">
        <v>9</v>
      </c>
      <c r="HA49" s="28" t="b">
        <v>0</v>
      </c>
      <c r="HB49" s="28" t="inlineStr">
        <is>
          <t>smoke, body, copy, intent, classification</t>
        </is>
      </c>
      <c r="HC49" s="28" t="b">
        <v>0</v>
      </c>
      <c r="HD49" s="28" t="b">
        <v>0</v>
      </c>
      <c r="HE49" s="28" t="b">
        <v>0</v>
      </c>
      <c r="HF49" s="34" t="n">
        <v>0</v>
      </c>
      <c r="HG49" s="28" t="b">
        <v>0</v>
      </c>
      <c r="HH49" s="28" t="b">
        <v>0</v>
      </c>
      <c r="HI49">
        <f>IFERROR(HYPERLINK("#'Technical Diagnostics'!A"&amp;MATCH(B49,'Technical Diagnostics'!A:A,0),"Open Technical"),HYPERLINK("#'Technical Diagnostics'!A1","Open Technical"))</f>
        <v/>
      </c>
    </row>
    <row r="50" ht="18" customHeight="1">
      <c r="A50" s="30" t="inlineStr">
        <is>
          <t>WARN 🟡</t>
        </is>
      </c>
      <c r="B50" s="37" t="inlineStr">
        <is>
          <t>https://africanmarketingconfederation.org/smoke-archive/page-47</t>
        </is>
      </c>
      <c r="C50" s="30" t="inlineStr"/>
      <c r="D50" s="30" t="inlineStr">
        <is>
          <t>Indexable</t>
        </is>
      </c>
      <c r="E50" s="30" t="inlineStr"/>
      <c r="F50" s="30" t="inlineStr">
        <is>
          <t>Smoke title 47</t>
        </is>
      </c>
      <c r="G50" s="30" t="inlineStr">
        <is>
          <t>Smoke meta description for page 47.</t>
        </is>
      </c>
      <c r="H50" s="30" t="n">
        <v>367</v>
      </c>
      <c r="I50" s="30" t="n">
        <v>80</v>
      </c>
      <c r="J50" s="30" t="inlineStr">
        <is>
          <t>Warning</t>
        </is>
      </c>
      <c r="K50" s="30" t="inlineStr">
        <is>
          <t>Yes</t>
        </is>
      </c>
      <c r="L50" s="30" t="inlineStr"/>
      <c r="M50" s="30" t="inlineStr"/>
      <c r="N50" s="30" t="inlineStr">
        <is>
          <t>Lab only</t>
        </is>
      </c>
      <c r="O50" s="30" t="inlineStr">
        <is>
          <t>None</t>
        </is>
      </c>
      <c r="P50" s="30" t="inlineStr">
        <is>
          <t>PSI Lab</t>
        </is>
      </c>
      <c r="Q50" s="30" t="inlineStr">
        <is>
          <t>None</t>
        </is>
      </c>
      <c r="R50" s="30" t="inlineStr"/>
      <c r="S50" s="30" t="inlineStr"/>
      <c r="T50" s="30" t="inlineStr"/>
      <c r="U50" s="30" t="inlineStr"/>
      <c r="V50" s="30" t="inlineStr"/>
      <c r="W50" s="30" t="inlineStr"/>
      <c r="X50" s="30" t="inlineStr"/>
      <c r="Y50" s="30" t="inlineStr"/>
      <c r="Z50" s="30" t="inlineStr"/>
      <c r="AA50" s="30" t="n">
        <v>88</v>
      </c>
      <c r="AB50" s="30" t="n">
        <v>88</v>
      </c>
      <c r="AC50" s="30" t="n">
        <v>88</v>
      </c>
      <c r="AD50" s="30" t="n">
        <v>85</v>
      </c>
      <c r="AE50" s="30" t="n">
        <v>82</v>
      </c>
      <c r="AF50" s="30" t="n">
        <v>92</v>
      </c>
      <c r="AG50" s="30" t="n">
        <v>2.4</v>
      </c>
      <c r="AH50" s="30" t="n">
        <v>0.04</v>
      </c>
      <c r="AI50" s="30" t="n">
        <v>0.4</v>
      </c>
      <c r="AJ50" s="30" t="n">
        <v>2.4</v>
      </c>
      <c r="AK50" s="30" t="n">
        <v>0.04</v>
      </c>
      <c r="AL50" s="30" t="n">
        <v>180</v>
      </c>
      <c r="AM50" s="30" t="n">
        <v>120</v>
      </c>
      <c r="AN50" s="30" t="n">
        <v>1.8</v>
      </c>
      <c r="AO50" s="30" t="n">
        <v>3.2</v>
      </c>
      <c r="AP50" s="30" t="n">
        <v>4.1</v>
      </c>
      <c r="AQ50" s="30" t="n">
        <v>400</v>
      </c>
      <c r="AR50" s="30" t="n">
        <v>88</v>
      </c>
      <c r="AS50" s="30" t="n">
        <v>85</v>
      </c>
      <c r="AT50" s="30" t="n">
        <v>82</v>
      </c>
      <c r="AU50" s="30" t="n">
        <v>92</v>
      </c>
      <c r="AV50" s="30" t="n">
        <v>2.4</v>
      </c>
      <c r="AW50" s="30" t="n">
        <v>0.04</v>
      </c>
      <c r="AX50" s="30" t="n">
        <v>180</v>
      </c>
      <c r="AY50" s="30" t="n">
        <v>120</v>
      </c>
      <c r="AZ50" s="30" t="n">
        <v>1.8</v>
      </c>
      <c r="BA50" s="30" t="n">
        <v>3.2</v>
      </c>
      <c r="BB50" s="30" t="n">
        <v>4.1</v>
      </c>
      <c r="BC50" s="30" t="n">
        <v>400</v>
      </c>
      <c r="BD50" s="30" t="n">
        <v>500</v>
      </c>
      <c r="BE50" s="30" t="n">
        <v>842</v>
      </c>
      <c r="BF50" s="30" t="n">
        <v>1250</v>
      </c>
      <c r="BG50" s="30" t="n">
        <v>1</v>
      </c>
      <c r="BH50" s="30" t="b">
        <v>1</v>
      </c>
      <c r="BI50" s="34" t="b">
        <v>1</v>
      </c>
      <c r="BJ50" s="30" t="b">
        <v>1</v>
      </c>
      <c r="BK50" s="30" t="b">
        <v>1</v>
      </c>
      <c r="BL50" s="30" t="b">
        <v>0</v>
      </c>
      <c r="BM50" s="30" t="n">
        <v>65</v>
      </c>
      <c r="BN50" s="30" t="inlineStr">
        <is>
          <t>complete</t>
        </is>
      </c>
      <c r="BO50" s="30" t="inlineStr">
        <is>
          <t>rendered_browser</t>
        </is>
      </c>
      <c r="BP50" s="30" t="b">
        <v>0</v>
      </c>
      <c r="BQ50" s="30" t="n">
        <v>0</v>
      </c>
      <c r="BR50" s="30" t="n">
        <v>0</v>
      </c>
      <c r="BS50" s="30" t="inlineStr"/>
      <c r="BT50" s="30" t="b">
        <v>0</v>
      </c>
      <c r="BU50" s="30" t="inlineStr"/>
      <c r="BV50" s="30" t="inlineStr"/>
      <c r="BW50" s="30" t="n">
        <v>0</v>
      </c>
      <c r="BX50" s="30" t="inlineStr"/>
      <c r="BY50" s="30" t="n">
        <v>0</v>
      </c>
      <c r="BZ50" s="30" t="inlineStr"/>
      <c r="CA50" s="30" t="n">
        <v>0</v>
      </c>
      <c r="CB50" s="30" t="inlineStr"/>
      <c r="CC50" s="30" t="n">
        <v>0</v>
      </c>
      <c r="CD50" s="30" t="inlineStr"/>
      <c r="CE50" s="30" t="n">
        <v>0</v>
      </c>
      <c r="CF50" s="30" t="inlineStr"/>
      <c r="CG50" s="30" t="n">
        <v>0</v>
      </c>
      <c r="CH50" s="30" t="inlineStr"/>
      <c r="CI50" s="30" t="inlineStr"/>
      <c r="CJ50" s="30" t="inlineStr"/>
      <c r="CK50" s="30" t="inlineStr"/>
      <c r="CL50" s="30" t="inlineStr">
        <is>
          <t>2026-06-01 to 2026-06-30 (30-day window; excludes today; typical GSC lag ~48h)</t>
        </is>
      </c>
      <c r="CM50" s="30" t="inlineStr">
        <is>
          <t>No Search Analytics row matched this URL in the 30-day export (compare Final URL with the page URL shown in GSC)</t>
        </is>
      </c>
      <c r="CN50" s="30" t="n">
        <v>-1</v>
      </c>
      <c r="CO50" s="30" t="b">
        <v>1</v>
      </c>
      <c r="CP50" s="30" t="n">
        <v>0.012048</v>
      </c>
      <c r="CQ50" s="30" t="b">
        <v>1</v>
      </c>
      <c r="CR50" s="30" t="b">
        <v>1</v>
      </c>
      <c r="CS50" s="30" t="inlineStr">
        <is>
          <t>Both</t>
        </is>
      </c>
      <c r="CT50" s="76" t="inlineStr"/>
      <c r="CU50" s="30" t="n">
        <v>48</v>
      </c>
      <c r="CV50" s="29">
        <f>IFERROR(INDEX(OFFSET('Technical Diagnostics'!$A$1,2,MATCH("SEO Health Score",'Technical Diagnostics'!$2:$2,0)-1,99998,1),MATCH(B50,OFFSET('Technical Diagnostics'!$A$1,2,MATCH("URL",'Technical Diagnostics'!$2:$2,0)-1,99998,1),0)),"")</f>
        <v/>
      </c>
      <c r="CW50" s="32" t="n">
        <v>100</v>
      </c>
      <c r="CX50" s="29" t="n">
        <v>85</v>
      </c>
      <c r="CY50" s="32" t="b">
        <v>1</v>
      </c>
      <c r="CZ50" s="30" t="b">
        <v>0</v>
      </c>
      <c r="DA50" s="30" t="inlineStr"/>
      <c r="DB50" s="30" t="inlineStr"/>
      <c r="DC50" s="30" t="inlineStr"/>
      <c r="DD50" s="30" t="n">
        <v>0</v>
      </c>
      <c r="DE50" s="30" t="n">
        <v>0</v>
      </c>
      <c r="DF50" s="30" t="inlineStr"/>
      <c r="DG50" s="30" t="inlineStr"/>
      <c r="DH50" s="30" t="inlineStr"/>
      <c r="DI50" s="30" t="n">
        <v>6</v>
      </c>
      <c r="DJ50" s="30" t="inlineStr">
        <is>
          <t>Author 47</t>
        </is>
      </c>
      <c r="DK50" s="30" t="inlineStr"/>
      <c r="DL50" s="30" t="b">
        <v>1</v>
      </c>
      <c r="DM50" s="30" t="inlineStr"/>
      <c r="DN50" s="30" t="inlineStr">
        <is>
          <t>2026-06-01</t>
        </is>
      </c>
      <c r="DO50" s="30" t="inlineStr"/>
      <c r="DP50" s="30" t="inlineStr">
        <is>
          <t>2026-06-01</t>
        </is>
      </c>
      <c r="DQ50" s="30" t="inlineStr"/>
      <c r="DR50" s="30" t="b">
        <v>0</v>
      </c>
      <c r="DS50" s="30" t="b">
        <v>1</v>
      </c>
      <c r="DT50" s="30" t="b">
        <v>1</v>
      </c>
      <c r="DU50" s="30" t="b">
        <v>0</v>
      </c>
      <c r="DV50" s="30" t="n">
        <v>0</v>
      </c>
      <c r="DW50" s="30" t="b">
        <v>0</v>
      </c>
      <c r="DX50" s="30" t="b">
        <v>0</v>
      </c>
      <c r="DY50" s="30" t="b">
        <v>0</v>
      </c>
      <c r="DZ50" s="30" t="b">
        <v>0</v>
      </c>
      <c r="EA50" s="32" t="b">
        <v>0</v>
      </c>
      <c r="EB50" s="30" t="b">
        <v>0</v>
      </c>
      <c r="EC50" s="30" t="inlineStr"/>
      <c r="ED50" s="30" t="inlineStr"/>
      <c r="EE50" s="30" t="b">
        <v>0</v>
      </c>
      <c r="EF50" s="30" t="inlineStr"/>
      <c r="EG50" s="30" t="inlineStr"/>
      <c r="EH50" s="30" t="inlineStr"/>
      <c r="EI50" s="30" t="inlineStr"/>
      <c r="EJ50" s="30" t="inlineStr"/>
      <c r="EK50" s="30" t="inlineStr">
        <is>
          <t>Fresh</t>
        </is>
      </c>
      <c r="EL50" s="30" t="inlineStr">
        <is>
          <t>Smoke title 47</t>
        </is>
      </c>
      <c r="EM50" s="30" t="inlineStr">
        <is>
          <t>Smoke meta description for page 47.</t>
        </is>
      </c>
      <c r="EN50" s="30" t="inlineStr">
        <is>
          <t>article</t>
        </is>
      </c>
      <c r="EO50" s="76" t="inlineStr"/>
      <c r="EP50" s="76" t="inlineStr"/>
      <c r="EQ50" s="30" t="inlineStr"/>
      <c r="ER50" s="30" t="inlineStr"/>
      <c r="ES50" s="30" t="inlineStr"/>
      <c r="ET50" s="30" t="inlineStr"/>
      <c r="EU50" s="75" t="b">
        <v>0</v>
      </c>
      <c r="EV50" s="30" t="inlineStr">
        <is>
          <t>summary_large_image</t>
        </is>
      </c>
      <c r="EW50" s="30" t="inlineStr"/>
      <c r="EX50" s="30" t="inlineStr"/>
      <c r="EY50" s="30" t="inlineStr"/>
      <c r="EZ50" s="30" t="n">
        <v>0</v>
      </c>
      <c r="FA50" s="40" t="b">
        <v>0</v>
      </c>
      <c r="FB50" s="76" t="inlineStr">
        <is>
          <t>https://africanmarketingconfederation.org/smoke-archive/page-47</t>
        </is>
      </c>
      <c r="FC50" s="30" t="inlineStr"/>
      <c r="FD50" s="30" t="n">
        <v>0</v>
      </c>
      <c r="FE50" s="31" t="inlineStr"/>
      <c r="FF50" s="30" t="b">
        <v>0</v>
      </c>
      <c r="FG50" s="30" t="b">
        <v>0</v>
      </c>
      <c r="FH50" s="32" t="b">
        <v>0</v>
      </c>
      <c r="FI50" s="30" t="n">
        <v>0</v>
      </c>
      <c r="FJ50" s="30" t="inlineStr">
        <is>
          <t>https://africanmarketingconfederation.org/smoke-archive/page-47</t>
        </is>
      </c>
      <c r="FK50" s="30" t="inlineStr"/>
      <c r="FL50" s="32" t="b">
        <v>0</v>
      </c>
      <c r="FM50" s="30" t="b">
        <v>0</v>
      </c>
      <c r="FN50" s="32" t="b">
        <v>0</v>
      </c>
      <c r="FO50" s="30" t="inlineStr"/>
      <c r="FP50" s="30" t="inlineStr"/>
      <c r="FQ50" s="30" t="inlineStr"/>
      <c r="FR50" s="30" t="inlineStr"/>
      <c r="FS50" s="30" t="inlineStr"/>
      <c r="FT50" s="30" t="inlineStr"/>
      <c r="FU50" s="30" t="inlineStr">
        <is>
          <t>Not specified</t>
        </is>
      </c>
      <c r="FV50" s="30" t="inlineStr">
        <is>
          <t>Not specified</t>
        </is>
      </c>
      <c r="FW50" s="30" t="inlineStr">
        <is>
          <t>Not specified</t>
        </is>
      </c>
      <c r="FX50" s="30" t="inlineStr">
        <is>
          <t>Not specified</t>
        </is>
      </c>
      <c r="FY50" s="30" t="inlineStr">
        <is>
          <t>Not specified</t>
        </is>
      </c>
      <c r="FZ50" s="30" t="b">
        <v>0</v>
      </c>
      <c r="GA50" s="30" t="n">
        <v>0</v>
      </c>
      <c r="GB50" s="30" t="inlineStr"/>
      <c r="GC50" s="30" t="inlineStr"/>
      <c r="GD50" s="30" t="b">
        <v>0</v>
      </c>
      <c r="GE50" s="30" t="b">
        <v>0</v>
      </c>
      <c r="GF50" s="30" t="b">
        <v>0</v>
      </c>
      <c r="GG50" s="30" t="b">
        <v>0</v>
      </c>
      <c r="GH50" s="30" t="b">
        <v>0</v>
      </c>
      <c r="GI50" s="30" t="b">
        <v>0</v>
      </c>
      <c r="GJ50" s="30" t="n">
        <v>0</v>
      </c>
      <c r="GK50" s="30" t="n">
        <v>0</v>
      </c>
      <c r="GL50" s="30" t="n">
        <v>0</v>
      </c>
      <c r="GM50" s="76" t="inlineStr"/>
      <c r="GN50" s="76" t="inlineStr"/>
      <c r="GO50" s="32" t="b">
        <v>0</v>
      </c>
      <c r="GP50" s="30" t="inlineStr"/>
      <c r="GQ50" s="76" t="inlineStr"/>
      <c r="GR50" s="30" t="inlineStr">
        <is>
          <t>Not Declared</t>
        </is>
      </c>
      <c r="GS50" s="30" t="b">
        <v>1</v>
      </c>
      <c r="GT50" s="30" t="n">
        <v>31.7</v>
      </c>
      <c r="GU50" s="30" t="inlineStr">
        <is>
          <t>Orphan</t>
        </is>
      </c>
      <c r="GV50" s="30" t="n">
        <v>0</v>
      </c>
      <c r="GW50" s="34" t="n">
        <v>0</v>
      </c>
      <c r="GX50" s="30" t="b">
        <v>0</v>
      </c>
      <c r="GY50" s="30" t="inlineStr">
        <is>
          <t>FAQ</t>
        </is>
      </c>
      <c r="GZ50" s="30" t="n">
        <v>9</v>
      </c>
      <c r="HA50" s="30" t="b">
        <v>0</v>
      </c>
      <c r="HB50" s="30" t="inlineStr">
        <is>
          <t>smoke, body, copy, intent, classification</t>
        </is>
      </c>
      <c r="HC50" s="30" t="b">
        <v>0</v>
      </c>
      <c r="HD50" s="30" t="b">
        <v>0</v>
      </c>
      <c r="HE50" s="30" t="b">
        <v>0</v>
      </c>
      <c r="HF50" s="34" t="n">
        <v>0</v>
      </c>
      <c r="HG50" s="30" t="b">
        <v>0</v>
      </c>
      <c r="HH50" s="30" t="b">
        <v>0</v>
      </c>
      <c r="HI50" s="38">
        <f>IFERROR(HYPERLINK("#'Technical Diagnostics'!A"&amp;MATCH(B50,'Technical Diagnostics'!A:A,0),"Open Technical"),HYPERLINK("#'Technical Diagnostics'!A1","Open Technical"))</f>
        <v/>
      </c>
    </row>
    <row r="51" ht="18" customHeight="1">
      <c r="A51" s="28" t="inlineStr">
        <is>
          <t>FAIL 🔴</t>
        </is>
      </c>
      <c r="B51" s="35" t="inlineStr">
        <is>
          <t>https://africanmarketingconfederation.org/smoke-archive/page-48</t>
        </is>
      </c>
      <c r="C51" s="28" t="inlineStr"/>
      <c r="D51" s="28" t="inlineStr">
        <is>
          <t>Indexable</t>
        </is>
      </c>
      <c r="E51" s="28" t="inlineStr"/>
      <c r="F51" s="28" t="inlineStr">
        <is>
          <t>Smoke title 48</t>
        </is>
      </c>
      <c r="G51" s="28" t="inlineStr">
        <is>
          <t>Smoke meta description for page 48.</t>
        </is>
      </c>
      <c r="H51" s="28" t="n">
        <v>368</v>
      </c>
      <c r="I51" s="28" t="n">
        <v>45</v>
      </c>
      <c r="J51" s="28" t="inlineStr">
        <is>
          <t>Critical</t>
        </is>
      </c>
      <c r="K51" s="28" t="inlineStr">
        <is>
          <t>Yes</t>
        </is>
      </c>
      <c r="L51" s="28" t="inlineStr"/>
      <c r="M51" s="28" t="inlineStr"/>
      <c r="N51" s="28" t="inlineStr">
        <is>
          <t>Lab only</t>
        </is>
      </c>
      <c r="O51" s="28" t="inlineStr">
        <is>
          <t>None</t>
        </is>
      </c>
      <c r="P51" s="28" t="inlineStr">
        <is>
          <t>PSI Lab</t>
        </is>
      </c>
      <c r="Q51" s="28" t="inlineStr">
        <is>
          <t>None</t>
        </is>
      </c>
      <c r="R51" s="28" t="inlineStr"/>
      <c r="S51" s="28" t="inlineStr"/>
      <c r="T51" s="28" t="inlineStr"/>
      <c r="U51" s="28" t="inlineStr"/>
      <c r="V51" s="28" t="inlineStr"/>
      <c r="W51" s="28" t="inlineStr"/>
      <c r="X51" s="28" t="inlineStr"/>
      <c r="Y51" s="28" t="inlineStr"/>
      <c r="Z51" s="28" t="inlineStr"/>
      <c r="AA51" s="28" t="n">
        <v>88</v>
      </c>
      <c r="AB51" s="28" t="n">
        <v>88</v>
      </c>
      <c r="AC51" s="28" t="n">
        <v>88</v>
      </c>
      <c r="AD51" s="28" t="n">
        <v>85</v>
      </c>
      <c r="AE51" s="28" t="n">
        <v>82</v>
      </c>
      <c r="AF51" s="28" t="n">
        <v>92</v>
      </c>
      <c r="AG51" s="28" t="n">
        <v>2.4</v>
      </c>
      <c r="AH51" s="28" t="n">
        <v>0.04</v>
      </c>
      <c r="AI51" s="28" t="n">
        <v>0.4</v>
      </c>
      <c r="AJ51" s="28" t="n">
        <v>2.4</v>
      </c>
      <c r="AK51" s="28" t="n">
        <v>0.04</v>
      </c>
      <c r="AL51" s="28" t="n">
        <v>180</v>
      </c>
      <c r="AM51" s="28" t="n">
        <v>120</v>
      </c>
      <c r="AN51" s="28" t="n">
        <v>1.8</v>
      </c>
      <c r="AO51" s="28" t="n">
        <v>3.2</v>
      </c>
      <c r="AP51" s="28" t="n">
        <v>4.1</v>
      </c>
      <c r="AQ51" s="28" t="n">
        <v>400</v>
      </c>
      <c r="AR51" s="28" t="n">
        <v>88</v>
      </c>
      <c r="AS51" s="28" t="n">
        <v>85</v>
      </c>
      <c r="AT51" s="28" t="n">
        <v>82</v>
      </c>
      <c r="AU51" s="28" t="n">
        <v>92</v>
      </c>
      <c r="AV51" s="28" t="n">
        <v>2.4</v>
      </c>
      <c r="AW51" s="28" t="n">
        <v>0.04</v>
      </c>
      <c r="AX51" s="28" t="n">
        <v>180</v>
      </c>
      <c r="AY51" s="28" t="n">
        <v>120</v>
      </c>
      <c r="AZ51" s="28" t="n">
        <v>1.8</v>
      </c>
      <c r="BA51" s="28" t="n">
        <v>3.2</v>
      </c>
      <c r="BB51" s="28" t="n">
        <v>4.1</v>
      </c>
      <c r="BC51" s="28" t="n">
        <v>400</v>
      </c>
      <c r="BD51" s="28" t="n">
        <v>500</v>
      </c>
      <c r="BE51" s="28" t="n">
        <v>842</v>
      </c>
      <c r="BF51" s="28" t="n">
        <v>1250</v>
      </c>
      <c r="BG51" s="28" t="n">
        <v>1</v>
      </c>
      <c r="BH51" s="28" t="b">
        <v>1</v>
      </c>
      <c r="BI51" s="34" t="b">
        <v>1</v>
      </c>
      <c r="BJ51" s="28" t="b">
        <v>1</v>
      </c>
      <c r="BK51" s="28" t="b">
        <v>1</v>
      </c>
      <c r="BL51" s="28" t="b">
        <v>0</v>
      </c>
      <c r="BM51" s="28" t="n">
        <v>65</v>
      </c>
      <c r="BN51" s="28" t="inlineStr">
        <is>
          <t>complete</t>
        </is>
      </c>
      <c r="BO51" s="28" t="inlineStr">
        <is>
          <t>rendered_browser</t>
        </is>
      </c>
      <c r="BP51" s="28" t="b">
        <v>0</v>
      </c>
      <c r="BQ51" s="28" t="n">
        <v>0</v>
      </c>
      <c r="BR51" s="28" t="n">
        <v>0</v>
      </c>
      <c r="BS51" s="28" t="inlineStr">
        <is>
          <t>https://africanmarketingconfederation.org/og-48.jpg</t>
        </is>
      </c>
      <c r="BT51" s="28" t="b">
        <v>0</v>
      </c>
      <c r="BU51" s="28" t="inlineStr"/>
      <c r="BV51" s="28" t="inlineStr"/>
      <c r="BW51" s="28" t="n">
        <v>0</v>
      </c>
      <c r="BX51" s="28" t="inlineStr"/>
      <c r="BY51" s="28" t="n">
        <v>0</v>
      </c>
      <c r="BZ51" s="28" t="inlineStr"/>
      <c r="CA51" s="28" t="n">
        <v>0</v>
      </c>
      <c r="CB51" s="28" t="inlineStr"/>
      <c r="CC51" s="28" t="n">
        <v>0</v>
      </c>
      <c r="CD51" s="28" t="inlineStr"/>
      <c r="CE51" s="28" t="n">
        <v>0</v>
      </c>
      <c r="CF51" s="28" t="inlineStr"/>
      <c r="CG51" s="28" t="n">
        <v>0</v>
      </c>
      <c r="CH51" s="28" t="inlineStr"/>
      <c r="CI51" s="28" t="inlineStr"/>
      <c r="CJ51" s="28" t="inlineStr"/>
      <c r="CK51" s="28" t="inlineStr"/>
      <c r="CL51" s="28" t="inlineStr">
        <is>
          <t>2026-06-01 to 2026-06-30 (30-day window; excludes today; typical GSC lag ~48h)</t>
        </is>
      </c>
      <c r="CM51" s="28" t="inlineStr">
        <is>
          <t>No Search Analytics row matched this URL in the 30-day export (compare Final URL with the page URL shown in GSC)</t>
        </is>
      </c>
      <c r="CN51" s="28" t="n">
        <v>-1</v>
      </c>
      <c r="CO51" s="28" t="b">
        <v>1</v>
      </c>
      <c r="CP51" s="28" t="n">
        <v>0.012048</v>
      </c>
      <c r="CQ51" s="28" t="b">
        <v>1</v>
      </c>
      <c r="CR51" s="28" t="b">
        <v>1</v>
      </c>
      <c r="CS51" s="28" t="inlineStr">
        <is>
          <t>Both</t>
        </is>
      </c>
      <c r="CT51" s="74" t="inlineStr"/>
      <c r="CU51" s="28" t="n">
        <v>49</v>
      </c>
      <c r="CV51" s="34">
        <f>IFERROR(INDEX(OFFSET('Technical Diagnostics'!$A$1,2,MATCH("SEO Health Score",'Technical Diagnostics'!$2:$2,0)-1,99998,1),MATCH(B51,OFFSET('Technical Diagnostics'!$A$1,2,MATCH("URL",'Technical Diagnostics'!$2:$2,0)-1,99998,1),0)),"")</f>
        <v/>
      </c>
      <c r="CW51" s="32" t="n">
        <v>100</v>
      </c>
      <c r="CX51" s="34" t="n">
        <v>58.75</v>
      </c>
      <c r="CY51" s="40" t="b">
        <v>0</v>
      </c>
      <c r="CZ51" s="28" t="b">
        <v>0</v>
      </c>
      <c r="DA51" s="28" t="inlineStr"/>
      <c r="DB51" s="28" t="inlineStr"/>
      <c r="DC51" s="28" t="inlineStr"/>
      <c r="DD51" s="28" t="n">
        <v>0</v>
      </c>
      <c r="DE51" s="28" t="n">
        <v>0</v>
      </c>
      <c r="DF51" s="28" t="inlineStr"/>
      <c r="DG51" s="28" t="inlineStr"/>
      <c r="DH51" s="28" t="inlineStr"/>
      <c r="DI51" s="28" t="n">
        <v>6</v>
      </c>
      <c r="DJ51" s="28" t="inlineStr">
        <is>
          <t>Author 48</t>
        </is>
      </c>
      <c r="DK51" s="28" t="inlineStr"/>
      <c r="DL51" s="28" t="b">
        <v>1</v>
      </c>
      <c r="DM51" s="28" t="inlineStr"/>
      <c r="DN51" s="28" t="inlineStr">
        <is>
          <t>2026-06-01</t>
        </is>
      </c>
      <c r="DO51" s="28" t="inlineStr"/>
      <c r="DP51" s="28" t="inlineStr">
        <is>
          <t>2026-06-01</t>
        </is>
      </c>
      <c r="DQ51" s="28" t="inlineStr"/>
      <c r="DR51" s="28" t="b">
        <v>0</v>
      </c>
      <c r="DS51" s="28" t="b">
        <v>1</v>
      </c>
      <c r="DT51" s="28" t="b">
        <v>1</v>
      </c>
      <c r="DU51" s="28" t="b">
        <v>0</v>
      </c>
      <c r="DV51" s="28" t="n">
        <v>0</v>
      </c>
      <c r="DW51" s="28" t="b">
        <v>0</v>
      </c>
      <c r="DX51" s="28" t="b">
        <v>0</v>
      </c>
      <c r="DY51" s="28" t="b">
        <v>0</v>
      </c>
      <c r="DZ51" s="28" t="b">
        <v>0</v>
      </c>
      <c r="EA51" s="32" t="b">
        <v>0</v>
      </c>
      <c r="EB51" s="28" t="b">
        <v>0</v>
      </c>
      <c r="EC51" s="28" t="inlineStr"/>
      <c r="ED51" s="28" t="inlineStr"/>
      <c r="EE51" s="28" t="b">
        <v>0</v>
      </c>
      <c r="EF51" s="28" t="inlineStr"/>
      <c r="EG51" s="28" t="inlineStr"/>
      <c r="EH51" s="28" t="inlineStr"/>
      <c r="EI51" s="28" t="inlineStr">
        <is>
          <t>2026-06-01</t>
        </is>
      </c>
      <c r="EJ51" s="28" t="inlineStr"/>
      <c r="EK51" s="28" t="inlineStr">
        <is>
          <t>Fresh</t>
        </is>
      </c>
      <c r="EL51" s="28" t="inlineStr"/>
      <c r="EM51" s="28" t="inlineStr">
        <is>
          <t>Smoke meta description for page 48.</t>
        </is>
      </c>
      <c r="EN51" s="28" t="inlineStr">
        <is>
          <t>article</t>
        </is>
      </c>
      <c r="EO51" s="74" t="inlineStr"/>
      <c r="EP51" s="74" t="inlineStr">
        <is>
          <t>https://africanmarketingconfederation.org/og-48.jpg</t>
        </is>
      </c>
      <c r="EQ51" s="28" t="inlineStr"/>
      <c r="ER51" s="28" t="inlineStr"/>
      <c r="ES51" s="28" t="inlineStr"/>
      <c r="ET51" s="28" t="inlineStr"/>
      <c r="EU51" s="75" t="b">
        <v>0</v>
      </c>
      <c r="EV51" s="28" t="inlineStr">
        <is>
          <t>summary_large_image</t>
        </is>
      </c>
      <c r="EW51" s="28" t="inlineStr"/>
      <c r="EX51" s="28" t="inlineStr"/>
      <c r="EY51" s="28" t="inlineStr"/>
      <c r="EZ51" s="28" t="n">
        <v>0</v>
      </c>
      <c r="FA51" s="40" t="b">
        <v>0</v>
      </c>
      <c r="FB51" s="74" t="inlineStr">
        <is>
          <t>https://africanmarketingconfederation.org/smoke-archive/page-48</t>
        </is>
      </c>
      <c r="FC51" s="28" t="inlineStr"/>
      <c r="FD51" s="28" t="n">
        <v>0</v>
      </c>
      <c r="FE51" s="20" t="inlineStr"/>
      <c r="FF51" s="28" t="b">
        <v>0</v>
      </c>
      <c r="FG51" s="28" t="b">
        <v>0</v>
      </c>
      <c r="FH51" s="32" t="b">
        <v>0</v>
      </c>
      <c r="FI51" s="28" t="n">
        <v>0</v>
      </c>
      <c r="FJ51" s="28" t="inlineStr">
        <is>
          <t>https://africanmarketingconfederation.org/smoke-archive/page-48</t>
        </is>
      </c>
      <c r="FK51" s="28" t="inlineStr"/>
      <c r="FL51" s="32" t="b">
        <v>0</v>
      </c>
      <c r="FM51" s="28" t="b">
        <v>0</v>
      </c>
      <c r="FN51" s="32" t="b">
        <v>0</v>
      </c>
      <c r="FO51" s="28" t="inlineStr"/>
      <c r="FP51" s="28" t="inlineStr"/>
      <c r="FQ51" s="28" t="inlineStr"/>
      <c r="FR51" s="28" t="inlineStr"/>
      <c r="FS51" s="28" t="inlineStr"/>
      <c r="FT51" s="28" t="inlineStr"/>
      <c r="FU51" s="28" t="inlineStr">
        <is>
          <t>Not specified</t>
        </is>
      </c>
      <c r="FV51" s="28" t="inlineStr">
        <is>
          <t>Not specified</t>
        </is>
      </c>
      <c r="FW51" s="28" t="inlineStr">
        <is>
          <t>Not specified</t>
        </is>
      </c>
      <c r="FX51" s="28" t="inlineStr">
        <is>
          <t>Not specified</t>
        </is>
      </c>
      <c r="FY51" s="28" t="inlineStr">
        <is>
          <t>Not specified</t>
        </is>
      </c>
      <c r="FZ51" s="28" t="b">
        <v>0</v>
      </c>
      <c r="GA51" s="28" t="n">
        <v>0</v>
      </c>
      <c r="GB51" s="28" t="inlineStr"/>
      <c r="GC51" s="28" t="inlineStr"/>
      <c r="GD51" s="28" t="b">
        <v>0</v>
      </c>
      <c r="GE51" s="28" t="b">
        <v>0</v>
      </c>
      <c r="GF51" s="28" t="b">
        <v>0</v>
      </c>
      <c r="GG51" s="28" t="b">
        <v>0</v>
      </c>
      <c r="GH51" s="28" t="b">
        <v>0</v>
      </c>
      <c r="GI51" s="28" t="b">
        <v>0</v>
      </c>
      <c r="GJ51" s="28" t="n">
        <v>0</v>
      </c>
      <c r="GK51" s="28" t="n">
        <v>0</v>
      </c>
      <c r="GL51" s="28" t="n">
        <v>0</v>
      </c>
      <c r="GM51" s="74" t="inlineStr"/>
      <c r="GN51" s="74" t="inlineStr"/>
      <c r="GO51" s="32" t="b">
        <v>0</v>
      </c>
      <c r="GP51" s="28" t="inlineStr"/>
      <c r="GQ51" s="74" t="inlineStr"/>
      <c r="GR51" s="28" t="inlineStr">
        <is>
          <t>Not Declared</t>
        </is>
      </c>
      <c r="GS51" s="28" t="b">
        <v>1</v>
      </c>
      <c r="GT51" s="28" t="n">
        <v>37.8</v>
      </c>
      <c r="GU51" s="28" t="inlineStr">
        <is>
          <t>Orphan</t>
        </is>
      </c>
      <c r="GV51" s="28" t="n">
        <v>0</v>
      </c>
      <c r="GW51" s="34" t="n">
        <v>0</v>
      </c>
      <c r="GX51" s="28" t="b">
        <v>0</v>
      </c>
      <c r="GY51" s="28" t="inlineStr">
        <is>
          <t>FAQ</t>
        </is>
      </c>
      <c r="GZ51" s="28" t="n">
        <v>9</v>
      </c>
      <c r="HA51" s="28" t="b">
        <v>0</v>
      </c>
      <c r="HB51" s="28" t="inlineStr">
        <is>
          <t>smoke, body, copy, intent, classification</t>
        </is>
      </c>
      <c r="HC51" s="28" t="b">
        <v>0</v>
      </c>
      <c r="HD51" s="28" t="b">
        <v>0</v>
      </c>
      <c r="HE51" s="28" t="b">
        <v>0</v>
      </c>
      <c r="HF51" s="34" t="n">
        <v>0</v>
      </c>
      <c r="HG51" s="28" t="b">
        <v>0</v>
      </c>
      <c r="HH51" s="28" t="b">
        <v>0</v>
      </c>
      <c r="HI51">
        <f>IFERROR(HYPERLINK("#'Technical Diagnostics'!A"&amp;MATCH(B51,'Technical Diagnostics'!A:A,0),"Open Technical"),HYPERLINK("#'Technical Diagnostics'!A1","Open Technical"))</f>
        <v/>
      </c>
    </row>
    <row r="52" ht="18" customHeight="1">
      <c r="A52" s="30" t="inlineStr">
        <is>
          <t>WARN 🟡</t>
        </is>
      </c>
      <c r="B52" s="37" t="inlineStr">
        <is>
          <t>https://africanmarketingconfederation.org/smoke-archive/page-49</t>
        </is>
      </c>
      <c r="C52" s="30" t="inlineStr"/>
      <c r="D52" s="30" t="inlineStr">
        <is>
          <t>Indexable</t>
        </is>
      </c>
      <c r="E52" s="30" t="inlineStr"/>
      <c r="F52" s="30" t="inlineStr">
        <is>
          <t>Smoke title 49</t>
        </is>
      </c>
      <c r="G52" s="30" t="inlineStr">
        <is>
          <t>Smoke meta description for page 49.</t>
        </is>
      </c>
      <c r="H52" s="30" t="n">
        <v>369</v>
      </c>
      <c r="I52" s="30" t="n">
        <v>70</v>
      </c>
      <c r="J52" s="30" t="inlineStr">
        <is>
          <t>Warning</t>
        </is>
      </c>
      <c r="K52" s="30" t="inlineStr">
        <is>
          <t>Yes</t>
        </is>
      </c>
      <c r="L52" s="30" t="inlineStr"/>
      <c r="M52" s="30" t="inlineStr"/>
      <c r="N52" s="30" t="inlineStr">
        <is>
          <t>Lab only</t>
        </is>
      </c>
      <c r="O52" s="30" t="inlineStr">
        <is>
          <t>None</t>
        </is>
      </c>
      <c r="P52" s="30" t="inlineStr">
        <is>
          <t>PSI Lab</t>
        </is>
      </c>
      <c r="Q52" s="30" t="inlineStr">
        <is>
          <t>None</t>
        </is>
      </c>
      <c r="R52" s="30" t="inlineStr"/>
      <c r="S52" s="30" t="inlineStr"/>
      <c r="T52" s="30" t="inlineStr"/>
      <c r="U52" s="30" t="inlineStr"/>
      <c r="V52" s="30" t="inlineStr"/>
      <c r="W52" s="30" t="inlineStr"/>
      <c r="X52" s="30" t="inlineStr"/>
      <c r="Y52" s="30" t="inlineStr"/>
      <c r="Z52" s="30" t="inlineStr"/>
      <c r="AA52" s="30" t="n">
        <v>88</v>
      </c>
      <c r="AB52" s="30" t="n">
        <v>88</v>
      </c>
      <c r="AC52" s="30" t="n">
        <v>88</v>
      </c>
      <c r="AD52" s="30" t="n">
        <v>85</v>
      </c>
      <c r="AE52" s="30" t="n">
        <v>82</v>
      </c>
      <c r="AF52" s="30" t="n">
        <v>92</v>
      </c>
      <c r="AG52" s="30" t="n">
        <v>2.4</v>
      </c>
      <c r="AH52" s="30" t="n">
        <v>0.04</v>
      </c>
      <c r="AI52" s="30" t="n">
        <v>0.4</v>
      </c>
      <c r="AJ52" s="30" t="n">
        <v>2.4</v>
      </c>
      <c r="AK52" s="30" t="n">
        <v>0.04</v>
      </c>
      <c r="AL52" s="30" t="n">
        <v>180</v>
      </c>
      <c r="AM52" s="30" t="n">
        <v>120</v>
      </c>
      <c r="AN52" s="30" t="n">
        <v>1.8</v>
      </c>
      <c r="AO52" s="30" t="n">
        <v>3.2</v>
      </c>
      <c r="AP52" s="30" t="n">
        <v>4.1</v>
      </c>
      <c r="AQ52" s="30" t="n">
        <v>400</v>
      </c>
      <c r="AR52" s="30" t="n">
        <v>88</v>
      </c>
      <c r="AS52" s="30" t="n">
        <v>85</v>
      </c>
      <c r="AT52" s="30" t="n">
        <v>82</v>
      </c>
      <c r="AU52" s="30" t="n">
        <v>92</v>
      </c>
      <c r="AV52" s="30" t="n">
        <v>2.4</v>
      </c>
      <c r="AW52" s="30" t="n">
        <v>0.04</v>
      </c>
      <c r="AX52" s="30" t="n">
        <v>180</v>
      </c>
      <c r="AY52" s="30" t="n">
        <v>120</v>
      </c>
      <c r="AZ52" s="30" t="n">
        <v>1.8</v>
      </c>
      <c r="BA52" s="30" t="n">
        <v>3.2</v>
      </c>
      <c r="BB52" s="30" t="n">
        <v>4.1</v>
      </c>
      <c r="BC52" s="30" t="n">
        <v>400</v>
      </c>
      <c r="BD52" s="30" t="n">
        <v>500</v>
      </c>
      <c r="BE52" s="30" t="n">
        <v>842</v>
      </c>
      <c r="BF52" s="30" t="n">
        <v>1250</v>
      </c>
      <c r="BG52" s="30" t="n">
        <v>1</v>
      </c>
      <c r="BH52" s="30" t="b">
        <v>1</v>
      </c>
      <c r="BI52" s="34" t="b">
        <v>1</v>
      </c>
      <c r="BJ52" s="30" t="b">
        <v>1</v>
      </c>
      <c r="BK52" s="30" t="b">
        <v>1</v>
      </c>
      <c r="BL52" s="30" t="b">
        <v>0</v>
      </c>
      <c r="BM52" s="30" t="n">
        <v>65</v>
      </c>
      <c r="BN52" s="30" t="inlineStr">
        <is>
          <t>complete</t>
        </is>
      </c>
      <c r="BO52" s="30" t="inlineStr">
        <is>
          <t>rendered_browser</t>
        </is>
      </c>
      <c r="BP52" s="30" t="b">
        <v>0</v>
      </c>
      <c r="BQ52" s="30" t="n">
        <v>0</v>
      </c>
      <c r="BR52" s="30" t="n">
        <v>0</v>
      </c>
      <c r="BS52" s="30" t="inlineStr"/>
      <c r="BT52" s="30" t="b">
        <v>0</v>
      </c>
      <c r="BU52" s="30" t="inlineStr"/>
      <c r="BV52" s="30" t="inlineStr"/>
      <c r="BW52" s="30" t="n">
        <v>0</v>
      </c>
      <c r="BX52" s="30" t="inlineStr"/>
      <c r="BY52" s="30" t="n">
        <v>0</v>
      </c>
      <c r="BZ52" s="30" t="inlineStr"/>
      <c r="CA52" s="30" t="n">
        <v>0</v>
      </c>
      <c r="CB52" s="30" t="inlineStr"/>
      <c r="CC52" s="30" t="n">
        <v>0</v>
      </c>
      <c r="CD52" s="30" t="inlineStr"/>
      <c r="CE52" s="30" t="n">
        <v>0</v>
      </c>
      <c r="CF52" s="30" t="inlineStr"/>
      <c r="CG52" s="30" t="n">
        <v>0</v>
      </c>
      <c r="CH52" s="30" t="inlineStr"/>
      <c r="CI52" s="30" t="inlineStr"/>
      <c r="CJ52" s="30" t="inlineStr"/>
      <c r="CK52" s="30" t="inlineStr"/>
      <c r="CL52" s="30" t="inlineStr">
        <is>
          <t>2026-06-01 to 2026-06-30 (30-day window; excludes today; typical GSC lag ~48h)</t>
        </is>
      </c>
      <c r="CM52" s="30" t="inlineStr">
        <is>
          <t>No Search Analytics row matched this URL in the 30-day export (compare Final URL with the page URL shown in GSC)</t>
        </is>
      </c>
      <c r="CN52" s="30" t="n">
        <v>-1</v>
      </c>
      <c r="CO52" s="30" t="b">
        <v>1</v>
      </c>
      <c r="CP52" s="30" t="n">
        <v>0.012048</v>
      </c>
      <c r="CQ52" s="30" t="b">
        <v>1</v>
      </c>
      <c r="CR52" s="30" t="b">
        <v>1</v>
      </c>
      <c r="CS52" s="30" t="inlineStr">
        <is>
          <t>Both</t>
        </is>
      </c>
      <c r="CT52" s="76" t="inlineStr"/>
      <c r="CU52" s="30" t="n">
        <v>50</v>
      </c>
      <c r="CV52" s="29">
        <f>IFERROR(INDEX(OFFSET('Technical Diagnostics'!$A$1,2,MATCH("SEO Health Score",'Technical Diagnostics'!$2:$2,0)-1,99998,1),MATCH(B52,OFFSET('Technical Diagnostics'!$A$1,2,MATCH("URL",'Technical Diagnostics'!$2:$2,0)-1,99998,1),0)),"")</f>
        <v/>
      </c>
      <c r="CW52" s="32" t="n">
        <v>100</v>
      </c>
      <c r="CX52" s="29" t="n">
        <v>77.5</v>
      </c>
      <c r="CY52" s="32" t="b">
        <v>1</v>
      </c>
      <c r="CZ52" s="30" t="b">
        <v>0</v>
      </c>
      <c r="DA52" s="30" t="inlineStr"/>
      <c r="DB52" s="30" t="inlineStr"/>
      <c r="DC52" s="30" t="inlineStr"/>
      <c r="DD52" s="30" t="n">
        <v>0</v>
      </c>
      <c r="DE52" s="30" t="n">
        <v>0</v>
      </c>
      <c r="DF52" s="30" t="inlineStr"/>
      <c r="DG52" s="30" t="inlineStr"/>
      <c r="DH52" s="30" t="inlineStr"/>
      <c r="DI52" s="30" t="n">
        <v>2</v>
      </c>
      <c r="DJ52" s="30" t="inlineStr"/>
      <c r="DK52" s="30" t="inlineStr"/>
      <c r="DL52" s="30" t="b">
        <v>0</v>
      </c>
      <c r="DM52" s="30" t="inlineStr"/>
      <c r="DN52" s="30" t="inlineStr">
        <is>
          <t>2026-06-01</t>
        </is>
      </c>
      <c r="DO52" s="30" t="inlineStr"/>
      <c r="DP52" s="30" t="inlineStr">
        <is>
          <t>2026-06-01</t>
        </is>
      </c>
      <c r="DQ52" s="30" t="inlineStr"/>
      <c r="DR52" s="30" t="b">
        <v>0</v>
      </c>
      <c r="DS52" s="30" t="b">
        <v>1</v>
      </c>
      <c r="DT52" s="30" t="b">
        <v>1</v>
      </c>
      <c r="DU52" s="30" t="b">
        <v>0</v>
      </c>
      <c r="DV52" s="30" t="n">
        <v>0</v>
      </c>
      <c r="DW52" s="30" t="b">
        <v>0</v>
      </c>
      <c r="DX52" s="30" t="b">
        <v>0</v>
      </c>
      <c r="DY52" s="30" t="b">
        <v>0</v>
      </c>
      <c r="DZ52" s="30" t="b">
        <v>0</v>
      </c>
      <c r="EA52" s="32" t="b">
        <v>0</v>
      </c>
      <c r="EB52" s="30" t="b">
        <v>0</v>
      </c>
      <c r="EC52" s="30" t="inlineStr"/>
      <c r="ED52" s="30" t="inlineStr"/>
      <c r="EE52" s="30" t="b">
        <v>0</v>
      </c>
      <c r="EF52" s="30" t="inlineStr"/>
      <c r="EG52" s="30" t="inlineStr"/>
      <c r="EH52" s="30" t="inlineStr"/>
      <c r="EI52" s="30" t="inlineStr"/>
      <c r="EJ52" s="30" t="inlineStr"/>
      <c r="EK52" s="30" t="inlineStr">
        <is>
          <t>Fresh</t>
        </is>
      </c>
      <c r="EL52" s="30" t="inlineStr">
        <is>
          <t>Smoke title 49</t>
        </is>
      </c>
      <c r="EM52" s="30" t="inlineStr">
        <is>
          <t>Smoke meta description for page 49.</t>
        </is>
      </c>
      <c r="EN52" s="30" t="inlineStr">
        <is>
          <t>article</t>
        </is>
      </c>
      <c r="EO52" s="76" t="inlineStr"/>
      <c r="EP52" s="76" t="inlineStr"/>
      <c r="EQ52" s="30" t="inlineStr"/>
      <c r="ER52" s="30" t="inlineStr"/>
      <c r="ES52" s="30" t="inlineStr"/>
      <c r="ET52" s="30" t="inlineStr"/>
      <c r="EU52" s="75" t="b">
        <v>0</v>
      </c>
      <c r="EV52" s="30" t="inlineStr">
        <is>
          <t>summary_large_image</t>
        </is>
      </c>
      <c r="EW52" s="30" t="inlineStr"/>
      <c r="EX52" s="30" t="inlineStr"/>
      <c r="EY52" s="30" t="inlineStr"/>
      <c r="EZ52" s="30" t="n">
        <v>0</v>
      </c>
      <c r="FA52" s="40" t="b">
        <v>0</v>
      </c>
      <c r="FB52" s="76" t="inlineStr">
        <is>
          <t>https://africanmarketingconfederation.org/smoke-archive/page-49</t>
        </is>
      </c>
      <c r="FC52" s="30" t="inlineStr"/>
      <c r="FD52" s="30" t="n">
        <v>0</v>
      </c>
      <c r="FE52" s="31" t="inlineStr"/>
      <c r="FF52" s="30" t="b">
        <v>0</v>
      </c>
      <c r="FG52" s="30" t="b">
        <v>0</v>
      </c>
      <c r="FH52" s="32" t="b">
        <v>0</v>
      </c>
      <c r="FI52" s="30" t="n">
        <v>0</v>
      </c>
      <c r="FJ52" s="30" t="inlineStr">
        <is>
          <t>https://africanmarketingconfederation.org/smoke-archive/page-49</t>
        </is>
      </c>
      <c r="FK52" s="30" t="inlineStr"/>
      <c r="FL52" s="32" t="b">
        <v>0</v>
      </c>
      <c r="FM52" s="30" t="b">
        <v>0</v>
      </c>
      <c r="FN52" s="32" t="b">
        <v>0</v>
      </c>
      <c r="FO52" s="30" t="inlineStr"/>
      <c r="FP52" s="30" t="inlineStr"/>
      <c r="FQ52" s="30" t="inlineStr"/>
      <c r="FR52" s="30" t="inlineStr"/>
      <c r="FS52" s="30" t="inlineStr"/>
      <c r="FT52" s="30" t="inlineStr"/>
      <c r="FU52" s="30" t="inlineStr">
        <is>
          <t>Not specified</t>
        </is>
      </c>
      <c r="FV52" s="30" t="inlineStr">
        <is>
          <t>Not specified</t>
        </is>
      </c>
      <c r="FW52" s="30" t="inlineStr">
        <is>
          <t>Not specified</t>
        </is>
      </c>
      <c r="FX52" s="30" t="inlineStr">
        <is>
          <t>Not specified</t>
        </is>
      </c>
      <c r="FY52" s="30" t="inlineStr">
        <is>
          <t>Not specified</t>
        </is>
      </c>
      <c r="FZ52" s="30" t="b">
        <v>0</v>
      </c>
      <c r="GA52" s="30" t="n">
        <v>0</v>
      </c>
      <c r="GB52" s="30" t="inlineStr"/>
      <c r="GC52" s="30" t="inlineStr"/>
      <c r="GD52" s="30" t="b">
        <v>0</v>
      </c>
      <c r="GE52" s="30" t="b">
        <v>0</v>
      </c>
      <c r="GF52" s="30" t="b">
        <v>0</v>
      </c>
      <c r="GG52" s="30" t="b">
        <v>0</v>
      </c>
      <c r="GH52" s="30" t="b">
        <v>0</v>
      </c>
      <c r="GI52" s="30" t="b">
        <v>0</v>
      </c>
      <c r="GJ52" s="30" t="n">
        <v>0</v>
      </c>
      <c r="GK52" s="30" t="n">
        <v>0</v>
      </c>
      <c r="GL52" s="30" t="n">
        <v>0</v>
      </c>
      <c r="GM52" s="76" t="inlineStr"/>
      <c r="GN52" s="76" t="inlineStr"/>
      <c r="GO52" s="32" t="b">
        <v>0</v>
      </c>
      <c r="GP52" s="30" t="inlineStr"/>
      <c r="GQ52" s="76" t="inlineStr"/>
      <c r="GR52" s="30" t="inlineStr">
        <is>
          <t>Not Declared</t>
        </is>
      </c>
      <c r="GS52" s="30" t="b">
        <v>1</v>
      </c>
      <c r="GT52" s="30" t="n">
        <v>47.6</v>
      </c>
      <c r="GU52" s="30" t="inlineStr">
        <is>
          <t>Orphan</t>
        </is>
      </c>
      <c r="GV52" s="30" t="n">
        <v>0</v>
      </c>
      <c r="GW52" s="34" t="n">
        <v>0</v>
      </c>
      <c r="GX52" s="30" t="b">
        <v>0</v>
      </c>
      <c r="GY52" s="30" t="inlineStr">
        <is>
          <t>FAQ</t>
        </is>
      </c>
      <c r="GZ52" s="30" t="n">
        <v>9</v>
      </c>
      <c r="HA52" s="30" t="b">
        <v>0</v>
      </c>
      <c r="HB52" s="30" t="inlineStr">
        <is>
          <t>smoke, body, copy, intent, classification</t>
        </is>
      </c>
      <c r="HC52" s="30" t="b">
        <v>0</v>
      </c>
      <c r="HD52" s="30" t="b">
        <v>0</v>
      </c>
      <c r="HE52" s="30" t="b">
        <v>0</v>
      </c>
      <c r="HF52" s="34" t="n">
        <v>0</v>
      </c>
      <c r="HG52" s="30" t="b">
        <v>0</v>
      </c>
      <c r="HH52" s="30" t="b">
        <v>0</v>
      </c>
      <c r="HI52" s="38">
        <f>IFERROR(HYPERLINK("#'Technical Diagnostics'!A"&amp;MATCH(B52,'Technical Diagnostics'!A:A,0),"Open Technical"),HYPERLINK("#'Technical Diagnostics'!A1","Open Technical"))</f>
        <v/>
      </c>
    </row>
    <row r="53" ht="18" customHeight="1">
      <c r="A53" s="28" t="inlineStr">
        <is>
          <t>WARN 🟡</t>
        </is>
      </c>
      <c r="B53" s="35" t="inlineStr">
        <is>
          <t>https://africanmarketingconfederation.org/smoke-archive/page-50</t>
        </is>
      </c>
      <c r="C53" s="28" t="inlineStr"/>
      <c r="D53" s="28" t="inlineStr">
        <is>
          <t>Indexable</t>
        </is>
      </c>
      <c r="E53" s="28" t="inlineStr"/>
      <c r="F53" s="28" t="inlineStr">
        <is>
          <t>Smoke title 50</t>
        </is>
      </c>
      <c r="G53" s="28" t="inlineStr"/>
      <c r="H53" s="28" t="n">
        <v>320</v>
      </c>
      <c r="I53" s="28" t="n">
        <v>60</v>
      </c>
      <c r="J53" s="28" t="inlineStr">
        <is>
          <t>Warning</t>
        </is>
      </c>
      <c r="K53" s="28" t="inlineStr">
        <is>
          <t>Yes</t>
        </is>
      </c>
      <c r="L53" s="28" t="inlineStr"/>
      <c r="M53" s="28" t="inlineStr"/>
      <c r="N53" s="28" t="inlineStr">
        <is>
          <t>Lab only</t>
        </is>
      </c>
      <c r="O53" s="28" t="inlineStr">
        <is>
          <t>None</t>
        </is>
      </c>
      <c r="P53" s="28" t="inlineStr">
        <is>
          <t>PSI Lab</t>
        </is>
      </c>
      <c r="Q53" s="28" t="inlineStr">
        <is>
          <t>None</t>
        </is>
      </c>
      <c r="R53" s="28" t="inlineStr"/>
      <c r="S53" s="28" t="inlineStr"/>
      <c r="T53" s="28" t="inlineStr"/>
      <c r="U53" s="28" t="inlineStr"/>
      <c r="V53" s="28" t="inlineStr"/>
      <c r="W53" s="28" t="inlineStr"/>
      <c r="X53" s="28" t="inlineStr"/>
      <c r="Y53" s="28" t="inlineStr"/>
      <c r="Z53" s="28" t="inlineStr"/>
      <c r="AA53" s="28" t="n">
        <v>88</v>
      </c>
      <c r="AB53" s="28" t="n">
        <v>88</v>
      </c>
      <c r="AC53" s="28" t="n">
        <v>88</v>
      </c>
      <c r="AD53" s="28" t="n">
        <v>85</v>
      </c>
      <c r="AE53" s="28" t="n">
        <v>82</v>
      </c>
      <c r="AF53" s="28" t="n">
        <v>92</v>
      </c>
      <c r="AG53" s="28" t="n">
        <v>2.4</v>
      </c>
      <c r="AH53" s="28" t="n">
        <v>0.04</v>
      </c>
      <c r="AI53" s="28" t="n">
        <v>0.4</v>
      </c>
      <c r="AJ53" s="28" t="n">
        <v>2.4</v>
      </c>
      <c r="AK53" s="28" t="n">
        <v>0.04</v>
      </c>
      <c r="AL53" s="28" t="n">
        <v>180</v>
      </c>
      <c r="AM53" s="28" t="n">
        <v>120</v>
      </c>
      <c r="AN53" s="28" t="n">
        <v>1.8</v>
      </c>
      <c r="AO53" s="28" t="n">
        <v>3.2</v>
      </c>
      <c r="AP53" s="28" t="n">
        <v>4.1</v>
      </c>
      <c r="AQ53" s="28" t="n">
        <v>400</v>
      </c>
      <c r="AR53" s="28" t="n">
        <v>88</v>
      </c>
      <c r="AS53" s="28" t="n">
        <v>85</v>
      </c>
      <c r="AT53" s="28" t="n">
        <v>82</v>
      </c>
      <c r="AU53" s="28" t="n">
        <v>92</v>
      </c>
      <c r="AV53" s="28" t="n">
        <v>2.4</v>
      </c>
      <c r="AW53" s="28" t="n">
        <v>0.04</v>
      </c>
      <c r="AX53" s="28" t="n">
        <v>180</v>
      </c>
      <c r="AY53" s="28" t="n">
        <v>120</v>
      </c>
      <c r="AZ53" s="28" t="n">
        <v>1.8</v>
      </c>
      <c r="BA53" s="28" t="n">
        <v>3.2</v>
      </c>
      <c r="BB53" s="28" t="n">
        <v>4.1</v>
      </c>
      <c r="BC53" s="28" t="n">
        <v>400</v>
      </c>
      <c r="BD53" s="28" t="n">
        <v>500</v>
      </c>
      <c r="BE53" s="28" t="n">
        <v>842</v>
      </c>
      <c r="BF53" s="28" t="n">
        <v>1250</v>
      </c>
      <c r="BG53" s="28" t="n">
        <v>1</v>
      </c>
      <c r="BH53" s="28" t="b">
        <v>1</v>
      </c>
      <c r="BI53" s="34" t="b">
        <v>1</v>
      </c>
      <c r="BJ53" s="28" t="b">
        <v>1</v>
      </c>
      <c r="BK53" s="28" t="b">
        <v>1</v>
      </c>
      <c r="BL53" s="28" t="b">
        <v>0</v>
      </c>
      <c r="BM53" s="28" t="n">
        <v>65</v>
      </c>
      <c r="BN53" s="28" t="inlineStr">
        <is>
          <t>complete</t>
        </is>
      </c>
      <c r="BO53" s="28" t="inlineStr">
        <is>
          <t>rendered_browser</t>
        </is>
      </c>
      <c r="BP53" s="28" t="b">
        <v>0</v>
      </c>
      <c r="BQ53" s="28" t="n">
        <v>0</v>
      </c>
      <c r="BR53" s="28" t="n">
        <v>0</v>
      </c>
      <c r="BS53" s="28" t="inlineStr"/>
      <c r="BT53" s="28" t="b">
        <v>0</v>
      </c>
      <c r="BU53" s="28" t="inlineStr"/>
      <c r="BV53" s="28" t="inlineStr"/>
      <c r="BW53" s="28" t="n">
        <v>0</v>
      </c>
      <c r="BX53" s="28" t="inlineStr"/>
      <c r="BY53" s="28" t="n">
        <v>0</v>
      </c>
      <c r="BZ53" s="28" t="inlineStr"/>
      <c r="CA53" s="28" t="n">
        <v>0</v>
      </c>
      <c r="CB53" s="28" t="inlineStr"/>
      <c r="CC53" s="28" t="n">
        <v>0</v>
      </c>
      <c r="CD53" s="28" t="inlineStr"/>
      <c r="CE53" s="28" t="n">
        <v>0</v>
      </c>
      <c r="CF53" s="28" t="inlineStr"/>
      <c r="CG53" s="28" t="n">
        <v>0</v>
      </c>
      <c r="CH53" s="28" t="inlineStr"/>
      <c r="CI53" s="28" t="inlineStr"/>
      <c r="CJ53" s="28" t="inlineStr"/>
      <c r="CK53" s="28" t="inlineStr"/>
      <c r="CL53" s="28" t="inlineStr">
        <is>
          <t>2026-06-01 to 2026-06-30 (30-day window; excludes today; typical GSC lag ~48h)</t>
        </is>
      </c>
      <c r="CM53" s="28" t="inlineStr">
        <is>
          <t>No Search Analytics row matched this URL in the 30-day export (compare Final URL with the page URL shown in GSC)</t>
        </is>
      </c>
      <c r="CN53" s="28" t="n">
        <v>-1</v>
      </c>
      <c r="CO53" s="28" t="b">
        <v>1</v>
      </c>
      <c r="CP53" s="28" t="n">
        <v>0.012048</v>
      </c>
      <c r="CQ53" s="28" t="b">
        <v>1</v>
      </c>
      <c r="CR53" s="28" t="b">
        <v>1</v>
      </c>
      <c r="CS53" s="28" t="inlineStr">
        <is>
          <t>Both</t>
        </is>
      </c>
      <c r="CT53" s="74" t="inlineStr"/>
      <c r="CU53" s="28" t="n">
        <v>51</v>
      </c>
      <c r="CV53" s="34">
        <f>IFERROR(INDEX(OFFSET('Technical Diagnostics'!$A$1,2,MATCH("SEO Health Score",'Technical Diagnostics'!$2:$2,0)-1,99998,1),MATCH(B53,OFFSET('Technical Diagnostics'!$A$1,2,MATCH("URL",'Technical Diagnostics'!$2:$2,0)-1,99998,1),0)),"")</f>
        <v/>
      </c>
      <c r="CW53" s="29" t="n">
        <v>80</v>
      </c>
      <c r="CX53" s="34" t="n">
        <v>65</v>
      </c>
      <c r="CY53" s="32" t="b">
        <v>1</v>
      </c>
      <c r="CZ53" s="28" t="b">
        <v>0</v>
      </c>
      <c r="DA53" s="28" t="inlineStr"/>
      <c r="DB53" s="28" t="inlineStr"/>
      <c r="DC53" s="28" t="inlineStr"/>
      <c r="DD53" s="28" t="n">
        <v>0</v>
      </c>
      <c r="DE53" s="28" t="n">
        <v>0</v>
      </c>
      <c r="DF53" s="28" t="inlineStr"/>
      <c r="DG53" s="28" t="inlineStr"/>
      <c r="DH53" s="28" t="inlineStr"/>
      <c r="DI53" s="28" t="n">
        <v>6</v>
      </c>
      <c r="DJ53" s="28" t="inlineStr">
        <is>
          <t>Author 50</t>
        </is>
      </c>
      <c r="DK53" s="28" t="inlineStr"/>
      <c r="DL53" s="28" t="b">
        <v>1</v>
      </c>
      <c r="DM53" s="28" t="inlineStr"/>
      <c r="DN53" s="28" t="inlineStr">
        <is>
          <t>2026-06-01</t>
        </is>
      </c>
      <c r="DO53" s="28" t="inlineStr"/>
      <c r="DP53" s="28" t="inlineStr">
        <is>
          <t>2026-06-01</t>
        </is>
      </c>
      <c r="DQ53" s="28" t="inlineStr"/>
      <c r="DR53" s="28" t="b">
        <v>0</v>
      </c>
      <c r="DS53" s="28" t="b">
        <v>1</v>
      </c>
      <c r="DT53" s="28" t="b">
        <v>1</v>
      </c>
      <c r="DU53" s="28" t="b">
        <v>0</v>
      </c>
      <c r="DV53" s="28" t="n">
        <v>0</v>
      </c>
      <c r="DW53" s="28" t="b">
        <v>0</v>
      </c>
      <c r="DX53" s="28" t="b">
        <v>0</v>
      </c>
      <c r="DY53" s="28" t="b">
        <v>0</v>
      </c>
      <c r="DZ53" s="28" t="b">
        <v>0</v>
      </c>
      <c r="EA53" s="32" t="b">
        <v>0</v>
      </c>
      <c r="EB53" s="28" t="b">
        <v>0</v>
      </c>
      <c r="EC53" s="28" t="inlineStr"/>
      <c r="ED53" s="28" t="inlineStr"/>
      <c r="EE53" s="28" t="b">
        <v>0</v>
      </c>
      <c r="EF53" s="28" t="inlineStr"/>
      <c r="EG53" s="28" t="inlineStr"/>
      <c r="EH53" s="28" t="inlineStr"/>
      <c r="EI53" s="28" t="inlineStr"/>
      <c r="EJ53" s="28" t="inlineStr"/>
      <c r="EK53" s="28" t="inlineStr">
        <is>
          <t>Fresh</t>
        </is>
      </c>
      <c r="EL53" s="28" t="inlineStr">
        <is>
          <t>Smoke title 50</t>
        </is>
      </c>
      <c r="EM53" s="28" t="inlineStr"/>
      <c r="EN53" s="28" t="inlineStr">
        <is>
          <t>article</t>
        </is>
      </c>
      <c r="EO53" s="74" t="inlineStr"/>
      <c r="EP53" s="74" t="inlineStr"/>
      <c r="EQ53" s="28" t="inlineStr"/>
      <c r="ER53" s="28" t="inlineStr"/>
      <c r="ES53" s="28" t="inlineStr"/>
      <c r="ET53" s="28" t="inlineStr"/>
      <c r="EU53" s="75" t="b">
        <v>0</v>
      </c>
      <c r="EV53" s="28" t="inlineStr">
        <is>
          <t>summary_large_image</t>
        </is>
      </c>
      <c r="EW53" s="28" t="inlineStr"/>
      <c r="EX53" s="28" t="inlineStr"/>
      <c r="EY53" s="28" t="inlineStr"/>
      <c r="EZ53" s="28" t="n">
        <v>0</v>
      </c>
      <c r="FA53" s="40" t="b">
        <v>0</v>
      </c>
      <c r="FB53" s="74" t="inlineStr">
        <is>
          <t>https://africanmarketingconfederation.org/smoke-archive/page-50</t>
        </is>
      </c>
      <c r="FC53" s="28" t="inlineStr"/>
      <c r="FD53" s="28" t="n">
        <v>0</v>
      </c>
      <c r="FE53" s="20" t="inlineStr"/>
      <c r="FF53" s="28" t="b">
        <v>0</v>
      </c>
      <c r="FG53" s="28" t="b">
        <v>0</v>
      </c>
      <c r="FH53" s="32" t="b">
        <v>0</v>
      </c>
      <c r="FI53" s="28" t="n">
        <v>0</v>
      </c>
      <c r="FJ53" s="28" t="inlineStr">
        <is>
          <t>https://africanmarketingconfederation.org/smoke-archive/page-50</t>
        </is>
      </c>
      <c r="FK53" s="28" t="inlineStr"/>
      <c r="FL53" s="32" t="b">
        <v>0</v>
      </c>
      <c r="FM53" s="28" t="b">
        <v>0</v>
      </c>
      <c r="FN53" s="32" t="b">
        <v>0</v>
      </c>
      <c r="FO53" s="28" t="inlineStr"/>
      <c r="FP53" s="28" t="inlineStr"/>
      <c r="FQ53" s="28" t="inlineStr"/>
      <c r="FR53" s="28" t="inlineStr"/>
      <c r="FS53" s="28" t="inlineStr"/>
      <c r="FT53" s="28" t="inlineStr"/>
      <c r="FU53" s="28" t="inlineStr">
        <is>
          <t>Not specified</t>
        </is>
      </c>
      <c r="FV53" s="28" t="inlineStr">
        <is>
          <t>Not specified</t>
        </is>
      </c>
      <c r="FW53" s="28" t="inlineStr">
        <is>
          <t>Not specified</t>
        </is>
      </c>
      <c r="FX53" s="28" t="inlineStr">
        <is>
          <t>Not specified</t>
        </is>
      </c>
      <c r="FY53" s="28" t="inlineStr">
        <is>
          <t>Not specified</t>
        </is>
      </c>
      <c r="FZ53" s="28" t="b">
        <v>0</v>
      </c>
      <c r="GA53" s="28" t="n">
        <v>0</v>
      </c>
      <c r="GB53" s="28" t="inlineStr"/>
      <c r="GC53" s="28" t="inlineStr"/>
      <c r="GD53" s="28" t="b">
        <v>0</v>
      </c>
      <c r="GE53" s="28" t="b">
        <v>0</v>
      </c>
      <c r="GF53" s="28" t="b">
        <v>0</v>
      </c>
      <c r="GG53" s="28" t="b">
        <v>0</v>
      </c>
      <c r="GH53" s="28" t="b">
        <v>0</v>
      </c>
      <c r="GI53" s="28" t="b">
        <v>0</v>
      </c>
      <c r="GJ53" s="28" t="n">
        <v>0</v>
      </c>
      <c r="GK53" s="28" t="n">
        <v>0</v>
      </c>
      <c r="GL53" s="28" t="n">
        <v>0</v>
      </c>
      <c r="GM53" s="74" t="inlineStr"/>
      <c r="GN53" s="74" t="inlineStr"/>
      <c r="GO53" s="32" t="b">
        <v>0</v>
      </c>
      <c r="GP53" s="28" t="inlineStr"/>
      <c r="GQ53" s="74" t="inlineStr"/>
      <c r="GR53" s="28" t="inlineStr">
        <is>
          <t>Not Declared</t>
        </is>
      </c>
      <c r="GS53" s="28" t="b">
        <v>1</v>
      </c>
      <c r="GT53" s="28" t="n">
        <v>95.09999999999999</v>
      </c>
      <c r="GU53" s="28" t="inlineStr">
        <is>
          <t>Orphan</t>
        </is>
      </c>
      <c r="GV53" s="28" t="n">
        <v>0</v>
      </c>
      <c r="GW53" s="34" t="n">
        <v>0</v>
      </c>
      <c r="GX53" s="28" t="b">
        <v>0</v>
      </c>
      <c r="GY53" s="28" t="inlineStr">
        <is>
          <t>FAQ</t>
        </is>
      </c>
      <c r="GZ53" s="28" t="n">
        <v>9</v>
      </c>
      <c r="HA53" s="28" t="b">
        <v>0</v>
      </c>
      <c r="HB53" s="28" t="inlineStr">
        <is>
          <t>smoke, body, copy, intent, classification</t>
        </is>
      </c>
      <c r="HC53" s="28" t="b">
        <v>0</v>
      </c>
      <c r="HD53" s="28" t="b">
        <v>0</v>
      </c>
      <c r="HE53" s="28" t="b">
        <v>0</v>
      </c>
      <c r="HF53" s="34" t="n">
        <v>0</v>
      </c>
      <c r="HG53" s="28" t="b">
        <v>0</v>
      </c>
      <c r="HH53" s="28" t="b">
        <v>0</v>
      </c>
      <c r="HI53">
        <f>IFERROR(HYPERLINK("#'Technical Diagnostics'!A"&amp;MATCH(B53,'Technical Diagnostics'!A:A,0),"Open Technical"),HYPERLINK("#'Technical Diagnostics'!A1","Open Technical"))</f>
        <v/>
      </c>
    </row>
    <row r="54" ht="18" customHeight="1">
      <c r="A54" s="30" t="inlineStr">
        <is>
          <t>FAIL 🔴</t>
        </is>
      </c>
      <c r="B54" s="37" t="inlineStr">
        <is>
          <t>https://africanmarketingconfederation.org/smoke-archive/page-51</t>
        </is>
      </c>
      <c r="C54" s="30" t="inlineStr"/>
      <c r="D54" s="30" t="inlineStr">
        <is>
          <t>Non-Indexable</t>
        </is>
      </c>
      <c r="E54" s="30" t="inlineStr"/>
      <c r="F54" s="30" t="inlineStr">
        <is>
          <t>Smoke title 51</t>
        </is>
      </c>
      <c r="G54" s="30" t="inlineStr">
        <is>
          <t>Smoke meta description for page 51.</t>
        </is>
      </c>
      <c r="H54" s="30" t="n">
        <v>321</v>
      </c>
      <c r="I54" s="30" t="n">
        <v>0</v>
      </c>
      <c r="J54" s="30" t="inlineStr">
        <is>
          <t>Critical</t>
        </is>
      </c>
      <c r="K54" s="30" t="inlineStr">
        <is>
          <t>Yes</t>
        </is>
      </c>
      <c r="L54" s="30" t="inlineStr"/>
      <c r="M54" s="30" t="inlineStr"/>
      <c r="N54" s="30" t="inlineStr">
        <is>
          <t>Lab only</t>
        </is>
      </c>
      <c r="O54" s="30" t="inlineStr">
        <is>
          <t>None</t>
        </is>
      </c>
      <c r="P54" s="30" t="inlineStr">
        <is>
          <t>PSI Lab</t>
        </is>
      </c>
      <c r="Q54" s="30" t="inlineStr">
        <is>
          <t>None</t>
        </is>
      </c>
      <c r="R54" s="30" t="inlineStr"/>
      <c r="S54" s="30" t="inlineStr"/>
      <c r="T54" s="30" t="inlineStr"/>
      <c r="U54" s="30" t="inlineStr"/>
      <c r="V54" s="30" t="inlineStr"/>
      <c r="W54" s="30" t="inlineStr"/>
      <c r="X54" s="30" t="inlineStr"/>
      <c r="Y54" s="30" t="inlineStr"/>
      <c r="Z54" s="30" t="inlineStr"/>
      <c r="AA54" s="30" t="n">
        <v>88</v>
      </c>
      <c r="AB54" s="30" t="n">
        <v>88</v>
      </c>
      <c r="AC54" s="30" t="n">
        <v>88</v>
      </c>
      <c r="AD54" s="30" t="n">
        <v>85</v>
      </c>
      <c r="AE54" s="30" t="n">
        <v>82</v>
      </c>
      <c r="AF54" s="30" t="n">
        <v>92</v>
      </c>
      <c r="AG54" s="30" t="n">
        <v>2.4</v>
      </c>
      <c r="AH54" s="30" t="n">
        <v>0.04</v>
      </c>
      <c r="AI54" s="30" t="n">
        <v>0.4</v>
      </c>
      <c r="AJ54" s="30" t="n">
        <v>2.4</v>
      </c>
      <c r="AK54" s="30" t="n">
        <v>0.04</v>
      </c>
      <c r="AL54" s="30" t="n">
        <v>180</v>
      </c>
      <c r="AM54" s="30" t="n">
        <v>120</v>
      </c>
      <c r="AN54" s="30" t="n">
        <v>1.8</v>
      </c>
      <c r="AO54" s="30" t="n">
        <v>3.2</v>
      </c>
      <c r="AP54" s="30" t="n">
        <v>4.1</v>
      </c>
      <c r="AQ54" s="30" t="n">
        <v>400</v>
      </c>
      <c r="AR54" s="30" t="n">
        <v>88</v>
      </c>
      <c r="AS54" s="30" t="n">
        <v>85</v>
      </c>
      <c r="AT54" s="30" t="n">
        <v>82</v>
      </c>
      <c r="AU54" s="30" t="n">
        <v>92</v>
      </c>
      <c r="AV54" s="30" t="n">
        <v>2.4</v>
      </c>
      <c r="AW54" s="30" t="n">
        <v>0.04</v>
      </c>
      <c r="AX54" s="30" t="n">
        <v>180</v>
      </c>
      <c r="AY54" s="30" t="n">
        <v>120</v>
      </c>
      <c r="AZ54" s="30" t="n">
        <v>1.8</v>
      </c>
      <c r="BA54" s="30" t="n">
        <v>3.2</v>
      </c>
      <c r="BB54" s="30" t="n">
        <v>4.1</v>
      </c>
      <c r="BC54" s="30" t="n">
        <v>400</v>
      </c>
      <c r="BD54" s="30" t="n">
        <v>500</v>
      </c>
      <c r="BE54" s="30" t="n">
        <v>842</v>
      </c>
      <c r="BF54" s="30" t="n">
        <v>1250</v>
      </c>
      <c r="BG54" s="30" t="n">
        <v>1</v>
      </c>
      <c r="BH54" s="30" t="b">
        <v>1</v>
      </c>
      <c r="BI54" s="34" t="b">
        <v>1</v>
      </c>
      <c r="BJ54" s="30" t="b">
        <v>1</v>
      </c>
      <c r="BK54" s="30" t="b">
        <v>1</v>
      </c>
      <c r="BL54" s="30" t="b">
        <v>0</v>
      </c>
      <c r="BM54" s="30" t="n">
        <v>65</v>
      </c>
      <c r="BN54" s="30" t="inlineStr">
        <is>
          <t>complete</t>
        </is>
      </c>
      <c r="BO54" s="30" t="inlineStr">
        <is>
          <t>rendered_browser</t>
        </is>
      </c>
      <c r="BP54" s="30" t="b">
        <v>0</v>
      </c>
      <c r="BQ54" s="30" t="n">
        <v>0</v>
      </c>
      <c r="BR54" s="30" t="n">
        <v>0</v>
      </c>
      <c r="BS54" s="30" t="inlineStr"/>
      <c r="BT54" s="30" t="b">
        <v>0</v>
      </c>
      <c r="BU54" s="30" t="inlineStr"/>
      <c r="BV54" s="30" t="inlineStr"/>
      <c r="BW54" s="30" t="n">
        <v>0</v>
      </c>
      <c r="BX54" s="30" t="inlineStr"/>
      <c r="BY54" s="30" t="n">
        <v>0</v>
      </c>
      <c r="BZ54" s="30" t="inlineStr"/>
      <c r="CA54" s="30" t="n">
        <v>0</v>
      </c>
      <c r="CB54" s="30" t="inlineStr"/>
      <c r="CC54" s="30" t="n">
        <v>0</v>
      </c>
      <c r="CD54" s="30" t="inlineStr"/>
      <c r="CE54" s="30" t="n">
        <v>0</v>
      </c>
      <c r="CF54" s="30" t="inlineStr"/>
      <c r="CG54" s="30" t="n">
        <v>0</v>
      </c>
      <c r="CH54" s="30" t="inlineStr"/>
      <c r="CI54" s="30" t="inlineStr"/>
      <c r="CJ54" s="30" t="inlineStr"/>
      <c r="CK54" s="30" t="inlineStr"/>
      <c r="CL54" s="30" t="inlineStr">
        <is>
          <t>2026-06-01 to 2026-06-30 (30-day window; excludes today; typical GSC lag ~48h)</t>
        </is>
      </c>
      <c r="CM54" s="30" t="inlineStr">
        <is>
          <t>No Search Analytics row matched this URL in the 30-day export (compare Final URL with the page URL shown in GSC)</t>
        </is>
      </c>
      <c r="CN54" s="30" t="n">
        <v>-1</v>
      </c>
      <c r="CO54" s="30" t="b">
        <v>1</v>
      </c>
      <c r="CP54" s="30" t="n">
        <v>0.012048</v>
      </c>
      <c r="CQ54" s="30" t="b">
        <v>1</v>
      </c>
      <c r="CR54" s="30" t="b">
        <v>1</v>
      </c>
      <c r="CS54" s="30" t="inlineStr">
        <is>
          <t>Both</t>
        </is>
      </c>
      <c r="CT54" s="76" t="inlineStr"/>
      <c r="CU54" s="30" t="n">
        <v>52</v>
      </c>
      <c r="CV54" s="34">
        <f>IFERROR(INDEX(OFFSET('Technical Diagnostics'!$A$1,2,MATCH("SEO Health Score",'Technical Diagnostics'!$2:$2,0)-1,99998,1),MATCH(B54,OFFSET('Technical Diagnostics'!$A$1,2,MATCH("URL",'Technical Diagnostics'!$2:$2,0)-1,99998,1),0)),"")</f>
        <v/>
      </c>
      <c r="CW54" s="32" t="n">
        <v>100</v>
      </c>
      <c r="CX54" s="34" t="n">
        <v>25</v>
      </c>
      <c r="CY54" s="32" t="b">
        <v>1</v>
      </c>
      <c r="CZ54" s="30" t="b">
        <v>0</v>
      </c>
      <c r="DA54" s="30" t="inlineStr"/>
      <c r="DB54" s="30" t="inlineStr"/>
      <c r="DC54" s="30" t="inlineStr"/>
      <c r="DD54" s="30" t="n">
        <v>0</v>
      </c>
      <c r="DE54" s="30" t="n">
        <v>0</v>
      </c>
      <c r="DF54" s="30" t="inlineStr"/>
      <c r="DG54" s="30" t="inlineStr"/>
      <c r="DH54" s="30" t="inlineStr"/>
      <c r="DI54" s="30" t="n">
        <v>6</v>
      </c>
      <c r="DJ54" s="30" t="inlineStr">
        <is>
          <t>Author 51</t>
        </is>
      </c>
      <c r="DK54" s="30" t="inlineStr"/>
      <c r="DL54" s="30" t="b">
        <v>1</v>
      </c>
      <c r="DM54" s="30" t="inlineStr"/>
      <c r="DN54" s="30" t="inlineStr">
        <is>
          <t>2026-06-01</t>
        </is>
      </c>
      <c r="DO54" s="30" t="inlineStr"/>
      <c r="DP54" s="30" t="inlineStr">
        <is>
          <t>2026-06-01</t>
        </is>
      </c>
      <c r="DQ54" s="30" t="inlineStr"/>
      <c r="DR54" s="30" t="b">
        <v>0</v>
      </c>
      <c r="DS54" s="30" t="b">
        <v>1</v>
      </c>
      <c r="DT54" s="30" t="b">
        <v>1</v>
      </c>
      <c r="DU54" s="30" t="b">
        <v>0</v>
      </c>
      <c r="DV54" s="30" t="n">
        <v>0</v>
      </c>
      <c r="DW54" s="30" t="b">
        <v>0</v>
      </c>
      <c r="DX54" s="30" t="b">
        <v>0</v>
      </c>
      <c r="DY54" s="30" t="b">
        <v>0</v>
      </c>
      <c r="DZ54" s="30" t="b">
        <v>0</v>
      </c>
      <c r="EA54" s="32" t="b">
        <v>0</v>
      </c>
      <c r="EB54" s="30" t="b">
        <v>0</v>
      </c>
      <c r="EC54" s="30" t="inlineStr"/>
      <c r="ED54" s="30" t="inlineStr"/>
      <c r="EE54" s="30" t="b">
        <v>0</v>
      </c>
      <c r="EF54" s="30" t="inlineStr"/>
      <c r="EG54" s="30" t="inlineStr"/>
      <c r="EH54" s="30" t="inlineStr"/>
      <c r="EI54" s="30" t="inlineStr">
        <is>
          <t>2026-06-01</t>
        </is>
      </c>
      <c r="EJ54" s="30" t="inlineStr"/>
      <c r="EK54" s="30" t="inlineStr">
        <is>
          <t>Fresh</t>
        </is>
      </c>
      <c r="EL54" s="30" t="inlineStr">
        <is>
          <t>Smoke title 51</t>
        </is>
      </c>
      <c r="EM54" s="30" t="inlineStr">
        <is>
          <t>Smoke meta description for page 51.</t>
        </is>
      </c>
      <c r="EN54" s="30" t="inlineStr">
        <is>
          <t>article</t>
        </is>
      </c>
      <c r="EO54" s="76" t="inlineStr"/>
      <c r="EP54" s="76" t="inlineStr"/>
      <c r="EQ54" s="30" t="inlineStr"/>
      <c r="ER54" s="30" t="inlineStr"/>
      <c r="ES54" s="30" t="inlineStr"/>
      <c r="ET54" s="30" t="inlineStr"/>
      <c r="EU54" s="75" t="b">
        <v>0</v>
      </c>
      <c r="EV54" s="30" t="inlineStr">
        <is>
          <t>summary_large_image</t>
        </is>
      </c>
      <c r="EW54" s="30" t="inlineStr"/>
      <c r="EX54" s="30" t="inlineStr"/>
      <c r="EY54" s="30" t="inlineStr"/>
      <c r="EZ54" s="30" t="n">
        <v>0</v>
      </c>
      <c r="FA54" s="40" t="b">
        <v>0</v>
      </c>
      <c r="FB54" s="76" t="inlineStr">
        <is>
          <t>https://africanmarketingconfederation.org/smoke-archive/page-51</t>
        </is>
      </c>
      <c r="FC54" s="30" t="inlineStr"/>
      <c r="FD54" s="30" t="n">
        <v>0</v>
      </c>
      <c r="FE54" s="31" t="inlineStr"/>
      <c r="FF54" s="30" t="b">
        <v>0</v>
      </c>
      <c r="FG54" s="30" t="b">
        <v>0</v>
      </c>
      <c r="FH54" s="32" t="b">
        <v>0</v>
      </c>
      <c r="FI54" s="30" t="n">
        <v>0</v>
      </c>
      <c r="FJ54" s="30" t="inlineStr">
        <is>
          <t>https://africanmarketingconfederation.org/smoke-archive/page-51</t>
        </is>
      </c>
      <c r="FK54" s="30" t="inlineStr"/>
      <c r="FL54" s="32" t="b">
        <v>0</v>
      </c>
      <c r="FM54" s="30" t="b">
        <v>0</v>
      </c>
      <c r="FN54" s="32" t="b">
        <v>0</v>
      </c>
      <c r="FO54" s="30" t="inlineStr"/>
      <c r="FP54" s="30" t="inlineStr"/>
      <c r="FQ54" s="30" t="inlineStr"/>
      <c r="FR54" s="30" t="inlineStr"/>
      <c r="FS54" s="30" t="inlineStr"/>
      <c r="FT54" s="30" t="inlineStr"/>
      <c r="FU54" s="30" t="inlineStr">
        <is>
          <t>Not specified</t>
        </is>
      </c>
      <c r="FV54" s="30" t="inlineStr">
        <is>
          <t>Not specified</t>
        </is>
      </c>
      <c r="FW54" s="30" t="inlineStr">
        <is>
          <t>Not specified</t>
        </is>
      </c>
      <c r="FX54" s="30" t="inlineStr">
        <is>
          <t>Not specified</t>
        </is>
      </c>
      <c r="FY54" s="30" t="inlineStr">
        <is>
          <t>Not specified</t>
        </is>
      </c>
      <c r="FZ54" s="30" t="b">
        <v>0</v>
      </c>
      <c r="GA54" s="30" t="n">
        <v>0</v>
      </c>
      <c r="GB54" s="30" t="inlineStr"/>
      <c r="GC54" s="30" t="inlineStr"/>
      <c r="GD54" s="30" t="b">
        <v>0</v>
      </c>
      <c r="GE54" s="30" t="b">
        <v>0</v>
      </c>
      <c r="GF54" s="30" t="b">
        <v>0</v>
      </c>
      <c r="GG54" s="30" t="b">
        <v>0</v>
      </c>
      <c r="GH54" s="30" t="b">
        <v>0</v>
      </c>
      <c r="GI54" s="30" t="b">
        <v>0</v>
      </c>
      <c r="GJ54" s="30" t="n">
        <v>0</v>
      </c>
      <c r="GK54" s="30" t="n">
        <v>0</v>
      </c>
      <c r="GL54" s="30" t="n">
        <v>0</v>
      </c>
      <c r="GM54" s="76" t="inlineStr"/>
      <c r="GN54" s="76" t="inlineStr"/>
      <c r="GO54" s="32" t="b">
        <v>0</v>
      </c>
      <c r="GP54" s="30" t="inlineStr"/>
      <c r="GQ54" s="76" t="inlineStr"/>
      <c r="GR54" s="30" t="inlineStr">
        <is>
          <t>Not Declared</t>
        </is>
      </c>
      <c r="GS54" s="30" t="b">
        <v>1</v>
      </c>
      <c r="GT54" s="30" t="n">
        <v>22</v>
      </c>
      <c r="GU54" s="30" t="inlineStr">
        <is>
          <t>Orphan</t>
        </is>
      </c>
      <c r="GV54" s="30" t="n">
        <v>0</v>
      </c>
      <c r="GW54" s="34" t="n">
        <v>0</v>
      </c>
      <c r="GX54" s="30" t="b">
        <v>0</v>
      </c>
      <c r="GY54" s="30" t="inlineStr">
        <is>
          <t>FAQ</t>
        </is>
      </c>
      <c r="GZ54" s="30" t="n">
        <v>9</v>
      </c>
      <c r="HA54" s="30" t="b">
        <v>0</v>
      </c>
      <c r="HB54" s="30" t="inlineStr">
        <is>
          <t>smoke, body, copy, intent, classification</t>
        </is>
      </c>
      <c r="HC54" s="30" t="b">
        <v>0</v>
      </c>
      <c r="HD54" s="30" t="b">
        <v>0</v>
      </c>
      <c r="HE54" s="30" t="b">
        <v>0</v>
      </c>
      <c r="HF54" s="34" t="n">
        <v>0</v>
      </c>
      <c r="HG54" s="30" t="b">
        <v>0</v>
      </c>
      <c r="HH54" s="30" t="b">
        <v>0</v>
      </c>
      <c r="HI54" s="38">
        <f>IFERROR(HYPERLINK("#'Technical Diagnostics'!A"&amp;MATCH(B54,'Technical Diagnostics'!A:A,0),"Open Technical"),HYPERLINK("#'Technical Diagnostics'!A1","Open Technical"))</f>
        <v/>
      </c>
    </row>
    <row r="55" ht="18" customHeight="1">
      <c r="A55" s="28" t="inlineStr">
        <is>
          <t>FAIL 🔴</t>
        </is>
      </c>
      <c r="B55" s="35" t="inlineStr">
        <is>
          <t>https://africanmarketingconfederation.org/smoke-archive/page-52</t>
        </is>
      </c>
      <c r="C55" s="28" t="inlineStr"/>
      <c r="D55" s="28" t="inlineStr">
        <is>
          <t>Non-Indexable</t>
        </is>
      </c>
      <c r="E55" s="28" t="inlineStr"/>
      <c r="F55" s="28" t="inlineStr">
        <is>
          <t>Smoke title 52</t>
        </is>
      </c>
      <c r="G55" s="28" t="inlineStr">
        <is>
          <t>Smoke meta description for page 52.</t>
        </is>
      </c>
      <c r="H55" s="28" t="n">
        <v>322</v>
      </c>
      <c r="I55" s="28" t="n">
        <v>0</v>
      </c>
      <c r="J55" s="28" t="inlineStr">
        <is>
          <t>Critical</t>
        </is>
      </c>
      <c r="K55" s="28" t="inlineStr">
        <is>
          <t>Yes</t>
        </is>
      </c>
      <c r="L55" s="28" t="inlineStr"/>
      <c r="M55" s="28" t="inlineStr"/>
      <c r="N55" s="28" t="inlineStr">
        <is>
          <t>Lab only</t>
        </is>
      </c>
      <c r="O55" s="28" t="inlineStr">
        <is>
          <t>None</t>
        </is>
      </c>
      <c r="P55" s="28" t="inlineStr">
        <is>
          <t>PSI Lab</t>
        </is>
      </c>
      <c r="Q55" s="28" t="inlineStr">
        <is>
          <t>None</t>
        </is>
      </c>
      <c r="R55" s="28" t="inlineStr"/>
      <c r="S55" s="28" t="inlineStr"/>
      <c r="T55" s="28" t="inlineStr"/>
      <c r="U55" s="28" t="inlineStr"/>
      <c r="V55" s="28" t="inlineStr"/>
      <c r="W55" s="28" t="inlineStr"/>
      <c r="X55" s="28" t="inlineStr"/>
      <c r="Y55" s="28" t="inlineStr"/>
      <c r="Z55" s="28" t="inlineStr"/>
      <c r="AA55" s="28" t="n">
        <v>88</v>
      </c>
      <c r="AB55" s="28" t="n">
        <v>88</v>
      </c>
      <c r="AC55" s="28" t="n">
        <v>88</v>
      </c>
      <c r="AD55" s="28" t="n">
        <v>85</v>
      </c>
      <c r="AE55" s="28" t="n">
        <v>82</v>
      </c>
      <c r="AF55" s="28" t="n">
        <v>92</v>
      </c>
      <c r="AG55" s="28" t="n">
        <v>2.4</v>
      </c>
      <c r="AH55" s="28" t="n">
        <v>0.04</v>
      </c>
      <c r="AI55" s="28" t="n">
        <v>0.4</v>
      </c>
      <c r="AJ55" s="28" t="n">
        <v>2.4</v>
      </c>
      <c r="AK55" s="28" t="n">
        <v>0.04</v>
      </c>
      <c r="AL55" s="28" t="n">
        <v>180</v>
      </c>
      <c r="AM55" s="28" t="n">
        <v>120</v>
      </c>
      <c r="AN55" s="28" t="n">
        <v>1.8</v>
      </c>
      <c r="AO55" s="28" t="n">
        <v>3.2</v>
      </c>
      <c r="AP55" s="28" t="n">
        <v>4.1</v>
      </c>
      <c r="AQ55" s="28" t="n">
        <v>400</v>
      </c>
      <c r="AR55" s="28" t="n">
        <v>88</v>
      </c>
      <c r="AS55" s="28" t="n">
        <v>85</v>
      </c>
      <c r="AT55" s="28" t="n">
        <v>82</v>
      </c>
      <c r="AU55" s="28" t="n">
        <v>92</v>
      </c>
      <c r="AV55" s="28" t="n">
        <v>2.4</v>
      </c>
      <c r="AW55" s="28" t="n">
        <v>0.04</v>
      </c>
      <c r="AX55" s="28" t="n">
        <v>180</v>
      </c>
      <c r="AY55" s="28" t="n">
        <v>120</v>
      </c>
      <c r="AZ55" s="28" t="n">
        <v>1.8</v>
      </c>
      <c r="BA55" s="28" t="n">
        <v>3.2</v>
      </c>
      <c r="BB55" s="28" t="n">
        <v>4.1</v>
      </c>
      <c r="BC55" s="28" t="n">
        <v>400</v>
      </c>
      <c r="BD55" s="28" t="n">
        <v>500</v>
      </c>
      <c r="BE55" s="28" t="n">
        <v>842</v>
      </c>
      <c r="BF55" s="28" t="n">
        <v>1250</v>
      </c>
      <c r="BG55" s="28" t="n">
        <v>1</v>
      </c>
      <c r="BH55" s="28" t="b">
        <v>1</v>
      </c>
      <c r="BI55" s="34" t="b">
        <v>1</v>
      </c>
      <c r="BJ55" s="28" t="b">
        <v>1</v>
      </c>
      <c r="BK55" s="28" t="b">
        <v>1</v>
      </c>
      <c r="BL55" s="28" t="b">
        <v>0</v>
      </c>
      <c r="BM55" s="28" t="n">
        <v>65</v>
      </c>
      <c r="BN55" s="28" t="inlineStr">
        <is>
          <t>complete</t>
        </is>
      </c>
      <c r="BO55" s="28" t="inlineStr">
        <is>
          <t>rendered_browser</t>
        </is>
      </c>
      <c r="BP55" s="28" t="b">
        <v>0</v>
      </c>
      <c r="BQ55" s="28" t="n">
        <v>0</v>
      </c>
      <c r="BR55" s="28" t="n">
        <v>0</v>
      </c>
      <c r="BS55" s="28" t="inlineStr">
        <is>
          <t>https://africanmarketingconfederation.org/og-52.jpg</t>
        </is>
      </c>
      <c r="BT55" s="28" t="b">
        <v>0</v>
      </c>
      <c r="BU55" s="28" t="inlineStr"/>
      <c r="BV55" s="28" t="inlineStr"/>
      <c r="BW55" s="28" t="n">
        <v>0</v>
      </c>
      <c r="BX55" s="28" t="inlineStr"/>
      <c r="BY55" s="28" t="n">
        <v>0</v>
      </c>
      <c r="BZ55" s="28" t="inlineStr"/>
      <c r="CA55" s="28" t="n">
        <v>0</v>
      </c>
      <c r="CB55" s="28" t="inlineStr"/>
      <c r="CC55" s="28" t="n">
        <v>0</v>
      </c>
      <c r="CD55" s="28" t="inlineStr"/>
      <c r="CE55" s="28" t="n">
        <v>0</v>
      </c>
      <c r="CF55" s="28" t="inlineStr"/>
      <c r="CG55" s="28" t="n">
        <v>0</v>
      </c>
      <c r="CH55" s="28" t="inlineStr"/>
      <c r="CI55" s="28" t="inlineStr"/>
      <c r="CJ55" s="28" t="inlineStr"/>
      <c r="CK55" s="28" t="inlineStr"/>
      <c r="CL55" s="28" t="inlineStr">
        <is>
          <t>2026-06-01 to 2026-06-30 (30-day window; excludes today; typical GSC lag ~48h)</t>
        </is>
      </c>
      <c r="CM55" s="28" t="inlineStr">
        <is>
          <t>No Search Analytics row matched this URL in the 30-day export (compare Final URL with the page URL shown in GSC)</t>
        </is>
      </c>
      <c r="CN55" s="28" t="n">
        <v>-1</v>
      </c>
      <c r="CO55" s="28" t="b">
        <v>1</v>
      </c>
      <c r="CP55" s="28" t="n">
        <v>0.012048</v>
      </c>
      <c r="CQ55" s="28" t="b">
        <v>1</v>
      </c>
      <c r="CR55" s="28" t="b">
        <v>1</v>
      </c>
      <c r="CS55" s="28" t="inlineStr">
        <is>
          <t>Both</t>
        </is>
      </c>
      <c r="CT55" s="74" t="inlineStr"/>
      <c r="CU55" s="28" t="n">
        <v>53</v>
      </c>
      <c r="CV55" s="34">
        <f>IFERROR(INDEX(OFFSET('Technical Diagnostics'!$A$1,2,MATCH("SEO Health Score",'Technical Diagnostics'!$2:$2,0)-1,99998,1),MATCH(B55,OFFSET('Technical Diagnostics'!$A$1,2,MATCH("URL",'Technical Diagnostics'!$2:$2,0)-1,99998,1),0)),"")</f>
        <v/>
      </c>
      <c r="CW55" s="32" t="n">
        <v>100</v>
      </c>
      <c r="CX55" s="34" t="n">
        <v>5</v>
      </c>
      <c r="CY55" s="32" t="b">
        <v>1</v>
      </c>
      <c r="CZ55" s="28" t="b">
        <v>0</v>
      </c>
      <c r="DA55" s="28" t="inlineStr"/>
      <c r="DB55" s="28" t="inlineStr"/>
      <c r="DC55" s="28" t="inlineStr"/>
      <c r="DD55" s="28" t="n">
        <v>0</v>
      </c>
      <c r="DE55" s="28" t="n">
        <v>0</v>
      </c>
      <c r="DF55" s="28" t="inlineStr"/>
      <c r="DG55" s="28" t="inlineStr"/>
      <c r="DH55" s="28" t="inlineStr"/>
      <c r="DI55" s="28" t="n">
        <v>6</v>
      </c>
      <c r="DJ55" s="28" t="inlineStr">
        <is>
          <t>Author 52</t>
        </is>
      </c>
      <c r="DK55" s="28" t="inlineStr"/>
      <c r="DL55" s="28" t="b">
        <v>1</v>
      </c>
      <c r="DM55" s="28" t="inlineStr"/>
      <c r="DN55" s="28" t="inlineStr">
        <is>
          <t>2026-06-01</t>
        </is>
      </c>
      <c r="DO55" s="28" t="inlineStr"/>
      <c r="DP55" s="28" t="inlineStr">
        <is>
          <t>2026-06-01</t>
        </is>
      </c>
      <c r="DQ55" s="28" t="inlineStr"/>
      <c r="DR55" s="28" t="b">
        <v>0</v>
      </c>
      <c r="DS55" s="28" t="b">
        <v>1</v>
      </c>
      <c r="DT55" s="28" t="b">
        <v>1</v>
      </c>
      <c r="DU55" s="28" t="b">
        <v>0</v>
      </c>
      <c r="DV55" s="28" t="n">
        <v>0</v>
      </c>
      <c r="DW55" s="28" t="b">
        <v>0</v>
      </c>
      <c r="DX55" s="28" t="b">
        <v>0</v>
      </c>
      <c r="DY55" s="28" t="b">
        <v>0</v>
      </c>
      <c r="DZ55" s="28" t="b">
        <v>0</v>
      </c>
      <c r="EA55" s="32" t="b">
        <v>0</v>
      </c>
      <c r="EB55" s="28" t="b">
        <v>0</v>
      </c>
      <c r="EC55" s="28" t="inlineStr"/>
      <c r="ED55" s="28" t="inlineStr"/>
      <c r="EE55" s="28" t="b">
        <v>0</v>
      </c>
      <c r="EF55" s="28" t="inlineStr"/>
      <c r="EG55" s="28" t="inlineStr"/>
      <c r="EH55" s="28" t="inlineStr"/>
      <c r="EI55" s="28" t="inlineStr"/>
      <c r="EJ55" s="28" t="inlineStr"/>
      <c r="EK55" s="28" t="inlineStr">
        <is>
          <t>Fresh</t>
        </is>
      </c>
      <c r="EL55" s="28" t="inlineStr">
        <is>
          <t>Smoke title 52</t>
        </is>
      </c>
      <c r="EM55" s="28" t="inlineStr">
        <is>
          <t>Smoke meta description for page 52.</t>
        </is>
      </c>
      <c r="EN55" s="28" t="inlineStr">
        <is>
          <t>article</t>
        </is>
      </c>
      <c r="EO55" s="74" t="inlineStr"/>
      <c r="EP55" s="74" t="inlineStr">
        <is>
          <t>https://africanmarketingconfederation.org/og-52.jpg</t>
        </is>
      </c>
      <c r="EQ55" s="28" t="inlineStr"/>
      <c r="ER55" s="28" t="inlineStr"/>
      <c r="ES55" s="28" t="inlineStr"/>
      <c r="ET55" s="28" t="inlineStr"/>
      <c r="EU55" s="75" t="b">
        <v>0</v>
      </c>
      <c r="EV55" s="28" t="inlineStr">
        <is>
          <t>summary_large_image</t>
        </is>
      </c>
      <c r="EW55" s="28" t="inlineStr"/>
      <c r="EX55" s="28" t="inlineStr"/>
      <c r="EY55" s="28" t="inlineStr"/>
      <c r="EZ55" s="28" t="n">
        <v>0</v>
      </c>
      <c r="FA55" s="40" t="b">
        <v>0</v>
      </c>
      <c r="FB55" s="74" t="inlineStr">
        <is>
          <t>https://africanmarketingconfederation.org/smoke-archive/page-52</t>
        </is>
      </c>
      <c r="FC55" s="28" t="inlineStr"/>
      <c r="FD55" s="28" t="n">
        <v>0</v>
      </c>
      <c r="FE55" s="20" t="inlineStr"/>
      <c r="FF55" s="28" t="b">
        <v>0</v>
      </c>
      <c r="FG55" s="28" t="b">
        <v>0</v>
      </c>
      <c r="FH55" s="32" t="b">
        <v>0</v>
      </c>
      <c r="FI55" s="28" t="n">
        <v>0</v>
      </c>
      <c r="FJ55" s="28" t="inlineStr">
        <is>
          <t>https://africanmarketingconfederation.org/smoke-archive/page-52</t>
        </is>
      </c>
      <c r="FK55" s="28" t="inlineStr"/>
      <c r="FL55" s="32" t="b">
        <v>0</v>
      </c>
      <c r="FM55" s="28" t="b">
        <v>0</v>
      </c>
      <c r="FN55" s="32" t="b">
        <v>0</v>
      </c>
      <c r="FO55" s="28" t="inlineStr"/>
      <c r="FP55" s="28" t="inlineStr"/>
      <c r="FQ55" s="28" t="inlineStr"/>
      <c r="FR55" s="28" t="inlineStr"/>
      <c r="FS55" s="28" t="inlineStr"/>
      <c r="FT55" s="28" t="inlineStr"/>
      <c r="FU55" s="28" t="inlineStr">
        <is>
          <t>Not specified</t>
        </is>
      </c>
      <c r="FV55" s="28" t="inlineStr">
        <is>
          <t>Not specified</t>
        </is>
      </c>
      <c r="FW55" s="28" t="inlineStr">
        <is>
          <t>Not specified</t>
        </is>
      </c>
      <c r="FX55" s="28" t="inlineStr">
        <is>
          <t>Not specified</t>
        </is>
      </c>
      <c r="FY55" s="28" t="inlineStr">
        <is>
          <t>Not specified</t>
        </is>
      </c>
      <c r="FZ55" s="28" t="b">
        <v>0</v>
      </c>
      <c r="GA55" s="28" t="n">
        <v>0</v>
      </c>
      <c r="GB55" s="28" t="inlineStr"/>
      <c r="GC55" s="28" t="inlineStr"/>
      <c r="GD55" s="28" t="b">
        <v>0</v>
      </c>
      <c r="GE55" s="28" t="b">
        <v>0</v>
      </c>
      <c r="GF55" s="28" t="b">
        <v>0</v>
      </c>
      <c r="GG55" s="28" t="b">
        <v>0</v>
      </c>
      <c r="GH55" s="28" t="b">
        <v>0</v>
      </c>
      <c r="GI55" s="28" t="b">
        <v>0</v>
      </c>
      <c r="GJ55" s="28" t="n">
        <v>0</v>
      </c>
      <c r="GK55" s="28" t="n">
        <v>0</v>
      </c>
      <c r="GL55" s="28" t="n">
        <v>0</v>
      </c>
      <c r="GM55" s="74" t="inlineStr"/>
      <c r="GN55" s="74" t="inlineStr"/>
      <c r="GO55" s="32" t="b">
        <v>0</v>
      </c>
      <c r="GP55" s="28" t="inlineStr"/>
      <c r="GQ55" s="74" t="inlineStr"/>
      <c r="GR55" s="28" t="inlineStr">
        <is>
          <t>Not Declared</t>
        </is>
      </c>
      <c r="GS55" s="28" t="b">
        <v>1</v>
      </c>
      <c r="GT55" s="28" t="n">
        <v>100</v>
      </c>
      <c r="GU55" s="28" t="inlineStr">
        <is>
          <t>Orphan</t>
        </is>
      </c>
      <c r="GV55" s="28" t="n">
        <v>0</v>
      </c>
      <c r="GW55" s="34" t="n">
        <v>0</v>
      </c>
      <c r="GX55" s="28" t="b">
        <v>0</v>
      </c>
      <c r="GY55" s="28" t="inlineStr">
        <is>
          <t>FAQ</t>
        </is>
      </c>
      <c r="GZ55" s="28" t="n">
        <v>9</v>
      </c>
      <c r="HA55" s="28" t="b">
        <v>0</v>
      </c>
      <c r="HB55" s="28" t="inlineStr">
        <is>
          <t>smoke, body, copy, intent, classification</t>
        </is>
      </c>
      <c r="HC55" s="28" t="b">
        <v>0</v>
      </c>
      <c r="HD55" s="28" t="b">
        <v>0</v>
      </c>
      <c r="HE55" s="28" t="b">
        <v>0</v>
      </c>
      <c r="HF55" s="34" t="n">
        <v>0</v>
      </c>
      <c r="HG55" s="28" t="b">
        <v>0</v>
      </c>
      <c r="HH55" s="28" t="b">
        <v>0</v>
      </c>
      <c r="HI55">
        <f>IFERROR(HYPERLINK("#'Technical Diagnostics'!A"&amp;MATCH(B55,'Technical Diagnostics'!A:A,0),"Open Technical"),HYPERLINK("#'Technical Diagnostics'!A1","Open Technical"))</f>
        <v/>
      </c>
    </row>
    <row r="56" ht="18" customHeight="1">
      <c r="A56" s="30" t="inlineStr">
        <is>
          <t>WARN 🟡</t>
        </is>
      </c>
      <c r="B56" s="37" t="inlineStr">
        <is>
          <t>https://africanmarketingconfederation.org/smoke-archive/page-53</t>
        </is>
      </c>
      <c r="C56" s="30" t="inlineStr"/>
      <c r="D56" s="30" t="inlineStr">
        <is>
          <t>Indexable</t>
        </is>
      </c>
      <c r="E56" s="30" t="inlineStr"/>
      <c r="F56" s="30" t="inlineStr">
        <is>
          <t>Smoke title 53</t>
        </is>
      </c>
      <c r="G56" s="30" t="inlineStr">
        <is>
          <t>Smoke meta description for page 53.</t>
        </is>
      </c>
      <c r="H56" s="30" t="n">
        <v>323</v>
      </c>
      <c r="I56" s="30" t="n">
        <v>80</v>
      </c>
      <c r="J56" s="30" t="inlineStr">
        <is>
          <t>Warning</t>
        </is>
      </c>
      <c r="K56" s="30" t="inlineStr">
        <is>
          <t>Yes</t>
        </is>
      </c>
      <c r="L56" s="30" t="inlineStr"/>
      <c r="M56" s="30" t="inlineStr"/>
      <c r="N56" s="30" t="inlineStr">
        <is>
          <t>Lab only</t>
        </is>
      </c>
      <c r="O56" s="30" t="inlineStr">
        <is>
          <t>None</t>
        </is>
      </c>
      <c r="P56" s="30" t="inlineStr">
        <is>
          <t>PSI Lab</t>
        </is>
      </c>
      <c r="Q56" s="30" t="inlineStr">
        <is>
          <t>None</t>
        </is>
      </c>
      <c r="R56" s="30" t="inlineStr"/>
      <c r="S56" s="30" t="inlineStr"/>
      <c r="T56" s="30" t="inlineStr"/>
      <c r="U56" s="30" t="inlineStr"/>
      <c r="V56" s="30" t="inlineStr"/>
      <c r="W56" s="30" t="inlineStr"/>
      <c r="X56" s="30" t="inlineStr"/>
      <c r="Y56" s="30" t="inlineStr"/>
      <c r="Z56" s="30" t="inlineStr"/>
      <c r="AA56" s="30" t="n">
        <v>88</v>
      </c>
      <c r="AB56" s="30" t="n">
        <v>88</v>
      </c>
      <c r="AC56" s="30" t="n">
        <v>88</v>
      </c>
      <c r="AD56" s="30" t="n">
        <v>85</v>
      </c>
      <c r="AE56" s="30" t="n">
        <v>82</v>
      </c>
      <c r="AF56" s="30" t="n">
        <v>92</v>
      </c>
      <c r="AG56" s="30" t="n">
        <v>2.4</v>
      </c>
      <c r="AH56" s="30" t="n">
        <v>0.04</v>
      </c>
      <c r="AI56" s="30" t="n">
        <v>0.4</v>
      </c>
      <c r="AJ56" s="30" t="n">
        <v>2.4</v>
      </c>
      <c r="AK56" s="30" t="n">
        <v>0.04</v>
      </c>
      <c r="AL56" s="30" t="n">
        <v>180</v>
      </c>
      <c r="AM56" s="30" t="n">
        <v>120</v>
      </c>
      <c r="AN56" s="30" t="n">
        <v>1.8</v>
      </c>
      <c r="AO56" s="30" t="n">
        <v>3.2</v>
      </c>
      <c r="AP56" s="30" t="n">
        <v>4.1</v>
      </c>
      <c r="AQ56" s="30" t="n">
        <v>400</v>
      </c>
      <c r="AR56" s="30" t="n">
        <v>88</v>
      </c>
      <c r="AS56" s="30" t="n">
        <v>85</v>
      </c>
      <c r="AT56" s="30" t="n">
        <v>82</v>
      </c>
      <c r="AU56" s="30" t="n">
        <v>92</v>
      </c>
      <c r="AV56" s="30" t="n">
        <v>2.4</v>
      </c>
      <c r="AW56" s="30" t="n">
        <v>0.04</v>
      </c>
      <c r="AX56" s="30" t="n">
        <v>180</v>
      </c>
      <c r="AY56" s="30" t="n">
        <v>120</v>
      </c>
      <c r="AZ56" s="30" t="n">
        <v>1.8</v>
      </c>
      <c r="BA56" s="30" t="n">
        <v>3.2</v>
      </c>
      <c r="BB56" s="30" t="n">
        <v>4.1</v>
      </c>
      <c r="BC56" s="30" t="n">
        <v>400</v>
      </c>
      <c r="BD56" s="30" t="n">
        <v>500</v>
      </c>
      <c r="BE56" s="30" t="n">
        <v>842</v>
      </c>
      <c r="BF56" s="30" t="n">
        <v>1250</v>
      </c>
      <c r="BG56" s="30" t="n">
        <v>1</v>
      </c>
      <c r="BH56" s="30" t="b">
        <v>1</v>
      </c>
      <c r="BI56" s="34" t="b">
        <v>1</v>
      </c>
      <c r="BJ56" s="30" t="b">
        <v>1</v>
      </c>
      <c r="BK56" s="30" t="b">
        <v>1</v>
      </c>
      <c r="BL56" s="30" t="b">
        <v>0</v>
      </c>
      <c r="BM56" s="30" t="n">
        <v>65</v>
      </c>
      <c r="BN56" s="30" t="inlineStr">
        <is>
          <t>complete</t>
        </is>
      </c>
      <c r="BO56" s="30" t="inlineStr">
        <is>
          <t>rendered_browser</t>
        </is>
      </c>
      <c r="BP56" s="30" t="b">
        <v>0</v>
      </c>
      <c r="BQ56" s="30" t="n">
        <v>0</v>
      </c>
      <c r="BR56" s="30" t="n">
        <v>0</v>
      </c>
      <c r="BS56" s="30" t="inlineStr"/>
      <c r="BT56" s="30" t="b">
        <v>0</v>
      </c>
      <c r="BU56" s="30" t="inlineStr"/>
      <c r="BV56" s="30" t="inlineStr"/>
      <c r="BW56" s="30" t="n">
        <v>0</v>
      </c>
      <c r="BX56" s="30" t="inlineStr"/>
      <c r="BY56" s="30" t="n">
        <v>0</v>
      </c>
      <c r="BZ56" s="30" t="inlineStr"/>
      <c r="CA56" s="30" t="n">
        <v>0</v>
      </c>
      <c r="CB56" s="30" t="inlineStr"/>
      <c r="CC56" s="30" t="n">
        <v>0</v>
      </c>
      <c r="CD56" s="30" t="inlineStr"/>
      <c r="CE56" s="30" t="n">
        <v>0</v>
      </c>
      <c r="CF56" s="30" t="inlineStr"/>
      <c r="CG56" s="30" t="n">
        <v>0</v>
      </c>
      <c r="CH56" s="30" t="inlineStr"/>
      <c r="CI56" s="30" t="inlineStr"/>
      <c r="CJ56" s="30" t="inlineStr"/>
      <c r="CK56" s="30" t="inlineStr"/>
      <c r="CL56" s="30" t="inlineStr">
        <is>
          <t>2026-06-01 to 2026-06-30 (30-day window; excludes today; typical GSC lag ~48h)</t>
        </is>
      </c>
      <c r="CM56" s="30" t="inlineStr">
        <is>
          <t>No Search Analytics row matched this URL in the 30-day export (compare Final URL with the page URL shown in GSC)</t>
        </is>
      </c>
      <c r="CN56" s="30" t="n">
        <v>-1</v>
      </c>
      <c r="CO56" s="30" t="b">
        <v>1</v>
      </c>
      <c r="CP56" s="30" t="n">
        <v>0.012048</v>
      </c>
      <c r="CQ56" s="30" t="b">
        <v>1</v>
      </c>
      <c r="CR56" s="30" t="b">
        <v>1</v>
      </c>
      <c r="CS56" s="30" t="inlineStr">
        <is>
          <t>Both</t>
        </is>
      </c>
      <c r="CT56" s="76" t="inlineStr"/>
      <c r="CU56" s="30" t="n">
        <v>54</v>
      </c>
      <c r="CV56" s="29">
        <f>IFERROR(INDEX(OFFSET('Technical Diagnostics'!$A$1,2,MATCH("SEO Health Score",'Technical Diagnostics'!$2:$2,0)-1,99998,1),MATCH(B56,OFFSET('Technical Diagnostics'!$A$1,2,MATCH("URL",'Technical Diagnostics'!$2:$2,0)-1,99998,1),0)),"")</f>
        <v/>
      </c>
      <c r="CW56" s="32" t="n">
        <v>100</v>
      </c>
      <c r="CX56" s="29" t="n">
        <v>85</v>
      </c>
      <c r="CY56" s="32" t="b">
        <v>1</v>
      </c>
      <c r="CZ56" s="30" t="b">
        <v>0</v>
      </c>
      <c r="DA56" s="30" t="inlineStr"/>
      <c r="DB56" s="30" t="inlineStr"/>
      <c r="DC56" s="30" t="inlineStr"/>
      <c r="DD56" s="30" t="n">
        <v>0</v>
      </c>
      <c r="DE56" s="30" t="n">
        <v>0</v>
      </c>
      <c r="DF56" s="30" t="inlineStr"/>
      <c r="DG56" s="30" t="inlineStr"/>
      <c r="DH56" s="30" t="inlineStr"/>
      <c r="DI56" s="30" t="n">
        <v>6</v>
      </c>
      <c r="DJ56" s="30" t="inlineStr">
        <is>
          <t>Author 53</t>
        </is>
      </c>
      <c r="DK56" s="30" t="inlineStr"/>
      <c r="DL56" s="30" t="b">
        <v>1</v>
      </c>
      <c r="DM56" s="30" t="inlineStr"/>
      <c r="DN56" s="30" t="inlineStr">
        <is>
          <t>2026-06-01</t>
        </is>
      </c>
      <c r="DO56" s="30" t="inlineStr"/>
      <c r="DP56" s="30" t="inlineStr">
        <is>
          <t>2026-06-01</t>
        </is>
      </c>
      <c r="DQ56" s="30" t="inlineStr"/>
      <c r="DR56" s="30" t="b">
        <v>0</v>
      </c>
      <c r="DS56" s="30" t="b">
        <v>1</v>
      </c>
      <c r="DT56" s="30" t="b">
        <v>1</v>
      </c>
      <c r="DU56" s="30" t="b">
        <v>0</v>
      </c>
      <c r="DV56" s="30" t="n">
        <v>0</v>
      </c>
      <c r="DW56" s="30" t="b">
        <v>0</v>
      </c>
      <c r="DX56" s="30" t="b">
        <v>0</v>
      </c>
      <c r="DY56" s="30" t="b">
        <v>0</v>
      </c>
      <c r="DZ56" s="30" t="b">
        <v>0</v>
      </c>
      <c r="EA56" s="32" t="b">
        <v>0</v>
      </c>
      <c r="EB56" s="30" t="b">
        <v>0</v>
      </c>
      <c r="EC56" s="30" t="inlineStr"/>
      <c r="ED56" s="30" t="inlineStr"/>
      <c r="EE56" s="30" t="b">
        <v>0</v>
      </c>
      <c r="EF56" s="30" t="inlineStr"/>
      <c r="EG56" s="30" t="inlineStr"/>
      <c r="EH56" s="30" t="inlineStr"/>
      <c r="EI56" s="30" t="inlineStr"/>
      <c r="EJ56" s="30" t="inlineStr"/>
      <c r="EK56" s="30" t="inlineStr">
        <is>
          <t>Fresh</t>
        </is>
      </c>
      <c r="EL56" s="30" t="inlineStr">
        <is>
          <t>Smoke title 53</t>
        </is>
      </c>
      <c r="EM56" s="30" t="inlineStr">
        <is>
          <t>Smoke meta description for page 53.</t>
        </is>
      </c>
      <c r="EN56" s="30" t="inlineStr">
        <is>
          <t>article</t>
        </is>
      </c>
      <c r="EO56" s="76" t="inlineStr"/>
      <c r="EP56" s="76" t="inlineStr"/>
      <c r="EQ56" s="30" t="inlineStr"/>
      <c r="ER56" s="30" t="inlineStr"/>
      <c r="ES56" s="30" t="inlineStr"/>
      <c r="ET56" s="30" t="inlineStr"/>
      <c r="EU56" s="75" t="b">
        <v>0</v>
      </c>
      <c r="EV56" s="30" t="inlineStr">
        <is>
          <t>summary_large_image</t>
        </is>
      </c>
      <c r="EW56" s="30" t="inlineStr"/>
      <c r="EX56" s="30" t="inlineStr"/>
      <c r="EY56" s="30" t="inlineStr"/>
      <c r="EZ56" s="30" t="n">
        <v>0</v>
      </c>
      <c r="FA56" s="40" t="b">
        <v>0</v>
      </c>
      <c r="FB56" s="76" t="inlineStr">
        <is>
          <t>https://africanmarketingconfederation.org/smoke-archive/page-53</t>
        </is>
      </c>
      <c r="FC56" s="30" t="inlineStr"/>
      <c r="FD56" s="30" t="n">
        <v>0</v>
      </c>
      <c r="FE56" s="31" t="inlineStr"/>
      <c r="FF56" s="30" t="b">
        <v>0</v>
      </c>
      <c r="FG56" s="30" t="b">
        <v>0</v>
      </c>
      <c r="FH56" s="32" t="b">
        <v>0</v>
      </c>
      <c r="FI56" s="30" t="n">
        <v>0</v>
      </c>
      <c r="FJ56" s="30" t="inlineStr">
        <is>
          <t>https://africanmarketingconfederation.org/smoke-archive/page-53</t>
        </is>
      </c>
      <c r="FK56" s="30" t="inlineStr"/>
      <c r="FL56" s="32" t="b">
        <v>0</v>
      </c>
      <c r="FM56" s="30" t="b">
        <v>0</v>
      </c>
      <c r="FN56" s="32" t="b">
        <v>0</v>
      </c>
      <c r="FO56" s="30" t="inlineStr"/>
      <c r="FP56" s="30" t="inlineStr"/>
      <c r="FQ56" s="30" t="inlineStr"/>
      <c r="FR56" s="30" t="inlineStr"/>
      <c r="FS56" s="30" t="inlineStr"/>
      <c r="FT56" s="30" t="inlineStr"/>
      <c r="FU56" s="30" t="inlineStr">
        <is>
          <t>Not specified</t>
        </is>
      </c>
      <c r="FV56" s="30" t="inlineStr">
        <is>
          <t>Not specified</t>
        </is>
      </c>
      <c r="FW56" s="30" t="inlineStr">
        <is>
          <t>Not specified</t>
        </is>
      </c>
      <c r="FX56" s="30" t="inlineStr">
        <is>
          <t>Not specified</t>
        </is>
      </c>
      <c r="FY56" s="30" t="inlineStr">
        <is>
          <t>Not specified</t>
        </is>
      </c>
      <c r="FZ56" s="30" t="b">
        <v>0</v>
      </c>
      <c r="GA56" s="30" t="n">
        <v>0</v>
      </c>
      <c r="GB56" s="30" t="inlineStr"/>
      <c r="GC56" s="30" t="inlineStr"/>
      <c r="GD56" s="30" t="b">
        <v>0</v>
      </c>
      <c r="GE56" s="30" t="b">
        <v>0</v>
      </c>
      <c r="GF56" s="30" t="b">
        <v>0</v>
      </c>
      <c r="GG56" s="30" t="b">
        <v>0</v>
      </c>
      <c r="GH56" s="30" t="b">
        <v>0</v>
      </c>
      <c r="GI56" s="30" t="b">
        <v>0</v>
      </c>
      <c r="GJ56" s="30" t="n">
        <v>0</v>
      </c>
      <c r="GK56" s="30" t="n">
        <v>0</v>
      </c>
      <c r="GL56" s="30" t="n">
        <v>0</v>
      </c>
      <c r="GM56" s="76" t="inlineStr"/>
      <c r="GN56" s="76" t="inlineStr"/>
      <c r="GO56" s="32" t="b">
        <v>0</v>
      </c>
      <c r="GP56" s="30" t="inlineStr"/>
      <c r="GQ56" s="76" t="inlineStr"/>
      <c r="GR56" s="30" t="inlineStr">
        <is>
          <t>Not Declared</t>
        </is>
      </c>
      <c r="GS56" s="30" t="b">
        <v>1</v>
      </c>
      <c r="GT56" s="30" t="n">
        <v>97.59999999999999</v>
      </c>
      <c r="GU56" s="30" t="inlineStr">
        <is>
          <t>Orphan</t>
        </is>
      </c>
      <c r="GV56" s="30" t="n">
        <v>0</v>
      </c>
      <c r="GW56" s="34" t="n">
        <v>0</v>
      </c>
      <c r="GX56" s="30" t="b">
        <v>0</v>
      </c>
      <c r="GY56" s="30" t="inlineStr">
        <is>
          <t>FAQ</t>
        </is>
      </c>
      <c r="GZ56" s="30" t="n">
        <v>9</v>
      </c>
      <c r="HA56" s="30" t="b">
        <v>0</v>
      </c>
      <c r="HB56" s="30" t="inlineStr">
        <is>
          <t>smoke, body, copy, intent, classification</t>
        </is>
      </c>
      <c r="HC56" s="30" t="b">
        <v>0</v>
      </c>
      <c r="HD56" s="30" t="b">
        <v>0</v>
      </c>
      <c r="HE56" s="30" t="b">
        <v>0</v>
      </c>
      <c r="HF56" s="34" t="n">
        <v>0</v>
      </c>
      <c r="HG56" s="30" t="b">
        <v>0</v>
      </c>
      <c r="HH56" s="30" t="b">
        <v>0</v>
      </c>
      <c r="HI56" s="38">
        <f>IFERROR(HYPERLINK("#'Technical Diagnostics'!A"&amp;MATCH(B56,'Technical Diagnostics'!A:A,0),"Open Technical"),HYPERLINK("#'Technical Diagnostics'!A1","Open Technical"))</f>
        <v/>
      </c>
    </row>
    <row r="57" ht="18" customHeight="1">
      <c r="A57" s="28" t="inlineStr">
        <is>
          <t>WARN 🟡</t>
        </is>
      </c>
      <c r="B57" s="35" t="inlineStr">
        <is>
          <t>https://africanmarketingconfederation.org/smoke-archive/page-54</t>
        </is>
      </c>
      <c r="C57" s="28" t="inlineStr"/>
      <c r="D57" s="28" t="inlineStr">
        <is>
          <t>Indexable</t>
        </is>
      </c>
      <c r="E57" s="28" t="inlineStr"/>
      <c r="F57" s="28" t="inlineStr">
        <is>
          <t>Smoke title 54</t>
        </is>
      </c>
      <c r="G57" s="28" t="inlineStr">
        <is>
          <t>Smoke meta description for page 54.</t>
        </is>
      </c>
      <c r="H57" s="28" t="n">
        <v>324</v>
      </c>
      <c r="I57" s="28" t="n">
        <v>60</v>
      </c>
      <c r="J57" s="28" t="inlineStr">
        <is>
          <t>Warning</t>
        </is>
      </c>
      <c r="K57" s="28" t="inlineStr">
        <is>
          <t>Yes</t>
        </is>
      </c>
      <c r="L57" s="28" t="inlineStr"/>
      <c r="M57" s="28" t="inlineStr"/>
      <c r="N57" s="28" t="inlineStr">
        <is>
          <t>Lab only</t>
        </is>
      </c>
      <c r="O57" s="28" t="inlineStr">
        <is>
          <t>None</t>
        </is>
      </c>
      <c r="P57" s="28" t="inlineStr">
        <is>
          <t>PSI Lab</t>
        </is>
      </c>
      <c r="Q57" s="28" t="inlineStr">
        <is>
          <t>None</t>
        </is>
      </c>
      <c r="R57" s="28" t="inlineStr"/>
      <c r="S57" s="28" t="inlineStr"/>
      <c r="T57" s="28" t="inlineStr"/>
      <c r="U57" s="28" t="inlineStr"/>
      <c r="V57" s="28" t="inlineStr"/>
      <c r="W57" s="28" t="inlineStr"/>
      <c r="X57" s="28" t="inlineStr"/>
      <c r="Y57" s="28" t="inlineStr"/>
      <c r="Z57" s="28" t="inlineStr"/>
      <c r="AA57" s="28" t="n">
        <v>88</v>
      </c>
      <c r="AB57" s="28" t="n">
        <v>88</v>
      </c>
      <c r="AC57" s="28" t="n">
        <v>88</v>
      </c>
      <c r="AD57" s="28" t="n">
        <v>85</v>
      </c>
      <c r="AE57" s="28" t="n">
        <v>82</v>
      </c>
      <c r="AF57" s="28" t="n">
        <v>92</v>
      </c>
      <c r="AG57" s="28" t="n">
        <v>2.4</v>
      </c>
      <c r="AH57" s="28" t="n">
        <v>0.04</v>
      </c>
      <c r="AI57" s="28" t="n">
        <v>0.4</v>
      </c>
      <c r="AJ57" s="28" t="n">
        <v>2.4</v>
      </c>
      <c r="AK57" s="28" t="n">
        <v>0.04</v>
      </c>
      <c r="AL57" s="28" t="n">
        <v>180</v>
      </c>
      <c r="AM57" s="28" t="n">
        <v>120</v>
      </c>
      <c r="AN57" s="28" t="n">
        <v>1.8</v>
      </c>
      <c r="AO57" s="28" t="n">
        <v>3.2</v>
      </c>
      <c r="AP57" s="28" t="n">
        <v>4.1</v>
      </c>
      <c r="AQ57" s="28" t="n">
        <v>400</v>
      </c>
      <c r="AR57" s="28" t="n">
        <v>88</v>
      </c>
      <c r="AS57" s="28" t="n">
        <v>85</v>
      </c>
      <c r="AT57" s="28" t="n">
        <v>82</v>
      </c>
      <c r="AU57" s="28" t="n">
        <v>92</v>
      </c>
      <c r="AV57" s="28" t="n">
        <v>2.4</v>
      </c>
      <c r="AW57" s="28" t="n">
        <v>0.04</v>
      </c>
      <c r="AX57" s="28" t="n">
        <v>180</v>
      </c>
      <c r="AY57" s="28" t="n">
        <v>120</v>
      </c>
      <c r="AZ57" s="28" t="n">
        <v>1.8</v>
      </c>
      <c r="BA57" s="28" t="n">
        <v>3.2</v>
      </c>
      <c r="BB57" s="28" t="n">
        <v>4.1</v>
      </c>
      <c r="BC57" s="28" t="n">
        <v>400</v>
      </c>
      <c r="BD57" s="28" t="n">
        <v>500</v>
      </c>
      <c r="BE57" s="28" t="n">
        <v>842</v>
      </c>
      <c r="BF57" s="28" t="n">
        <v>1250</v>
      </c>
      <c r="BG57" s="28" t="n">
        <v>1</v>
      </c>
      <c r="BH57" s="28" t="b">
        <v>1</v>
      </c>
      <c r="BI57" s="34" t="b">
        <v>1</v>
      </c>
      <c r="BJ57" s="28" t="b">
        <v>1</v>
      </c>
      <c r="BK57" s="28" t="b">
        <v>1</v>
      </c>
      <c r="BL57" s="28" t="b">
        <v>0</v>
      </c>
      <c r="BM57" s="28" t="n">
        <v>65</v>
      </c>
      <c r="BN57" s="28" t="inlineStr">
        <is>
          <t>complete</t>
        </is>
      </c>
      <c r="BO57" s="28" t="inlineStr">
        <is>
          <t>rendered_browser</t>
        </is>
      </c>
      <c r="BP57" s="28" t="b">
        <v>0</v>
      </c>
      <c r="BQ57" s="28" t="n">
        <v>0</v>
      </c>
      <c r="BR57" s="28" t="n">
        <v>0</v>
      </c>
      <c r="BS57" s="28" t="inlineStr"/>
      <c r="BT57" s="28" t="b">
        <v>0</v>
      </c>
      <c r="BU57" s="28" t="inlineStr"/>
      <c r="BV57" s="28" t="inlineStr"/>
      <c r="BW57" s="28" t="n">
        <v>0</v>
      </c>
      <c r="BX57" s="28" t="inlineStr"/>
      <c r="BY57" s="28" t="n">
        <v>0</v>
      </c>
      <c r="BZ57" s="28" t="inlineStr"/>
      <c r="CA57" s="28" t="n">
        <v>0</v>
      </c>
      <c r="CB57" s="28" t="inlineStr"/>
      <c r="CC57" s="28" t="n">
        <v>0</v>
      </c>
      <c r="CD57" s="28" t="inlineStr"/>
      <c r="CE57" s="28" t="n">
        <v>0</v>
      </c>
      <c r="CF57" s="28" t="inlineStr"/>
      <c r="CG57" s="28" t="n">
        <v>0</v>
      </c>
      <c r="CH57" s="28" t="inlineStr"/>
      <c r="CI57" s="28" t="inlineStr"/>
      <c r="CJ57" s="28" t="inlineStr"/>
      <c r="CK57" s="28" t="inlineStr"/>
      <c r="CL57" s="28" t="inlineStr">
        <is>
          <t>2026-06-01 to 2026-06-30 (30-day window; excludes today; typical GSC lag ~48h)</t>
        </is>
      </c>
      <c r="CM57" s="28" t="inlineStr">
        <is>
          <t>No Search Analytics row matched this URL in the 30-day export (compare Final URL with the page URL shown in GSC)</t>
        </is>
      </c>
      <c r="CN57" s="28" t="n">
        <v>-1</v>
      </c>
      <c r="CO57" s="28" t="b">
        <v>1</v>
      </c>
      <c r="CP57" s="28" t="n">
        <v>0.012048</v>
      </c>
      <c r="CQ57" s="28" t="b">
        <v>1</v>
      </c>
      <c r="CR57" s="28" t="b">
        <v>1</v>
      </c>
      <c r="CS57" s="28" t="inlineStr">
        <is>
          <t>Both</t>
        </is>
      </c>
      <c r="CT57" s="74" t="inlineStr"/>
      <c r="CU57" s="28" t="n">
        <v>55</v>
      </c>
      <c r="CV57" s="34">
        <f>IFERROR(INDEX(OFFSET('Technical Diagnostics'!$A$1,2,MATCH("SEO Health Score",'Technical Diagnostics'!$2:$2,0)-1,99998,1),MATCH(B57,OFFSET('Technical Diagnostics'!$A$1,2,MATCH("URL",'Technical Diagnostics'!$2:$2,0)-1,99998,1),0)),"")</f>
        <v/>
      </c>
      <c r="CW57" s="32" t="n">
        <v>100</v>
      </c>
      <c r="CX57" s="29" t="n">
        <v>70</v>
      </c>
      <c r="CY57" s="32" t="b">
        <v>1</v>
      </c>
      <c r="CZ57" s="28" t="b">
        <v>0</v>
      </c>
      <c r="DA57" s="28" t="inlineStr"/>
      <c r="DB57" s="28" t="inlineStr"/>
      <c r="DC57" s="28" t="inlineStr"/>
      <c r="DD57" s="28" t="n">
        <v>0</v>
      </c>
      <c r="DE57" s="28" t="n">
        <v>0</v>
      </c>
      <c r="DF57" s="28" t="inlineStr"/>
      <c r="DG57" s="28" t="inlineStr"/>
      <c r="DH57" s="28" t="inlineStr"/>
      <c r="DI57" s="28" t="n">
        <v>6</v>
      </c>
      <c r="DJ57" s="28" t="inlineStr">
        <is>
          <t>Author 54</t>
        </is>
      </c>
      <c r="DK57" s="28" t="inlineStr"/>
      <c r="DL57" s="28" t="b">
        <v>1</v>
      </c>
      <c r="DM57" s="28" t="inlineStr"/>
      <c r="DN57" s="28" t="inlineStr">
        <is>
          <t>2026-06-01</t>
        </is>
      </c>
      <c r="DO57" s="28" t="inlineStr"/>
      <c r="DP57" s="28" t="inlineStr">
        <is>
          <t>2026-06-01</t>
        </is>
      </c>
      <c r="DQ57" s="28" t="inlineStr"/>
      <c r="DR57" s="28" t="b">
        <v>0</v>
      </c>
      <c r="DS57" s="28" t="b">
        <v>1</v>
      </c>
      <c r="DT57" s="28" t="b">
        <v>1</v>
      </c>
      <c r="DU57" s="28" t="b">
        <v>0</v>
      </c>
      <c r="DV57" s="28" t="n">
        <v>0</v>
      </c>
      <c r="DW57" s="28" t="b">
        <v>0</v>
      </c>
      <c r="DX57" s="28" t="b">
        <v>0</v>
      </c>
      <c r="DY57" s="28" t="b">
        <v>0</v>
      </c>
      <c r="DZ57" s="28" t="b">
        <v>0</v>
      </c>
      <c r="EA57" s="32" t="b">
        <v>0</v>
      </c>
      <c r="EB57" s="28" t="b">
        <v>0</v>
      </c>
      <c r="EC57" s="28" t="inlineStr"/>
      <c r="ED57" s="28" t="inlineStr"/>
      <c r="EE57" s="28" t="b">
        <v>0</v>
      </c>
      <c r="EF57" s="28" t="inlineStr"/>
      <c r="EG57" s="28" t="inlineStr"/>
      <c r="EH57" s="28" t="inlineStr"/>
      <c r="EI57" s="28" t="inlineStr">
        <is>
          <t>2026-06-01</t>
        </is>
      </c>
      <c r="EJ57" s="28" t="inlineStr"/>
      <c r="EK57" s="28" t="inlineStr">
        <is>
          <t>Fresh</t>
        </is>
      </c>
      <c r="EL57" s="28" t="inlineStr">
        <is>
          <t>Smoke title 54</t>
        </is>
      </c>
      <c r="EM57" s="28" t="inlineStr">
        <is>
          <t>Smoke meta description for page 54.</t>
        </is>
      </c>
      <c r="EN57" s="28" t="inlineStr">
        <is>
          <t>article</t>
        </is>
      </c>
      <c r="EO57" s="74" t="inlineStr"/>
      <c r="EP57" s="74" t="inlineStr"/>
      <c r="EQ57" s="28" t="inlineStr"/>
      <c r="ER57" s="28" t="inlineStr"/>
      <c r="ES57" s="28" t="inlineStr"/>
      <c r="ET57" s="28" t="inlineStr"/>
      <c r="EU57" s="75" t="b">
        <v>0</v>
      </c>
      <c r="EV57" s="28" t="inlineStr">
        <is>
          <t>summary_large_image</t>
        </is>
      </c>
      <c r="EW57" s="28" t="inlineStr"/>
      <c r="EX57" s="28" t="inlineStr"/>
      <c r="EY57" s="28" t="inlineStr"/>
      <c r="EZ57" s="28" t="n">
        <v>0</v>
      </c>
      <c r="FA57" s="40" t="b">
        <v>0</v>
      </c>
      <c r="FB57" s="74" t="inlineStr">
        <is>
          <t>https://africanmarketingconfederation.org/smoke-archive/page-54</t>
        </is>
      </c>
      <c r="FC57" s="28" t="inlineStr"/>
      <c r="FD57" s="28" t="n">
        <v>0</v>
      </c>
      <c r="FE57" s="20" t="inlineStr"/>
      <c r="FF57" s="28" t="b">
        <v>0</v>
      </c>
      <c r="FG57" s="28" t="b">
        <v>0</v>
      </c>
      <c r="FH57" s="32" t="b">
        <v>0</v>
      </c>
      <c r="FI57" s="28" t="n">
        <v>0</v>
      </c>
      <c r="FJ57" s="28" t="inlineStr">
        <is>
          <t>https://africanmarketingconfederation.org/smoke-archive/page-54</t>
        </is>
      </c>
      <c r="FK57" s="28" t="inlineStr"/>
      <c r="FL57" s="32" t="b">
        <v>0</v>
      </c>
      <c r="FM57" s="28" t="b">
        <v>0</v>
      </c>
      <c r="FN57" s="32" t="b">
        <v>0</v>
      </c>
      <c r="FO57" s="28" t="inlineStr"/>
      <c r="FP57" s="28" t="inlineStr"/>
      <c r="FQ57" s="28" t="inlineStr"/>
      <c r="FR57" s="28" t="inlineStr"/>
      <c r="FS57" s="28" t="inlineStr"/>
      <c r="FT57" s="28" t="inlineStr"/>
      <c r="FU57" s="28" t="inlineStr">
        <is>
          <t>Not specified</t>
        </is>
      </c>
      <c r="FV57" s="28" t="inlineStr">
        <is>
          <t>Not specified</t>
        </is>
      </c>
      <c r="FW57" s="28" t="inlineStr">
        <is>
          <t>Not specified</t>
        </is>
      </c>
      <c r="FX57" s="28" t="inlineStr">
        <is>
          <t>Not specified</t>
        </is>
      </c>
      <c r="FY57" s="28" t="inlineStr">
        <is>
          <t>Not specified</t>
        </is>
      </c>
      <c r="FZ57" s="28" t="b">
        <v>0</v>
      </c>
      <c r="GA57" s="28" t="n">
        <v>0</v>
      </c>
      <c r="GB57" s="28" t="inlineStr"/>
      <c r="GC57" s="28" t="inlineStr"/>
      <c r="GD57" s="28" t="b">
        <v>0</v>
      </c>
      <c r="GE57" s="28" t="b">
        <v>0</v>
      </c>
      <c r="GF57" s="28" t="b">
        <v>0</v>
      </c>
      <c r="GG57" s="28" t="b">
        <v>0</v>
      </c>
      <c r="GH57" s="28" t="b">
        <v>0</v>
      </c>
      <c r="GI57" s="28" t="b">
        <v>0</v>
      </c>
      <c r="GJ57" s="28" t="n">
        <v>0</v>
      </c>
      <c r="GK57" s="28" t="n">
        <v>0</v>
      </c>
      <c r="GL57" s="28" t="n">
        <v>0</v>
      </c>
      <c r="GM57" s="74" t="inlineStr"/>
      <c r="GN57" s="74" t="inlineStr"/>
      <c r="GO57" s="32" t="b">
        <v>0</v>
      </c>
      <c r="GP57" s="28" t="inlineStr"/>
      <c r="GQ57" s="74" t="inlineStr"/>
      <c r="GR57" s="28" t="inlineStr">
        <is>
          <t>Not Declared</t>
        </is>
      </c>
      <c r="GS57" s="28" t="b">
        <v>1</v>
      </c>
      <c r="GT57" s="28" t="n">
        <v>82.90000000000001</v>
      </c>
      <c r="GU57" s="28" t="inlineStr">
        <is>
          <t>Orphan</t>
        </is>
      </c>
      <c r="GV57" s="28" t="n">
        <v>0</v>
      </c>
      <c r="GW57" s="34" t="n">
        <v>0</v>
      </c>
      <c r="GX57" s="28" t="b">
        <v>0</v>
      </c>
      <c r="GY57" s="28" t="inlineStr">
        <is>
          <t>None</t>
        </is>
      </c>
      <c r="GZ57" s="28" t="n">
        <v>0</v>
      </c>
      <c r="HA57" s="28" t="b">
        <v>0</v>
      </c>
      <c r="HB57" s="28" t="inlineStr">
        <is>
          <t>smoke, body, copy, intent, classification</t>
        </is>
      </c>
      <c r="HC57" s="28" t="b">
        <v>0</v>
      </c>
      <c r="HD57" s="28" t="b">
        <v>0</v>
      </c>
      <c r="HE57" s="28" t="b">
        <v>0</v>
      </c>
      <c r="HF57" s="34" t="n">
        <v>0</v>
      </c>
      <c r="HG57" s="28" t="b">
        <v>0</v>
      </c>
      <c r="HH57" s="28" t="b">
        <v>0</v>
      </c>
      <c r="HI57">
        <f>IFERROR(HYPERLINK("#'Technical Diagnostics'!A"&amp;MATCH(B57,'Technical Diagnostics'!A:A,0),"Open Technical"),HYPERLINK("#'Technical Diagnostics'!A1","Open Technical"))</f>
        <v/>
      </c>
    </row>
    <row r="58" ht="18" customHeight="1">
      <c r="A58" s="30" t="inlineStr">
        <is>
          <t>WARN 🟡</t>
        </is>
      </c>
      <c r="B58" s="37" t="inlineStr">
        <is>
          <t>https://africanmarketingconfederation.org/smoke-archive/page-55</t>
        </is>
      </c>
      <c r="C58" s="30" t="inlineStr"/>
      <c r="D58" s="30" t="inlineStr">
        <is>
          <t>Indexable</t>
        </is>
      </c>
      <c r="E58" s="30" t="inlineStr"/>
      <c r="F58" s="30" t="inlineStr">
        <is>
          <t>Smoke title 55</t>
        </is>
      </c>
      <c r="G58" s="30" t="inlineStr"/>
      <c r="H58" s="30" t="n">
        <v>325</v>
      </c>
      <c r="I58" s="30" t="n">
        <v>60</v>
      </c>
      <c r="J58" s="30" t="inlineStr">
        <is>
          <t>Warning</t>
        </is>
      </c>
      <c r="K58" s="30" t="inlineStr">
        <is>
          <t>Yes</t>
        </is>
      </c>
      <c r="L58" s="30" t="inlineStr"/>
      <c r="M58" s="30" t="inlineStr"/>
      <c r="N58" s="30" t="inlineStr">
        <is>
          <t>Lab only</t>
        </is>
      </c>
      <c r="O58" s="30" t="inlineStr">
        <is>
          <t>None</t>
        </is>
      </c>
      <c r="P58" s="30" t="inlineStr">
        <is>
          <t>PSI Lab</t>
        </is>
      </c>
      <c r="Q58" s="30" t="inlineStr">
        <is>
          <t>None</t>
        </is>
      </c>
      <c r="R58" s="30" t="inlineStr"/>
      <c r="S58" s="30" t="inlineStr"/>
      <c r="T58" s="30" t="inlineStr"/>
      <c r="U58" s="30" t="inlineStr"/>
      <c r="V58" s="30" t="inlineStr"/>
      <c r="W58" s="30" t="inlineStr"/>
      <c r="X58" s="30" t="inlineStr"/>
      <c r="Y58" s="30" t="inlineStr"/>
      <c r="Z58" s="30" t="inlineStr"/>
      <c r="AA58" s="30" t="n">
        <v>88</v>
      </c>
      <c r="AB58" s="30" t="n">
        <v>88</v>
      </c>
      <c r="AC58" s="30" t="n">
        <v>88</v>
      </c>
      <c r="AD58" s="30" t="n">
        <v>85</v>
      </c>
      <c r="AE58" s="30" t="n">
        <v>82</v>
      </c>
      <c r="AF58" s="30" t="n">
        <v>92</v>
      </c>
      <c r="AG58" s="30" t="n">
        <v>2.4</v>
      </c>
      <c r="AH58" s="30" t="n">
        <v>0.04</v>
      </c>
      <c r="AI58" s="30" t="n">
        <v>0.4</v>
      </c>
      <c r="AJ58" s="30" t="n">
        <v>2.4</v>
      </c>
      <c r="AK58" s="30" t="n">
        <v>0.04</v>
      </c>
      <c r="AL58" s="30" t="n">
        <v>180</v>
      </c>
      <c r="AM58" s="30" t="n">
        <v>120</v>
      </c>
      <c r="AN58" s="30" t="n">
        <v>1.8</v>
      </c>
      <c r="AO58" s="30" t="n">
        <v>3.2</v>
      </c>
      <c r="AP58" s="30" t="n">
        <v>4.1</v>
      </c>
      <c r="AQ58" s="30" t="n">
        <v>400</v>
      </c>
      <c r="AR58" s="30" t="n">
        <v>88</v>
      </c>
      <c r="AS58" s="30" t="n">
        <v>85</v>
      </c>
      <c r="AT58" s="30" t="n">
        <v>82</v>
      </c>
      <c r="AU58" s="30" t="n">
        <v>92</v>
      </c>
      <c r="AV58" s="30" t="n">
        <v>2.4</v>
      </c>
      <c r="AW58" s="30" t="n">
        <v>0.04</v>
      </c>
      <c r="AX58" s="30" t="n">
        <v>180</v>
      </c>
      <c r="AY58" s="30" t="n">
        <v>120</v>
      </c>
      <c r="AZ58" s="30" t="n">
        <v>1.8</v>
      </c>
      <c r="BA58" s="30" t="n">
        <v>3.2</v>
      </c>
      <c r="BB58" s="30" t="n">
        <v>4.1</v>
      </c>
      <c r="BC58" s="30" t="n">
        <v>400</v>
      </c>
      <c r="BD58" s="30" t="n">
        <v>500</v>
      </c>
      <c r="BE58" s="30" t="n">
        <v>842</v>
      </c>
      <c r="BF58" s="30" t="n">
        <v>1250</v>
      </c>
      <c r="BG58" s="30" t="n">
        <v>1</v>
      </c>
      <c r="BH58" s="30" t="b">
        <v>1</v>
      </c>
      <c r="BI58" s="34" t="b">
        <v>1</v>
      </c>
      <c r="BJ58" s="30" t="b">
        <v>1</v>
      </c>
      <c r="BK58" s="30" t="b">
        <v>1</v>
      </c>
      <c r="BL58" s="30" t="b">
        <v>0</v>
      </c>
      <c r="BM58" s="30" t="n">
        <v>65</v>
      </c>
      <c r="BN58" s="30" t="inlineStr">
        <is>
          <t>complete</t>
        </is>
      </c>
      <c r="BO58" s="30" t="inlineStr">
        <is>
          <t>rendered_browser</t>
        </is>
      </c>
      <c r="BP58" s="30" t="b">
        <v>0</v>
      </c>
      <c r="BQ58" s="30" t="n">
        <v>0</v>
      </c>
      <c r="BR58" s="30" t="n">
        <v>0</v>
      </c>
      <c r="BS58" s="30" t="inlineStr"/>
      <c r="BT58" s="30" t="b">
        <v>0</v>
      </c>
      <c r="BU58" s="30" t="inlineStr"/>
      <c r="BV58" s="30" t="inlineStr"/>
      <c r="BW58" s="30" t="n">
        <v>0</v>
      </c>
      <c r="BX58" s="30" t="inlineStr"/>
      <c r="BY58" s="30" t="n">
        <v>0</v>
      </c>
      <c r="BZ58" s="30" t="inlineStr"/>
      <c r="CA58" s="30" t="n">
        <v>0</v>
      </c>
      <c r="CB58" s="30" t="inlineStr"/>
      <c r="CC58" s="30" t="n">
        <v>0</v>
      </c>
      <c r="CD58" s="30" t="inlineStr"/>
      <c r="CE58" s="30" t="n">
        <v>0</v>
      </c>
      <c r="CF58" s="30" t="inlineStr"/>
      <c r="CG58" s="30" t="n">
        <v>0</v>
      </c>
      <c r="CH58" s="30" t="inlineStr"/>
      <c r="CI58" s="30" t="inlineStr"/>
      <c r="CJ58" s="30" t="inlineStr"/>
      <c r="CK58" s="30" t="inlineStr"/>
      <c r="CL58" s="30" t="inlineStr">
        <is>
          <t>2026-06-01 to 2026-06-30 (30-day window; excludes today; typical GSC lag ~48h)</t>
        </is>
      </c>
      <c r="CM58" s="30" t="inlineStr">
        <is>
          <t>No Search Analytics row matched this URL in the 30-day export (compare Final URL with the page URL shown in GSC)</t>
        </is>
      </c>
      <c r="CN58" s="30" t="n">
        <v>-1</v>
      </c>
      <c r="CO58" s="30" t="b">
        <v>1</v>
      </c>
      <c r="CP58" s="30" t="n">
        <v>0.012048</v>
      </c>
      <c r="CQ58" s="30" t="b">
        <v>1</v>
      </c>
      <c r="CR58" s="30" t="b">
        <v>1</v>
      </c>
      <c r="CS58" s="30" t="inlineStr">
        <is>
          <t>Both</t>
        </is>
      </c>
      <c r="CT58" s="76" t="inlineStr"/>
      <c r="CU58" s="30" t="n">
        <v>56</v>
      </c>
      <c r="CV58" s="34">
        <f>IFERROR(INDEX(OFFSET('Technical Diagnostics'!$A$1,2,MATCH("SEO Health Score",'Technical Diagnostics'!$2:$2,0)-1,99998,1),MATCH(B58,OFFSET('Technical Diagnostics'!$A$1,2,MATCH("URL",'Technical Diagnostics'!$2:$2,0)-1,99998,1),0)),"")</f>
        <v/>
      </c>
      <c r="CW58" s="29" t="n">
        <v>80</v>
      </c>
      <c r="CX58" s="34" t="n">
        <v>65</v>
      </c>
      <c r="CY58" s="32" t="b">
        <v>1</v>
      </c>
      <c r="CZ58" s="30" t="b">
        <v>0</v>
      </c>
      <c r="DA58" s="30" t="inlineStr"/>
      <c r="DB58" s="30" t="inlineStr"/>
      <c r="DC58" s="30" t="inlineStr"/>
      <c r="DD58" s="30" t="n">
        <v>0</v>
      </c>
      <c r="DE58" s="30" t="n">
        <v>0</v>
      </c>
      <c r="DF58" s="30" t="inlineStr"/>
      <c r="DG58" s="30" t="inlineStr"/>
      <c r="DH58" s="30" t="inlineStr"/>
      <c r="DI58" s="30" t="n">
        <v>6</v>
      </c>
      <c r="DJ58" s="30" t="inlineStr">
        <is>
          <t>Author 55</t>
        </is>
      </c>
      <c r="DK58" s="30" t="inlineStr"/>
      <c r="DL58" s="30" t="b">
        <v>1</v>
      </c>
      <c r="DM58" s="30" t="inlineStr"/>
      <c r="DN58" s="30" t="inlineStr">
        <is>
          <t>2026-06-01</t>
        </is>
      </c>
      <c r="DO58" s="30" t="inlineStr"/>
      <c r="DP58" s="30" t="inlineStr">
        <is>
          <t>2026-06-01</t>
        </is>
      </c>
      <c r="DQ58" s="30" t="inlineStr"/>
      <c r="DR58" s="30" t="b">
        <v>0</v>
      </c>
      <c r="DS58" s="30" t="b">
        <v>1</v>
      </c>
      <c r="DT58" s="30" t="b">
        <v>1</v>
      </c>
      <c r="DU58" s="30" t="b">
        <v>0</v>
      </c>
      <c r="DV58" s="30" t="n">
        <v>0</v>
      </c>
      <c r="DW58" s="30" t="b">
        <v>0</v>
      </c>
      <c r="DX58" s="30" t="b">
        <v>0</v>
      </c>
      <c r="DY58" s="30" t="b">
        <v>0</v>
      </c>
      <c r="DZ58" s="30" t="b">
        <v>0</v>
      </c>
      <c r="EA58" s="32" t="b">
        <v>0</v>
      </c>
      <c r="EB58" s="30" t="b">
        <v>0</v>
      </c>
      <c r="EC58" s="30" t="inlineStr"/>
      <c r="ED58" s="30" t="inlineStr"/>
      <c r="EE58" s="30" t="b">
        <v>0</v>
      </c>
      <c r="EF58" s="30" t="inlineStr"/>
      <c r="EG58" s="30" t="inlineStr"/>
      <c r="EH58" s="30" t="inlineStr"/>
      <c r="EI58" s="30" t="inlineStr"/>
      <c r="EJ58" s="30" t="inlineStr"/>
      <c r="EK58" s="30" t="inlineStr">
        <is>
          <t>Fresh</t>
        </is>
      </c>
      <c r="EL58" s="30" t="inlineStr">
        <is>
          <t>Smoke title 55</t>
        </is>
      </c>
      <c r="EM58" s="30" t="inlineStr"/>
      <c r="EN58" s="30" t="inlineStr">
        <is>
          <t>article</t>
        </is>
      </c>
      <c r="EO58" s="76" t="inlineStr"/>
      <c r="EP58" s="76" t="inlineStr"/>
      <c r="EQ58" s="30" t="inlineStr"/>
      <c r="ER58" s="30" t="inlineStr"/>
      <c r="ES58" s="30" t="inlineStr"/>
      <c r="ET58" s="30" t="inlineStr"/>
      <c r="EU58" s="75" t="b">
        <v>0</v>
      </c>
      <c r="EV58" s="30" t="inlineStr">
        <is>
          <t>summary_large_image</t>
        </is>
      </c>
      <c r="EW58" s="30" t="inlineStr"/>
      <c r="EX58" s="30" t="inlineStr"/>
      <c r="EY58" s="30" t="inlineStr"/>
      <c r="EZ58" s="30" t="n">
        <v>0</v>
      </c>
      <c r="FA58" s="40" t="b">
        <v>0</v>
      </c>
      <c r="FB58" s="76" t="inlineStr">
        <is>
          <t>https://africanmarketingconfederation.org/smoke-archive/page-55-canonical/</t>
        </is>
      </c>
      <c r="FC58" s="30" t="inlineStr"/>
      <c r="FD58" s="30" t="n">
        <v>1</v>
      </c>
      <c r="FE58" s="31" t="inlineStr"/>
      <c r="FF58" s="30" t="b">
        <v>0</v>
      </c>
      <c r="FG58" s="30" t="b">
        <v>0</v>
      </c>
      <c r="FH58" s="32" t="b">
        <v>0</v>
      </c>
      <c r="FI58" s="30" t="n">
        <v>0</v>
      </c>
      <c r="FJ58" s="30" t="inlineStr">
        <is>
          <t>https://africanmarketingconfederation.org/smoke-archive/page-55</t>
        </is>
      </c>
      <c r="FK58" s="30" t="inlineStr"/>
      <c r="FL58" s="32" t="b">
        <v>0</v>
      </c>
      <c r="FM58" s="30" t="b">
        <v>0</v>
      </c>
      <c r="FN58" s="32" t="b">
        <v>0</v>
      </c>
      <c r="FO58" s="30" t="inlineStr"/>
      <c r="FP58" s="30" t="inlineStr"/>
      <c r="FQ58" s="30" t="inlineStr"/>
      <c r="FR58" s="30" t="inlineStr"/>
      <c r="FS58" s="30" t="inlineStr"/>
      <c r="FT58" s="30" t="inlineStr"/>
      <c r="FU58" s="30" t="inlineStr">
        <is>
          <t>Not specified</t>
        </is>
      </c>
      <c r="FV58" s="30" t="inlineStr">
        <is>
          <t>Not specified</t>
        </is>
      </c>
      <c r="FW58" s="30" t="inlineStr">
        <is>
          <t>Not specified</t>
        </is>
      </c>
      <c r="FX58" s="30" t="inlineStr">
        <is>
          <t>Not specified</t>
        </is>
      </c>
      <c r="FY58" s="30" t="inlineStr">
        <is>
          <t>Not specified</t>
        </is>
      </c>
      <c r="FZ58" s="30" t="b">
        <v>0</v>
      </c>
      <c r="GA58" s="30" t="n">
        <v>0</v>
      </c>
      <c r="GB58" s="30" t="inlineStr"/>
      <c r="GC58" s="30" t="inlineStr"/>
      <c r="GD58" s="30" t="b">
        <v>0</v>
      </c>
      <c r="GE58" s="30" t="b">
        <v>0</v>
      </c>
      <c r="GF58" s="30" t="b">
        <v>0</v>
      </c>
      <c r="GG58" s="30" t="b">
        <v>0</v>
      </c>
      <c r="GH58" s="30" t="b">
        <v>0</v>
      </c>
      <c r="GI58" s="30" t="b">
        <v>0</v>
      </c>
      <c r="GJ58" s="30" t="n">
        <v>0</v>
      </c>
      <c r="GK58" s="30" t="n">
        <v>0</v>
      </c>
      <c r="GL58" s="30" t="n">
        <v>0</v>
      </c>
      <c r="GM58" s="76" t="inlineStr"/>
      <c r="GN58" s="76" t="inlineStr"/>
      <c r="GO58" s="32" t="b">
        <v>0</v>
      </c>
      <c r="GP58" s="30" t="inlineStr"/>
      <c r="GQ58" s="76" t="inlineStr"/>
      <c r="GR58" s="30" t="inlineStr">
        <is>
          <t>Not Declared</t>
        </is>
      </c>
      <c r="GS58" s="30" t="b">
        <v>1</v>
      </c>
      <c r="GT58" s="30" t="n">
        <v>98.8</v>
      </c>
      <c r="GU58" s="30" t="inlineStr">
        <is>
          <t>Orphan</t>
        </is>
      </c>
      <c r="GV58" s="30" t="n">
        <v>0</v>
      </c>
      <c r="GW58" s="34" t="n">
        <v>0</v>
      </c>
      <c r="GX58" s="30" t="b">
        <v>0</v>
      </c>
      <c r="GY58" s="30" t="inlineStr">
        <is>
          <t>FAQ</t>
        </is>
      </c>
      <c r="GZ58" s="30" t="n">
        <v>9</v>
      </c>
      <c r="HA58" s="30" t="b">
        <v>0</v>
      </c>
      <c r="HB58" s="30" t="inlineStr">
        <is>
          <t>smoke, body, copy, intent, classification</t>
        </is>
      </c>
      <c r="HC58" s="30" t="b">
        <v>0</v>
      </c>
      <c r="HD58" s="30" t="b">
        <v>0</v>
      </c>
      <c r="HE58" s="30" t="b">
        <v>0</v>
      </c>
      <c r="HF58" s="34" t="n">
        <v>0</v>
      </c>
      <c r="HG58" s="30" t="b">
        <v>0</v>
      </c>
      <c r="HH58" s="30" t="b">
        <v>0</v>
      </c>
      <c r="HI58" s="38">
        <f>IFERROR(HYPERLINK("#'Technical Diagnostics'!A"&amp;MATCH(B58,'Technical Diagnostics'!A:A,0),"Open Technical"),HYPERLINK("#'Technical Diagnostics'!A1","Open Technical"))</f>
        <v/>
      </c>
    </row>
    <row r="59" ht="18" customHeight="1">
      <c r="A59" s="28" t="inlineStr">
        <is>
          <t>WARN 🟡</t>
        </is>
      </c>
      <c r="B59" s="35" t="inlineStr">
        <is>
          <t>https://africanmarketingconfederation.org/smoke-archive/page-56</t>
        </is>
      </c>
      <c r="C59" s="28" t="inlineStr"/>
      <c r="D59" s="28" t="inlineStr">
        <is>
          <t>Indexable</t>
        </is>
      </c>
      <c r="E59" s="28" t="inlineStr"/>
      <c r="F59" s="28" t="inlineStr">
        <is>
          <t>Smoke title 56</t>
        </is>
      </c>
      <c r="G59" s="28" t="inlineStr">
        <is>
          <t>Smoke meta description for page 56.</t>
        </is>
      </c>
      <c r="H59" s="28" t="n">
        <v>326</v>
      </c>
      <c r="I59" s="28" t="n">
        <v>70</v>
      </c>
      <c r="J59" s="28" t="inlineStr">
        <is>
          <t>Warning</t>
        </is>
      </c>
      <c r="K59" s="28" t="inlineStr">
        <is>
          <t>Yes</t>
        </is>
      </c>
      <c r="L59" s="28" t="inlineStr"/>
      <c r="M59" s="28" t="inlineStr"/>
      <c r="N59" s="28" t="inlineStr">
        <is>
          <t>Lab only</t>
        </is>
      </c>
      <c r="O59" s="28" t="inlineStr">
        <is>
          <t>None</t>
        </is>
      </c>
      <c r="P59" s="28" t="inlineStr">
        <is>
          <t>PSI Lab</t>
        </is>
      </c>
      <c r="Q59" s="28" t="inlineStr">
        <is>
          <t>None</t>
        </is>
      </c>
      <c r="R59" s="28" t="inlineStr"/>
      <c r="S59" s="28" t="inlineStr"/>
      <c r="T59" s="28" t="inlineStr"/>
      <c r="U59" s="28" t="inlineStr"/>
      <c r="V59" s="28" t="inlineStr"/>
      <c r="W59" s="28" t="inlineStr"/>
      <c r="X59" s="28" t="inlineStr"/>
      <c r="Y59" s="28" t="inlineStr"/>
      <c r="Z59" s="28" t="inlineStr"/>
      <c r="AA59" s="28" t="n">
        <v>88</v>
      </c>
      <c r="AB59" s="28" t="n">
        <v>88</v>
      </c>
      <c r="AC59" s="28" t="n">
        <v>88</v>
      </c>
      <c r="AD59" s="28" t="n">
        <v>85</v>
      </c>
      <c r="AE59" s="28" t="n">
        <v>82</v>
      </c>
      <c r="AF59" s="28" t="n">
        <v>92</v>
      </c>
      <c r="AG59" s="28" t="n">
        <v>2.4</v>
      </c>
      <c r="AH59" s="28" t="n">
        <v>0.04</v>
      </c>
      <c r="AI59" s="28" t="n">
        <v>0.4</v>
      </c>
      <c r="AJ59" s="28" t="n">
        <v>2.4</v>
      </c>
      <c r="AK59" s="28" t="n">
        <v>0.04</v>
      </c>
      <c r="AL59" s="28" t="n">
        <v>180</v>
      </c>
      <c r="AM59" s="28" t="n">
        <v>120</v>
      </c>
      <c r="AN59" s="28" t="n">
        <v>1.8</v>
      </c>
      <c r="AO59" s="28" t="n">
        <v>3.2</v>
      </c>
      <c r="AP59" s="28" t="n">
        <v>4.1</v>
      </c>
      <c r="AQ59" s="28" t="n">
        <v>400</v>
      </c>
      <c r="AR59" s="28" t="n">
        <v>88</v>
      </c>
      <c r="AS59" s="28" t="n">
        <v>85</v>
      </c>
      <c r="AT59" s="28" t="n">
        <v>82</v>
      </c>
      <c r="AU59" s="28" t="n">
        <v>92</v>
      </c>
      <c r="AV59" s="28" t="n">
        <v>2.4</v>
      </c>
      <c r="AW59" s="28" t="n">
        <v>0.04</v>
      </c>
      <c r="AX59" s="28" t="n">
        <v>180</v>
      </c>
      <c r="AY59" s="28" t="n">
        <v>120</v>
      </c>
      <c r="AZ59" s="28" t="n">
        <v>1.8</v>
      </c>
      <c r="BA59" s="28" t="n">
        <v>3.2</v>
      </c>
      <c r="BB59" s="28" t="n">
        <v>4.1</v>
      </c>
      <c r="BC59" s="28" t="n">
        <v>400</v>
      </c>
      <c r="BD59" s="28" t="n">
        <v>500</v>
      </c>
      <c r="BE59" s="28" t="n">
        <v>842</v>
      </c>
      <c r="BF59" s="28" t="n">
        <v>1250</v>
      </c>
      <c r="BG59" s="28" t="n">
        <v>1</v>
      </c>
      <c r="BH59" s="28" t="b">
        <v>1</v>
      </c>
      <c r="BI59" s="34" t="b">
        <v>1</v>
      </c>
      <c r="BJ59" s="28" t="b">
        <v>1</v>
      </c>
      <c r="BK59" s="28" t="b">
        <v>1</v>
      </c>
      <c r="BL59" s="28" t="b">
        <v>0</v>
      </c>
      <c r="BM59" s="28" t="n">
        <v>65</v>
      </c>
      <c r="BN59" s="28" t="inlineStr">
        <is>
          <t>complete</t>
        </is>
      </c>
      <c r="BO59" s="28" t="inlineStr">
        <is>
          <t>rendered_browser</t>
        </is>
      </c>
      <c r="BP59" s="28" t="b">
        <v>0</v>
      </c>
      <c r="BQ59" s="28" t="n">
        <v>0</v>
      </c>
      <c r="BR59" s="28" t="n">
        <v>0</v>
      </c>
      <c r="BS59" s="28" t="inlineStr">
        <is>
          <t>https://africanmarketingconfederation.org/og-56.jpg</t>
        </is>
      </c>
      <c r="BT59" s="28" t="b">
        <v>0</v>
      </c>
      <c r="BU59" s="28" t="inlineStr"/>
      <c r="BV59" s="28" t="inlineStr"/>
      <c r="BW59" s="28" t="n">
        <v>0</v>
      </c>
      <c r="BX59" s="28" t="inlineStr"/>
      <c r="BY59" s="28" t="n">
        <v>0</v>
      </c>
      <c r="BZ59" s="28" t="inlineStr"/>
      <c r="CA59" s="28" t="n">
        <v>0</v>
      </c>
      <c r="CB59" s="28" t="inlineStr"/>
      <c r="CC59" s="28" t="n">
        <v>0</v>
      </c>
      <c r="CD59" s="28" t="inlineStr"/>
      <c r="CE59" s="28" t="n">
        <v>0</v>
      </c>
      <c r="CF59" s="28" t="inlineStr"/>
      <c r="CG59" s="28" t="n">
        <v>0</v>
      </c>
      <c r="CH59" s="28" t="inlineStr"/>
      <c r="CI59" s="28" t="inlineStr"/>
      <c r="CJ59" s="28" t="inlineStr"/>
      <c r="CK59" s="28" t="inlineStr"/>
      <c r="CL59" s="28" t="inlineStr">
        <is>
          <t>2026-06-01 to 2026-06-30 (30-day window; excludes today; typical GSC lag ~48h)</t>
        </is>
      </c>
      <c r="CM59" s="28" t="inlineStr">
        <is>
          <t>No Search Analytics row matched this URL in the 30-day export (compare Final URL with the page URL shown in GSC)</t>
        </is>
      </c>
      <c r="CN59" s="28" t="n">
        <v>-1</v>
      </c>
      <c r="CO59" s="28" t="b">
        <v>1</v>
      </c>
      <c r="CP59" s="28" t="n">
        <v>0.012048</v>
      </c>
      <c r="CQ59" s="28" t="b">
        <v>1</v>
      </c>
      <c r="CR59" s="28" t="b">
        <v>1</v>
      </c>
      <c r="CS59" s="28" t="inlineStr">
        <is>
          <t>Both</t>
        </is>
      </c>
      <c r="CT59" s="74" t="inlineStr"/>
      <c r="CU59" s="28" t="n">
        <v>57</v>
      </c>
      <c r="CV59" s="29">
        <f>IFERROR(INDEX(OFFSET('Technical Diagnostics'!$A$1,2,MATCH("SEO Health Score",'Technical Diagnostics'!$2:$2,0)-1,99998,1),MATCH(B59,OFFSET('Technical Diagnostics'!$A$1,2,MATCH("URL",'Technical Diagnostics'!$2:$2,0)-1,99998,1),0)),"")</f>
        <v/>
      </c>
      <c r="CW59" s="32" t="n">
        <v>100</v>
      </c>
      <c r="CX59" s="29" t="n">
        <v>77.5</v>
      </c>
      <c r="CY59" s="32" t="b">
        <v>1</v>
      </c>
      <c r="CZ59" s="28" t="b">
        <v>0</v>
      </c>
      <c r="DA59" s="28" t="inlineStr"/>
      <c r="DB59" s="28" t="inlineStr"/>
      <c r="DC59" s="28" t="inlineStr"/>
      <c r="DD59" s="28" t="n">
        <v>0</v>
      </c>
      <c r="DE59" s="28" t="n">
        <v>0</v>
      </c>
      <c r="DF59" s="28" t="inlineStr"/>
      <c r="DG59" s="28" t="inlineStr"/>
      <c r="DH59" s="28" t="inlineStr"/>
      <c r="DI59" s="28" t="n">
        <v>2</v>
      </c>
      <c r="DJ59" s="28" t="inlineStr"/>
      <c r="DK59" s="28" t="inlineStr"/>
      <c r="DL59" s="28" t="b">
        <v>0</v>
      </c>
      <c r="DM59" s="28" t="inlineStr"/>
      <c r="DN59" s="28" t="inlineStr">
        <is>
          <t>2026-06-01</t>
        </is>
      </c>
      <c r="DO59" s="28" t="inlineStr"/>
      <c r="DP59" s="28" t="inlineStr">
        <is>
          <t>2026-06-01</t>
        </is>
      </c>
      <c r="DQ59" s="28" t="inlineStr"/>
      <c r="DR59" s="28" t="b">
        <v>0</v>
      </c>
      <c r="DS59" s="28" t="b">
        <v>1</v>
      </c>
      <c r="DT59" s="28" t="b">
        <v>1</v>
      </c>
      <c r="DU59" s="28" t="b">
        <v>0</v>
      </c>
      <c r="DV59" s="28" t="n">
        <v>0</v>
      </c>
      <c r="DW59" s="28" t="b">
        <v>0</v>
      </c>
      <c r="DX59" s="28" t="b">
        <v>0</v>
      </c>
      <c r="DY59" s="28" t="b">
        <v>0</v>
      </c>
      <c r="DZ59" s="28" t="b">
        <v>0</v>
      </c>
      <c r="EA59" s="32" t="b">
        <v>0</v>
      </c>
      <c r="EB59" s="28" t="b">
        <v>0</v>
      </c>
      <c r="EC59" s="28" t="inlineStr"/>
      <c r="ED59" s="28" t="inlineStr"/>
      <c r="EE59" s="28" t="b">
        <v>0</v>
      </c>
      <c r="EF59" s="28" t="inlineStr"/>
      <c r="EG59" s="28" t="inlineStr"/>
      <c r="EH59" s="28" t="inlineStr"/>
      <c r="EI59" s="28" t="inlineStr"/>
      <c r="EJ59" s="28" t="inlineStr"/>
      <c r="EK59" s="28" t="inlineStr">
        <is>
          <t>Fresh</t>
        </is>
      </c>
      <c r="EL59" s="28" t="inlineStr"/>
      <c r="EM59" s="28" t="inlineStr">
        <is>
          <t>Smoke meta description for page 56.</t>
        </is>
      </c>
      <c r="EN59" s="28" t="inlineStr">
        <is>
          <t>article</t>
        </is>
      </c>
      <c r="EO59" s="74" t="inlineStr"/>
      <c r="EP59" s="74" t="inlineStr">
        <is>
          <t>https://africanmarketingconfederation.org/og-56.jpg</t>
        </is>
      </c>
      <c r="EQ59" s="28" t="inlineStr"/>
      <c r="ER59" s="28" t="inlineStr"/>
      <c r="ES59" s="28" t="inlineStr"/>
      <c r="ET59" s="28" t="inlineStr"/>
      <c r="EU59" s="75" t="b">
        <v>0</v>
      </c>
      <c r="EV59" s="28" t="inlineStr">
        <is>
          <t>summary_large_image</t>
        </is>
      </c>
      <c r="EW59" s="28" t="inlineStr"/>
      <c r="EX59" s="28" t="inlineStr"/>
      <c r="EY59" s="28" t="inlineStr"/>
      <c r="EZ59" s="28" t="n">
        <v>0</v>
      </c>
      <c r="FA59" s="40" t="b">
        <v>0</v>
      </c>
      <c r="FB59" s="74" t="inlineStr">
        <is>
          <t>https://africanmarketingconfederation.org/smoke-archive/page-56</t>
        </is>
      </c>
      <c r="FC59" s="28" t="inlineStr"/>
      <c r="FD59" s="28" t="n">
        <v>0</v>
      </c>
      <c r="FE59" s="20" t="inlineStr"/>
      <c r="FF59" s="28" t="b">
        <v>0</v>
      </c>
      <c r="FG59" s="28" t="b">
        <v>0</v>
      </c>
      <c r="FH59" s="32" t="b">
        <v>0</v>
      </c>
      <c r="FI59" s="28" t="n">
        <v>0</v>
      </c>
      <c r="FJ59" s="28" t="inlineStr">
        <is>
          <t>https://africanmarketingconfederation.org/smoke-archive/page-56</t>
        </is>
      </c>
      <c r="FK59" s="28" t="inlineStr"/>
      <c r="FL59" s="32" t="b">
        <v>0</v>
      </c>
      <c r="FM59" s="28" t="b">
        <v>0</v>
      </c>
      <c r="FN59" s="32" t="b">
        <v>0</v>
      </c>
      <c r="FO59" s="28" t="inlineStr"/>
      <c r="FP59" s="28" t="inlineStr"/>
      <c r="FQ59" s="28" t="inlineStr"/>
      <c r="FR59" s="28" t="inlineStr"/>
      <c r="FS59" s="28" t="inlineStr"/>
      <c r="FT59" s="28" t="inlineStr"/>
      <c r="FU59" s="28" t="inlineStr">
        <is>
          <t>Not specified</t>
        </is>
      </c>
      <c r="FV59" s="28" t="inlineStr">
        <is>
          <t>Not specified</t>
        </is>
      </c>
      <c r="FW59" s="28" t="inlineStr">
        <is>
          <t>Not specified</t>
        </is>
      </c>
      <c r="FX59" s="28" t="inlineStr">
        <is>
          <t>Not specified</t>
        </is>
      </c>
      <c r="FY59" s="28" t="inlineStr">
        <is>
          <t>Not specified</t>
        </is>
      </c>
      <c r="FZ59" s="28" t="b">
        <v>0</v>
      </c>
      <c r="GA59" s="28" t="n">
        <v>0</v>
      </c>
      <c r="GB59" s="28" t="inlineStr"/>
      <c r="GC59" s="28" t="inlineStr"/>
      <c r="GD59" s="28" t="b">
        <v>0</v>
      </c>
      <c r="GE59" s="28" t="b">
        <v>0</v>
      </c>
      <c r="GF59" s="28" t="b">
        <v>0</v>
      </c>
      <c r="GG59" s="28" t="b">
        <v>0</v>
      </c>
      <c r="GH59" s="28" t="b">
        <v>0</v>
      </c>
      <c r="GI59" s="28" t="b">
        <v>0</v>
      </c>
      <c r="GJ59" s="28" t="n">
        <v>0</v>
      </c>
      <c r="GK59" s="28" t="n">
        <v>0</v>
      </c>
      <c r="GL59" s="28" t="n">
        <v>0</v>
      </c>
      <c r="GM59" s="74" t="inlineStr"/>
      <c r="GN59" s="74" t="inlineStr"/>
      <c r="GO59" s="32" t="b">
        <v>0</v>
      </c>
      <c r="GP59" s="28" t="inlineStr"/>
      <c r="GQ59" s="74" t="inlineStr"/>
      <c r="GR59" s="28" t="inlineStr">
        <is>
          <t>Not Declared</t>
        </is>
      </c>
      <c r="GS59" s="28" t="b">
        <v>1</v>
      </c>
      <c r="GT59" s="28" t="n">
        <v>46.3</v>
      </c>
      <c r="GU59" s="28" t="inlineStr">
        <is>
          <t>Orphan</t>
        </is>
      </c>
      <c r="GV59" s="28" t="n">
        <v>0</v>
      </c>
      <c r="GW59" s="34" t="n">
        <v>0</v>
      </c>
      <c r="GX59" s="28" t="b">
        <v>0</v>
      </c>
      <c r="GY59" s="28" t="inlineStr">
        <is>
          <t>FAQ</t>
        </is>
      </c>
      <c r="GZ59" s="28" t="n">
        <v>9</v>
      </c>
      <c r="HA59" s="28" t="b">
        <v>0</v>
      </c>
      <c r="HB59" s="28" t="inlineStr">
        <is>
          <t>smoke, body, copy, intent, classification</t>
        </is>
      </c>
      <c r="HC59" s="28" t="b">
        <v>0</v>
      </c>
      <c r="HD59" s="28" t="b">
        <v>0</v>
      </c>
      <c r="HE59" s="28" t="b">
        <v>0</v>
      </c>
      <c r="HF59" s="34" t="n">
        <v>0</v>
      </c>
      <c r="HG59" s="28" t="b">
        <v>0</v>
      </c>
      <c r="HH59" s="28" t="b">
        <v>0</v>
      </c>
      <c r="HI59">
        <f>IFERROR(HYPERLINK("#'Technical Diagnostics'!A"&amp;MATCH(B59,'Technical Diagnostics'!A:A,0),"Open Technical"),HYPERLINK("#'Technical Diagnostics'!A1","Open Technical"))</f>
        <v/>
      </c>
    </row>
    <row r="60" ht="18" customHeight="1">
      <c r="A60" s="30" t="inlineStr">
        <is>
          <t>WARN 🟡</t>
        </is>
      </c>
      <c r="B60" s="37" t="inlineStr">
        <is>
          <t>https://africanmarketingconfederation.org/smoke-archive/page-57</t>
        </is>
      </c>
      <c r="C60" s="30" t="inlineStr"/>
      <c r="D60" s="30" t="inlineStr">
        <is>
          <t>Indexable</t>
        </is>
      </c>
      <c r="E60" s="30" t="inlineStr"/>
      <c r="F60" s="30" t="inlineStr">
        <is>
          <t>Smoke title 57</t>
        </is>
      </c>
      <c r="G60" s="30" t="inlineStr">
        <is>
          <t>Smoke meta description for page 57.</t>
        </is>
      </c>
      <c r="H60" s="30" t="n">
        <v>327</v>
      </c>
      <c r="I60" s="30" t="n">
        <v>80</v>
      </c>
      <c r="J60" s="30" t="inlineStr">
        <is>
          <t>Warning</t>
        </is>
      </c>
      <c r="K60" s="30" t="inlineStr">
        <is>
          <t>Yes</t>
        </is>
      </c>
      <c r="L60" s="30" t="inlineStr"/>
      <c r="M60" s="30" t="inlineStr"/>
      <c r="N60" s="30" t="inlineStr">
        <is>
          <t>Lab only</t>
        </is>
      </c>
      <c r="O60" s="30" t="inlineStr">
        <is>
          <t>None</t>
        </is>
      </c>
      <c r="P60" s="30" t="inlineStr">
        <is>
          <t>PSI Lab</t>
        </is>
      </c>
      <c r="Q60" s="30" t="inlineStr">
        <is>
          <t>None</t>
        </is>
      </c>
      <c r="R60" s="30" t="inlineStr"/>
      <c r="S60" s="30" t="inlineStr"/>
      <c r="T60" s="30" t="inlineStr"/>
      <c r="U60" s="30" t="inlineStr"/>
      <c r="V60" s="30" t="inlineStr"/>
      <c r="W60" s="30" t="inlineStr"/>
      <c r="X60" s="30" t="inlineStr"/>
      <c r="Y60" s="30" t="inlineStr"/>
      <c r="Z60" s="30" t="inlineStr"/>
      <c r="AA60" s="30" t="n">
        <v>88</v>
      </c>
      <c r="AB60" s="30" t="n">
        <v>88</v>
      </c>
      <c r="AC60" s="30" t="n">
        <v>88</v>
      </c>
      <c r="AD60" s="30" t="n">
        <v>85</v>
      </c>
      <c r="AE60" s="30" t="n">
        <v>82</v>
      </c>
      <c r="AF60" s="30" t="n">
        <v>92</v>
      </c>
      <c r="AG60" s="30" t="n">
        <v>2.4</v>
      </c>
      <c r="AH60" s="30" t="n">
        <v>0.04</v>
      </c>
      <c r="AI60" s="30" t="n">
        <v>0.4</v>
      </c>
      <c r="AJ60" s="30" t="n">
        <v>2.4</v>
      </c>
      <c r="AK60" s="30" t="n">
        <v>0.04</v>
      </c>
      <c r="AL60" s="30" t="n">
        <v>180</v>
      </c>
      <c r="AM60" s="30" t="n">
        <v>120</v>
      </c>
      <c r="AN60" s="30" t="n">
        <v>1.8</v>
      </c>
      <c r="AO60" s="30" t="n">
        <v>3.2</v>
      </c>
      <c r="AP60" s="30" t="n">
        <v>4.1</v>
      </c>
      <c r="AQ60" s="30" t="n">
        <v>400</v>
      </c>
      <c r="AR60" s="30" t="n">
        <v>88</v>
      </c>
      <c r="AS60" s="30" t="n">
        <v>85</v>
      </c>
      <c r="AT60" s="30" t="n">
        <v>82</v>
      </c>
      <c r="AU60" s="30" t="n">
        <v>92</v>
      </c>
      <c r="AV60" s="30" t="n">
        <v>2.4</v>
      </c>
      <c r="AW60" s="30" t="n">
        <v>0.04</v>
      </c>
      <c r="AX60" s="30" t="n">
        <v>180</v>
      </c>
      <c r="AY60" s="30" t="n">
        <v>120</v>
      </c>
      <c r="AZ60" s="30" t="n">
        <v>1.8</v>
      </c>
      <c r="BA60" s="30" t="n">
        <v>3.2</v>
      </c>
      <c r="BB60" s="30" t="n">
        <v>4.1</v>
      </c>
      <c r="BC60" s="30" t="n">
        <v>400</v>
      </c>
      <c r="BD60" s="30" t="n">
        <v>500</v>
      </c>
      <c r="BE60" s="30" t="n">
        <v>842</v>
      </c>
      <c r="BF60" s="30" t="n">
        <v>1250</v>
      </c>
      <c r="BG60" s="30" t="n">
        <v>1</v>
      </c>
      <c r="BH60" s="30" t="b">
        <v>1</v>
      </c>
      <c r="BI60" s="34" t="b">
        <v>1</v>
      </c>
      <c r="BJ60" s="30" t="b">
        <v>1</v>
      </c>
      <c r="BK60" s="30" t="b">
        <v>1</v>
      </c>
      <c r="BL60" s="30" t="b">
        <v>0</v>
      </c>
      <c r="BM60" s="30" t="n">
        <v>65</v>
      </c>
      <c r="BN60" s="30" t="inlineStr">
        <is>
          <t>partial</t>
        </is>
      </c>
      <c r="BO60" s="30" t="inlineStr">
        <is>
          <t>rendered_browser</t>
        </is>
      </c>
      <c r="BP60" s="30" t="b">
        <v>0</v>
      </c>
      <c r="BQ60" s="30" t="n">
        <v>0</v>
      </c>
      <c r="BR60" s="30" t="n">
        <v>0</v>
      </c>
      <c r="BS60" s="30" t="inlineStr"/>
      <c r="BT60" s="30" t="b">
        <v>0</v>
      </c>
      <c r="BU60" s="30" t="inlineStr"/>
      <c r="BV60" s="30" t="inlineStr"/>
      <c r="BW60" s="30" t="n">
        <v>0</v>
      </c>
      <c r="BX60" s="30" t="inlineStr"/>
      <c r="BY60" s="30" t="n">
        <v>0</v>
      </c>
      <c r="BZ60" s="30" t="inlineStr"/>
      <c r="CA60" s="30" t="n">
        <v>0</v>
      </c>
      <c r="CB60" s="30" t="inlineStr"/>
      <c r="CC60" s="30" t="n">
        <v>0</v>
      </c>
      <c r="CD60" s="30" t="inlineStr"/>
      <c r="CE60" s="30" t="n">
        <v>0</v>
      </c>
      <c r="CF60" s="30" t="inlineStr"/>
      <c r="CG60" s="30" t="n">
        <v>0</v>
      </c>
      <c r="CH60" s="30" t="inlineStr"/>
      <c r="CI60" s="30" t="inlineStr"/>
      <c r="CJ60" s="30" t="inlineStr"/>
      <c r="CK60" s="30" t="inlineStr"/>
      <c r="CL60" s="30" t="inlineStr">
        <is>
          <t>2026-06-01 to 2026-06-30 (30-day window; excludes today; typical GSC lag ~48h)</t>
        </is>
      </c>
      <c r="CM60" s="30" t="inlineStr">
        <is>
          <t>No Search Analytics row matched this URL in the 30-day export (compare Final URL with the page URL shown in GSC)</t>
        </is>
      </c>
      <c r="CN60" s="30" t="n">
        <v>-1</v>
      </c>
      <c r="CO60" s="30" t="b">
        <v>1</v>
      </c>
      <c r="CP60" s="30" t="n">
        <v>0.012048</v>
      </c>
      <c r="CQ60" s="30" t="b">
        <v>1</v>
      </c>
      <c r="CR60" s="30" t="b">
        <v>1</v>
      </c>
      <c r="CS60" s="30" t="inlineStr">
        <is>
          <t>Both</t>
        </is>
      </c>
      <c r="CT60" s="76" t="inlineStr"/>
      <c r="CU60" s="30" t="n">
        <v>58</v>
      </c>
      <c r="CV60" s="29">
        <f>IFERROR(INDEX(OFFSET('Technical Diagnostics'!$A$1,2,MATCH("SEO Health Score",'Technical Diagnostics'!$2:$2,0)-1,99998,1),MATCH(B60,OFFSET('Technical Diagnostics'!$A$1,2,MATCH("URL",'Technical Diagnostics'!$2:$2,0)-1,99998,1),0)),"")</f>
        <v/>
      </c>
      <c r="CW60" s="32" t="n">
        <v>100</v>
      </c>
      <c r="CX60" s="29" t="n">
        <v>85</v>
      </c>
      <c r="CY60" s="32" t="b">
        <v>1</v>
      </c>
      <c r="CZ60" s="30" t="b">
        <v>0</v>
      </c>
      <c r="DA60" s="30" t="inlineStr"/>
      <c r="DB60" s="30" t="inlineStr"/>
      <c r="DC60" s="30" t="inlineStr"/>
      <c r="DD60" s="30" t="n">
        <v>0</v>
      </c>
      <c r="DE60" s="30" t="n">
        <v>0</v>
      </c>
      <c r="DF60" s="30" t="inlineStr"/>
      <c r="DG60" s="30" t="inlineStr"/>
      <c r="DH60" s="30" t="inlineStr"/>
      <c r="DI60" s="30" t="n">
        <v>6</v>
      </c>
      <c r="DJ60" s="30" t="inlineStr">
        <is>
          <t>Author 57</t>
        </is>
      </c>
      <c r="DK60" s="30" t="inlineStr"/>
      <c r="DL60" s="30" t="b">
        <v>1</v>
      </c>
      <c r="DM60" s="30" t="inlineStr"/>
      <c r="DN60" s="30" t="inlineStr">
        <is>
          <t>2026-06-01</t>
        </is>
      </c>
      <c r="DO60" s="30" t="inlineStr"/>
      <c r="DP60" s="30" t="inlineStr">
        <is>
          <t>2026-06-01</t>
        </is>
      </c>
      <c r="DQ60" s="30" t="inlineStr"/>
      <c r="DR60" s="30" t="b">
        <v>0</v>
      </c>
      <c r="DS60" s="30" t="b">
        <v>1</v>
      </c>
      <c r="DT60" s="30" t="b">
        <v>1</v>
      </c>
      <c r="DU60" s="30" t="b">
        <v>0</v>
      </c>
      <c r="DV60" s="30" t="n">
        <v>0</v>
      </c>
      <c r="DW60" s="30" t="b">
        <v>0</v>
      </c>
      <c r="DX60" s="30" t="b">
        <v>0</v>
      </c>
      <c r="DY60" s="30" t="b">
        <v>0</v>
      </c>
      <c r="DZ60" s="30" t="b">
        <v>0</v>
      </c>
      <c r="EA60" s="32" t="b">
        <v>0</v>
      </c>
      <c r="EB60" s="30" t="b">
        <v>0</v>
      </c>
      <c r="EC60" s="30" t="inlineStr"/>
      <c r="ED60" s="30" t="inlineStr"/>
      <c r="EE60" s="30" t="b">
        <v>0</v>
      </c>
      <c r="EF60" s="30" t="inlineStr"/>
      <c r="EG60" s="30" t="inlineStr"/>
      <c r="EH60" s="30" t="inlineStr"/>
      <c r="EI60" s="30" t="inlineStr">
        <is>
          <t>2026-06-01</t>
        </is>
      </c>
      <c r="EJ60" s="30" t="inlineStr"/>
      <c r="EK60" s="30" t="inlineStr">
        <is>
          <t>Fresh</t>
        </is>
      </c>
      <c r="EL60" s="30" t="inlineStr">
        <is>
          <t>Smoke title 57</t>
        </is>
      </c>
      <c r="EM60" s="30" t="inlineStr">
        <is>
          <t>Smoke meta description for page 57.</t>
        </is>
      </c>
      <c r="EN60" s="30" t="inlineStr">
        <is>
          <t>article</t>
        </is>
      </c>
      <c r="EO60" s="76" t="inlineStr"/>
      <c r="EP60" s="76" t="inlineStr"/>
      <c r="EQ60" s="30" t="inlineStr"/>
      <c r="ER60" s="30" t="inlineStr"/>
      <c r="ES60" s="30" t="inlineStr"/>
      <c r="ET60" s="30" t="inlineStr"/>
      <c r="EU60" s="75" t="b">
        <v>0</v>
      </c>
      <c r="EV60" s="30" t="inlineStr">
        <is>
          <t>summary_large_image</t>
        </is>
      </c>
      <c r="EW60" s="30" t="inlineStr"/>
      <c r="EX60" s="30" t="inlineStr"/>
      <c r="EY60" s="30" t="inlineStr"/>
      <c r="EZ60" s="30" t="n">
        <v>0</v>
      </c>
      <c r="FA60" s="40" t="b">
        <v>0</v>
      </c>
      <c r="FB60" s="76" t="inlineStr">
        <is>
          <t>https://africanmarketingconfederation.org/smoke-archive/page-57</t>
        </is>
      </c>
      <c r="FC60" s="30" t="inlineStr"/>
      <c r="FD60" s="30" t="n">
        <v>0</v>
      </c>
      <c r="FE60" s="31" t="inlineStr"/>
      <c r="FF60" s="30" t="b">
        <v>0</v>
      </c>
      <c r="FG60" s="30" t="b">
        <v>0</v>
      </c>
      <c r="FH60" s="32" t="b">
        <v>0</v>
      </c>
      <c r="FI60" s="30" t="n">
        <v>0</v>
      </c>
      <c r="FJ60" s="30" t="inlineStr">
        <is>
          <t>https://africanmarketingconfederation.org/smoke-archive/page-57</t>
        </is>
      </c>
      <c r="FK60" s="30" t="inlineStr"/>
      <c r="FL60" s="32" t="b">
        <v>0</v>
      </c>
      <c r="FM60" s="30" t="b">
        <v>0</v>
      </c>
      <c r="FN60" s="32" t="b">
        <v>0</v>
      </c>
      <c r="FO60" s="30" t="inlineStr"/>
      <c r="FP60" s="30" t="inlineStr"/>
      <c r="FQ60" s="30" t="inlineStr"/>
      <c r="FR60" s="30" t="inlineStr"/>
      <c r="FS60" s="30" t="inlineStr"/>
      <c r="FT60" s="30" t="inlineStr"/>
      <c r="FU60" s="30" t="inlineStr">
        <is>
          <t>Not specified</t>
        </is>
      </c>
      <c r="FV60" s="30" t="inlineStr">
        <is>
          <t>Not specified</t>
        </is>
      </c>
      <c r="FW60" s="30" t="inlineStr">
        <is>
          <t>Not specified</t>
        </is>
      </c>
      <c r="FX60" s="30" t="inlineStr">
        <is>
          <t>Not specified</t>
        </is>
      </c>
      <c r="FY60" s="30" t="inlineStr">
        <is>
          <t>Not specified</t>
        </is>
      </c>
      <c r="FZ60" s="30" t="b">
        <v>0</v>
      </c>
      <c r="GA60" s="30" t="n">
        <v>0</v>
      </c>
      <c r="GB60" s="30" t="inlineStr"/>
      <c r="GC60" s="30" t="inlineStr"/>
      <c r="GD60" s="30" t="b">
        <v>0</v>
      </c>
      <c r="GE60" s="30" t="b">
        <v>0</v>
      </c>
      <c r="GF60" s="30" t="b">
        <v>0</v>
      </c>
      <c r="GG60" s="30" t="b">
        <v>0</v>
      </c>
      <c r="GH60" s="30" t="b">
        <v>0</v>
      </c>
      <c r="GI60" s="30" t="b">
        <v>0</v>
      </c>
      <c r="GJ60" s="30" t="n">
        <v>0</v>
      </c>
      <c r="GK60" s="30" t="n">
        <v>0</v>
      </c>
      <c r="GL60" s="30" t="n">
        <v>0</v>
      </c>
      <c r="GM60" s="76" t="inlineStr"/>
      <c r="GN60" s="76" t="inlineStr"/>
      <c r="GO60" s="32" t="b">
        <v>0</v>
      </c>
      <c r="GP60" s="30" t="inlineStr"/>
      <c r="GQ60" s="76" t="inlineStr"/>
      <c r="GR60" s="30" t="inlineStr">
        <is>
          <t>Not Declared</t>
        </is>
      </c>
      <c r="GS60" s="30" t="b">
        <v>1</v>
      </c>
      <c r="GT60" s="30" t="n">
        <v>8.5</v>
      </c>
      <c r="GU60" s="30" t="inlineStr">
        <is>
          <t>Orphan</t>
        </is>
      </c>
      <c r="GV60" s="30" t="n">
        <v>0</v>
      </c>
      <c r="GW60" s="34" t="n">
        <v>0</v>
      </c>
      <c r="GX60" s="30" t="b">
        <v>0</v>
      </c>
      <c r="GY60" s="30" t="inlineStr">
        <is>
          <t>FAQ</t>
        </is>
      </c>
      <c r="GZ60" s="30" t="n">
        <v>9</v>
      </c>
      <c r="HA60" s="30" t="b">
        <v>0</v>
      </c>
      <c r="HB60" s="30" t="inlineStr">
        <is>
          <t>smoke, body, copy, intent, classification</t>
        </is>
      </c>
      <c r="HC60" s="30" t="b">
        <v>0</v>
      </c>
      <c r="HD60" s="30" t="b">
        <v>0</v>
      </c>
      <c r="HE60" s="30" t="b">
        <v>0</v>
      </c>
      <c r="HF60" s="34" t="n">
        <v>0</v>
      </c>
      <c r="HG60" s="30" t="b">
        <v>0</v>
      </c>
      <c r="HH60" s="30" t="b">
        <v>0</v>
      </c>
      <c r="HI60" s="38">
        <f>IFERROR(HYPERLINK("#'Technical Diagnostics'!A"&amp;MATCH(B60,'Technical Diagnostics'!A:A,0),"Open Technical"),HYPERLINK("#'Technical Diagnostics'!A1","Open Technical"))</f>
        <v/>
      </c>
    </row>
    <row r="61" ht="18" customHeight="1">
      <c r="A61" s="28" t="inlineStr">
        <is>
          <t>WARN 🟡</t>
        </is>
      </c>
      <c r="B61" s="35" t="inlineStr">
        <is>
          <t>https://africanmarketingconfederation.org/smoke-archive/page-58</t>
        </is>
      </c>
      <c r="C61" s="28" t="inlineStr"/>
      <c r="D61" s="28" t="inlineStr">
        <is>
          <t>Indexable</t>
        </is>
      </c>
      <c r="E61" s="28" t="inlineStr"/>
      <c r="F61" s="28" t="inlineStr">
        <is>
          <t>Smoke title 58</t>
        </is>
      </c>
      <c r="G61" s="28" t="inlineStr">
        <is>
          <t>Smoke meta description for page 58.</t>
        </is>
      </c>
      <c r="H61" s="28" t="n">
        <v>328</v>
      </c>
      <c r="I61" s="28" t="n">
        <v>80</v>
      </c>
      <c r="J61" s="28" t="inlineStr">
        <is>
          <t>Warning</t>
        </is>
      </c>
      <c r="K61" s="28" t="inlineStr">
        <is>
          <t>Yes</t>
        </is>
      </c>
      <c r="L61" s="28" t="inlineStr"/>
      <c r="M61" s="28" t="inlineStr"/>
      <c r="N61" s="28" t="inlineStr">
        <is>
          <t>Lab only</t>
        </is>
      </c>
      <c r="O61" s="28" t="inlineStr">
        <is>
          <t>None</t>
        </is>
      </c>
      <c r="P61" s="28" t="inlineStr">
        <is>
          <t>PSI Lab</t>
        </is>
      </c>
      <c r="Q61" s="28" t="inlineStr">
        <is>
          <t>None</t>
        </is>
      </c>
      <c r="R61" s="28" t="inlineStr"/>
      <c r="S61" s="28" t="inlineStr"/>
      <c r="T61" s="28" t="inlineStr"/>
      <c r="U61" s="28" t="inlineStr"/>
      <c r="V61" s="28" t="inlineStr"/>
      <c r="W61" s="28" t="inlineStr"/>
      <c r="X61" s="28" t="inlineStr"/>
      <c r="Y61" s="28" t="inlineStr"/>
      <c r="Z61" s="28" t="inlineStr"/>
      <c r="AA61" s="28" t="n">
        <v>88</v>
      </c>
      <c r="AB61" s="28" t="n">
        <v>88</v>
      </c>
      <c r="AC61" s="28" t="n">
        <v>88</v>
      </c>
      <c r="AD61" s="28" t="n">
        <v>85</v>
      </c>
      <c r="AE61" s="28" t="n">
        <v>82</v>
      </c>
      <c r="AF61" s="28" t="n">
        <v>92</v>
      </c>
      <c r="AG61" s="28" t="n">
        <v>2.4</v>
      </c>
      <c r="AH61" s="28" t="n">
        <v>0.04</v>
      </c>
      <c r="AI61" s="28" t="n">
        <v>0.4</v>
      </c>
      <c r="AJ61" s="28" t="n">
        <v>2.4</v>
      </c>
      <c r="AK61" s="28" t="n">
        <v>0.04</v>
      </c>
      <c r="AL61" s="28" t="n">
        <v>180</v>
      </c>
      <c r="AM61" s="28" t="n">
        <v>120</v>
      </c>
      <c r="AN61" s="28" t="n">
        <v>1.8</v>
      </c>
      <c r="AO61" s="28" t="n">
        <v>3.2</v>
      </c>
      <c r="AP61" s="28" t="n">
        <v>4.1</v>
      </c>
      <c r="AQ61" s="28" t="n">
        <v>400</v>
      </c>
      <c r="AR61" s="28" t="n">
        <v>88</v>
      </c>
      <c r="AS61" s="28" t="n">
        <v>85</v>
      </c>
      <c r="AT61" s="28" t="n">
        <v>82</v>
      </c>
      <c r="AU61" s="28" t="n">
        <v>92</v>
      </c>
      <c r="AV61" s="28" t="n">
        <v>2.4</v>
      </c>
      <c r="AW61" s="28" t="n">
        <v>0.04</v>
      </c>
      <c r="AX61" s="28" t="n">
        <v>180</v>
      </c>
      <c r="AY61" s="28" t="n">
        <v>120</v>
      </c>
      <c r="AZ61" s="28" t="n">
        <v>1.8</v>
      </c>
      <c r="BA61" s="28" t="n">
        <v>3.2</v>
      </c>
      <c r="BB61" s="28" t="n">
        <v>4.1</v>
      </c>
      <c r="BC61" s="28" t="n">
        <v>400</v>
      </c>
      <c r="BD61" s="28" t="n">
        <v>500</v>
      </c>
      <c r="BE61" s="28" t="n">
        <v>842</v>
      </c>
      <c r="BF61" s="28" t="n">
        <v>1250</v>
      </c>
      <c r="BG61" s="28" t="n">
        <v>1</v>
      </c>
      <c r="BH61" s="28" t="b">
        <v>1</v>
      </c>
      <c r="BI61" s="34" t="b">
        <v>1</v>
      </c>
      <c r="BJ61" s="28" t="b">
        <v>1</v>
      </c>
      <c r="BK61" s="28" t="b">
        <v>1</v>
      </c>
      <c r="BL61" s="28" t="b">
        <v>0</v>
      </c>
      <c r="BM61" s="28" t="n">
        <v>65</v>
      </c>
      <c r="BN61" s="28" t="inlineStr">
        <is>
          <t>complete</t>
        </is>
      </c>
      <c r="BO61" s="28" t="inlineStr">
        <is>
          <t>rendered_browser</t>
        </is>
      </c>
      <c r="BP61" s="28" t="b">
        <v>0</v>
      </c>
      <c r="BQ61" s="28" t="n">
        <v>0</v>
      </c>
      <c r="BR61" s="28" t="n">
        <v>0</v>
      </c>
      <c r="BS61" s="28" t="inlineStr"/>
      <c r="BT61" s="28" t="b">
        <v>0</v>
      </c>
      <c r="BU61" s="28" t="inlineStr"/>
      <c r="BV61" s="28" t="inlineStr"/>
      <c r="BW61" s="28" t="n">
        <v>0</v>
      </c>
      <c r="BX61" s="28" t="inlineStr"/>
      <c r="BY61" s="28" t="n">
        <v>0</v>
      </c>
      <c r="BZ61" s="28" t="inlineStr"/>
      <c r="CA61" s="28" t="n">
        <v>0</v>
      </c>
      <c r="CB61" s="28" t="inlineStr"/>
      <c r="CC61" s="28" t="n">
        <v>0</v>
      </c>
      <c r="CD61" s="28" t="inlineStr"/>
      <c r="CE61" s="28" t="n">
        <v>0</v>
      </c>
      <c r="CF61" s="28" t="inlineStr"/>
      <c r="CG61" s="28" t="n">
        <v>0</v>
      </c>
      <c r="CH61" s="28" t="inlineStr"/>
      <c r="CI61" s="28" t="inlineStr"/>
      <c r="CJ61" s="28" t="inlineStr"/>
      <c r="CK61" s="28" t="inlineStr"/>
      <c r="CL61" s="28" t="inlineStr">
        <is>
          <t>2026-06-01 to 2026-06-30 (30-day window; excludes today; typical GSC lag ~48h)</t>
        </is>
      </c>
      <c r="CM61" s="28" t="inlineStr">
        <is>
          <t>No Search Analytics row matched this URL in the 30-day export (compare Final URL with the page URL shown in GSC)</t>
        </is>
      </c>
      <c r="CN61" s="28" t="n">
        <v>-1</v>
      </c>
      <c r="CO61" s="28" t="b">
        <v>1</v>
      </c>
      <c r="CP61" s="28" t="n">
        <v>0.012048</v>
      </c>
      <c r="CQ61" s="28" t="b">
        <v>1</v>
      </c>
      <c r="CR61" s="28" t="b">
        <v>1</v>
      </c>
      <c r="CS61" s="28" t="inlineStr">
        <is>
          <t>Both</t>
        </is>
      </c>
      <c r="CT61" s="74" t="inlineStr"/>
      <c r="CU61" s="28" t="n">
        <v>59</v>
      </c>
      <c r="CV61" s="29">
        <f>IFERROR(INDEX(OFFSET('Technical Diagnostics'!$A$1,2,MATCH("SEO Health Score",'Technical Diagnostics'!$2:$2,0)-1,99998,1),MATCH(B61,OFFSET('Technical Diagnostics'!$A$1,2,MATCH("URL",'Technical Diagnostics'!$2:$2,0)-1,99998,1),0)),"")</f>
        <v/>
      </c>
      <c r="CW61" s="32" t="n">
        <v>100</v>
      </c>
      <c r="CX61" s="29" t="n">
        <v>85</v>
      </c>
      <c r="CY61" s="32" t="b">
        <v>1</v>
      </c>
      <c r="CZ61" s="28" t="b">
        <v>0</v>
      </c>
      <c r="DA61" s="28" t="inlineStr"/>
      <c r="DB61" s="28" t="inlineStr"/>
      <c r="DC61" s="28" t="inlineStr"/>
      <c r="DD61" s="28" t="n">
        <v>0</v>
      </c>
      <c r="DE61" s="28" t="n">
        <v>0</v>
      </c>
      <c r="DF61" s="28" t="inlineStr"/>
      <c r="DG61" s="28" t="inlineStr"/>
      <c r="DH61" s="28" t="inlineStr"/>
      <c r="DI61" s="28" t="n">
        <v>6</v>
      </c>
      <c r="DJ61" s="28" t="inlineStr">
        <is>
          <t>Author 58</t>
        </is>
      </c>
      <c r="DK61" s="28" t="inlineStr"/>
      <c r="DL61" s="28" t="b">
        <v>1</v>
      </c>
      <c r="DM61" s="28" t="inlineStr"/>
      <c r="DN61" s="28" t="inlineStr">
        <is>
          <t>2026-06-01</t>
        </is>
      </c>
      <c r="DO61" s="28" t="inlineStr"/>
      <c r="DP61" s="28" t="inlineStr">
        <is>
          <t>2026-06-01</t>
        </is>
      </c>
      <c r="DQ61" s="28" t="inlineStr"/>
      <c r="DR61" s="28" t="b">
        <v>0</v>
      </c>
      <c r="DS61" s="28" t="b">
        <v>1</v>
      </c>
      <c r="DT61" s="28" t="b">
        <v>1</v>
      </c>
      <c r="DU61" s="28" t="b">
        <v>0</v>
      </c>
      <c r="DV61" s="28" t="n">
        <v>0</v>
      </c>
      <c r="DW61" s="28" t="b">
        <v>0</v>
      </c>
      <c r="DX61" s="28" t="b">
        <v>0</v>
      </c>
      <c r="DY61" s="28" t="b">
        <v>0</v>
      </c>
      <c r="DZ61" s="28" t="b">
        <v>0</v>
      </c>
      <c r="EA61" s="32" t="b">
        <v>0</v>
      </c>
      <c r="EB61" s="28" t="b">
        <v>0</v>
      </c>
      <c r="EC61" s="28" t="inlineStr"/>
      <c r="ED61" s="28" t="inlineStr"/>
      <c r="EE61" s="28" t="b">
        <v>0</v>
      </c>
      <c r="EF61" s="28" t="inlineStr"/>
      <c r="EG61" s="28" t="inlineStr"/>
      <c r="EH61" s="28" t="inlineStr"/>
      <c r="EI61" s="28" t="inlineStr"/>
      <c r="EJ61" s="28" t="inlineStr"/>
      <c r="EK61" s="28" t="inlineStr">
        <is>
          <t>Fresh</t>
        </is>
      </c>
      <c r="EL61" s="28" t="inlineStr">
        <is>
          <t>Smoke title 58</t>
        </is>
      </c>
      <c r="EM61" s="28" t="inlineStr">
        <is>
          <t>Smoke meta description for page 58.</t>
        </is>
      </c>
      <c r="EN61" s="28" t="inlineStr">
        <is>
          <t>article</t>
        </is>
      </c>
      <c r="EO61" s="74" t="inlineStr"/>
      <c r="EP61" s="74" t="inlineStr"/>
      <c r="EQ61" s="28" t="inlineStr"/>
      <c r="ER61" s="28" t="inlineStr"/>
      <c r="ES61" s="28" t="inlineStr"/>
      <c r="ET61" s="28" t="inlineStr"/>
      <c r="EU61" s="75" t="b">
        <v>0</v>
      </c>
      <c r="EV61" s="28" t="inlineStr">
        <is>
          <t>summary_large_image</t>
        </is>
      </c>
      <c r="EW61" s="28" t="inlineStr"/>
      <c r="EX61" s="28" t="inlineStr"/>
      <c r="EY61" s="28" t="inlineStr"/>
      <c r="EZ61" s="28" t="n">
        <v>0</v>
      </c>
      <c r="FA61" s="40" t="b">
        <v>0</v>
      </c>
      <c r="FB61" s="74" t="inlineStr">
        <is>
          <t>https://africanmarketingconfederation.org/smoke-archive/page-58</t>
        </is>
      </c>
      <c r="FC61" s="28" t="inlineStr"/>
      <c r="FD61" s="28" t="n">
        <v>0</v>
      </c>
      <c r="FE61" s="20" t="inlineStr"/>
      <c r="FF61" s="28" t="b">
        <v>0</v>
      </c>
      <c r="FG61" s="28" t="b">
        <v>0</v>
      </c>
      <c r="FH61" s="32" t="b">
        <v>0</v>
      </c>
      <c r="FI61" s="28" t="n">
        <v>0</v>
      </c>
      <c r="FJ61" s="28" t="inlineStr">
        <is>
          <t>https://africanmarketingconfederation.org/smoke-archive/page-58</t>
        </is>
      </c>
      <c r="FK61" s="28" t="inlineStr"/>
      <c r="FL61" s="32" t="b">
        <v>0</v>
      </c>
      <c r="FM61" s="28" t="b">
        <v>0</v>
      </c>
      <c r="FN61" s="32" t="b">
        <v>0</v>
      </c>
      <c r="FO61" s="28" t="inlineStr"/>
      <c r="FP61" s="28" t="inlineStr"/>
      <c r="FQ61" s="28" t="inlineStr"/>
      <c r="FR61" s="28" t="inlineStr"/>
      <c r="FS61" s="28" t="inlineStr"/>
      <c r="FT61" s="28" t="inlineStr"/>
      <c r="FU61" s="28" t="inlineStr">
        <is>
          <t>Not specified</t>
        </is>
      </c>
      <c r="FV61" s="28" t="inlineStr">
        <is>
          <t>Not specified</t>
        </is>
      </c>
      <c r="FW61" s="28" t="inlineStr">
        <is>
          <t>Not specified</t>
        </is>
      </c>
      <c r="FX61" s="28" t="inlineStr">
        <is>
          <t>Not specified</t>
        </is>
      </c>
      <c r="FY61" s="28" t="inlineStr">
        <is>
          <t>Not specified</t>
        </is>
      </c>
      <c r="FZ61" s="28" t="b">
        <v>0</v>
      </c>
      <c r="GA61" s="28" t="n">
        <v>0</v>
      </c>
      <c r="GB61" s="28" t="inlineStr"/>
      <c r="GC61" s="28" t="inlineStr"/>
      <c r="GD61" s="28" t="b">
        <v>0</v>
      </c>
      <c r="GE61" s="28" t="b">
        <v>0</v>
      </c>
      <c r="GF61" s="28" t="b">
        <v>0</v>
      </c>
      <c r="GG61" s="28" t="b">
        <v>0</v>
      </c>
      <c r="GH61" s="28" t="b">
        <v>0</v>
      </c>
      <c r="GI61" s="28" t="b">
        <v>0</v>
      </c>
      <c r="GJ61" s="28" t="n">
        <v>0</v>
      </c>
      <c r="GK61" s="28" t="n">
        <v>0</v>
      </c>
      <c r="GL61" s="28" t="n">
        <v>0</v>
      </c>
      <c r="GM61" s="74" t="inlineStr"/>
      <c r="GN61" s="74" t="inlineStr"/>
      <c r="GO61" s="32" t="b">
        <v>0</v>
      </c>
      <c r="GP61" s="28" t="inlineStr"/>
      <c r="GQ61" s="74" t="inlineStr"/>
      <c r="GR61" s="28" t="inlineStr">
        <is>
          <t>Not Declared</t>
        </is>
      </c>
      <c r="GS61" s="28" t="b">
        <v>1</v>
      </c>
      <c r="GT61" s="28" t="n">
        <v>9.800000000000001</v>
      </c>
      <c r="GU61" s="28" t="inlineStr">
        <is>
          <t>Orphan</t>
        </is>
      </c>
      <c r="GV61" s="28" t="n">
        <v>0</v>
      </c>
      <c r="GW61" s="34" t="n">
        <v>0</v>
      </c>
      <c r="GX61" s="28" t="b">
        <v>0</v>
      </c>
      <c r="GY61" s="28" t="inlineStr">
        <is>
          <t>FAQ</t>
        </is>
      </c>
      <c r="GZ61" s="28" t="n">
        <v>9</v>
      </c>
      <c r="HA61" s="28" t="b">
        <v>0</v>
      </c>
      <c r="HB61" s="28" t="inlineStr">
        <is>
          <t>smoke, body, copy, intent, classification</t>
        </is>
      </c>
      <c r="HC61" s="28" t="b">
        <v>0</v>
      </c>
      <c r="HD61" s="28" t="b">
        <v>0</v>
      </c>
      <c r="HE61" s="28" t="b">
        <v>0</v>
      </c>
      <c r="HF61" s="34" t="n">
        <v>0</v>
      </c>
      <c r="HG61" s="28" t="b">
        <v>0</v>
      </c>
      <c r="HH61" s="28" t="b">
        <v>0</v>
      </c>
      <c r="HI61">
        <f>IFERROR(HYPERLINK("#'Technical Diagnostics'!A"&amp;MATCH(B61,'Technical Diagnostics'!A:A,0),"Open Technical"),HYPERLINK("#'Technical Diagnostics'!A1","Open Technical"))</f>
        <v/>
      </c>
    </row>
    <row r="62" ht="18" customHeight="1">
      <c r="A62" s="30" t="inlineStr">
        <is>
          <t>WARN 🟡</t>
        </is>
      </c>
      <c r="B62" s="37" t="inlineStr">
        <is>
          <t>https://africanmarketingconfederation.org/smoke-archive/page-59</t>
        </is>
      </c>
      <c r="C62" s="30" t="inlineStr"/>
      <c r="D62" s="30" t="inlineStr">
        <is>
          <t>Indexable</t>
        </is>
      </c>
      <c r="E62" s="30" t="inlineStr"/>
      <c r="F62" s="30" t="inlineStr">
        <is>
          <t>Smoke title 59</t>
        </is>
      </c>
      <c r="G62" s="30" t="inlineStr">
        <is>
          <t>Smoke meta description for page 59.</t>
        </is>
      </c>
      <c r="H62" s="30" t="n">
        <v>329</v>
      </c>
      <c r="I62" s="30" t="n">
        <v>80</v>
      </c>
      <c r="J62" s="30" t="inlineStr">
        <is>
          <t>Warning</t>
        </is>
      </c>
      <c r="K62" s="30" t="inlineStr">
        <is>
          <t>Yes</t>
        </is>
      </c>
      <c r="L62" s="30" t="inlineStr"/>
      <c r="M62" s="30" t="inlineStr"/>
      <c r="N62" s="30" t="inlineStr">
        <is>
          <t>Lab only</t>
        </is>
      </c>
      <c r="O62" s="30" t="inlineStr">
        <is>
          <t>None</t>
        </is>
      </c>
      <c r="P62" s="30" t="inlineStr">
        <is>
          <t>PSI Lab</t>
        </is>
      </c>
      <c r="Q62" s="30" t="inlineStr">
        <is>
          <t>None</t>
        </is>
      </c>
      <c r="R62" s="30" t="inlineStr"/>
      <c r="S62" s="30" t="inlineStr"/>
      <c r="T62" s="30" t="inlineStr"/>
      <c r="U62" s="30" t="inlineStr"/>
      <c r="V62" s="30" t="inlineStr"/>
      <c r="W62" s="30" t="inlineStr"/>
      <c r="X62" s="30" t="inlineStr"/>
      <c r="Y62" s="30" t="inlineStr"/>
      <c r="Z62" s="30" t="inlineStr"/>
      <c r="AA62" s="30" t="n">
        <v>88</v>
      </c>
      <c r="AB62" s="30" t="n">
        <v>88</v>
      </c>
      <c r="AC62" s="30" t="n">
        <v>88</v>
      </c>
      <c r="AD62" s="30" t="n">
        <v>85</v>
      </c>
      <c r="AE62" s="30" t="n">
        <v>82</v>
      </c>
      <c r="AF62" s="30" t="n">
        <v>92</v>
      </c>
      <c r="AG62" s="30" t="n">
        <v>2.4</v>
      </c>
      <c r="AH62" s="30" t="n">
        <v>0.04</v>
      </c>
      <c r="AI62" s="30" t="n">
        <v>0.4</v>
      </c>
      <c r="AJ62" s="30" t="n">
        <v>2.4</v>
      </c>
      <c r="AK62" s="30" t="n">
        <v>0.04</v>
      </c>
      <c r="AL62" s="30" t="n">
        <v>180</v>
      </c>
      <c r="AM62" s="30" t="n">
        <v>120</v>
      </c>
      <c r="AN62" s="30" t="n">
        <v>1.8</v>
      </c>
      <c r="AO62" s="30" t="n">
        <v>3.2</v>
      </c>
      <c r="AP62" s="30" t="n">
        <v>4.1</v>
      </c>
      <c r="AQ62" s="30" t="n">
        <v>400</v>
      </c>
      <c r="AR62" s="30" t="n">
        <v>88</v>
      </c>
      <c r="AS62" s="30" t="n">
        <v>85</v>
      </c>
      <c r="AT62" s="30" t="n">
        <v>82</v>
      </c>
      <c r="AU62" s="30" t="n">
        <v>92</v>
      </c>
      <c r="AV62" s="30" t="n">
        <v>2.4</v>
      </c>
      <c r="AW62" s="30" t="n">
        <v>0.04</v>
      </c>
      <c r="AX62" s="30" t="n">
        <v>180</v>
      </c>
      <c r="AY62" s="30" t="n">
        <v>120</v>
      </c>
      <c r="AZ62" s="30" t="n">
        <v>1.8</v>
      </c>
      <c r="BA62" s="30" t="n">
        <v>3.2</v>
      </c>
      <c r="BB62" s="30" t="n">
        <v>4.1</v>
      </c>
      <c r="BC62" s="30" t="n">
        <v>400</v>
      </c>
      <c r="BD62" s="30" t="n">
        <v>500</v>
      </c>
      <c r="BE62" s="30" t="n">
        <v>842</v>
      </c>
      <c r="BF62" s="30" t="n">
        <v>1250</v>
      </c>
      <c r="BG62" s="30" t="n">
        <v>1</v>
      </c>
      <c r="BH62" s="30" t="b">
        <v>1</v>
      </c>
      <c r="BI62" s="34" t="b">
        <v>1</v>
      </c>
      <c r="BJ62" s="30" t="b">
        <v>1</v>
      </c>
      <c r="BK62" s="30" t="b">
        <v>1</v>
      </c>
      <c r="BL62" s="30" t="b">
        <v>0</v>
      </c>
      <c r="BM62" s="30" t="n">
        <v>65</v>
      </c>
      <c r="BN62" s="30" t="inlineStr">
        <is>
          <t>complete</t>
        </is>
      </c>
      <c r="BO62" s="30" t="inlineStr">
        <is>
          <t>rendered_browser</t>
        </is>
      </c>
      <c r="BP62" s="30" t="b">
        <v>0</v>
      </c>
      <c r="BQ62" s="30" t="n">
        <v>0</v>
      </c>
      <c r="BR62" s="30" t="n">
        <v>0</v>
      </c>
      <c r="BS62" s="30" t="inlineStr"/>
      <c r="BT62" s="30" t="b">
        <v>0</v>
      </c>
      <c r="BU62" s="30" t="inlineStr"/>
      <c r="BV62" s="30" t="inlineStr"/>
      <c r="BW62" s="30" t="n">
        <v>0</v>
      </c>
      <c r="BX62" s="30" t="inlineStr"/>
      <c r="BY62" s="30" t="n">
        <v>0</v>
      </c>
      <c r="BZ62" s="30" t="inlineStr"/>
      <c r="CA62" s="30" t="n">
        <v>0</v>
      </c>
      <c r="CB62" s="30" t="inlineStr"/>
      <c r="CC62" s="30" t="n">
        <v>0</v>
      </c>
      <c r="CD62" s="30" t="inlineStr"/>
      <c r="CE62" s="30" t="n">
        <v>0</v>
      </c>
      <c r="CF62" s="30" t="inlineStr"/>
      <c r="CG62" s="30" t="n">
        <v>0</v>
      </c>
      <c r="CH62" s="30" t="inlineStr"/>
      <c r="CI62" s="30" t="inlineStr"/>
      <c r="CJ62" s="30" t="inlineStr"/>
      <c r="CK62" s="30" t="inlineStr"/>
      <c r="CL62" s="30" t="inlineStr">
        <is>
          <t>2026-06-01 to 2026-06-30 (30-day window; excludes today; typical GSC lag ~48h)</t>
        </is>
      </c>
      <c r="CM62" s="30" t="inlineStr">
        <is>
          <t>No Search Analytics row matched this URL in the 30-day export (compare Final URL with the page URL shown in GSC)</t>
        </is>
      </c>
      <c r="CN62" s="30" t="n">
        <v>-1</v>
      </c>
      <c r="CO62" s="30" t="b">
        <v>1</v>
      </c>
      <c r="CP62" s="30" t="n">
        <v>0.012048</v>
      </c>
      <c r="CQ62" s="30" t="b">
        <v>1</v>
      </c>
      <c r="CR62" s="30" t="b">
        <v>1</v>
      </c>
      <c r="CS62" s="30" t="inlineStr">
        <is>
          <t>Both</t>
        </is>
      </c>
      <c r="CT62" s="76" t="inlineStr"/>
      <c r="CU62" s="30" t="n">
        <v>60</v>
      </c>
      <c r="CV62" s="29">
        <f>IFERROR(INDEX(OFFSET('Technical Diagnostics'!$A$1,2,MATCH("SEO Health Score",'Technical Diagnostics'!$2:$2,0)-1,99998,1),MATCH(B62,OFFSET('Technical Diagnostics'!$A$1,2,MATCH("URL",'Technical Diagnostics'!$2:$2,0)-1,99998,1),0)),"")</f>
        <v/>
      </c>
      <c r="CW62" s="32" t="n">
        <v>100</v>
      </c>
      <c r="CX62" s="29" t="n">
        <v>85</v>
      </c>
      <c r="CY62" s="32" t="b">
        <v>1</v>
      </c>
      <c r="CZ62" s="30" t="b">
        <v>0</v>
      </c>
      <c r="DA62" s="30" t="inlineStr"/>
      <c r="DB62" s="30" t="inlineStr"/>
      <c r="DC62" s="30" t="inlineStr"/>
      <c r="DD62" s="30" t="n">
        <v>0</v>
      </c>
      <c r="DE62" s="30" t="n">
        <v>0</v>
      </c>
      <c r="DF62" s="30" t="inlineStr"/>
      <c r="DG62" s="30" t="inlineStr"/>
      <c r="DH62" s="30" t="inlineStr"/>
      <c r="DI62" s="30" t="n">
        <v>6</v>
      </c>
      <c r="DJ62" s="30" t="inlineStr">
        <is>
          <t>Author 59</t>
        </is>
      </c>
      <c r="DK62" s="30" t="inlineStr"/>
      <c r="DL62" s="30" t="b">
        <v>1</v>
      </c>
      <c r="DM62" s="30" t="inlineStr"/>
      <c r="DN62" s="30" t="inlineStr">
        <is>
          <t>2026-06-01</t>
        </is>
      </c>
      <c r="DO62" s="30" t="inlineStr"/>
      <c r="DP62" s="30" t="inlineStr">
        <is>
          <t>2026-06-01</t>
        </is>
      </c>
      <c r="DQ62" s="30" t="inlineStr"/>
      <c r="DR62" s="30" t="b">
        <v>0</v>
      </c>
      <c r="DS62" s="30" t="b">
        <v>1</v>
      </c>
      <c r="DT62" s="30" t="b">
        <v>1</v>
      </c>
      <c r="DU62" s="30" t="b">
        <v>0</v>
      </c>
      <c r="DV62" s="30" t="n">
        <v>0</v>
      </c>
      <c r="DW62" s="30" t="b">
        <v>0</v>
      </c>
      <c r="DX62" s="30" t="b">
        <v>0</v>
      </c>
      <c r="DY62" s="30" t="b">
        <v>0</v>
      </c>
      <c r="DZ62" s="30" t="b">
        <v>0</v>
      </c>
      <c r="EA62" s="32" t="b">
        <v>0</v>
      </c>
      <c r="EB62" s="30" t="b">
        <v>0</v>
      </c>
      <c r="EC62" s="30" t="inlineStr"/>
      <c r="ED62" s="30" t="inlineStr"/>
      <c r="EE62" s="30" t="b">
        <v>0</v>
      </c>
      <c r="EF62" s="30" t="inlineStr"/>
      <c r="EG62" s="30" t="inlineStr"/>
      <c r="EH62" s="30" t="inlineStr"/>
      <c r="EI62" s="30" t="inlineStr"/>
      <c r="EJ62" s="30" t="inlineStr"/>
      <c r="EK62" s="30" t="inlineStr">
        <is>
          <t>Fresh</t>
        </is>
      </c>
      <c r="EL62" s="30" t="inlineStr">
        <is>
          <t>Smoke title 59</t>
        </is>
      </c>
      <c r="EM62" s="30" t="inlineStr">
        <is>
          <t>Smoke meta description for page 59.</t>
        </is>
      </c>
      <c r="EN62" s="30" t="inlineStr">
        <is>
          <t>article</t>
        </is>
      </c>
      <c r="EO62" s="76" t="inlineStr"/>
      <c r="EP62" s="76" t="inlineStr"/>
      <c r="EQ62" s="30" t="inlineStr"/>
      <c r="ER62" s="30" t="inlineStr"/>
      <c r="ES62" s="30" t="inlineStr"/>
      <c r="ET62" s="30" t="inlineStr"/>
      <c r="EU62" s="75" t="b">
        <v>0</v>
      </c>
      <c r="EV62" s="30" t="inlineStr">
        <is>
          <t>summary_large_image</t>
        </is>
      </c>
      <c r="EW62" s="30" t="inlineStr"/>
      <c r="EX62" s="30" t="inlineStr"/>
      <c r="EY62" s="30" t="inlineStr"/>
      <c r="EZ62" s="30" t="n">
        <v>0</v>
      </c>
      <c r="FA62" s="40" t="b">
        <v>0</v>
      </c>
      <c r="FB62" s="76" t="inlineStr">
        <is>
          <t>https://africanmarketingconfederation.org/smoke-archive/page-59</t>
        </is>
      </c>
      <c r="FC62" s="30" t="inlineStr"/>
      <c r="FD62" s="30" t="n">
        <v>0</v>
      </c>
      <c r="FE62" s="31" t="inlineStr"/>
      <c r="FF62" s="30" t="b">
        <v>0</v>
      </c>
      <c r="FG62" s="30" t="b">
        <v>0</v>
      </c>
      <c r="FH62" s="32" t="b">
        <v>0</v>
      </c>
      <c r="FI62" s="30" t="n">
        <v>0</v>
      </c>
      <c r="FJ62" s="30" t="inlineStr">
        <is>
          <t>https://africanmarketingconfederation.org/smoke-archive/page-59</t>
        </is>
      </c>
      <c r="FK62" s="30" t="inlineStr"/>
      <c r="FL62" s="32" t="b">
        <v>0</v>
      </c>
      <c r="FM62" s="30" t="b">
        <v>0</v>
      </c>
      <c r="FN62" s="32" t="b">
        <v>0</v>
      </c>
      <c r="FO62" s="30" t="inlineStr"/>
      <c r="FP62" s="30" t="inlineStr"/>
      <c r="FQ62" s="30" t="inlineStr"/>
      <c r="FR62" s="30" t="inlineStr"/>
      <c r="FS62" s="30" t="inlineStr"/>
      <c r="FT62" s="30" t="inlineStr"/>
      <c r="FU62" s="30" t="inlineStr">
        <is>
          <t>Not specified</t>
        </is>
      </c>
      <c r="FV62" s="30" t="inlineStr">
        <is>
          <t>Not specified</t>
        </is>
      </c>
      <c r="FW62" s="30" t="inlineStr">
        <is>
          <t>Not specified</t>
        </is>
      </c>
      <c r="FX62" s="30" t="inlineStr">
        <is>
          <t>Not specified</t>
        </is>
      </c>
      <c r="FY62" s="30" t="inlineStr">
        <is>
          <t>Not specified</t>
        </is>
      </c>
      <c r="FZ62" s="30" t="b">
        <v>0</v>
      </c>
      <c r="GA62" s="30" t="n">
        <v>0</v>
      </c>
      <c r="GB62" s="30" t="inlineStr"/>
      <c r="GC62" s="30" t="inlineStr"/>
      <c r="GD62" s="30" t="b">
        <v>0</v>
      </c>
      <c r="GE62" s="30" t="b">
        <v>0</v>
      </c>
      <c r="GF62" s="30" t="b">
        <v>0</v>
      </c>
      <c r="GG62" s="30" t="b">
        <v>0</v>
      </c>
      <c r="GH62" s="30" t="b">
        <v>0</v>
      </c>
      <c r="GI62" s="30" t="b">
        <v>0</v>
      </c>
      <c r="GJ62" s="30" t="n">
        <v>0</v>
      </c>
      <c r="GK62" s="30" t="n">
        <v>0</v>
      </c>
      <c r="GL62" s="30" t="n">
        <v>0</v>
      </c>
      <c r="GM62" s="76" t="inlineStr"/>
      <c r="GN62" s="76" t="inlineStr"/>
      <c r="GO62" s="32" t="b">
        <v>0</v>
      </c>
      <c r="GP62" s="30" t="inlineStr"/>
      <c r="GQ62" s="76" t="inlineStr"/>
      <c r="GR62" s="30" t="inlineStr">
        <is>
          <t>Not Declared</t>
        </is>
      </c>
      <c r="GS62" s="30" t="b">
        <v>1</v>
      </c>
      <c r="GT62" s="30" t="n">
        <v>1.2</v>
      </c>
      <c r="GU62" s="30" t="inlineStr">
        <is>
          <t>Orphan</t>
        </is>
      </c>
      <c r="GV62" s="30" t="n">
        <v>0</v>
      </c>
      <c r="GW62" s="34" t="n">
        <v>0</v>
      </c>
      <c r="GX62" s="30" t="b">
        <v>0</v>
      </c>
      <c r="GY62" s="30" t="inlineStr">
        <is>
          <t>FAQ</t>
        </is>
      </c>
      <c r="GZ62" s="30" t="n">
        <v>9</v>
      </c>
      <c r="HA62" s="30" t="b">
        <v>0</v>
      </c>
      <c r="HB62" s="30" t="inlineStr">
        <is>
          <t>smoke, body, copy, intent, classification</t>
        </is>
      </c>
      <c r="HC62" s="30" t="b">
        <v>0</v>
      </c>
      <c r="HD62" s="30" t="b">
        <v>0</v>
      </c>
      <c r="HE62" s="30" t="b">
        <v>0</v>
      </c>
      <c r="HF62" s="34" t="n">
        <v>0</v>
      </c>
      <c r="HG62" s="30" t="b">
        <v>0</v>
      </c>
      <c r="HH62" s="30" t="b">
        <v>0</v>
      </c>
      <c r="HI62" s="38">
        <f>IFERROR(HYPERLINK("#'Technical Diagnostics'!A"&amp;MATCH(B62,'Technical Diagnostics'!A:A,0),"Open Technical"),HYPERLINK("#'Technical Diagnostics'!A1","Open Technical"))</f>
        <v/>
      </c>
    </row>
    <row r="63" ht="18" customHeight="1">
      <c r="A63" s="28" t="inlineStr">
        <is>
          <t>FAIL 🔴</t>
        </is>
      </c>
      <c r="B63" s="35" t="inlineStr">
        <is>
          <t>https://africanmarketingconfederation.org/smoke-archive/page-60</t>
        </is>
      </c>
      <c r="C63" s="28" t="inlineStr"/>
      <c r="D63" s="28" t="inlineStr">
        <is>
          <t>Indexable</t>
        </is>
      </c>
      <c r="E63" s="28" t="inlineStr"/>
      <c r="F63" s="28" t="inlineStr">
        <is>
          <t>Smoke title 60</t>
        </is>
      </c>
      <c r="G63" s="28" t="inlineStr"/>
      <c r="H63" s="28" t="n">
        <v>330</v>
      </c>
      <c r="I63" s="28" t="n">
        <v>35</v>
      </c>
      <c r="J63" s="28" t="inlineStr">
        <is>
          <t>Critical</t>
        </is>
      </c>
      <c r="K63" s="28" t="inlineStr">
        <is>
          <t>Yes</t>
        </is>
      </c>
      <c r="L63" s="28" t="inlineStr"/>
      <c r="M63" s="28" t="inlineStr"/>
      <c r="N63" s="28" t="inlineStr">
        <is>
          <t>Lab only</t>
        </is>
      </c>
      <c r="O63" s="28" t="inlineStr">
        <is>
          <t>None</t>
        </is>
      </c>
      <c r="P63" s="28" t="inlineStr">
        <is>
          <t>PSI Lab</t>
        </is>
      </c>
      <c r="Q63" s="28" t="inlineStr">
        <is>
          <t>None</t>
        </is>
      </c>
      <c r="R63" s="28" t="inlineStr"/>
      <c r="S63" s="28" t="inlineStr"/>
      <c r="T63" s="28" t="inlineStr"/>
      <c r="U63" s="28" t="inlineStr"/>
      <c r="V63" s="28" t="inlineStr"/>
      <c r="W63" s="28" t="inlineStr"/>
      <c r="X63" s="28" t="inlineStr"/>
      <c r="Y63" s="28" t="inlineStr"/>
      <c r="Z63" s="28" t="inlineStr"/>
      <c r="AA63" s="28" t="n">
        <v>88</v>
      </c>
      <c r="AB63" s="28" t="n">
        <v>88</v>
      </c>
      <c r="AC63" s="28" t="n">
        <v>88</v>
      </c>
      <c r="AD63" s="28" t="n">
        <v>85</v>
      </c>
      <c r="AE63" s="28" t="n">
        <v>82</v>
      </c>
      <c r="AF63" s="28" t="n">
        <v>92</v>
      </c>
      <c r="AG63" s="28" t="n">
        <v>2.4</v>
      </c>
      <c r="AH63" s="28" t="n">
        <v>0.04</v>
      </c>
      <c r="AI63" s="28" t="n">
        <v>0.4</v>
      </c>
      <c r="AJ63" s="28" t="n">
        <v>2.4</v>
      </c>
      <c r="AK63" s="28" t="n">
        <v>0.04</v>
      </c>
      <c r="AL63" s="28" t="n">
        <v>180</v>
      </c>
      <c r="AM63" s="28" t="n">
        <v>120</v>
      </c>
      <c r="AN63" s="28" t="n">
        <v>1.8</v>
      </c>
      <c r="AO63" s="28" t="n">
        <v>3.2</v>
      </c>
      <c r="AP63" s="28" t="n">
        <v>4.1</v>
      </c>
      <c r="AQ63" s="28" t="n">
        <v>400</v>
      </c>
      <c r="AR63" s="28" t="n">
        <v>88</v>
      </c>
      <c r="AS63" s="28" t="n">
        <v>85</v>
      </c>
      <c r="AT63" s="28" t="n">
        <v>82</v>
      </c>
      <c r="AU63" s="28" t="n">
        <v>92</v>
      </c>
      <c r="AV63" s="28" t="n">
        <v>2.4</v>
      </c>
      <c r="AW63" s="28" t="n">
        <v>0.04</v>
      </c>
      <c r="AX63" s="28" t="n">
        <v>180</v>
      </c>
      <c r="AY63" s="28" t="n">
        <v>120</v>
      </c>
      <c r="AZ63" s="28" t="n">
        <v>1.8</v>
      </c>
      <c r="BA63" s="28" t="n">
        <v>3.2</v>
      </c>
      <c r="BB63" s="28" t="n">
        <v>4.1</v>
      </c>
      <c r="BC63" s="28" t="n">
        <v>400</v>
      </c>
      <c r="BD63" s="28" t="n">
        <v>500</v>
      </c>
      <c r="BE63" s="28" t="n">
        <v>842</v>
      </c>
      <c r="BF63" s="28" t="n">
        <v>1250</v>
      </c>
      <c r="BG63" s="28" t="n">
        <v>1</v>
      </c>
      <c r="BH63" s="28" t="b">
        <v>1</v>
      </c>
      <c r="BI63" s="34" t="b">
        <v>1</v>
      </c>
      <c r="BJ63" s="28" t="b">
        <v>1</v>
      </c>
      <c r="BK63" s="28" t="b">
        <v>1</v>
      </c>
      <c r="BL63" s="28" t="b">
        <v>0</v>
      </c>
      <c r="BM63" s="28" t="n">
        <v>65</v>
      </c>
      <c r="BN63" s="28" t="inlineStr">
        <is>
          <t>complete</t>
        </is>
      </c>
      <c r="BO63" s="28" t="inlineStr">
        <is>
          <t>rendered_browser</t>
        </is>
      </c>
      <c r="BP63" s="28" t="b">
        <v>0</v>
      </c>
      <c r="BQ63" s="28" t="n">
        <v>0</v>
      </c>
      <c r="BR63" s="28" t="n">
        <v>0</v>
      </c>
      <c r="BS63" s="28" t="inlineStr">
        <is>
          <t>https://africanmarketingconfederation.org/og-60.jpg</t>
        </is>
      </c>
      <c r="BT63" s="28" t="b">
        <v>0</v>
      </c>
      <c r="BU63" s="28" t="inlineStr"/>
      <c r="BV63" s="28" t="inlineStr"/>
      <c r="BW63" s="28" t="n">
        <v>0</v>
      </c>
      <c r="BX63" s="28" t="inlineStr"/>
      <c r="BY63" s="28" t="n">
        <v>0</v>
      </c>
      <c r="BZ63" s="28" t="inlineStr"/>
      <c r="CA63" s="28" t="n">
        <v>0</v>
      </c>
      <c r="CB63" s="28" t="inlineStr"/>
      <c r="CC63" s="28" t="n">
        <v>0</v>
      </c>
      <c r="CD63" s="28" t="inlineStr"/>
      <c r="CE63" s="28" t="n">
        <v>0</v>
      </c>
      <c r="CF63" s="28" t="inlineStr"/>
      <c r="CG63" s="28" t="n">
        <v>0</v>
      </c>
      <c r="CH63" s="28" t="inlineStr"/>
      <c r="CI63" s="28" t="inlineStr"/>
      <c r="CJ63" s="28" t="inlineStr"/>
      <c r="CK63" s="28" t="inlineStr"/>
      <c r="CL63" s="28" t="inlineStr">
        <is>
          <t>2026-06-01 to 2026-06-30 (30-day window; excludes today; typical GSC lag ~48h)</t>
        </is>
      </c>
      <c r="CM63" s="28" t="inlineStr">
        <is>
          <t>No Search Analytics row matched this URL in the 30-day export (compare Final URL with the page URL shown in GSC)</t>
        </is>
      </c>
      <c r="CN63" s="28" t="n">
        <v>-1</v>
      </c>
      <c r="CO63" s="28" t="b">
        <v>1</v>
      </c>
      <c r="CP63" s="28" t="n">
        <v>0.012048</v>
      </c>
      <c r="CQ63" s="28" t="b">
        <v>1</v>
      </c>
      <c r="CR63" s="28" t="b">
        <v>1</v>
      </c>
      <c r="CS63" s="28" t="inlineStr">
        <is>
          <t>Both</t>
        </is>
      </c>
      <c r="CT63" s="74" t="inlineStr"/>
      <c r="CU63" s="28" t="n">
        <v>61</v>
      </c>
      <c r="CV63" s="34">
        <f>IFERROR(INDEX(OFFSET('Technical Diagnostics'!$A$1,2,MATCH("SEO Health Score",'Technical Diagnostics'!$2:$2,0)-1,99998,1),MATCH(B63,OFFSET('Technical Diagnostics'!$A$1,2,MATCH("URL",'Technical Diagnostics'!$2:$2,0)-1,99998,1),0)),"")</f>
        <v/>
      </c>
      <c r="CW63" s="29" t="n">
        <v>80</v>
      </c>
      <c r="CX63" s="34" t="n">
        <v>46.25</v>
      </c>
      <c r="CY63" s="40" t="b">
        <v>0</v>
      </c>
      <c r="CZ63" s="28" t="b">
        <v>0</v>
      </c>
      <c r="DA63" s="28" t="inlineStr"/>
      <c r="DB63" s="28" t="inlineStr"/>
      <c r="DC63" s="28" t="inlineStr"/>
      <c r="DD63" s="28" t="n">
        <v>0</v>
      </c>
      <c r="DE63" s="28" t="n">
        <v>0</v>
      </c>
      <c r="DF63" s="28" t="inlineStr"/>
      <c r="DG63" s="28" t="inlineStr"/>
      <c r="DH63" s="28" t="inlineStr"/>
      <c r="DI63" s="28" t="n">
        <v>6</v>
      </c>
      <c r="DJ63" s="28" t="inlineStr">
        <is>
          <t>Author 60</t>
        </is>
      </c>
      <c r="DK63" s="28" t="inlineStr"/>
      <c r="DL63" s="28" t="b">
        <v>1</v>
      </c>
      <c r="DM63" s="28" t="inlineStr"/>
      <c r="DN63" s="28" t="inlineStr">
        <is>
          <t>2026-06-01</t>
        </is>
      </c>
      <c r="DO63" s="28" t="inlineStr"/>
      <c r="DP63" s="28" t="inlineStr">
        <is>
          <t>2026-06-01</t>
        </is>
      </c>
      <c r="DQ63" s="28" t="inlineStr"/>
      <c r="DR63" s="28" t="b">
        <v>0</v>
      </c>
      <c r="DS63" s="28" t="b">
        <v>1</v>
      </c>
      <c r="DT63" s="28" t="b">
        <v>1</v>
      </c>
      <c r="DU63" s="28" t="b">
        <v>0</v>
      </c>
      <c r="DV63" s="28" t="n">
        <v>0</v>
      </c>
      <c r="DW63" s="28" t="b">
        <v>0</v>
      </c>
      <c r="DX63" s="28" t="b">
        <v>0</v>
      </c>
      <c r="DY63" s="28" t="b">
        <v>0</v>
      </c>
      <c r="DZ63" s="28" t="b">
        <v>0</v>
      </c>
      <c r="EA63" s="32" t="b">
        <v>0</v>
      </c>
      <c r="EB63" s="28" t="b">
        <v>0</v>
      </c>
      <c r="EC63" s="28" t="inlineStr"/>
      <c r="ED63" s="28" t="inlineStr"/>
      <c r="EE63" s="28" t="b">
        <v>0</v>
      </c>
      <c r="EF63" s="28" t="inlineStr"/>
      <c r="EG63" s="28" t="inlineStr"/>
      <c r="EH63" s="28" t="inlineStr"/>
      <c r="EI63" s="28" t="inlineStr">
        <is>
          <t>2026-06-01</t>
        </is>
      </c>
      <c r="EJ63" s="28" t="inlineStr"/>
      <c r="EK63" s="28" t="inlineStr">
        <is>
          <t>Fresh</t>
        </is>
      </c>
      <c r="EL63" s="28" t="inlineStr">
        <is>
          <t>Smoke title 60</t>
        </is>
      </c>
      <c r="EM63" s="28" t="inlineStr"/>
      <c r="EN63" s="28" t="inlineStr">
        <is>
          <t>article</t>
        </is>
      </c>
      <c r="EO63" s="74" t="inlineStr"/>
      <c r="EP63" s="74" t="inlineStr">
        <is>
          <t>https://africanmarketingconfederation.org/og-60.jpg</t>
        </is>
      </c>
      <c r="EQ63" s="28" t="inlineStr"/>
      <c r="ER63" s="28" t="inlineStr"/>
      <c r="ES63" s="28" t="inlineStr"/>
      <c r="ET63" s="28" t="inlineStr"/>
      <c r="EU63" s="75" t="b">
        <v>0</v>
      </c>
      <c r="EV63" s="28" t="inlineStr">
        <is>
          <t>summary_large_image</t>
        </is>
      </c>
      <c r="EW63" s="28" t="inlineStr"/>
      <c r="EX63" s="28" t="inlineStr"/>
      <c r="EY63" s="28" t="inlineStr"/>
      <c r="EZ63" s="28" t="n">
        <v>0</v>
      </c>
      <c r="FA63" s="40" t="b">
        <v>0</v>
      </c>
      <c r="FB63" s="74" t="inlineStr">
        <is>
          <t>https://africanmarketingconfederation.org/smoke-archive/page-60</t>
        </is>
      </c>
      <c r="FC63" s="28" t="inlineStr"/>
      <c r="FD63" s="28" t="n">
        <v>0</v>
      </c>
      <c r="FE63" s="20" t="inlineStr"/>
      <c r="FF63" s="28" t="b">
        <v>0</v>
      </c>
      <c r="FG63" s="28" t="b">
        <v>0</v>
      </c>
      <c r="FH63" s="32" t="b">
        <v>0</v>
      </c>
      <c r="FI63" s="28" t="n">
        <v>0</v>
      </c>
      <c r="FJ63" s="28" t="inlineStr">
        <is>
          <t>https://africanmarketingconfederation.org/smoke-archive/page-60</t>
        </is>
      </c>
      <c r="FK63" s="28" t="inlineStr"/>
      <c r="FL63" s="32" t="b">
        <v>0</v>
      </c>
      <c r="FM63" s="28" t="b">
        <v>0</v>
      </c>
      <c r="FN63" s="32" t="b">
        <v>0</v>
      </c>
      <c r="FO63" s="28" t="inlineStr"/>
      <c r="FP63" s="28" t="inlineStr"/>
      <c r="FQ63" s="28" t="inlineStr"/>
      <c r="FR63" s="28" t="inlineStr"/>
      <c r="FS63" s="28" t="inlineStr"/>
      <c r="FT63" s="28" t="inlineStr"/>
      <c r="FU63" s="28" t="inlineStr">
        <is>
          <t>Not specified</t>
        </is>
      </c>
      <c r="FV63" s="28" t="inlineStr">
        <is>
          <t>Not specified</t>
        </is>
      </c>
      <c r="FW63" s="28" t="inlineStr">
        <is>
          <t>Not specified</t>
        </is>
      </c>
      <c r="FX63" s="28" t="inlineStr">
        <is>
          <t>Not specified</t>
        </is>
      </c>
      <c r="FY63" s="28" t="inlineStr">
        <is>
          <t>Not specified</t>
        </is>
      </c>
      <c r="FZ63" s="28" t="b">
        <v>0</v>
      </c>
      <c r="GA63" s="28" t="n">
        <v>0</v>
      </c>
      <c r="GB63" s="28" t="inlineStr"/>
      <c r="GC63" s="28" t="inlineStr"/>
      <c r="GD63" s="28" t="b">
        <v>0</v>
      </c>
      <c r="GE63" s="28" t="b">
        <v>0</v>
      </c>
      <c r="GF63" s="28" t="b">
        <v>0</v>
      </c>
      <c r="GG63" s="28" t="b">
        <v>0</v>
      </c>
      <c r="GH63" s="28" t="b">
        <v>0</v>
      </c>
      <c r="GI63" s="28" t="b">
        <v>0</v>
      </c>
      <c r="GJ63" s="28" t="n">
        <v>0</v>
      </c>
      <c r="GK63" s="28" t="n">
        <v>0</v>
      </c>
      <c r="GL63" s="28" t="n">
        <v>0</v>
      </c>
      <c r="GM63" s="74" t="inlineStr"/>
      <c r="GN63" s="74" t="inlineStr"/>
      <c r="GO63" s="32" t="b">
        <v>0</v>
      </c>
      <c r="GP63" s="28" t="inlineStr"/>
      <c r="GQ63" s="74" t="inlineStr"/>
      <c r="GR63" s="28" t="inlineStr">
        <is>
          <t>Not Declared</t>
        </is>
      </c>
      <c r="GS63" s="28" t="b">
        <v>1</v>
      </c>
      <c r="GT63" s="28" t="n">
        <v>39</v>
      </c>
      <c r="GU63" s="28" t="inlineStr">
        <is>
          <t>Orphan</t>
        </is>
      </c>
      <c r="GV63" s="28" t="n">
        <v>0</v>
      </c>
      <c r="GW63" s="34" t="n">
        <v>0</v>
      </c>
      <c r="GX63" s="28" t="b">
        <v>0</v>
      </c>
      <c r="GY63" s="28" t="inlineStr">
        <is>
          <t>FAQ</t>
        </is>
      </c>
      <c r="GZ63" s="28" t="n">
        <v>9</v>
      </c>
      <c r="HA63" s="28" t="b">
        <v>0</v>
      </c>
      <c r="HB63" s="28" t="inlineStr">
        <is>
          <t>smoke, body, copy, intent, classification</t>
        </is>
      </c>
      <c r="HC63" s="28" t="b">
        <v>0</v>
      </c>
      <c r="HD63" s="28" t="b">
        <v>0</v>
      </c>
      <c r="HE63" s="28" t="b">
        <v>0</v>
      </c>
      <c r="HF63" s="34" t="n">
        <v>0</v>
      </c>
      <c r="HG63" s="28" t="b">
        <v>0</v>
      </c>
      <c r="HH63" s="28" t="b">
        <v>0</v>
      </c>
      <c r="HI63">
        <f>IFERROR(HYPERLINK("#'Technical Diagnostics'!A"&amp;MATCH(B63,'Technical Diagnostics'!A:A,0),"Open Technical"),HYPERLINK("#'Technical Diagnostics'!A1","Open Technical"))</f>
        <v/>
      </c>
    </row>
    <row r="64" ht="18" customHeight="1">
      <c r="A64" s="30" t="inlineStr">
        <is>
          <t>WARN 🟡</t>
        </is>
      </c>
      <c r="B64" s="37" t="inlineStr">
        <is>
          <t>https://africanmarketingconfederation.org/smoke-archive/page-61</t>
        </is>
      </c>
      <c r="C64" s="30" t="inlineStr"/>
      <c r="D64" s="30" t="inlineStr">
        <is>
          <t>Indexable</t>
        </is>
      </c>
      <c r="E64" s="30" t="inlineStr"/>
      <c r="F64" s="30" t="inlineStr">
        <is>
          <t>Smoke title 61</t>
        </is>
      </c>
      <c r="G64" s="30" t="inlineStr">
        <is>
          <t>Smoke meta description for page 61.</t>
        </is>
      </c>
      <c r="H64" s="30" t="n">
        <v>331</v>
      </c>
      <c r="I64" s="30" t="n">
        <v>80</v>
      </c>
      <c r="J64" s="30" t="inlineStr">
        <is>
          <t>Warning</t>
        </is>
      </c>
      <c r="K64" s="30" t="inlineStr">
        <is>
          <t>Yes</t>
        </is>
      </c>
      <c r="L64" s="30" t="inlineStr"/>
      <c r="M64" s="30" t="inlineStr"/>
      <c r="N64" s="30" t="inlineStr">
        <is>
          <t>Lab only</t>
        </is>
      </c>
      <c r="O64" s="30" t="inlineStr">
        <is>
          <t>None</t>
        </is>
      </c>
      <c r="P64" s="30" t="inlineStr">
        <is>
          <t>PSI Lab</t>
        </is>
      </c>
      <c r="Q64" s="30" t="inlineStr">
        <is>
          <t>None</t>
        </is>
      </c>
      <c r="R64" s="30" t="inlineStr"/>
      <c r="S64" s="30" t="inlineStr"/>
      <c r="T64" s="30" t="inlineStr"/>
      <c r="U64" s="30" t="inlineStr"/>
      <c r="V64" s="30" t="inlineStr"/>
      <c r="W64" s="30" t="inlineStr"/>
      <c r="X64" s="30" t="inlineStr"/>
      <c r="Y64" s="30" t="inlineStr"/>
      <c r="Z64" s="30" t="inlineStr"/>
      <c r="AA64" s="30" t="n">
        <v>88</v>
      </c>
      <c r="AB64" s="30" t="n">
        <v>88</v>
      </c>
      <c r="AC64" s="30" t="n">
        <v>88</v>
      </c>
      <c r="AD64" s="30" t="n">
        <v>85</v>
      </c>
      <c r="AE64" s="30" t="n">
        <v>82</v>
      </c>
      <c r="AF64" s="30" t="n">
        <v>92</v>
      </c>
      <c r="AG64" s="30" t="n">
        <v>2.4</v>
      </c>
      <c r="AH64" s="30" t="n">
        <v>0.04</v>
      </c>
      <c r="AI64" s="30" t="n">
        <v>0.4</v>
      </c>
      <c r="AJ64" s="30" t="n">
        <v>2.4</v>
      </c>
      <c r="AK64" s="30" t="n">
        <v>0.04</v>
      </c>
      <c r="AL64" s="30" t="n">
        <v>180</v>
      </c>
      <c r="AM64" s="30" t="n">
        <v>120</v>
      </c>
      <c r="AN64" s="30" t="n">
        <v>1.8</v>
      </c>
      <c r="AO64" s="30" t="n">
        <v>3.2</v>
      </c>
      <c r="AP64" s="30" t="n">
        <v>4.1</v>
      </c>
      <c r="AQ64" s="30" t="n">
        <v>400</v>
      </c>
      <c r="AR64" s="30" t="n">
        <v>88</v>
      </c>
      <c r="AS64" s="30" t="n">
        <v>85</v>
      </c>
      <c r="AT64" s="30" t="n">
        <v>82</v>
      </c>
      <c r="AU64" s="30" t="n">
        <v>92</v>
      </c>
      <c r="AV64" s="30" t="n">
        <v>2.4</v>
      </c>
      <c r="AW64" s="30" t="n">
        <v>0.04</v>
      </c>
      <c r="AX64" s="30" t="n">
        <v>180</v>
      </c>
      <c r="AY64" s="30" t="n">
        <v>120</v>
      </c>
      <c r="AZ64" s="30" t="n">
        <v>1.8</v>
      </c>
      <c r="BA64" s="30" t="n">
        <v>3.2</v>
      </c>
      <c r="BB64" s="30" t="n">
        <v>4.1</v>
      </c>
      <c r="BC64" s="30" t="n">
        <v>400</v>
      </c>
      <c r="BD64" s="30" t="n">
        <v>500</v>
      </c>
      <c r="BE64" s="30" t="n">
        <v>842</v>
      </c>
      <c r="BF64" s="30" t="n">
        <v>1250</v>
      </c>
      <c r="BG64" s="30" t="n">
        <v>1</v>
      </c>
      <c r="BH64" s="30" t="b">
        <v>1</v>
      </c>
      <c r="BI64" s="34" t="b">
        <v>1</v>
      </c>
      <c r="BJ64" s="30" t="b">
        <v>1</v>
      </c>
      <c r="BK64" s="30" t="b">
        <v>1</v>
      </c>
      <c r="BL64" s="30" t="b">
        <v>0</v>
      </c>
      <c r="BM64" s="30" t="n">
        <v>65</v>
      </c>
      <c r="BN64" s="30" t="inlineStr">
        <is>
          <t>complete</t>
        </is>
      </c>
      <c r="BO64" s="30" t="inlineStr">
        <is>
          <t>rendered_browser</t>
        </is>
      </c>
      <c r="BP64" s="30" t="b">
        <v>0</v>
      </c>
      <c r="BQ64" s="30" t="n">
        <v>0</v>
      </c>
      <c r="BR64" s="30" t="n">
        <v>0</v>
      </c>
      <c r="BS64" s="30" t="inlineStr"/>
      <c r="BT64" s="30" t="b">
        <v>0</v>
      </c>
      <c r="BU64" s="30" t="inlineStr"/>
      <c r="BV64" s="30" t="inlineStr"/>
      <c r="BW64" s="30" t="n">
        <v>0</v>
      </c>
      <c r="BX64" s="30" t="inlineStr"/>
      <c r="BY64" s="30" t="n">
        <v>0</v>
      </c>
      <c r="BZ64" s="30" t="inlineStr"/>
      <c r="CA64" s="30" t="n">
        <v>0</v>
      </c>
      <c r="CB64" s="30" t="inlineStr"/>
      <c r="CC64" s="30" t="n">
        <v>0</v>
      </c>
      <c r="CD64" s="30" t="inlineStr"/>
      <c r="CE64" s="30" t="n">
        <v>0</v>
      </c>
      <c r="CF64" s="30" t="inlineStr"/>
      <c r="CG64" s="30" t="n">
        <v>0</v>
      </c>
      <c r="CH64" s="30" t="inlineStr"/>
      <c r="CI64" s="30" t="inlineStr"/>
      <c r="CJ64" s="30" t="inlineStr"/>
      <c r="CK64" s="30" t="inlineStr"/>
      <c r="CL64" s="30" t="inlineStr">
        <is>
          <t>2026-06-01 to 2026-06-30 (30-day window; excludes today; typical GSC lag ~48h)</t>
        </is>
      </c>
      <c r="CM64" s="30" t="inlineStr">
        <is>
          <t>No Search Analytics row matched this URL in the 30-day export (compare Final URL with the page URL shown in GSC)</t>
        </is>
      </c>
      <c r="CN64" s="30" t="n">
        <v>-1</v>
      </c>
      <c r="CO64" s="30" t="b">
        <v>1</v>
      </c>
      <c r="CP64" s="30" t="n">
        <v>0.012048</v>
      </c>
      <c r="CQ64" s="30" t="b">
        <v>1</v>
      </c>
      <c r="CR64" s="30" t="b">
        <v>1</v>
      </c>
      <c r="CS64" s="30" t="inlineStr">
        <is>
          <t>Both</t>
        </is>
      </c>
      <c r="CT64" s="76" t="inlineStr"/>
      <c r="CU64" s="30" t="n">
        <v>62</v>
      </c>
      <c r="CV64" s="29">
        <f>IFERROR(INDEX(OFFSET('Technical Diagnostics'!$A$1,2,MATCH("SEO Health Score",'Technical Diagnostics'!$2:$2,0)-1,99998,1),MATCH(B64,OFFSET('Technical Diagnostics'!$A$1,2,MATCH("URL",'Technical Diagnostics'!$2:$2,0)-1,99998,1),0)),"")</f>
        <v/>
      </c>
      <c r="CW64" s="32" t="n">
        <v>100</v>
      </c>
      <c r="CX64" s="29" t="n">
        <v>85</v>
      </c>
      <c r="CY64" s="32" t="b">
        <v>1</v>
      </c>
      <c r="CZ64" s="30" t="b">
        <v>0</v>
      </c>
      <c r="DA64" s="30" t="inlineStr"/>
      <c r="DB64" s="30" t="inlineStr"/>
      <c r="DC64" s="30" t="inlineStr"/>
      <c r="DD64" s="30" t="n">
        <v>0</v>
      </c>
      <c r="DE64" s="30" t="n">
        <v>0</v>
      </c>
      <c r="DF64" s="30" t="inlineStr"/>
      <c r="DG64" s="30" t="inlineStr"/>
      <c r="DH64" s="30" t="inlineStr"/>
      <c r="DI64" s="30" t="n">
        <v>6</v>
      </c>
      <c r="DJ64" s="30" t="inlineStr">
        <is>
          <t>Author 61</t>
        </is>
      </c>
      <c r="DK64" s="30" t="inlineStr"/>
      <c r="DL64" s="30" t="b">
        <v>1</v>
      </c>
      <c r="DM64" s="30" t="inlineStr"/>
      <c r="DN64" s="30" t="inlineStr">
        <is>
          <t>2026-06-01</t>
        </is>
      </c>
      <c r="DO64" s="30" t="inlineStr"/>
      <c r="DP64" s="30" t="inlineStr">
        <is>
          <t>2026-06-01</t>
        </is>
      </c>
      <c r="DQ64" s="30" t="inlineStr"/>
      <c r="DR64" s="30" t="b">
        <v>0</v>
      </c>
      <c r="DS64" s="30" t="b">
        <v>1</v>
      </c>
      <c r="DT64" s="30" t="b">
        <v>1</v>
      </c>
      <c r="DU64" s="30" t="b">
        <v>0</v>
      </c>
      <c r="DV64" s="30" t="n">
        <v>0</v>
      </c>
      <c r="DW64" s="30" t="b">
        <v>0</v>
      </c>
      <c r="DX64" s="30" t="b">
        <v>0</v>
      </c>
      <c r="DY64" s="30" t="b">
        <v>0</v>
      </c>
      <c r="DZ64" s="30" t="b">
        <v>0</v>
      </c>
      <c r="EA64" s="32" t="b">
        <v>0</v>
      </c>
      <c r="EB64" s="30" t="b">
        <v>0</v>
      </c>
      <c r="EC64" s="30" t="inlineStr"/>
      <c r="ED64" s="30" t="inlineStr"/>
      <c r="EE64" s="30" t="b">
        <v>0</v>
      </c>
      <c r="EF64" s="30" t="inlineStr"/>
      <c r="EG64" s="30" t="inlineStr"/>
      <c r="EH64" s="30" t="inlineStr"/>
      <c r="EI64" s="30" t="inlineStr"/>
      <c r="EJ64" s="30" t="inlineStr"/>
      <c r="EK64" s="30" t="inlineStr">
        <is>
          <t>Fresh</t>
        </is>
      </c>
      <c r="EL64" s="30" t="inlineStr">
        <is>
          <t>Smoke title 61</t>
        </is>
      </c>
      <c r="EM64" s="30" t="inlineStr">
        <is>
          <t>Smoke meta description for page 61.</t>
        </is>
      </c>
      <c r="EN64" s="30" t="inlineStr">
        <is>
          <t>article</t>
        </is>
      </c>
      <c r="EO64" s="76" t="inlineStr"/>
      <c r="EP64" s="76" t="inlineStr"/>
      <c r="EQ64" s="30" t="inlineStr"/>
      <c r="ER64" s="30" t="inlineStr"/>
      <c r="ES64" s="30" t="inlineStr"/>
      <c r="ET64" s="30" t="inlineStr"/>
      <c r="EU64" s="75" t="b">
        <v>0</v>
      </c>
      <c r="EV64" s="30" t="inlineStr">
        <is>
          <t>summary_large_image</t>
        </is>
      </c>
      <c r="EW64" s="30" t="inlineStr"/>
      <c r="EX64" s="30" t="inlineStr"/>
      <c r="EY64" s="30" t="inlineStr"/>
      <c r="EZ64" s="30" t="n">
        <v>0</v>
      </c>
      <c r="FA64" s="40" t="b">
        <v>0</v>
      </c>
      <c r="FB64" s="76" t="inlineStr">
        <is>
          <t>https://africanmarketingconfederation.org/smoke-archive/page-61</t>
        </is>
      </c>
      <c r="FC64" s="30" t="inlineStr"/>
      <c r="FD64" s="30" t="n">
        <v>0</v>
      </c>
      <c r="FE64" s="31" t="inlineStr"/>
      <c r="FF64" s="30" t="b">
        <v>0</v>
      </c>
      <c r="FG64" s="30" t="b">
        <v>0</v>
      </c>
      <c r="FH64" s="32" t="b">
        <v>0</v>
      </c>
      <c r="FI64" s="30" t="n">
        <v>0</v>
      </c>
      <c r="FJ64" s="30" t="inlineStr">
        <is>
          <t>https://africanmarketingconfederation.org/smoke-archive/page-61</t>
        </is>
      </c>
      <c r="FK64" s="30" t="inlineStr"/>
      <c r="FL64" s="32" t="b">
        <v>0</v>
      </c>
      <c r="FM64" s="30" t="b">
        <v>0</v>
      </c>
      <c r="FN64" s="32" t="b">
        <v>0</v>
      </c>
      <c r="FO64" s="30" t="inlineStr"/>
      <c r="FP64" s="30" t="inlineStr"/>
      <c r="FQ64" s="30" t="inlineStr"/>
      <c r="FR64" s="30" t="inlineStr"/>
      <c r="FS64" s="30" t="inlineStr"/>
      <c r="FT64" s="30" t="inlineStr"/>
      <c r="FU64" s="30" t="inlineStr">
        <is>
          <t>Not specified</t>
        </is>
      </c>
      <c r="FV64" s="30" t="inlineStr">
        <is>
          <t>Not specified</t>
        </is>
      </c>
      <c r="FW64" s="30" t="inlineStr">
        <is>
          <t>Not specified</t>
        </is>
      </c>
      <c r="FX64" s="30" t="inlineStr">
        <is>
          <t>Not specified</t>
        </is>
      </c>
      <c r="FY64" s="30" t="inlineStr">
        <is>
          <t>Not specified</t>
        </is>
      </c>
      <c r="FZ64" s="30" t="b">
        <v>0</v>
      </c>
      <c r="GA64" s="30" t="n">
        <v>0</v>
      </c>
      <c r="GB64" s="30" t="inlineStr"/>
      <c r="GC64" s="30" t="inlineStr"/>
      <c r="GD64" s="30" t="b">
        <v>0</v>
      </c>
      <c r="GE64" s="30" t="b">
        <v>0</v>
      </c>
      <c r="GF64" s="30" t="b">
        <v>0</v>
      </c>
      <c r="GG64" s="30" t="b">
        <v>0</v>
      </c>
      <c r="GH64" s="30" t="b">
        <v>0</v>
      </c>
      <c r="GI64" s="30" t="b">
        <v>0</v>
      </c>
      <c r="GJ64" s="30" t="n">
        <v>0</v>
      </c>
      <c r="GK64" s="30" t="n">
        <v>0</v>
      </c>
      <c r="GL64" s="30" t="n">
        <v>0</v>
      </c>
      <c r="GM64" s="76" t="inlineStr"/>
      <c r="GN64" s="76" t="inlineStr"/>
      <c r="GO64" s="32" t="b">
        <v>0</v>
      </c>
      <c r="GP64" s="30" t="inlineStr"/>
      <c r="GQ64" s="76" t="inlineStr"/>
      <c r="GR64" s="30" t="inlineStr">
        <is>
          <t>Not Declared</t>
        </is>
      </c>
      <c r="GS64" s="30" t="b">
        <v>1</v>
      </c>
      <c r="GT64" s="30" t="n">
        <v>84.09999999999999</v>
      </c>
      <c r="GU64" s="30" t="inlineStr">
        <is>
          <t>Orphan</t>
        </is>
      </c>
      <c r="GV64" s="30" t="n">
        <v>0</v>
      </c>
      <c r="GW64" s="34" t="n">
        <v>0</v>
      </c>
      <c r="GX64" s="30" t="b">
        <v>0</v>
      </c>
      <c r="GY64" s="30" t="inlineStr">
        <is>
          <t>FAQ</t>
        </is>
      </c>
      <c r="GZ64" s="30" t="n">
        <v>9</v>
      </c>
      <c r="HA64" s="30" t="b">
        <v>0</v>
      </c>
      <c r="HB64" s="30" t="inlineStr">
        <is>
          <t>smoke, body, copy, intent, classification</t>
        </is>
      </c>
      <c r="HC64" s="30" t="b">
        <v>0</v>
      </c>
      <c r="HD64" s="30" t="b">
        <v>0</v>
      </c>
      <c r="HE64" s="30" t="b">
        <v>0</v>
      </c>
      <c r="HF64" s="34" t="n">
        <v>0</v>
      </c>
      <c r="HG64" s="30" t="b">
        <v>0</v>
      </c>
      <c r="HH64" s="30" t="b">
        <v>0</v>
      </c>
      <c r="HI64" s="38">
        <f>IFERROR(HYPERLINK("#'Technical Diagnostics'!A"&amp;MATCH(B64,'Technical Diagnostics'!A:A,0),"Open Technical"),HYPERLINK("#'Technical Diagnostics'!A1","Open Technical"))</f>
        <v/>
      </c>
    </row>
    <row r="65" ht="18" customHeight="1">
      <c r="A65" s="28" t="inlineStr">
        <is>
          <t>WARN 🟡</t>
        </is>
      </c>
      <c r="B65" s="35" t="inlineStr">
        <is>
          <t>https://africanmarketingconfederation.org/smoke-archive/page-62</t>
        </is>
      </c>
      <c r="C65" s="28" t="inlineStr"/>
      <c r="D65" s="28" t="inlineStr">
        <is>
          <t>Indexable</t>
        </is>
      </c>
      <c r="E65" s="28" t="inlineStr"/>
      <c r="F65" s="28" t="inlineStr">
        <is>
          <t>Smoke title 62</t>
        </is>
      </c>
      <c r="G65" s="28" t="inlineStr">
        <is>
          <t>Smoke meta description for page 62.</t>
        </is>
      </c>
      <c r="H65" s="28" t="n">
        <v>332</v>
      </c>
      <c r="I65" s="28" t="n">
        <v>80</v>
      </c>
      <c r="J65" s="28" t="inlineStr">
        <is>
          <t>Warning</t>
        </is>
      </c>
      <c r="K65" s="28" t="inlineStr">
        <is>
          <t>Yes</t>
        </is>
      </c>
      <c r="L65" s="28" t="inlineStr"/>
      <c r="M65" s="28" t="inlineStr"/>
      <c r="N65" s="28" t="inlineStr">
        <is>
          <t>Lab only</t>
        </is>
      </c>
      <c r="O65" s="28" t="inlineStr">
        <is>
          <t>None</t>
        </is>
      </c>
      <c r="P65" s="28" t="inlineStr">
        <is>
          <t>PSI Lab</t>
        </is>
      </c>
      <c r="Q65" s="28" t="inlineStr">
        <is>
          <t>None</t>
        </is>
      </c>
      <c r="R65" s="28" t="inlineStr"/>
      <c r="S65" s="28" t="inlineStr"/>
      <c r="T65" s="28" t="inlineStr"/>
      <c r="U65" s="28" t="inlineStr"/>
      <c r="V65" s="28" t="inlineStr"/>
      <c r="W65" s="28" t="inlineStr"/>
      <c r="X65" s="28" t="inlineStr"/>
      <c r="Y65" s="28" t="inlineStr"/>
      <c r="Z65" s="28" t="inlineStr"/>
      <c r="AA65" s="28" t="n">
        <v>88</v>
      </c>
      <c r="AB65" s="28" t="n">
        <v>88</v>
      </c>
      <c r="AC65" s="28" t="n">
        <v>88</v>
      </c>
      <c r="AD65" s="28" t="n">
        <v>85</v>
      </c>
      <c r="AE65" s="28" t="n">
        <v>82</v>
      </c>
      <c r="AF65" s="28" t="n">
        <v>92</v>
      </c>
      <c r="AG65" s="28" t="n">
        <v>2.4</v>
      </c>
      <c r="AH65" s="28" t="n">
        <v>0.04</v>
      </c>
      <c r="AI65" s="28" t="n">
        <v>0.4</v>
      </c>
      <c r="AJ65" s="28" t="n">
        <v>2.4</v>
      </c>
      <c r="AK65" s="28" t="n">
        <v>0.04</v>
      </c>
      <c r="AL65" s="28" t="n">
        <v>180</v>
      </c>
      <c r="AM65" s="28" t="n">
        <v>120</v>
      </c>
      <c r="AN65" s="28" t="n">
        <v>1.8</v>
      </c>
      <c r="AO65" s="28" t="n">
        <v>3.2</v>
      </c>
      <c r="AP65" s="28" t="n">
        <v>4.1</v>
      </c>
      <c r="AQ65" s="28" t="n">
        <v>400</v>
      </c>
      <c r="AR65" s="28" t="n">
        <v>88</v>
      </c>
      <c r="AS65" s="28" t="n">
        <v>85</v>
      </c>
      <c r="AT65" s="28" t="n">
        <v>82</v>
      </c>
      <c r="AU65" s="28" t="n">
        <v>92</v>
      </c>
      <c r="AV65" s="28" t="n">
        <v>2.4</v>
      </c>
      <c r="AW65" s="28" t="n">
        <v>0.04</v>
      </c>
      <c r="AX65" s="28" t="n">
        <v>180</v>
      </c>
      <c r="AY65" s="28" t="n">
        <v>120</v>
      </c>
      <c r="AZ65" s="28" t="n">
        <v>1.8</v>
      </c>
      <c r="BA65" s="28" t="n">
        <v>3.2</v>
      </c>
      <c r="BB65" s="28" t="n">
        <v>4.1</v>
      </c>
      <c r="BC65" s="28" t="n">
        <v>400</v>
      </c>
      <c r="BD65" s="28" t="n">
        <v>500</v>
      </c>
      <c r="BE65" s="28" t="n">
        <v>842</v>
      </c>
      <c r="BF65" s="28" t="n">
        <v>1250</v>
      </c>
      <c r="BG65" s="28" t="n">
        <v>1</v>
      </c>
      <c r="BH65" s="28" t="b">
        <v>1</v>
      </c>
      <c r="BI65" s="34" t="b">
        <v>1</v>
      </c>
      <c r="BJ65" s="28" t="b">
        <v>1</v>
      </c>
      <c r="BK65" s="28" t="b">
        <v>1</v>
      </c>
      <c r="BL65" s="28" t="b">
        <v>0</v>
      </c>
      <c r="BM65" s="28" t="n">
        <v>65</v>
      </c>
      <c r="BN65" s="28" t="inlineStr">
        <is>
          <t>complete</t>
        </is>
      </c>
      <c r="BO65" s="28" t="inlineStr">
        <is>
          <t>rendered_browser</t>
        </is>
      </c>
      <c r="BP65" s="28" t="b">
        <v>0</v>
      </c>
      <c r="BQ65" s="28" t="n">
        <v>0</v>
      </c>
      <c r="BR65" s="28" t="n">
        <v>0</v>
      </c>
      <c r="BS65" s="28" t="inlineStr"/>
      <c r="BT65" s="28" t="b">
        <v>0</v>
      </c>
      <c r="BU65" s="28" t="inlineStr"/>
      <c r="BV65" s="28" t="inlineStr"/>
      <c r="BW65" s="28" t="n">
        <v>0</v>
      </c>
      <c r="BX65" s="28" t="inlineStr"/>
      <c r="BY65" s="28" t="n">
        <v>0</v>
      </c>
      <c r="BZ65" s="28" t="inlineStr"/>
      <c r="CA65" s="28" t="n">
        <v>0</v>
      </c>
      <c r="CB65" s="28" t="inlineStr"/>
      <c r="CC65" s="28" t="n">
        <v>0</v>
      </c>
      <c r="CD65" s="28" t="inlineStr"/>
      <c r="CE65" s="28" t="n">
        <v>0</v>
      </c>
      <c r="CF65" s="28" t="inlineStr"/>
      <c r="CG65" s="28" t="n">
        <v>0</v>
      </c>
      <c r="CH65" s="28" t="inlineStr"/>
      <c r="CI65" s="28" t="inlineStr"/>
      <c r="CJ65" s="28" t="inlineStr"/>
      <c r="CK65" s="28" t="inlineStr"/>
      <c r="CL65" s="28" t="inlineStr">
        <is>
          <t>2026-06-01 to 2026-06-30 (30-day window; excludes today; typical GSC lag ~48h)</t>
        </is>
      </c>
      <c r="CM65" s="28" t="inlineStr">
        <is>
          <t>No Search Analytics row matched this URL in the 30-day export (compare Final URL with the page URL shown in GSC)</t>
        </is>
      </c>
      <c r="CN65" s="28" t="n">
        <v>-1</v>
      </c>
      <c r="CO65" s="28" t="b">
        <v>1</v>
      </c>
      <c r="CP65" s="28" t="n">
        <v>0.012048</v>
      </c>
      <c r="CQ65" s="28" t="b">
        <v>1</v>
      </c>
      <c r="CR65" s="28" t="b">
        <v>1</v>
      </c>
      <c r="CS65" s="28" t="inlineStr">
        <is>
          <t>Both</t>
        </is>
      </c>
      <c r="CT65" s="74" t="inlineStr"/>
      <c r="CU65" s="28" t="n">
        <v>63</v>
      </c>
      <c r="CV65" s="29">
        <f>IFERROR(INDEX(OFFSET('Technical Diagnostics'!$A$1,2,MATCH("SEO Health Score",'Technical Diagnostics'!$2:$2,0)-1,99998,1),MATCH(B65,OFFSET('Technical Diagnostics'!$A$1,2,MATCH("URL",'Technical Diagnostics'!$2:$2,0)-1,99998,1),0)),"")</f>
        <v/>
      </c>
      <c r="CW65" s="32" t="n">
        <v>100</v>
      </c>
      <c r="CX65" s="29" t="n">
        <v>85</v>
      </c>
      <c r="CY65" s="32" t="b">
        <v>1</v>
      </c>
      <c r="CZ65" s="28" t="b">
        <v>0</v>
      </c>
      <c r="DA65" s="28" t="inlineStr"/>
      <c r="DB65" s="28" t="inlineStr"/>
      <c r="DC65" s="28" t="inlineStr"/>
      <c r="DD65" s="28" t="n">
        <v>0</v>
      </c>
      <c r="DE65" s="28" t="n">
        <v>0</v>
      </c>
      <c r="DF65" s="28" t="inlineStr"/>
      <c r="DG65" s="28" t="inlineStr"/>
      <c r="DH65" s="28" t="inlineStr"/>
      <c r="DI65" s="28" t="n">
        <v>6</v>
      </c>
      <c r="DJ65" s="28" t="inlineStr">
        <is>
          <t>Author 62</t>
        </is>
      </c>
      <c r="DK65" s="28" t="inlineStr"/>
      <c r="DL65" s="28" t="b">
        <v>1</v>
      </c>
      <c r="DM65" s="28" t="inlineStr"/>
      <c r="DN65" s="28" t="inlineStr">
        <is>
          <t>2026-06-01</t>
        </is>
      </c>
      <c r="DO65" s="28" t="inlineStr"/>
      <c r="DP65" s="28" t="inlineStr">
        <is>
          <t>2026-06-01</t>
        </is>
      </c>
      <c r="DQ65" s="28" t="inlineStr"/>
      <c r="DR65" s="28" t="b">
        <v>0</v>
      </c>
      <c r="DS65" s="28" t="b">
        <v>1</v>
      </c>
      <c r="DT65" s="28" t="b">
        <v>1</v>
      </c>
      <c r="DU65" s="28" t="b">
        <v>0</v>
      </c>
      <c r="DV65" s="28" t="n">
        <v>0</v>
      </c>
      <c r="DW65" s="28" t="b">
        <v>0</v>
      </c>
      <c r="DX65" s="28" t="b">
        <v>0</v>
      </c>
      <c r="DY65" s="28" t="b">
        <v>0</v>
      </c>
      <c r="DZ65" s="28" t="b">
        <v>0</v>
      </c>
      <c r="EA65" s="32" t="b">
        <v>0</v>
      </c>
      <c r="EB65" s="28" t="b">
        <v>0</v>
      </c>
      <c r="EC65" s="28" t="inlineStr"/>
      <c r="ED65" s="28" t="inlineStr"/>
      <c r="EE65" s="28" t="b">
        <v>0</v>
      </c>
      <c r="EF65" s="28" t="inlineStr"/>
      <c r="EG65" s="28" t="inlineStr"/>
      <c r="EH65" s="28" t="inlineStr"/>
      <c r="EI65" s="28" t="inlineStr"/>
      <c r="EJ65" s="28" t="inlineStr"/>
      <c r="EK65" s="28" t="inlineStr">
        <is>
          <t>Fresh</t>
        </is>
      </c>
      <c r="EL65" s="28" t="inlineStr">
        <is>
          <t>Smoke title 62</t>
        </is>
      </c>
      <c r="EM65" s="28" t="inlineStr">
        <is>
          <t>Smoke meta description for page 62.</t>
        </is>
      </c>
      <c r="EN65" s="28" t="inlineStr">
        <is>
          <t>article</t>
        </is>
      </c>
      <c r="EO65" s="74" t="inlineStr"/>
      <c r="EP65" s="74" t="inlineStr"/>
      <c r="EQ65" s="28" t="inlineStr"/>
      <c r="ER65" s="28" t="inlineStr"/>
      <c r="ES65" s="28" t="inlineStr"/>
      <c r="ET65" s="28" t="inlineStr"/>
      <c r="EU65" s="75" t="b">
        <v>0</v>
      </c>
      <c r="EV65" s="28" t="inlineStr">
        <is>
          <t>summary_large_image</t>
        </is>
      </c>
      <c r="EW65" s="28" t="inlineStr"/>
      <c r="EX65" s="28" t="inlineStr"/>
      <c r="EY65" s="28" t="inlineStr"/>
      <c r="EZ65" s="28" t="n">
        <v>0</v>
      </c>
      <c r="FA65" s="40" t="b">
        <v>0</v>
      </c>
      <c r="FB65" s="74" t="inlineStr">
        <is>
          <t>https://africanmarketingconfederation.org/smoke-archive/page-62</t>
        </is>
      </c>
      <c r="FC65" s="28" t="inlineStr"/>
      <c r="FD65" s="28" t="n">
        <v>0</v>
      </c>
      <c r="FE65" s="20" t="inlineStr"/>
      <c r="FF65" s="28" t="b">
        <v>0</v>
      </c>
      <c r="FG65" s="28" t="b">
        <v>0</v>
      </c>
      <c r="FH65" s="32" t="b">
        <v>0</v>
      </c>
      <c r="FI65" s="28" t="n">
        <v>0</v>
      </c>
      <c r="FJ65" s="28" t="inlineStr">
        <is>
          <t>https://africanmarketingconfederation.org/smoke-archive/page-62</t>
        </is>
      </c>
      <c r="FK65" s="28" t="inlineStr"/>
      <c r="FL65" s="32" t="b">
        <v>0</v>
      </c>
      <c r="FM65" s="28" t="b">
        <v>0</v>
      </c>
      <c r="FN65" s="32" t="b">
        <v>0</v>
      </c>
      <c r="FO65" s="28" t="inlineStr"/>
      <c r="FP65" s="28" t="inlineStr"/>
      <c r="FQ65" s="28" t="inlineStr"/>
      <c r="FR65" s="28" t="inlineStr"/>
      <c r="FS65" s="28" t="inlineStr"/>
      <c r="FT65" s="28" t="inlineStr"/>
      <c r="FU65" s="28" t="inlineStr">
        <is>
          <t>Not specified</t>
        </is>
      </c>
      <c r="FV65" s="28" t="inlineStr">
        <is>
          <t>Not specified</t>
        </is>
      </c>
      <c r="FW65" s="28" t="inlineStr">
        <is>
          <t>Not specified</t>
        </is>
      </c>
      <c r="FX65" s="28" t="inlineStr">
        <is>
          <t>Not specified</t>
        </is>
      </c>
      <c r="FY65" s="28" t="inlineStr">
        <is>
          <t>Not specified</t>
        </is>
      </c>
      <c r="FZ65" s="28" t="b">
        <v>0</v>
      </c>
      <c r="GA65" s="28" t="n">
        <v>0</v>
      </c>
      <c r="GB65" s="28" t="inlineStr"/>
      <c r="GC65" s="28" t="inlineStr"/>
      <c r="GD65" s="28" t="b">
        <v>0</v>
      </c>
      <c r="GE65" s="28" t="b">
        <v>0</v>
      </c>
      <c r="GF65" s="28" t="b">
        <v>0</v>
      </c>
      <c r="GG65" s="28" t="b">
        <v>0</v>
      </c>
      <c r="GH65" s="28" t="b">
        <v>0</v>
      </c>
      <c r="GI65" s="28" t="b">
        <v>0</v>
      </c>
      <c r="GJ65" s="28" t="n">
        <v>0</v>
      </c>
      <c r="GK65" s="28" t="n">
        <v>0</v>
      </c>
      <c r="GL65" s="28" t="n">
        <v>0</v>
      </c>
      <c r="GM65" s="74" t="inlineStr"/>
      <c r="GN65" s="74" t="inlineStr"/>
      <c r="GO65" s="32" t="b">
        <v>0</v>
      </c>
      <c r="GP65" s="28" t="inlineStr"/>
      <c r="GQ65" s="74" t="inlineStr"/>
      <c r="GR65" s="28" t="inlineStr">
        <is>
          <t>Not Declared</t>
        </is>
      </c>
      <c r="GS65" s="28" t="b">
        <v>1</v>
      </c>
      <c r="GT65" s="28" t="n">
        <v>93.90000000000001</v>
      </c>
      <c r="GU65" s="28" t="inlineStr">
        <is>
          <t>Orphan</t>
        </is>
      </c>
      <c r="GV65" s="28" t="n">
        <v>0</v>
      </c>
      <c r="GW65" s="34" t="n">
        <v>0</v>
      </c>
      <c r="GX65" s="28" t="b">
        <v>0</v>
      </c>
      <c r="GY65" s="28" t="inlineStr">
        <is>
          <t>FAQ</t>
        </is>
      </c>
      <c r="GZ65" s="28" t="n">
        <v>9</v>
      </c>
      <c r="HA65" s="28" t="b">
        <v>0</v>
      </c>
      <c r="HB65" s="28" t="inlineStr">
        <is>
          <t>smoke, body, copy, intent, classification</t>
        </is>
      </c>
      <c r="HC65" s="28" t="b">
        <v>0</v>
      </c>
      <c r="HD65" s="28" t="b">
        <v>0</v>
      </c>
      <c r="HE65" s="28" t="b">
        <v>0</v>
      </c>
      <c r="HF65" s="34" t="n">
        <v>0</v>
      </c>
      <c r="HG65" s="28" t="b">
        <v>0</v>
      </c>
      <c r="HH65" s="28" t="b">
        <v>0</v>
      </c>
      <c r="HI65">
        <f>IFERROR(HYPERLINK("#'Technical Diagnostics'!A"&amp;MATCH(B65,'Technical Diagnostics'!A:A,0),"Open Technical"),HYPERLINK("#'Technical Diagnostics'!A1","Open Technical"))</f>
        <v/>
      </c>
    </row>
    <row r="66" ht="18" customHeight="1">
      <c r="A66" s="30" t="inlineStr">
        <is>
          <t>WARN 🟡</t>
        </is>
      </c>
      <c r="B66" s="37" t="inlineStr">
        <is>
          <t>https://africanmarketingconfederation.org/smoke-archive/page-63</t>
        </is>
      </c>
      <c r="C66" s="30" t="inlineStr"/>
      <c r="D66" s="30" t="inlineStr">
        <is>
          <t>Indexable</t>
        </is>
      </c>
      <c r="E66" s="30" t="inlineStr"/>
      <c r="F66" s="30" t="inlineStr">
        <is>
          <t>Smoke title 63</t>
        </is>
      </c>
      <c r="G66" s="30" t="inlineStr">
        <is>
          <t>Smoke meta description for page 63.</t>
        </is>
      </c>
      <c r="H66" s="30" t="n">
        <v>333</v>
      </c>
      <c r="I66" s="30" t="n">
        <v>60</v>
      </c>
      <c r="J66" s="30" t="inlineStr">
        <is>
          <t>Warning</t>
        </is>
      </c>
      <c r="K66" s="30" t="inlineStr">
        <is>
          <t>Yes</t>
        </is>
      </c>
      <c r="L66" s="30" t="inlineStr"/>
      <c r="M66" s="30" t="inlineStr"/>
      <c r="N66" s="30" t="inlineStr">
        <is>
          <t>Lab only</t>
        </is>
      </c>
      <c r="O66" s="30" t="inlineStr">
        <is>
          <t>None</t>
        </is>
      </c>
      <c r="P66" s="30" t="inlineStr">
        <is>
          <t>PSI Lab</t>
        </is>
      </c>
      <c r="Q66" s="30" t="inlineStr">
        <is>
          <t>None</t>
        </is>
      </c>
      <c r="R66" s="30" t="inlineStr"/>
      <c r="S66" s="30" t="inlineStr"/>
      <c r="T66" s="30" t="inlineStr"/>
      <c r="U66" s="30" t="inlineStr"/>
      <c r="V66" s="30" t="inlineStr"/>
      <c r="W66" s="30" t="inlineStr"/>
      <c r="X66" s="30" t="inlineStr"/>
      <c r="Y66" s="30" t="inlineStr"/>
      <c r="Z66" s="30" t="inlineStr"/>
      <c r="AA66" s="30" t="n">
        <v>88</v>
      </c>
      <c r="AB66" s="30" t="n">
        <v>88</v>
      </c>
      <c r="AC66" s="30" t="n">
        <v>88</v>
      </c>
      <c r="AD66" s="30" t="n">
        <v>85</v>
      </c>
      <c r="AE66" s="30" t="n">
        <v>82</v>
      </c>
      <c r="AF66" s="30" t="n">
        <v>92</v>
      </c>
      <c r="AG66" s="30" t="n">
        <v>2.4</v>
      </c>
      <c r="AH66" s="30" t="n">
        <v>0.04</v>
      </c>
      <c r="AI66" s="30" t="n">
        <v>0.4</v>
      </c>
      <c r="AJ66" s="30" t="n">
        <v>2.4</v>
      </c>
      <c r="AK66" s="30" t="n">
        <v>0.04</v>
      </c>
      <c r="AL66" s="30" t="n">
        <v>180</v>
      </c>
      <c r="AM66" s="30" t="n">
        <v>120</v>
      </c>
      <c r="AN66" s="30" t="n">
        <v>1.8</v>
      </c>
      <c r="AO66" s="30" t="n">
        <v>3.2</v>
      </c>
      <c r="AP66" s="30" t="n">
        <v>4.1</v>
      </c>
      <c r="AQ66" s="30" t="n">
        <v>400</v>
      </c>
      <c r="AR66" s="30" t="n">
        <v>88</v>
      </c>
      <c r="AS66" s="30" t="n">
        <v>85</v>
      </c>
      <c r="AT66" s="30" t="n">
        <v>82</v>
      </c>
      <c r="AU66" s="30" t="n">
        <v>92</v>
      </c>
      <c r="AV66" s="30" t="n">
        <v>2.4</v>
      </c>
      <c r="AW66" s="30" t="n">
        <v>0.04</v>
      </c>
      <c r="AX66" s="30" t="n">
        <v>180</v>
      </c>
      <c r="AY66" s="30" t="n">
        <v>120</v>
      </c>
      <c r="AZ66" s="30" t="n">
        <v>1.8</v>
      </c>
      <c r="BA66" s="30" t="n">
        <v>3.2</v>
      </c>
      <c r="BB66" s="30" t="n">
        <v>4.1</v>
      </c>
      <c r="BC66" s="30" t="n">
        <v>400</v>
      </c>
      <c r="BD66" s="30" t="n">
        <v>500</v>
      </c>
      <c r="BE66" s="30" t="n">
        <v>842</v>
      </c>
      <c r="BF66" s="30" t="n">
        <v>1250</v>
      </c>
      <c r="BG66" s="30" t="n">
        <v>1</v>
      </c>
      <c r="BH66" s="30" t="b">
        <v>1</v>
      </c>
      <c r="BI66" s="34" t="b">
        <v>1</v>
      </c>
      <c r="BJ66" s="30" t="b">
        <v>1</v>
      </c>
      <c r="BK66" s="30" t="b">
        <v>1</v>
      </c>
      <c r="BL66" s="30" t="b">
        <v>0</v>
      </c>
      <c r="BM66" s="30" t="n">
        <v>65</v>
      </c>
      <c r="BN66" s="30" t="inlineStr">
        <is>
          <t>complete</t>
        </is>
      </c>
      <c r="BO66" s="30" t="inlineStr">
        <is>
          <t>rendered_browser</t>
        </is>
      </c>
      <c r="BP66" s="30" t="b">
        <v>0</v>
      </c>
      <c r="BQ66" s="30" t="n">
        <v>0</v>
      </c>
      <c r="BR66" s="30" t="n">
        <v>0</v>
      </c>
      <c r="BS66" s="30" t="inlineStr"/>
      <c r="BT66" s="30" t="b">
        <v>0</v>
      </c>
      <c r="BU66" s="30" t="inlineStr"/>
      <c r="BV66" s="30" t="inlineStr"/>
      <c r="BW66" s="30" t="n">
        <v>0</v>
      </c>
      <c r="BX66" s="30" t="inlineStr"/>
      <c r="BY66" s="30" t="n">
        <v>0</v>
      </c>
      <c r="BZ66" s="30" t="inlineStr"/>
      <c r="CA66" s="30" t="n">
        <v>0</v>
      </c>
      <c r="CB66" s="30" t="inlineStr"/>
      <c r="CC66" s="30" t="n">
        <v>0</v>
      </c>
      <c r="CD66" s="30" t="inlineStr"/>
      <c r="CE66" s="30" t="n">
        <v>0</v>
      </c>
      <c r="CF66" s="30" t="inlineStr"/>
      <c r="CG66" s="30" t="n">
        <v>0</v>
      </c>
      <c r="CH66" s="30" t="inlineStr"/>
      <c r="CI66" s="30" t="inlineStr"/>
      <c r="CJ66" s="30" t="inlineStr"/>
      <c r="CK66" s="30" t="inlineStr"/>
      <c r="CL66" s="30" t="inlineStr">
        <is>
          <t>2026-06-01 to 2026-06-30 (30-day window; excludes today; typical GSC lag ~48h)</t>
        </is>
      </c>
      <c r="CM66" s="30" t="inlineStr">
        <is>
          <t>No Search Analytics row matched this URL in the 30-day export (compare Final URL with the page URL shown in GSC)</t>
        </is>
      </c>
      <c r="CN66" s="30" t="n">
        <v>-1</v>
      </c>
      <c r="CO66" s="30" t="b">
        <v>1</v>
      </c>
      <c r="CP66" s="30" t="n">
        <v>0.012048</v>
      </c>
      <c r="CQ66" s="30" t="b">
        <v>1</v>
      </c>
      <c r="CR66" s="30" t="b">
        <v>1</v>
      </c>
      <c r="CS66" s="30" t="inlineStr">
        <is>
          <t>Both</t>
        </is>
      </c>
      <c r="CT66" s="76" t="inlineStr"/>
      <c r="CU66" s="30" t="n">
        <v>64</v>
      </c>
      <c r="CV66" s="34">
        <f>IFERROR(INDEX(OFFSET('Technical Diagnostics'!$A$1,2,MATCH("SEO Health Score",'Technical Diagnostics'!$2:$2,0)-1,99998,1),MATCH(B66,OFFSET('Technical Diagnostics'!$A$1,2,MATCH("URL",'Technical Diagnostics'!$2:$2,0)-1,99998,1),0)),"")</f>
        <v/>
      </c>
      <c r="CW66" s="32" t="n">
        <v>100</v>
      </c>
      <c r="CX66" s="29" t="n">
        <v>70</v>
      </c>
      <c r="CY66" s="32" t="b">
        <v>1</v>
      </c>
      <c r="CZ66" s="30" t="b">
        <v>0</v>
      </c>
      <c r="DA66" s="30" t="inlineStr"/>
      <c r="DB66" s="30" t="inlineStr"/>
      <c r="DC66" s="30" t="inlineStr"/>
      <c r="DD66" s="30" t="n">
        <v>0</v>
      </c>
      <c r="DE66" s="30" t="n">
        <v>0</v>
      </c>
      <c r="DF66" s="30" t="inlineStr"/>
      <c r="DG66" s="30" t="inlineStr"/>
      <c r="DH66" s="30" t="inlineStr"/>
      <c r="DI66" s="30" t="n">
        <v>2</v>
      </c>
      <c r="DJ66" s="30" t="inlineStr"/>
      <c r="DK66" s="30" t="inlineStr"/>
      <c r="DL66" s="30" t="b">
        <v>0</v>
      </c>
      <c r="DM66" s="30" t="inlineStr"/>
      <c r="DN66" s="30" t="inlineStr">
        <is>
          <t>2026-06-01</t>
        </is>
      </c>
      <c r="DO66" s="30" t="inlineStr"/>
      <c r="DP66" s="30" t="inlineStr">
        <is>
          <t>2026-06-01</t>
        </is>
      </c>
      <c r="DQ66" s="30" t="inlineStr"/>
      <c r="DR66" s="30" t="b">
        <v>0</v>
      </c>
      <c r="DS66" s="30" t="b">
        <v>1</v>
      </c>
      <c r="DT66" s="30" t="b">
        <v>1</v>
      </c>
      <c r="DU66" s="30" t="b">
        <v>0</v>
      </c>
      <c r="DV66" s="30" t="n">
        <v>0</v>
      </c>
      <c r="DW66" s="30" t="b">
        <v>0</v>
      </c>
      <c r="DX66" s="30" t="b">
        <v>0</v>
      </c>
      <c r="DY66" s="30" t="b">
        <v>0</v>
      </c>
      <c r="DZ66" s="30" t="b">
        <v>0</v>
      </c>
      <c r="EA66" s="32" t="b">
        <v>0</v>
      </c>
      <c r="EB66" s="30" t="b">
        <v>0</v>
      </c>
      <c r="EC66" s="30" t="inlineStr"/>
      <c r="ED66" s="30" t="inlineStr"/>
      <c r="EE66" s="30" t="b">
        <v>0</v>
      </c>
      <c r="EF66" s="30" t="inlineStr"/>
      <c r="EG66" s="30" t="inlineStr"/>
      <c r="EH66" s="30" t="inlineStr"/>
      <c r="EI66" s="30" t="inlineStr">
        <is>
          <t>2026-06-01</t>
        </is>
      </c>
      <c r="EJ66" s="30" t="inlineStr"/>
      <c r="EK66" s="30" t="inlineStr">
        <is>
          <t>Fresh</t>
        </is>
      </c>
      <c r="EL66" s="30" t="inlineStr">
        <is>
          <t>Smoke title 63</t>
        </is>
      </c>
      <c r="EM66" s="30" t="inlineStr">
        <is>
          <t>Smoke meta description for page 63.</t>
        </is>
      </c>
      <c r="EN66" s="30" t="inlineStr">
        <is>
          <t>article</t>
        </is>
      </c>
      <c r="EO66" s="76" t="inlineStr"/>
      <c r="EP66" s="76" t="inlineStr"/>
      <c r="EQ66" s="30" t="inlineStr"/>
      <c r="ER66" s="30" t="inlineStr"/>
      <c r="ES66" s="30" t="inlineStr"/>
      <c r="ET66" s="30" t="inlineStr"/>
      <c r="EU66" s="75" t="b">
        <v>0</v>
      </c>
      <c r="EV66" s="30" t="inlineStr">
        <is>
          <t>summary_large_image</t>
        </is>
      </c>
      <c r="EW66" s="30" t="inlineStr"/>
      <c r="EX66" s="30" t="inlineStr"/>
      <c r="EY66" s="30" t="inlineStr"/>
      <c r="EZ66" s="30" t="n">
        <v>0</v>
      </c>
      <c r="FA66" s="40" t="b">
        <v>0</v>
      </c>
      <c r="FB66" s="76" t="inlineStr">
        <is>
          <t>https://africanmarketingconfederation.org/smoke-archive/page-63</t>
        </is>
      </c>
      <c r="FC66" s="30" t="inlineStr"/>
      <c r="FD66" s="30" t="n">
        <v>0</v>
      </c>
      <c r="FE66" s="31" t="inlineStr"/>
      <c r="FF66" s="30" t="b">
        <v>0</v>
      </c>
      <c r="FG66" s="30" t="b">
        <v>0</v>
      </c>
      <c r="FH66" s="32" t="b">
        <v>0</v>
      </c>
      <c r="FI66" s="30" t="n">
        <v>0</v>
      </c>
      <c r="FJ66" s="30" t="inlineStr">
        <is>
          <t>https://africanmarketingconfederation.org/smoke-archive/page-63</t>
        </is>
      </c>
      <c r="FK66" s="30" t="inlineStr"/>
      <c r="FL66" s="32" t="b">
        <v>0</v>
      </c>
      <c r="FM66" s="30" t="b">
        <v>0</v>
      </c>
      <c r="FN66" s="32" t="b">
        <v>0</v>
      </c>
      <c r="FO66" s="30" t="inlineStr"/>
      <c r="FP66" s="30" t="inlineStr"/>
      <c r="FQ66" s="30" t="inlineStr"/>
      <c r="FR66" s="30" t="inlineStr"/>
      <c r="FS66" s="30" t="inlineStr"/>
      <c r="FT66" s="30" t="inlineStr"/>
      <c r="FU66" s="30" t="inlineStr">
        <is>
          <t>Not specified</t>
        </is>
      </c>
      <c r="FV66" s="30" t="inlineStr">
        <is>
          <t>Not specified</t>
        </is>
      </c>
      <c r="FW66" s="30" t="inlineStr">
        <is>
          <t>Not specified</t>
        </is>
      </c>
      <c r="FX66" s="30" t="inlineStr">
        <is>
          <t>Not specified</t>
        </is>
      </c>
      <c r="FY66" s="30" t="inlineStr">
        <is>
          <t>Not specified</t>
        </is>
      </c>
      <c r="FZ66" s="30" t="b">
        <v>0</v>
      </c>
      <c r="GA66" s="30" t="n">
        <v>0</v>
      </c>
      <c r="GB66" s="30" t="inlineStr"/>
      <c r="GC66" s="30" t="inlineStr"/>
      <c r="GD66" s="30" t="b">
        <v>0</v>
      </c>
      <c r="GE66" s="30" t="b">
        <v>0</v>
      </c>
      <c r="GF66" s="30" t="b">
        <v>0</v>
      </c>
      <c r="GG66" s="30" t="b">
        <v>0</v>
      </c>
      <c r="GH66" s="30" t="b">
        <v>0</v>
      </c>
      <c r="GI66" s="30" t="b">
        <v>0</v>
      </c>
      <c r="GJ66" s="30" t="n">
        <v>0</v>
      </c>
      <c r="GK66" s="30" t="n">
        <v>0</v>
      </c>
      <c r="GL66" s="30" t="n">
        <v>0</v>
      </c>
      <c r="GM66" s="76" t="inlineStr"/>
      <c r="GN66" s="76" t="inlineStr"/>
      <c r="GO66" s="32" t="b">
        <v>0</v>
      </c>
      <c r="GP66" s="30" t="inlineStr"/>
      <c r="GQ66" s="76" t="inlineStr"/>
      <c r="GR66" s="30" t="inlineStr">
        <is>
          <t>Not Declared</t>
        </is>
      </c>
      <c r="GS66" s="30" t="b">
        <v>1</v>
      </c>
      <c r="GT66" s="30" t="n">
        <v>86.59999999999999</v>
      </c>
      <c r="GU66" s="30" t="inlineStr">
        <is>
          <t>Orphan</t>
        </is>
      </c>
      <c r="GV66" s="30" t="n">
        <v>0</v>
      </c>
      <c r="GW66" s="34" t="n">
        <v>0</v>
      </c>
      <c r="GX66" s="30" t="b">
        <v>0</v>
      </c>
      <c r="GY66" s="30" t="inlineStr">
        <is>
          <t>None</t>
        </is>
      </c>
      <c r="GZ66" s="30" t="n">
        <v>0</v>
      </c>
      <c r="HA66" s="30" t="b">
        <v>0</v>
      </c>
      <c r="HB66" s="30" t="inlineStr">
        <is>
          <t>smoke, body, copy, intent, classification</t>
        </is>
      </c>
      <c r="HC66" s="30" t="b">
        <v>0</v>
      </c>
      <c r="HD66" s="30" t="b">
        <v>0</v>
      </c>
      <c r="HE66" s="30" t="b">
        <v>0</v>
      </c>
      <c r="HF66" s="34" t="n">
        <v>0</v>
      </c>
      <c r="HG66" s="30" t="b">
        <v>0</v>
      </c>
      <c r="HH66" s="30" t="b">
        <v>0</v>
      </c>
      <c r="HI66" s="38">
        <f>IFERROR(HYPERLINK("#'Technical Diagnostics'!A"&amp;MATCH(B66,'Technical Diagnostics'!A:A,0),"Open Technical"),HYPERLINK("#'Technical Diagnostics'!A1","Open Technical"))</f>
        <v/>
      </c>
    </row>
    <row r="67" ht="18" customHeight="1">
      <c r="A67" s="28" t="inlineStr">
        <is>
          <t>WARN 🟡</t>
        </is>
      </c>
      <c r="B67" s="35" t="inlineStr">
        <is>
          <t>https://africanmarketingconfederation.org/smoke-archive/page-64</t>
        </is>
      </c>
      <c r="C67" s="28" t="inlineStr"/>
      <c r="D67" s="28" t="inlineStr">
        <is>
          <t>Indexable</t>
        </is>
      </c>
      <c r="E67" s="28" t="inlineStr"/>
      <c r="F67" s="28" t="inlineStr">
        <is>
          <t>Smoke title 64</t>
        </is>
      </c>
      <c r="G67" s="28" t="inlineStr">
        <is>
          <t>Smoke meta description for page 64.</t>
        </is>
      </c>
      <c r="H67" s="28" t="n">
        <v>334</v>
      </c>
      <c r="I67" s="28" t="n">
        <v>80</v>
      </c>
      <c r="J67" s="28" t="inlineStr">
        <is>
          <t>Warning</t>
        </is>
      </c>
      <c r="K67" s="28" t="inlineStr">
        <is>
          <t>Yes</t>
        </is>
      </c>
      <c r="L67" s="28" t="inlineStr"/>
      <c r="M67" s="28" t="inlineStr"/>
      <c r="N67" s="28" t="inlineStr">
        <is>
          <t>Lab only</t>
        </is>
      </c>
      <c r="O67" s="28" t="inlineStr">
        <is>
          <t>None</t>
        </is>
      </c>
      <c r="P67" s="28" t="inlineStr">
        <is>
          <t>PSI Lab</t>
        </is>
      </c>
      <c r="Q67" s="28" t="inlineStr">
        <is>
          <t>None</t>
        </is>
      </c>
      <c r="R67" s="28" t="inlineStr"/>
      <c r="S67" s="28" t="inlineStr"/>
      <c r="T67" s="28" t="inlineStr"/>
      <c r="U67" s="28" t="inlineStr"/>
      <c r="V67" s="28" t="inlineStr"/>
      <c r="W67" s="28" t="inlineStr"/>
      <c r="X67" s="28" t="inlineStr"/>
      <c r="Y67" s="28" t="inlineStr"/>
      <c r="Z67" s="28" t="inlineStr"/>
      <c r="AA67" s="28" t="n">
        <v>88</v>
      </c>
      <c r="AB67" s="28" t="n">
        <v>88</v>
      </c>
      <c r="AC67" s="28" t="n">
        <v>88</v>
      </c>
      <c r="AD67" s="28" t="n">
        <v>85</v>
      </c>
      <c r="AE67" s="28" t="n">
        <v>82</v>
      </c>
      <c r="AF67" s="28" t="n">
        <v>92</v>
      </c>
      <c r="AG67" s="28" t="n">
        <v>2.4</v>
      </c>
      <c r="AH67" s="28" t="n">
        <v>0.04</v>
      </c>
      <c r="AI67" s="28" t="n">
        <v>0.4</v>
      </c>
      <c r="AJ67" s="28" t="n">
        <v>2.4</v>
      </c>
      <c r="AK67" s="28" t="n">
        <v>0.04</v>
      </c>
      <c r="AL67" s="28" t="n">
        <v>180</v>
      </c>
      <c r="AM67" s="28" t="n">
        <v>120</v>
      </c>
      <c r="AN67" s="28" t="n">
        <v>1.8</v>
      </c>
      <c r="AO67" s="28" t="n">
        <v>3.2</v>
      </c>
      <c r="AP67" s="28" t="n">
        <v>4.1</v>
      </c>
      <c r="AQ67" s="28" t="n">
        <v>400</v>
      </c>
      <c r="AR67" s="28" t="n">
        <v>88</v>
      </c>
      <c r="AS67" s="28" t="n">
        <v>85</v>
      </c>
      <c r="AT67" s="28" t="n">
        <v>82</v>
      </c>
      <c r="AU67" s="28" t="n">
        <v>92</v>
      </c>
      <c r="AV67" s="28" t="n">
        <v>2.4</v>
      </c>
      <c r="AW67" s="28" t="n">
        <v>0.04</v>
      </c>
      <c r="AX67" s="28" t="n">
        <v>180</v>
      </c>
      <c r="AY67" s="28" t="n">
        <v>120</v>
      </c>
      <c r="AZ67" s="28" t="n">
        <v>1.8</v>
      </c>
      <c r="BA67" s="28" t="n">
        <v>3.2</v>
      </c>
      <c r="BB67" s="28" t="n">
        <v>4.1</v>
      </c>
      <c r="BC67" s="28" t="n">
        <v>400</v>
      </c>
      <c r="BD67" s="28" t="n">
        <v>500</v>
      </c>
      <c r="BE67" s="28" t="n">
        <v>842</v>
      </c>
      <c r="BF67" s="28" t="n">
        <v>1250</v>
      </c>
      <c r="BG67" s="28" t="n">
        <v>1</v>
      </c>
      <c r="BH67" s="28" t="b">
        <v>1</v>
      </c>
      <c r="BI67" s="34" t="b">
        <v>1</v>
      </c>
      <c r="BJ67" s="28" t="b">
        <v>1</v>
      </c>
      <c r="BK67" s="28" t="b">
        <v>1</v>
      </c>
      <c r="BL67" s="28" t="b">
        <v>0</v>
      </c>
      <c r="BM67" s="28" t="n">
        <v>65</v>
      </c>
      <c r="BN67" s="28" t="inlineStr">
        <is>
          <t>complete</t>
        </is>
      </c>
      <c r="BO67" s="28" t="inlineStr">
        <is>
          <t>rendered_browser</t>
        </is>
      </c>
      <c r="BP67" s="28" t="b">
        <v>0</v>
      </c>
      <c r="BQ67" s="28" t="n">
        <v>0</v>
      </c>
      <c r="BR67" s="28" t="n">
        <v>0</v>
      </c>
      <c r="BS67" s="28" t="inlineStr">
        <is>
          <t>https://africanmarketingconfederation.org/og-64.jpg</t>
        </is>
      </c>
      <c r="BT67" s="28" t="b">
        <v>0</v>
      </c>
      <c r="BU67" s="28" t="inlineStr"/>
      <c r="BV67" s="28" t="inlineStr"/>
      <c r="BW67" s="28" t="n">
        <v>0</v>
      </c>
      <c r="BX67" s="28" t="inlineStr"/>
      <c r="BY67" s="28" t="n">
        <v>0</v>
      </c>
      <c r="BZ67" s="28" t="inlineStr"/>
      <c r="CA67" s="28" t="n">
        <v>0</v>
      </c>
      <c r="CB67" s="28" t="inlineStr"/>
      <c r="CC67" s="28" t="n">
        <v>0</v>
      </c>
      <c r="CD67" s="28" t="inlineStr"/>
      <c r="CE67" s="28" t="n">
        <v>0</v>
      </c>
      <c r="CF67" s="28" t="inlineStr"/>
      <c r="CG67" s="28" t="n">
        <v>0</v>
      </c>
      <c r="CH67" s="28" t="inlineStr"/>
      <c r="CI67" s="28" t="inlineStr"/>
      <c r="CJ67" s="28" t="inlineStr"/>
      <c r="CK67" s="28" t="inlineStr"/>
      <c r="CL67" s="28" t="inlineStr">
        <is>
          <t>2026-06-01 to 2026-06-30 (30-day window; excludes today; typical GSC lag ~48h)</t>
        </is>
      </c>
      <c r="CM67" s="28" t="inlineStr">
        <is>
          <t>No Search Analytics row matched this URL in the 30-day export (compare Final URL with the page URL shown in GSC)</t>
        </is>
      </c>
      <c r="CN67" s="28" t="n">
        <v>-1</v>
      </c>
      <c r="CO67" s="28" t="b">
        <v>1</v>
      </c>
      <c r="CP67" s="28" t="n">
        <v>0.012048</v>
      </c>
      <c r="CQ67" s="28" t="b">
        <v>1</v>
      </c>
      <c r="CR67" s="28" t="b">
        <v>1</v>
      </c>
      <c r="CS67" s="28" t="inlineStr">
        <is>
          <t>Both</t>
        </is>
      </c>
      <c r="CT67" s="74" t="inlineStr"/>
      <c r="CU67" s="28" t="n">
        <v>65</v>
      </c>
      <c r="CV67" s="29">
        <f>IFERROR(INDEX(OFFSET('Technical Diagnostics'!$A$1,2,MATCH("SEO Health Score",'Technical Diagnostics'!$2:$2,0)-1,99998,1),MATCH(B67,OFFSET('Technical Diagnostics'!$A$1,2,MATCH("URL",'Technical Diagnostics'!$2:$2,0)-1,99998,1),0)),"")</f>
        <v/>
      </c>
      <c r="CW67" s="32" t="n">
        <v>100</v>
      </c>
      <c r="CX67" s="29" t="n">
        <v>85</v>
      </c>
      <c r="CY67" s="32" t="b">
        <v>1</v>
      </c>
      <c r="CZ67" s="28" t="b">
        <v>0</v>
      </c>
      <c r="DA67" s="28" t="inlineStr"/>
      <c r="DB67" s="28" t="inlineStr"/>
      <c r="DC67" s="28" t="inlineStr"/>
      <c r="DD67" s="28" t="n">
        <v>0</v>
      </c>
      <c r="DE67" s="28" t="n">
        <v>0</v>
      </c>
      <c r="DF67" s="28" t="inlineStr"/>
      <c r="DG67" s="28" t="inlineStr"/>
      <c r="DH67" s="28" t="inlineStr"/>
      <c r="DI67" s="28" t="n">
        <v>6</v>
      </c>
      <c r="DJ67" s="28" t="inlineStr">
        <is>
          <t>Author 64</t>
        </is>
      </c>
      <c r="DK67" s="28" t="inlineStr"/>
      <c r="DL67" s="28" t="b">
        <v>1</v>
      </c>
      <c r="DM67" s="28" t="inlineStr"/>
      <c r="DN67" s="28" t="inlineStr">
        <is>
          <t>2026-06-01</t>
        </is>
      </c>
      <c r="DO67" s="28" t="inlineStr"/>
      <c r="DP67" s="28" t="inlineStr">
        <is>
          <t>2026-06-01</t>
        </is>
      </c>
      <c r="DQ67" s="28" t="inlineStr"/>
      <c r="DR67" s="28" t="b">
        <v>0</v>
      </c>
      <c r="DS67" s="28" t="b">
        <v>1</v>
      </c>
      <c r="DT67" s="28" t="b">
        <v>1</v>
      </c>
      <c r="DU67" s="28" t="b">
        <v>0</v>
      </c>
      <c r="DV67" s="28" t="n">
        <v>0</v>
      </c>
      <c r="DW67" s="28" t="b">
        <v>0</v>
      </c>
      <c r="DX67" s="28" t="b">
        <v>0</v>
      </c>
      <c r="DY67" s="28" t="b">
        <v>0</v>
      </c>
      <c r="DZ67" s="28" t="b">
        <v>0</v>
      </c>
      <c r="EA67" s="32" t="b">
        <v>0</v>
      </c>
      <c r="EB67" s="28" t="b">
        <v>0</v>
      </c>
      <c r="EC67" s="28" t="inlineStr"/>
      <c r="ED67" s="28" t="inlineStr"/>
      <c r="EE67" s="28" t="b">
        <v>0</v>
      </c>
      <c r="EF67" s="28" t="inlineStr"/>
      <c r="EG67" s="28" t="inlineStr"/>
      <c r="EH67" s="28" t="inlineStr"/>
      <c r="EI67" s="28" t="inlineStr"/>
      <c r="EJ67" s="28" t="inlineStr"/>
      <c r="EK67" s="28" t="inlineStr">
        <is>
          <t>Fresh</t>
        </is>
      </c>
      <c r="EL67" s="28" t="inlineStr"/>
      <c r="EM67" s="28" t="inlineStr">
        <is>
          <t>Smoke meta description for page 64.</t>
        </is>
      </c>
      <c r="EN67" s="28" t="inlineStr">
        <is>
          <t>article</t>
        </is>
      </c>
      <c r="EO67" s="74" t="inlineStr"/>
      <c r="EP67" s="74" t="inlineStr">
        <is>
          <t>https://africanmarketingconfederation.org/og-64.jpg</t>
        </is>
      </c>
      <c r="EQ67" s="28" t="inlineStr"/>
      <c r="ER67" s="28" t="inlineStr"/>
      <c r="ES67" s="28" t="inlineStr"/>
      <c r="ET67" s="28" t="inlineStr"/>
      <c r="EU67" s="75" t="b">
        <v>0</v>
      </c>
      <c r="EV67" s="28" t="inlineStr">
        <is>
          <t>summary_large_image</t>
        </is>
      </c>
      <c r="EW67" s="28" t="inlineStr"/>
      <c r="EX67" s="28" t="inlineStr"/>
      <c r="EY67" s="28" t="inlineStr"/>
      <c r="EZ67" s="28" t="n">
        <v>0</v>
      </c>
      <c r="FA67" s="40" t="b">
        <v>0</v>
      </c>
      <c r="FB67" s="74" t="inlineStr">
        <is>
          <t>https://africanmarketingconfederation.org/smoke-archive/page-64</t>
        </is>
      </c>
      <c r="FC67" s="28" t="inlineStr"/>
      <c r="FD67" s="28" t="n">
        <v>0</v>
      </c>
      <c r="FE67" s="20" t="inlineStr"/>
      <c r="FF67" s="28" t="b">
        <v>0</v>
      </c>
      <c r="FG67" s="28" t="b">
        <v>0</v>
      </c>
      <c r="FH67" s="32" t="b">
        <v>0</v>
      </c>
      <c r="FI67" s="28" t="n">
        <v>0</v>
      </c>
      <c r="FJ67" s="28" t="inlineStr">
        <is>
          <t>https://africanmarketingconfederation.org/smoke-archive/page-64</t>
        </is>
      </c>
      <c r="FK67" s="28" t="inlineStr"/>
      <c r="FL67" s="32" t="b">
        <v>0</v>
      </c>
      <c r="FM67" s="28" t="b">
        <v>0</v>
      </c>
      <c r="FN67" s="32" t="b">
        <v>0</v>
      </c>
      <c r="FO67" s="28" t="inlineStr"/>
      <c r="FP67" s="28" t="inlineStr"/>
      <c r="FQ67" s="28" t="inlineStr"/>
      <c r="FR67" s="28" t="inlineStr"/>
      <c r="FS67" s="28" t="inlineStr"/>
      <c r="FT67" s="28" t="inlineStr"/>
      <c r="FU67" s="28" t="inlineStr">
        <is>
          <t>Not specified</t>
        </is>
      </c>
      <c r="FV67" s="28" t="inlineStr">
        <is>
          <t>Not specified</t>
        </is>
      </c>
      <c r="FW67" s="28" t="inlineStr">
        <is>
          <t>Not specified</t>
        </is>
      </c>
      <c r="FX67" s="28" t="inlineStr">
        <is>
          <t>Not specified</t>
        </is>
      </c>
      <c r="FY67" s="28" t="inlineStr">
        <is>
          <t>Not specified</t>
        </is>
      </c>
      <c r="FZ67" s="28" t="b">
        <v>0</v>
      </c>
      <c r="GA67" s="28" t="n">
        <v>0</v>
      </c>
      <c r="GB67" s="28" t="inlineStr"/>
      <c r="GC67" s="28" t="inlineStr"/>
      <c r="GD67" s="28" t="b">
        <v>0</v>
      </c>
      <c r="GE67" s="28" t="b">
        <v>0</v>
      </c>
      <c r="GF67" s="28" t="b">
        <v>0</v>
      </c>
      <c r="GG67" s="28" t="b">
        <v>0</v>
      </c>
      <c r="GH67" s="28" t="b">
        <v>0</v>
      </c>
      <c r="GI67" s="28" t="b">
        <v>0</v>
      </c>
      <c r="GJ67" s="28" t="n">
        <v>0</v>
      </c>
      <c r="GK67" s="28" t="n">
        <v>0</v>
      </c>
      <c r="GL67" s="28" t="n">
        <v>0</v>
      </c>
      <c r="GM67" s="74" t="inlineStr"/>
      <c r="GN67" s="74" t="inlineStr"/>
      <c r="GO67" s="32" t="b">
        <v>0</v>
      </c>
      <c r="GP67" s="28" t="inlineStr"/>
      <c r="GQ67" s="74" t="inlineStr"/>
      <c r="GR67" s="28" t="inlineStr">
        <is>
          <t>Not Declared</t>
        </is>
      </c>
      <c r="GS67" s="28" t="b">
        <v>1</v>
      </c>
      <c r="GT67" s="28" t="n">
        <v>41.5</v>
      </c>
      <c r="GU67" s="28" t="inlineStr">
        <is>
          <t>Orphan</t>
        </is>
      </c>
      <c r="GV67" s="28" t="n">
        <v>0</v>
      </c>
      <c r="GW67" s="34" t="n">
        <v>0</v>
      </c>
      <c r="GX67" s="28" t="b">
        <v>0</v>
      </c>
      <c r="GY67" s="28" t="inlineStr">
        <is>
          <t>FAQ</t>
        </is>
      </c>
      <c r="GZ67" s="28" t="n">
        <v>9</v>
      </c>
      <c r="HA67" s="28" t="b">
        <v>0</v>
      </c>
      <c r="HB67" s="28" t="inlineStr">
        <is>
          <t>smoke, body, copy, intent, classification</t>
        </is>
      </c>
      <c r="HC67" s="28" t="b">
        <v>0</v>
      </c>
      <c r="HD67" s="28" t="b">
        <v>0</v>
      </c>
      <c r="HE67" s="28" t="b">
        <v>0</v>
      </c>
      <c r="HF67" s="34" t="n">
        <v>0</v>
      </c>
      <c r="HG67" s="28" t="b">
        <v>0</v>
      </c>
      <c r="HH67" s="28" t="b">
        <v>0</v>
      </c>
      <c r="HI67">
        <f>IFERROR(HYPERLINK("#'Technical Diagnostics'!A"&amp;MATCH(B67,'Technical Diagnostics'!A:A,0),"Open Technical"),HYPERLINK("#'Technical Diagnostics'!A1","Open Technical"))</f>
        <v/>
      </c>
    </row>
    <row r="68" ht="18" customHeight="1">
      <c r="A68" s="30" t="inlineStr">
        <is>
          <t>FAIL 🔴</t>
        </is>
      </c>
      <c r="B68" s="37" t="inlineStr">
        <is>
          <t>https://africanmarketingconfederation.org/smoke-archive/page-65</t>
        </is>
      </c>
      <c r="C68" s="30" t="inlineStr"/>
      <c r="D68" s="30" t="inlineStr">
        <is>
          <t>Non-Indexable</t>
        </is>
      </c>
      <c r="E68" s="30" t="inlineStr"/>
      <c r="F68" s="30" t="inlineStr">
        <is>
          <t>Smoke title 65</t>
        </is>
      </c>
      <c r="G68" s="30" t="inlineStr"/>
      <c r="H68" s="30" t="n">
        <v>335</v>
      </c>
      <c r="I68" s="30" t="n">
        <v>0</v>
      </c>
      <c r="J68" s="30" t="inlineStr">
        <is>
          <t>Critical</t>
        </is>
      </c>
      <c r="K68" s="30" t="inlineStr">
        <is>
          <t>Yes</t>
        </is>
      </c>
      <c r="L68" s="30" t="inlineStr"/>
      <c r="M68" s="30" t="inlineStr"/>
      <c r="N68" s="30" t="inlineStr">
        <is>
          <t>Lab only</t>
        </is>
      </c>
      <c r="O68" s="30" t="inlineStr">
        <is>
          <t>None</t>
        </is>
      </c>
      <c r="P68" s="30" t="inlineStr">
        <is>
          <t>PSI Lab</t>
        </is>
      </c>
      <c r="Q68" s="30" t="inlineStr">
        <is>
          <t>None</t>
        </is>
      </c>
      <c r="R68" s="30" t="inlineStr"/>
      <c r="S68" s="30" t="inlineStr"/>
      <c r="T68" s="30" t="inlineStr"/>
      <c r="U68" s="30" t="inlineStr"/>
      <c r="V68" s="30" t="inlineStr"/>
      <c r="W68" s="30" t="inlineStr"/>
      <c r="X68" s="30" t="inlineStr"/>
      <c r="Y68" s="30" t="inlineStr"/>
      <c r="Z68" s="30" t="inlineStr"/>
      <c r="AA68" s="30" t="n">
        <v>88</v>
      </c>
      <c r="AB68" s="30" t="n">
        <v>88</v>
      </c>
      <c r="AC68" s="30" t="n">
        <v>88</v>
      </c>
      <c r="AD68" s="30" t="n">
        <v>85</v>
      </c>
      <c r="AE68" s="30" t="n">
        <v>82</v>
      </c>
      <c r="AF68" s="30" t="n">
        <v>92</v>
      </c>
      <c r="AG68" s="30" t="n">
        <v>2.4</v>
      </c>
      <c r="AH68" s="30" t="n">
        <v>0.04</v>
      </c>
      <c r="AI68" s="30" t="n">
        <v>0.4</v>
      </c>
      <c r="AJ68" s="30" t="n">
        <v>2.4</v>
      </c>
      <c r="AK68" s="30" t="n">
        <v>0.04</v>
      </c>
      <c r="AL68" s="30" t="n">
        <v>180</v>
      </c>
      <c r="AM68" s="30" t="n">
        <v>120</v>
      </c>
      <c r="AN68" s="30" t="n">
        <v>1.8</v>
      </c>
      <c r="AO68" s="30" t="n">
        <v>3.2</v>
      </c>
      <c r="AP68" s="30" t="n">
        <v>4.1</v>
      </c>
      <c r="AQ68" s="30" t="n">
        <v>400</v>
      </c>
      <c r="AR68" s="30" t="n">
        <v>88</v>
      </c>
      <c r="AS68" s="30" t="n">
        <v>85</v>
      </c>
      <c r="AT68" s="30" t="n">
        <v>82</v>
      </c>
      <c r="AU68" s="30" t="n">
        <v>92</v>
      </c>
      <c r="AV68" s="30" t="n">
        <v>2.4</v>
      </c>
      <c r="AW68" s="30" t="n">
        <v>0.04</v>
      </c>
      <c r="AX68" s="30" t="n">
        <v>180</v>
      </c>
      <c r="AY68" s="30" t="n">
        <v>120</v>
      </c>
      <c r="AZ68" s="30" t="n">
        <v>1.8</v>
      </c>
      <c r="BA68" s="30" t="n">
        <v>3.2</v>
      </c>
      <c r="BB68" s="30" t="n">
        <v>4.1</v>
      </c>
      <c r="BC68" s="30" t="n">
        <v>400</v>
      </c>
      <c r="BD68" s="30" t="n">
        <v>500</v>
      </c>
      <c r="BE68" s="30" t="n">
        <v>842</v>
      </c>
      <c r="BF68" s="30" t="n">
        <v>1250</v>
      </c>
      <c r="BG68" s="30" t="n">
        <v>1</v>
      </c>
      <c r="BH68" s="30" t="b">
        <v>1</v>
      </c>
      <c r="BI68" s="34" t="b">
        <v>1</v>
      </c>
      <c r="BJ68" s="30" t="b">
        <v>1</v>
      </c>
      <c r="BK68" s="30" t="b">
        <v>1</v>
      </c>
      <c r="BL68" s="30" t="b">
        <v>0</v>
      </c>
      <c r="BM68" s="30" t="n">
        <v>65</v>
      </c>
      <c r="BN68" s="30" t="inlineStr">
        <is>
          <t>complete</t>
        </is>
      </c>
      <c r="BO68" s="30" t="inlineStr">
        <is>
          <t>rendered_browser</t>
        </is>
      </c>
      <c r="BP68" s="30" t="b">
        <v>0</v>
      </c>
      <c r="BQ68" s="30" t="n">
        <v>0</v>
      </c>
      <c r="BR68" s="30" t="n">
        <v>0</v>
      </c>
      <c r="BS68" s="30" t="inlineStr"/>
      <c r="BT68" s="30" t="b">
        <v>0</v>
      </c>
      <c r="BU68" s="30" t="inlineStr"/>
      <c r="BV68" s="30" t="inlineStr"/>
      <c r="BW68" s="30" t="n">
        <v>0</v>
      </c>
      <c r="BX68" s="30" t="inlineStr"/>
      <c r="BY68" s="30" t="n">
        <v>0</v>
      </c>
      <c r="BZ68" s="30" t="inlineStr"/>
      <c r="CA68" s="30" t="n">
        <v>0</v>
      </c>
      <c r="CB68" s="30" t="inlineStr"/>
      <c r="CC68" s="30" t="n">
        <v>0</v>
      </c>
      <c r="CD68" s="30" t="inlineStr"/>
      <c r="CE68" s="30" t="n">
        <v>0</v>
      </c>
      <c r="CF68" s="30" t="inlineStr"/>
      <c r="CG68" s="30" t="n">
        <v>0</v>
      </c>
      <c r="CH68" s="30" t="inlineStr"/>
      <c r="CI68" s="30" t="inlineStr"/>
      <c r="CJ68" s="30" t="inlineStr"/>
      <c r="CK68" s="30" t="inlineStr"/>
      <c r="CL68" s="30" t="inlineStr">
        <is>
          <t>2026-06-01 to 2026-06-30 (30-day window; excludes today; typical GSC lag ~48h)</t>
        </is>
      </c>
      <c r="CM68" s="30" t="inlineStr">
        <is>
          <t>No Search Analytics row matched this URL in the 30-day export (compare Final URL with the page URL shown in GSC)</t>
        </is>
      </c>
      <c r="CN68" s="30" t="n">
        <v>-1</v>
      </c>
      <c r="CO68" s="30" t="b">
        <v>1</v>
      </c>
      <c r="CP68" s="30" t="n">
        <v>0.012048</v>
      </c>
      <c r="CQ68" s="30" t="b">
        <v>1</v>
      </c>
      <c r="CR68" s="30" t="b">
        <v>1</v>
      </c>
      <c r="CS68" s="30" t="inlineStr">
        <is>
          <t>Both</t>
        </is>
      </c>
      <c r="CT68" s="76" t="inlineStr"/>
      <c r="CU68" s="30" t="n">
        <v>66</v>
      </c>
      <c r="CV68" s="34">
        <f>IFERROR(INDEX(OFFSET('Technical Diagnostics'!$A$1,2,MATCH("SEO Health Score",'Technical Diagnostics'!$2:$2,0)-1,99998,1),MATCH(B68,OFFSET('Technical Diagnostics'!$A$1,2,MATCH("URL",'Technical Diagnostics'!$2:$2,0)-1,99998,1),0)),"")</f>
        <v/>
      </c>
      <c r="CW68" s="29" t="n">
        <v>80</v>
      </c>
      <c r="CX68" s="34" t="n">
        <v>5</v>
      </c>
      <c r="CY68" s="32" t="b">
        <v>1</v>
      </c>
      <c r="CZ68" s="30" t="b">
        <v>0</v>
      </c>
      <c r="DA68" s="30" t="inlineStr"/>
      <c r="DB68" s="30" t="inlineStr"/>
      <c r="DC68" s="30" t="inlineStr"/>
      <c r="DD68" s="30" t="n">
        <v>0</v>
      </c>
      <c r="DE68" s="30" t="n">
        <v>0</v>
      </c>
      <c r="DF68" s="30" t="inlineStr"/>
      <c r="DG68" s="30" t="inlineStr"/>
      <c r="DH68" s="30" t="inlineStr"/>
      <c r="DI68" s="30" t="n">
        <v>6</v>
      </c>
      <c r="DJ68" s="30" t="inlineStr">
        <is>
          <t>Author 65</t>
        </is>
      </c>
      <c r="DK68" s="30" t="inlineStr"/>
      <c r="DL68" s="30" t="b">
        <v>1</v>
      </c>
      <c r="DM68" s="30" t="inlineStr"/>
      <c r="DN68" s="30" t="inlineStr">
        <is>
          <t>2026-06-01</t>
        </is>
      </c>
      <c r="DO68" s="30" t="inlineStr"/>
      <c r="DP68" s="30" t="inlineStr">
        <is>
          <t>2026-06-01</t>
        </is>
      </c>
      <c r="DQ68" s="30" t="inlineStr"/>
      <c r="DR68" s="30" t="b">
        <v>0</v>
      </c>
      <c r="DS68" s="30" t="b">
        <v>1</v>
      </c>
      <c r="DT68" s="30" t="b">
        <v>1</v>
      </c>
      <c r="DU68" s="30" t="b">
        <v>0</v>
      </c>
      <c r="DV68" s="30" t="n">
        <v>0</v>
      </c>
      <c r="DW68" s="30" t="b">
        <v>0</v>
      </c>
      <c r="DX68" s="30" t="b">
        <v>0</v>
      </c>
      <c r="DY68" s="30" t="b">
        <v>0</v>
      </c>
      <c r="DZ68" s="30" t="b">
        <v>0</v>
      </c>
      <c r="EA68" s="32" t="b">
        <v>0</v>
      </c>
      <c r="EB68" s="30" t="b">
        <v>0</v>
      </c>
      <c r="EC68" s="30" t="inlineStr"/>
      <c r="ED68" s="30" t="inlineStr"/>
      <c r="EE68" s="30" t="b">
        <v>0</v>
      </c>
      <c r="EF68" s="30" t="inlineStr"/>
      <c r="EG68" s="30" t="inlineStr"/>
      <c r="EH68" s="30" t="inlineStr"/>
      <c r="EI68" s="30" t="inlineStr"/>
      <c r="EJ68" s="30" t="inlineStr"/>
      <c r="EK68" s="30" t="inlineStr">
        <is>
          <t>Fresh</t>
        </is>
      </c>
      <c r="EL68" s="30" t="inlineStr">
        <is>
          <t>Smoke title 65</t>
        </is>
      </c>
      <c r="EM68" s="30" t="inlineStr"/>
      <c r="EN68" s="30" t="inlineStr">
        <is>
          <t>article</t>
        </is>
      </c>
      <c r="EO68" s="76" t="inlineStr"/>
      <c r="EP68" s="76" t="inlineStr"/>
      <c r="EQ68" s="30" t="inlineStr"/>
      <c r="ER68" s="30" t="inlineStr"/>
      <c r="ES68" s="30" t="inlineStr"/>
      <c r="ET68" s="30" t="inlineStr"/>
      <c r="EU68" s="75" t="b">
        <v>0</v>
      </c>
      <c r="EV68" s="30" t="inlineStr">
        <is>
          <t>summary_large_image</t>
        </is>
      </c>
      <c r="EW68" s="30" t="inlineStr"/>
      <c r="EX68" s="30" t="inlineStr"/>
      <c r="EY68" s="30" t="inlineStr"/>
      <c r="EZ68" s="30" t="n">
        <v>0</v>
      </c>
      <c r="FA68" s="40" t="b">
        <v>0</v>
      </c>
      <c r="FB68" s="76" t="inlineStr">
        <is>
          <t>https://africanmarketingconfederation.org/smoke-archive/page-65</t>
        </is>
      </c>
      <c r="FC68" s="30" t="inlineStr"/>
      <c r="FD68" s="30" t="n">
        <v>0</v>
      </c>
      <c r="FE68" s="31" t="inlineStr"/>
      <c r="FF68" s="30" t="b">
        <v>0</v>
      </c>
      <c r="FG68" s="30" t="b">
        <v>0</v>
      </c>
      <c r="FH68" s="32" t="b">
        <v>0</v>
      </c>
      <c r="FI68" s="30" t="n">
        <v>0</v>
      </c>
      <c r="FJ68" s="30" t="inlineStr">
        <is>
          <t>https://africanmarketingconfederation.org/smoke-archive/page-65</t>
        </is>
      </c>
      <c r="FK68" s="30" t="inlineStr"/>
      <c r="FL68" s="32" t="b">
        <v>0</v>
      </c>
      <c r="FM68" s="30" t="b">
        <v>0</v>
      </c>
      <c r="FN68" s="32" t="b">
        <v>0</v>
      </c>
      <c r="FO68" s="30" t="inlineStr"/>
      <c r="FP68" s="30" t="inlineStr"/>
      <c r="FQ68" s="30" t="inlineStr"/>
      <c r="FR68" s="30" t="inlineStr"/>
      <c r="FS68" s="30" t="inlineStr"/>
      <c r="FT68" s="30" t="inlineStr"/>
      <c r="FU68" s="30" t="inlineStr">
        <is>
          <t>Not specified</t>
        </is>
      </c>
      <c r="FV68" s="30" t="inlineStr">
        <is>
          <t>Not specified</t>
        </is>
      </c>
      <c r="FW68" s="30" t="inlineStr">
        <is>
          <t>Not specified</t>
        </is>
      </c>
      <c r="FX68" s="30" t="inlineStr">
        <is>
          <t>Not specified</t>
        </is>
      </c>
      <c r="FY68" s="30" t="inlineStr">
        <is>
          <t>Not specified</t>
        </is>
      </c>
      <c r="FZ68" s="30" t="b">
        <v>0</v>
      </c>
      <c r="GA68" s="30" t="n">
        <v>0</v>
      </c>
      <c r="GB68" s="30" t="inlineStr"/>
      <c r="GC68" s="30" t="inlineStr"/>
      <c r="GD68" s="30" t="b">
        <v>0</v>
      </c>
      <c r="GE68" s="30" t="b">
        <v>0</v>
      </c>
      <c r="GF68" s="30" t="b">
        <v>0</v>
      </c>
      <c r="GG68" s="30" t="b">
        <v>0</v>
      </c>
      <c r="GH68" s="30" t="b">
        <v>0</v>
      </c>
      <c r="GI68" s="30" t="b">
        <v>0</v>
      </c>
      <c r="GJ68" s="30" t="n">
        <v>0</v>
      </c>
      <c r="GK68" s="30" t="n">
        <v>0</v>
      </c>
      <c r="GL68" s="30" t="n">
        <v>0</v>
      </c>
      <c r="GM68" s="76" t="inlineStr"/>
      <c r="GN68" s="76" t="inlineStr"/>
      <c r="GO68" s="32" t="b">
        <v>0</v>
      </c>
      <c r="GP68" s="30" t="inlineStr"/>
      <c r="GQ68" s="76" t="inlineStr"/>
      <c r="GR68" s="30" t="inlineStr">
        <is>
          <t>Not Declared</t>
        </is>
      </c>
      <c r="GS68" s="30" t="b">
        <v>1</v>
      </c>
      <c r="GT68" s="30" t="n">
        <v>72</v>
      </c>
      <c r="GU68" s="30" t="inlineStr">
        <is>
          <t>Orphan</t>
        </is>
      </c>
      <c r="GV68" s="30" t="n">
        <v>0</v>
      </c>
      <c r="GW68" s="34" t="n">
        <v>0</v>
      </c>
      <c r="GX68" s="30" t="b">
        <v>0</v>
      </c>
      <c r="GY68" s="30" t="inlineStr">
        <is>
          <t>FAQ</t>
        </is>
      </c>
      <c r="GZ68" s="30" t="n">
        <v>9</v>
      </c>
      <c r="HA68" s="30" t="b">
        <v>0</v>
      </c>
      <c r="HB68" s="30" t="inlineStr">
        <is>
          <t>smoke, body, copy, intent, classification</t>
        </is>
      </c>
      <c r="HC68" s="30" t="b">
        <v>0</v>
      </c>
      <c r="HD68" s="30" t="b">
        <v>0</v>
      </c>
      <c r="HE68" s="30" t="b">
        <v>0</v>
      </c>
      <c r="HF68" s="34" t="n">
        <v>0</v>
      </c>
      <c r="HG68" s="30" t="b">
        <v>0</v>
      </c>
      <c r="HH68" s="30" t="b">
        <v>0</v>
      </c>
      <c r="HI68" s="38">
        <f>IFERROR(HYPERLINK("#'Technical Diagnostics'!A"&amp;MATCH(B68,'Technical Diagnostics'!A:A,0),"Open Technical"),HYPERLINK("#'Technical Diagnostics'!A1","Open Technical"))</f>
        <v/>
      </c>
    </row>
    <row r="69" ht="18" customHeight="1">
      <c r="A69" s="28" t="inlineStr">
        <is>
          <t>WARN 🟡</t>
        </is>
      </c>
      <c r="B69" s="35" t="inlineStr">
        <is>
          <t>https://africanmarketingconfederation.org/smoke-archive/page-66</t>
        </is>
      </c>
      <c r="C69" s="28" t="inlineStr"/>
      <c r="D69" s="28" t="inlineStr">
        <is>
          <t>Indexable</t>
        </is>
      </c>
      <c r="E69" s="28" t="inlineStr"/>
      <c r="F69" s="28" t="inlineStr">
        <is>
          <t>Smoke title 66</t>
        </is>
      </c>
      <c r="G69" s="28" t="inlineStr">
        <is>
          <t>Smoke meta description for page 66.</t>
        </is>
      </c>
      <c r="H69" s="28" t="n">
        <v>336</v>
      </c>
      <c r="I69" s="28" t="n">
        <v>70</v>
      </c>
      <c r="J69" s="28" t="inlineStr">
        <is>
          <t>Warning</t>
        </is>
      </c>
      <c r="K69" s="28" t="inlineStr">
        <is>
          <t>Yes</t>
        </is>
      </c>
      <c r="L69" s="28" t="inlineStr"/>
      <c r="M69" s="28" t="inlineStr"/>
      <c r="N69" s="28" t="inlineStr">
        <is>
          <t>Lab only</t>
        </is>
      </c>
      <c r="O69" s="28" t="inlineStr">
        <is>
          <t>None</t>
        </is>
      </c>
      <c r="P69" s="28" t="inlineStr">
        <is>
          <t>PSI Lab</t>
        </is>
      </c>
      <c r="Q69" s="28" t="inlineStr">
        <is>
          <t>None</t>
        </is>
      </c>
      <c r="R69" s="28" t="inlineStr"/>
      <c r="S69" s="28" t="inlineStr"/>
      <c r="T69" s="28" t="inlineStr"/>
      <c r="U69" s="28" t="inlineStr"/>
      <c r="V69" s="28" t="inlineStr"/>
      <c r="W69" s="28" t="inlineStr"/>
      <c r="X69" s="28" t="inlineStr"/>
      <c r="Y69" s="28" t="inlineStr"/>
      <c r="Z69" s="28" t="inlineStr"/>
      <c r="AA69" s="28" t="n">
        <v>88</v>
      </c>
      <c r="AB69" s="28" t="n">
        <v>88</v>
      </c>
      <c r="AC69" s="28" t="n">
        <v>88</v>
      </c>
      <c r="AD69" s="28" t="n">
        <v>85</v>
      </c>
      <c r="AE69" s="28" t="n">
        <v>82</v>
      </c>
      <c r="AF69" s="28" t="n">
        <v>92</v>
      </c>
      <c r="AG69" s="28" t="n">
        <v>2.4</v>
      </c>
      <c r="AH69" s="28" t="n">
        <v>0.04</v>
      </c>
      <c r="AI69" s="28" t="n">
        <v>0.4</v>
      </c>
      <c r="AJ69" s="28" t="n">
        <v>2.4</v>
      </c>
      <c r="AK69" s="28" t="n">
        <v>0.04</v>
      </c>
      <c r="AL69" s="28" t="n">
        <v>180</v>
      </c>
      <c r="AM69" s="28" t="n">
        <v>120</v>
      </c>
      <c r="AN69" s="28" t="n">
        <v>1.8</v>
      </c>
      <c r="AO69" s="28" t="n">
        <v>3.2</v>
      </c>
      <c r="AP69" s="28" t="n">
        <v>4.1</v>
      </c>
      <c r="AQ69" s="28" t="n">
        <v>400</v>
      </c>
      <c r="AR69" s="28" t="n">
        <v>88</v>
      </c>
      <c r="AS69" s="28" t="n">
        <v>85</v>
      </c>
      <c r="AT69" s="28" t="n">
        <v>82</v>
      </c>
      <c r="AU69" s="28" t="n">
        <v>92</v>
      </c>
      <c r="AV69" s="28" t="n">
        <v>2.4</v>
      </c>
      <c r="AW69" s="28" t="n">
        <v>0.04</v>
      </c>
      <c r="AX69" s="28" t="n">
        <v>180</v>
      </c>
      <c r="AY69" s="28" t="n">
        <v>120</v>
      </c>
      <c r="AZ69" s="28" t="n">
        <v>1.8</v>
      </c>
      <c r="BA69" s="28" t="n">
        <v>3.2</v>
      </c>
      <c r="BB69" s="28" t="n">
        <v>4.1</v>
      </c>
      <c r="BC69" s="28" t="n">
        <v>400</v>
      </c>
      <c r="BD69" s="28" t="n">
        <v>500</v>
      </c>
      <c r="BE69" s="28" t="n">
        <v>842</v>
      </c>
      <c r="BF69" s="28" t="n">
        <v>1250</v>
      </c>
      <c r="BG69" s="28" t="n">
        <v>1</v>
      </c>
      <c r="BH69" s="28" t="b">
        <v>1</v>
      </c>
      <c r="BI69" s="34" t="b">
        <v>1</v>
      </c>
      <c r="BJ69" s="28" t="b">
        <v>1</v>
      </c>
      <c r="BK69" s="28" t="b">
        <v>1</v>
      </c>
      <c r="BL69" s="28" t="b">
        <v>0</v>
      </c>
      <c r="BM69" s="28" t="n">
        <v>65</v>
      </c>
      <c r="BN69" s="28" t="inlineStr">
        <is>
          <t>complete</t>
        </is>
      </c>
      <c r="BO69" s="28" t="inlineStr">
        <is>
          <t>rendered_browser</t>
        </is>
      </c>
      <c r="BP69" s="28" t="b">
        <v>0</v>
      </c>
      <c r="BQ69" s="28" t="n">
        <v>0</v>
      </c>
      <c r="BR69" s="28" t="n">
        <v>0</v>
      </c>
      <c r="BS69" s="28" t="inlineStr"/>
      <c r="BT69" s="28" t="b">
        <v>0</v>
      </c>
      <c r="BU69" s="28" t="inlineStr"/>
      <c r="BV69" s="28" t="inlineStr"/>
      <c r="BW69" s="28" t="n">
        <v>0</v>
      </c>
      <c r="BX69" s="28" t="inlineStr"/>
      <c r="BY69" s="28" t="n">
        <v>0</v>
      </c>
      <c r="BZ69" s="28" t="inlineStr"/>
      <c r="CA69" s="28" t="n">
        <v>0</v>
      </c>
      <c r="CB69" s="28" t="inlineStr"/>
      <c r="CC69" s="28" t="n">
        <v>0</v>
      </c>
      <c r="CD69" s="28" t="inlineStr"/>
      <c r="CE69" s="28" t="n">
        <v>0</v>
      </c>
      <c r="CF69" s="28" t="inlineStr"/>
      <c r="CG69" s="28" t="n">
        <v>0</v>
      </c>
      <c r="CH69" s="28" t="inlineStr"/>
      <c r="CI69" s="28" t="inlineStr"/>
      <c r="CJ69" s="28" t="inlineStr"/>
      <c r="CK69" s="28" t="inlineStr"/>
      <c r="CL69" s="28" t="inlineStr">
        <is>
          <t>2026-06-01 to 2026-06-30 (30-day window; excludes today; typical GSC lag ~48h)</t>
        </is>
      </c>
      <c r="CM69" s="28" t="inlineStr">
        <is>
          <t>No Search Analytics row matched this URL in the 30-day export (compare Final URL with the page URL shown in GSC)</t>
        </is>
      </c>
      <c r="CN69" s="28" t="n">
        <v>-1</v>
      </c>
      <c r="CO69" s="28" t="b">
        <v>1</v>
      </c>
      <c r="CP69" s="28" t="n">
        <v>0.012048</v>
      </c>
      <c r="CQ69" s="28" t="b">
        <v>1</v>
      </c>
      <c r="CR69" s="28" t="b">
        <v>1</v>
      </c>
      <c r="CS69" s="28" t="inlineStr">
        <is>
          <t>Both</t>
        </is>
      </c>
      <c r="CT69" s="74" t="inlineStr"/>
      <c r="CU69" s="28" t="n">
        <v>67</v>
      </c>
      <c r="CV69" s="29">
        <f>IFERROR(INDEX(OFFSET('Technical Diagnostics'!$A$1,2,MATCH("SEO Health Score",'Technical Diagnostics'!$2:$2,0)-1,99998,1),MATCH(B69,OFFSET('Technical Diagnostics'!$A$1,2,MATCH("URL",'Technical Diagnostics'!$2:$2,0)-1,99998,1),0)),"")</f>
        <v/>
      </c>
      <c r="CW69" s="32" t="n">
        <v>100</v>
      </c>
      <c r="CX69" s="29" t="n">
        <v>77.5</v>
      </c>
      <c r="CY69" s="32" t="b">
        <v>1</v>
      </c>
      <c r="CZ69" s="28" t="b">
        <v>0</v>
      </c>
      <c r="DA69" s="28" t="inlineStr"/>
      <c r="DB69" s="28" t="inlineStr"/>
      <c r="DC69" s="28" t="inlineStr"/>
      <c r="DD69" s="28" t="n">
        <v>0</v>
      </c>
      <c r="DE69" s="28" t="n">
        <v>0</v>
      </c>
      <c r="DF69" s="28" t="inlineStr"/>
      <c r="DG69" s="28" t="inlineStr"/>
      <c r="DH69" s="28" t="inlineStr"/>
      <c r="DI69" s="28" t="n">
        <v>6</v>
      </c>
      <c r="DJ69" s="28" t="inlineStr">
        <is>
          <t>Author 66</t>
        </is>
      </c>
      <c r="DK69" s="28" t="inlineStr"/>
      <c r="DL69" s="28" t="b">
        <v>1</v>
      </c>
      <c r="DM69" s="28" t="inlineStr"/>
      <c r="DN69" s="28" t="inlineStr">
        <is>
          <t>2026-06-01</t>
        </is>
      </c>
      <c r="DO69" s="28" t="inlineStr"/>
      <c r="DP69" s="28" t="inlineStr">
        <is>
          <t>2026-06-01</t>
        </is>
      </c>
      <c r="DQ69" s="28" t="inlineStr"/>
      <c r="DR69" s="28" t="b">
        <v>0</v>
      </c>
      <c r="DS69" s="28" t="b">
        <v>1</v>
      </c>
      <c r="DT69" s="28" t="b">
        <v>1</v>
      </c>
      <c r="DU69" s="28" t="b">
        <v>0</v>
      </c>
      <c r="DV69" s="28" t="n">
        <v>0</v>
      </c>
      <c r="DW69" s="28" t="b">
        <v>0</v>
      </c>
      <c r="DX69" s="28" t="b">
        <v>0</v>
      </c>
      <c r="DY69" s="28" t="b">
        <v>0</v>
      </c>
      <c r="DZ69" s="28" t="b">
        <v>0</v>
      </c>
      <c r="EA69" s="32" t="b">
        <v>0</v>
      </c>
      <c r="EB69" s="28" t="b">
        <v>0</v>
      </c>
      <c r="EC69" s="28" t="inlineStr"/>
      <c r="ED69" s="28" t="inlineStr"/>
      <c r="EE69" s="28" t="b">
        <v>0</v>
      </c>
      <c r="EF69" s="28" t="inlineStr"/>
      <c r="EG69" s="28" t="inlineStr"/>
      <c r="EH69" s="28" t="inlineStr"/>
      <c r="EI69" s="28" t="inlineStr">
        <is>
          <t>2026-06-01</t>
        </is>
      </c>
      <c r="EJ69" s="28" t="inlineStr"/>
      <c r="EK69" s="28" t="inlineStr">
        <is>
          <t>Fresh</t>
        </is>
      </c>
      <c r="EL69" s="28" t="inlineStr">
        <is>
          <t>Smoke title 66</t>
        </is>
      </c>
      <c r="EM69" s="28" t="inlineStr">
        <is>
          <t>Smoke meta description for page 66.</t>
        </is>
      </c>
      <c r="EN69" s="28" t="inlineStr">
        <is>
          <t>article</t>
        </is>
      </c>
      <c r="EO69" s="74" t="inlineStr"/>
      <c r="EP69" s="74" t="inlineStr"/>
      <c r="EQ69" s="28" t="inlineStr"/>
      <c r="ER69" s="28" t="inlineStr"/>
      <c r="ES69" s="28" t="inlineStr"/>
      <c r="ET69" s="28" t="inlineStr"/>
      <c r="EU69" s="75" t="b">
        <v>0</v>
      </c>
      <c r="EV69" s="28" t="inlineStr">
        <is>
          <t>summary_large_image</t>
        </is>
      </c>
      <c r="EW69" s="28" t="inlineStr"/>
      <c r="EX69" s="28" t="inlineStr"/>
      <c r="EY69" s="28" t="inlineStr"/>
      <c r="EZ69" s="28" t="n">
        <v>0</v>
      </c>
      <c r="FA69" s="40" t="b">
        <v>0</v>
      </c>
      <c r="FB69" s="74" t="inlineStr">
        <is>
          <t>https://africanmarketingconfederation.org/smoke-archive/page-66-canonical/</t>
        </is>
      </c>
      <c r="FC69" s="28" t="inlineStr"/>
      <c r="FD69" s="28" t="n">
        <v>1</v>
      </c>
      <c r="FE69" s="20" t="inlineStr"/>
      <c r="FF69" s="28" t="b">
        <v>0</v>
      </c>
      <c r="FG69" s="28" t="b">
        <v>0</v>
      </c>
      <c r="FH69" s="32" t="b">
        <v>0</v>
      </c>
      <c r="FI69" s="28" t="n">
        <v>0</v>
      </c>
      <c r="FJ69" s="28" t="inlineStr">
        <is>
          <t>https://africanmarketingconfederation.org/smoke-archive/page-66</t>
        </is>
      </c>
      <c r="FK69" s="28" t="inlineStr"/>
      <c r="FL69" s="32" t="b">
        <v>0</v>
      </c>
      <c r="FM69" s="28" t="b">
        <v>0</v>
      </c>
      <c r="FN69" s="32" t="b">
        <v>0</v>
      </c>
      <c r="FO69" s="28" t="inlineStr"/>
      <c r="FP69" s="28" t="inlineStr"/>
      <c r="FQ69" s="28" t="inlineStr"/>
      <c r="FR69" s="28" t="inlineStr"/>
      <c r="FS69" s="28" t="inlineStr"/>
      <c r="FT69" s="28" t="inlineStr"/>
      <c r="FU69" s="28" t="inlineStr">
        <is>
          <t>Not specified</t>
        </is>
      </c>
      <c r="FV69" s="28" t="inlineStr">
        <is>
          <t>Not specified</t>
        </is>
      </c>
      <c r="FW69" s="28" t="inlineStr">
        <is>
          <t>Not specified</t>
        </is>
      </c>
      <c r="FX69" s="28" t="inlineStr">
        <is>
          <t>Not specified</t>
        </is>
      </c>
      <c r="FY69" s="28" t="inlineStr">
        <is>
          <t>Not specified</t>
        </is>
      </c>
      <c r="FZ69" s="28" t="b">
        <v>0</v>
      </c>
      <c r="GA69" s="28" t="n">
        <v>0</v>
      </c>
      <c r="GB69" s="28" t="inlineStr"/>
      <c r="GC69" s="28" t="inlineStr"/>
      <c r="GD69" s="28" t="b">
        <v>0</v>
      </c>
      <c r="GE69" s="28" t="b">
        <v>0</v>
      </c>
      <c r="GF69" s="28" t="b">
        <v>0</v>
      </c>
      <c r="GG69" s="28" t="b">
        <v>0</v>
      </c>
      <c r="GH69" s="28" t="b">
        <v>0</v>
      </c>
      <c r="GI69" s="28" t="b">
        <v>0</v>
      </c>
      <c r="GJ69" s="28" t="n">
        <v>0</v>
      </c>
      <c r="GK69" s="28" t="n">
        <v>0</v>
      </c>
      <c r="GL69" s="28" t="n">
        <v>0</v>
      </c>
      <c r="GM69" s="74" t="inlineStr"/>
      <c r="GN69" s="74" t="inlineStr"/>
      <c r="GO69" s="32" t="b">
        <v>0</v>
      </c>
      <c r="GP69" s="28" t="inlineStr"/>
      <c r="GQ69" s="74" t="inlineStr"/>
      <c r="GR69" s="28" t="inlineStr">
        <is>
          <t>Not Declared</t>
        </is>
      </c>
      <c r="GS69" s="28" t="b">
        <v>1</v>
      </c>
      <c r="GT69" s="28" t="n">
        <v>32.9</v>
      </c>
      <c r="GU69" s="28" t="inlineStr">
        <is>
          <t>Orphan</t>
        </is>
      </c>
      <c r="GV69" s="28" t="n">
        <v>0</v>
      </c>
      <c r="GW69" s="34" t="n">
        <v>0</v>
      </c>
      <c r="GX69" s="28" t="b">
        <v>0</v>
      </c>
      <c r="GY69" s="28" t="inlineStr">
        <is>
          <t>FAQ</t>
        </is>
      </c>
      <c r="GZ69" s="28" t="n">
        <v>9</v>
      </c>
      <c r="HA69" s="28" t="b">
        <v>0</v>
      </c>
      <c r="HB69" s="28" t="inlineStr">
        <is>
          <t>smoke, body, copy, intent, classification</t>
        </is>
      </c>
      <c r="HC69" s="28" t="b">
        <v>0</v>
      </c>
      <c r="HD69" s="28" t="b">
        <v>0</v>
      </c>
      <c r="HE69" s="28" t="b">
        <v>0</v>
      </c>
      <c r="HF69" s="34" t="n">
        <v>0</v>
      </c>
      <c r="HG69" s="28" t="b">
        <v>0</v>
      </c>
      <c r="HH69" s="28" t="b">
        <v>0</v>
      </c>
      <c r="HI69">
        <f>IFERROR(HYPERLINK("#'Technical Diagnostics'!A"&amp;MATCH(B69,'Technical Diagnostics'!A:A,0),"Open Technical"),HYPERLINK("#'Technical Diagnostics'!A1","Open Technical"))</f>
        <v/>
      </c>
    </row>
    <row r="70" ht="18" customHeight="1">
      <c r="A70" s="30" t="inlineStr">
        <is>
          <t>WARN 🟡</t>
        </is>
      </c>
      <c r="B70" s="37" t="inlineStr">
        <is>
          <t>https://africanmarketingconfederation.org/smoke-archive/page-67</t>
        </is>
      </c>
      <c r="C70" s="30" t="inlineStr"/>
      <c r="D70" s="30" t="inlineStr">
        <is>
          <t>Indexable</t>
        </is>
      </c>
      <c r="E70" s="30" t="inlineStr"/>
      <c r="F70" s="30" t="inlineStr">
        <is>
          <t>Smoke title 67</t>
        </is>
      </c>
      <c r="G70" s="30" t="inlineStr">
        <is>
          <t>Smoke meta description for page 67.</t>
        </is>
      </c>
      <c r="H70" s="30" t="n">
        <v>337</v>
      </c>
      <c r="I70" s="30" t="n">
        <v>80</v>
      </c>
      <c r="J70" s="30" t="inlineStr">
        <is>
          <t>Warning</t>
        </is>
      </c>
      <c r="K70" s="30" t="inlineStr">
        <is>
          <t>Yes</t>
        </is>
      </c>
      <c r="L70" s="30" t="inlineStr"/>
      <c r="M70" s="30" t="inlineStr"/>
      <c r="N70" s="30" t="inlineStr">
        <is>
          <t>Lab only</t>
        </is>
      </c>
      <c r="O70" s="30" t="inlineStr">
        <is>
          <t>None</t>
        </is>
      </c>
      <c r="P70" s="30" t="inlineStr">
        <is>
          <t>PSI Lab</t>
        </is>
      </c>
      <c r="Q70" s="30" t="inlineStr">
        <is>
          <t>None</t>
        </is>
      </c>
      <c r="R70" s="30" t="inlineStr"/>
      <c r="S70" s="30" t="inlineStr"/>
      <c r="T70" s="30" t="inlineStr"/>
      <c r="U70" s="30" t="inlineStr"/>
      <c r="V70" s="30" t="inlineStr"/>
      <c r="W70" s="30" t="inlineStr"/>
      <c r="X70" s="30" t="inlineStr"/>
      <c r="Y70" s="30" t="inlineStr"/>
      <c r="Z70" s="30" t="inlineStr"/>
      <c r="AA70" s="30" t="n">
        <v>88</v>
      </c>
      <c r="AB70" s="30" t="n">
        <v>88</v>
      </c>
      <c r="AC70" s="30" t="n">
        <v>88</v>
      </c>
      <c r="AD70" s="30" t="n">
        <v>85</v>
      </c>
      <c r="AE70" s="30" t="n">
        <v>82</v>
      </c>
      <c r="AF70" s="30" t="n">
        <v>92</v>
      </c>
      <c r="AG70" s="30" t="n">
        <v>2.4</v>
      </c>
      <c r="AH70" s="30" t="n">
        <v>0.04</v>
      </c>
      <c r="AI70" s="30" t="n">
        <v>0.4</v>
      </c>
      <c r="AJ70" s="30" t="n">
        <v>2.4</v>
      </c>
      <c r="AK70" s="30" t="n">
        <v>0.04</v>
      </c>
      <c r="AL70" s="30" t="n">
        <v>180</v>
      </c>
      <c r="AM70" s="30" t="n">
        <v>120</v>
      </c>
      <c r="AN70" s="30" t="n">
        <v>1.8</v>
      </c>
      <c r="AO70" s="30" t="n">
        <v>3.2</v>
      </c>
      <c r="AP70" s="30" t="n">
        <v>4.1</v>
      </c>
      <c r="AQ70" s="30" t="n">
        <v>400</v>
      </c>
      <c r="AR70" s="30" t="n">
        <v>88</v>
      </c>
      <c r="AS70" s="30" t="n">
        <v>85</v>
      </c>
      <c r="AT70" s="30" t="n">
        <v>82</v>
      </c>
      <c r="AU70" s="30" t="n">
        <v>92</v>
      </c>
      <c r="AV70" s="30" t="n">
        <v>2.4</v>
      </c>
      <c r="AW70" s="30" t="n">
        <v>0.04</v>
      </c>
      <c r="AX70" s="30" t="n">
        <v>180</v>
      </c>
      <c r="AY70" s="30" t="n">
        <v>120</v>
      </c>
      <c r="AZ70" s="30" t="n">
        <v>1.8</v>
      </c>
      <c r="BA70" s="30" t="n">
        <v>3.2</v>
      </c>
      <c r="BB70" s="30" t="n">
        <v>4.1</v>
      </c>
      <c r="BC70" s="30" t="n">
        <v>400</v>
      </c>
      <c r="BD70" s="30" t="n">
        <v>500</v>
      </c>
      <c r="BE70" s="30" t="n">
        <v>842</v>
      </c>
      <c r="BF70" s="30" t="n">
        <v>1250</v>
      </c>
      <c r="BG70" s="30" t="n">
        <v>1</v>
      </c>
      <c r="BH70" s="30" t="b">
        <v>1</v>
      </c>
      <c r="BI70" s="34" t="b">
        <v>1</v>
      </c>
      <c r="BJ70" s="30" t="b">
        <v>1</v>
      </c>
      <c r="BK70" s="30" t="b">
        <v>1</v>
      </c>
      <c r="BL70" s="30" t="b">
        <v>0</v>
      </c>
      <c r="BM70" s="30" t="n">
        <v>65</v>
      </c>
      <c r="BN70" s="30" t="inlineStr">
        <is>
          <t>complete</t>
        </is>
      </c>
      <c r="BO70" s="30" t="inlineStr">
        <is>
          <t>rendered_browser</t>
        </is>
      </c>
      <c r="BP70" s="30" t="b">
        <v>0</v>
      </c>
      <c r="BQ70" s="30" t="n">
        <v>0</v>
      </c>
      <c r="BR70" s="30" t="n">
        <v>0</v>
      </c>
      <c r="BS70" s="30" t="inlineStr"/>
      <c r="BT70" s="30" t="b">
        <v>0</v>
      </c>
      <c r="BU70" s="30" t="inlineStr"/>
      <c r="BV70" s="30" t="inlineStr"/>
      <c r="BW70" s="30" t="n">
        <v>0</v>
      </c>
      <c r="BX70" s="30" t="inlineStr"/>
      <c r="BY70" s="30" t="n">
        <v>0</v>
      </c>
      <c r="BZ70" s="30" t="inlineStr"/>
      <c r="CA70" s="30" t="n">
        <v>0</v>
      </c>
      <c r="CB70" s="30" t="inlineStr"/>
      <c r="CC70" s="30" t="n">
        <v>0</v>
      </c>
      <c r="CD70" s="30" t="inlineStr"/>
      <c r="CE70" s="30" t="n">
        <v>0</v>
      </c>
      <c r="CF70" s="30" t="inlineStr"/>
      <c r="CG70" s="30" t="n">
        <v>0</v>
      </c>
      <c r="CH70" s="30" t="inlineStr"/>
      <c r="CI70" s="30" t="inlineStr"/>
      <c r="CJ70" s="30" t="inlineStr"/>
      <c r="CK70" s="30" t="inlineStr"/>
      <c r="CL70" s="30" t="inlineStr">
        <is>
          <t>2026-06-01 to 2026-06-30 (30-day window; excludes today; typical GSC lag ~48h)</t>
        </is>
      </c>
      <c r="CM70" s="30" t="inlineStr">
        <is>
          <t>No Search Analytics row matched this URL in the 30-day export (compare Final URL with the page URL shown in GSC)</t>
        </is>
      </c>
      <c r="CN70" s="30" t="n">
        <v>-1</v>
      </c>
      <c r="CO70" s="30" t="b">
        <v>1</v>
      </c>
      <c r="CP70" s="30" t="n">
        <v>0.012048</v>
      </c>
      <c r="CQ70" s="30" t="b">
        <v>1</v>
      </c>
      <c r="CR70" s="30" t="b">
        <v>1</v>
      </c>
      <c r="CS70" s="30" t="inlineStr">
        <is>
          <t>Both</t>
        </is>
      </c>
      <c r="CT70" s="76" t="inlineStr"/>
      <c r="CU70" s="30" t="n">
        <v>68</v>
      </c>
      <c r="CV70" s="29">
        <f>IFERROR(INDEX(OFFSET('Technical Diagnostics'!$A$1,2,MATCH("SEO Health Score",'Technical Diagnostics'!$2:$2,0)-1,99998,1),MATCH(B70,OFFSET('Technical Diagnostics'!$A$1,2,MATCH("URL",'Technical Diagnostics'!$2:$2,0)-1,99998,1),0)),"")</f>
        <v/>
      </c>
      <c r="CW70" s="32" t="n">
        <v>100</v>
      </c>
      <c r="CX70" s="29" t="n">
        <v>85</v>
      </c>
      <c r="CY70" s="32" t="b">
        <v>1</v>
      </c>
      <c r="CZ70" s="30" t="b">
        <v>0</v>
      </c>
      <c r="DA70" s="30" t="inlineStr"/>
      <c r="DB70" s="30" t="inlineStr"/>
      <c r="DC70" s="30" t="inlineStr"/>
      <c r="DD70" s="30" t="n">
        <v>0</v>
      </c>
      <c r="DE70" s="30" t="n">
        <v>0</v>
      </c>
      <c r="DF70" s="30" t="inlineStr"/>
      <c r="DG70" s="30" t="inlineStr"/>
      <c r="DH70" s="30" t="inlineStr"/>
      <c r="DI70" s="30" t="n">
        <v>6</v>
      </c>
      <c r="DJ70" s="30" t="inlineStr">
        <is>
          <t>Author 67</t>
        </is>
      </c>
      <c r="DK70" s="30" t="inlineStr"/>
      <c r="DL70" s="30" t="b">
        <v>1</v>
      </c>
      <c r="DM70" s="30" t="inlineStr"/>
      <c r="DN70" s="30" t="inlineStr">
        <is>
          <t>2026-06-01</t>
        </is>
      </c>
      <c r="DO70" s="30" t="inlineStr"/>
      <c r="DP70" s="30" t="inlineStr">
        <is>
          <t>2026-06-01</t>
        </is>
      </c>
      <c r="DQ70" s="30" t="inlineStr"/>
      <c r="DR70" s="30" t="b">
        <v>0</v>
      </c>
      <c r="DS70" s="30" t="b">
        <v>1</v>
      </c>
      <c r="DT70" s="30" t="b">
        <v>1</v>
      </c>
      <c r="DU70" s="30" t="b">
        <v>0</v>
      </c>
      <c r="DV70" s="30" t="n">
        <v>0</v>
      </c>
      <c r="DW70" s="30" t="b">
        <v>0</v>
      </c>
      <c r="DX70" s="30" t="b">
        <v>0</v>
      </c>
      <c r="DY70" s="30" t="b">
        <v>0</v>
      </c>
      <c r="DZ70" s="30" t="b">
        <v>0</v>
      </c>
      <c r="EA70" s="32" t="b">
        <v>0</v>
      </c>
      <c r="EB70" s="30" t="b">
        <v>0</v>
      </c>
      <c r="EC70" s="30" t="inlineStr"/>
      <c r="ED70" s="30" t="inlineStr"/>
      <c r="EE70" s="30" t="b">
        <v>0</v>
      </c>
      <c r="EF70" s="30" t="inlineStr"/>
      <c r="EG70" s="30" t="inlineStr"/>
      <c r="EH70" s="30" t="inlineStr"/>
      <c r="EI70" s="30" t="inlineStr"/>
      <c r="EJ70" s="30" t="inlineStr"/>
      <c r="EK70" s="30" t="inlineStr">
        <is>
          <t>Fresh</t>
        </is>
      </c>
      <c r="EL70" s="30" t="inlineStr">
        <is>
          <t>Smoke title 67</t>
        </is>
      </c>
      <c r="EM70" s="30" t="inlineStr">
        <is>
          <t>Smoke meta description for page 67.</t>
        </is>
      </c>
      <c r="EN70" s="30" t="inlineStr">
        <is>
          <t>article</t>
        </is>
      </c>
      <c r="EO70" s="76" t="inlineStr"/>
      <c r="EP70" s="76" t="inlineStr"/>
      <c r="EQ70" s="30" t="inlineStr"/>
      <c r="ER70" s="30" t="inlineStr"/>
      <c r="ES70" s="30" t="inlineStr"/>
      <c r="ET70" s="30" t="inlineStr"/>
      <c r="EU70" s="75" t="b">
        <v>0</v>
      </c>
      <c r="EV70" s="30" t="inlineStr">
        <is>
          <t>summary_large_image</t>
        </is>
      </c>
      <c r="EW70" s="30" t="inlineStr"/>
      <c r="EX70" s="30" t="inlineStr"/>
      <c r="EY70" s="30" t="inlineStr"/>
      <c r="EZ70" s="30" t="n">
        <v>0</v>
      </c>
      <c r="FA70" s="40" t="b">
        <v>0</v>
      </c>
      <c r="FB70" s="76" t="inlineStr">
        <is>
          <t>https://africanmarketingconfederation.org/smoke-archive/page-67</t>
        </is>
      </c>
      <c r="FC70" s="30" t="inlineStr"/>
      <c r="FD70" s="30" t="n">
        <v>0</v>
      </c>
      <c r="FE70" s="31" t="inlineStr"/>
      <c r="FF70" s="30" t="b">
        <v>0</v>
      </c>
      <c r="FG70" s="30" t="b">
        <v>0</v>
      </c>
      <c r="FH70" s="32" t="b">
        <v>0</v>
      </c>
      <c r="FI70" s="30" t="n">
        <v>0</v>
      </c>
      <c r="FJ70" s="30" t="inlineStr">
        <is>
          <t>https://africanmarketingconfederation.org/smoke-archive/page-67</t>
        </is>
      </c>
      <c r="FK70" s="30" t="inlineStr"/>
      <c r="FL70" s="32" t="b">
        <v>0</v>
      </c>
      <c r="FM70" s="30" t="b">
        <v>0</v>
      </c>
      <c r="FN70" s="32" t="b">
        <v>0</v>
      </c>
      <c r="FO70" s="30" t="inlineStr"/>
      <c r="FP70" s="30" t="inlineStr"/>
      <c r="FQ70" s="30" t="inlineStr"/>
      <c r="FR70" s="30" t="inlineStr"/>
      <c r="FS70" s="30" t="inlineStr"/>
      <c r="FT70" s="30" t="inlineStr"/>
      <c r="FU70" s="30" t="inlineStr">
        <is>
          <t>Not specified</t>
        </is>
      </c>
      <c r="FV70" s="30" t="inlineStr">
        <is>
          <t>Not specified</t>
        </is>
      </c>
      <c r="FW70" s="30" t="inlineStr">
        <is>
          <t>Not specified</t>
        </is>
      </c>
      <c r="FX70" s="30" t="inlineStr">
        <is>
          <t>Not specified</t>
        </is>
      </c>
      <c r="FY70" s="30" t="inlineStr">
        <is>
          <t>Not specified</t>
        </is>
      </c>
      <c r="FZ70" s="30" t="b">
        <v>0</v>
      </c>
      <c r="GA70" s="30" t="n">
        <v>0</v>
      </c>
      <c r="GB70" s="30" t="inlineStr"/>
      <c r="GC70" s="30" t="inlineStr"/>
      <c r="GD70" s="30" t="b">
        <v>0</v>
      </c>
      <c r="GE70" s="30" t="b">
        <v>0</v>
      </c>
      <c r="GF70" s="30" t="b">
        <v>0</v>
      </c>
      <c r="GG70" s="30" t="b">
        <v>0</v>
      </c>
      <c r="GH70" s="30" t="b">
        <v>0</v>
      </c>
      <c r="GI70" s="30" t="b">
        <v>0</v>
      </c>
      <c r="GJ70" s="30" t="n">
        <v>0</v>
      </c>
      <c r="GK70" s="30" t="n">
        <v>0</v>
      </c>
      <c r="GL70" s="30" t="n">
        <v>0</v>
      </c>
      <c r="GM70" s="76" t="inlineStr"/>
      <c r="GN70" s="76" t="inlineStr"/>
      <c r="GO70" s="32" t="b">
        <v>0</v>
      </c>
      <c r="GP70" s="30" t="inlineStr"/>
      <c r="GQ70" s="76" t="inlineStr"/>
      <c r="GR70" s="30" t="inlineStr">
        <is>
          <t>Not Declared</t>
        </is>
      </c>
      <c r="GS70" s="30" t="b">
        <v>1</v>
      </c>
      <c r="GT70" s="30" t="n">
        <v>59.8</v>
      </c>
      <c r="GU70" s="30" t="inlineStr">
        <is>
          <t>Orphan</t>
        </is>
      </c>
      <c r="GV70" s="30" t="n">
        <v>0</v>
      </c>
      <c r="GW70" s="34" t="n">
        <v>0</v>
      </c>
      <c r="GX70" s="30" t="b">
        <v>0</v>
      </c>
      <c r="GY70" s="30" t="inlineStr">
        <is>
          <t>FAQ</t>
        </is>
      </c>
      <c r="GZ70" s="30" t="n">
        <v>9</v>
      </c>
      <c r="HA70" s="30" t="b">
        <v>0</v>
      </c>
      <c r="HB70" s="30" t="inlineStr">
        <is>
          <t>smoke, body, copy, intent, classification</t>
        </is>
      </c>
      <c r="HC70" s="30" t="b">
        <v>0</v>
      </c>
      <c r="HD70" s="30" t="b">
        <v>0</v>
      </c>
      <c r="HE70" s="30" t="b">
        <v>0</v>
      </c>
      <c r="HF70" s="34" t="n">
        <v>0</v>
      </c>
      <c r="HG70" s="30" t="b">
        <v>0</v>
      </c>
      <c r="HH70" s="30" t="b">
        <v>0</v>
      </c>
      <c r="HI70" s="38">
        <f>IFERROR(HYPERLINK("#'Technical Diagnostics'!A"&amp;MATCH(B70,'Technical Diagnostics'!A:A,0),"Open Technical"),HYPERLINK("#'Technical Diagnostics'!A1","Open Technical"))</f>
        <v/>
      </c>
    </row>
    <row r="71" ht="18" customHeight="1">
      <c r="A71" s="28" t="inlineStr">
        <is>
          <t>FAIL 🔴</t>
        </is>
      </c>
      <c r="B71" s="35" t="inlineStr">
        <is>
          <t>https://africanmarketingconfederation.org/smoke-archive/page-68</t>
        </is>
      </c>
      <c r="C71" s="28" t="inlineStr"/>
      <c r="D71" s="28" t="inlineStr">
        <is>
          <t>Non-Indexable</t>
        </is>
      </c>
      <c r="E71" s="28" t="inlineStr"/>
      <c r="F71" s="28" t="inlineStr">
        <is>
          <t>Smoke title 68</t>
        </is>
      </c>
      <c r="G71" s="28" t="inlineStr">
        <is>
          <t>Smoke meta description for page 68.</t>
        </is>
      </c>
      <c r="H71" s="28" t="n">
        <v>338</v>
      </c>
      <c r="I71" s="28" t="n">
        <v>0</v>
      </c>
      <c r="J71" s="28" t="inlineStr">
        <is>
          <t>Critical</t>
        </is>
      </c>
      <c r="K71" s="28" t="inlineStr">
        <is>
          <t>Yes</t>
        </is>
      </c>
      <c r="L71" s="28" t="inlineStr"/>
      <c r="M71" s="28" t="inlineStr"/>
      <c r="N71" s="28" t="inlineStr">
        <is>
          <t>Lab only</t>
        </is>
      </c>
      <c r="O71" s="28" t="inlineStr">
        <is>
          <t>None</t>
        </is>
      </c>
      <c r="P71" s="28" t="inlineStr">
        <is>
          <t>PSI Lab</t>
        </is>
      </c>
      <c r="Q71" s="28" t="inlineStr">
        <is>
          <t>None</t>
        </is>
      </c>
      <c r="R71" s="28" t="inlineStr"/>
      <c r="S71" s="28" t="inlineStr"/>
      <c r="T71" s="28" t="inlineStr"/>
      <c r="U71" s="28" t="inlineStr"/>
      <c r="V71" s="28" t="inlineStr"/>
      <c r="W71" s="28" t="inlineStr"/>
      <c r="X71" s="28" t="inlineStr"/>
      <c r="Y71" s="28" t="inlineStr"/>
      <c r="Z71" s="28" t="inlineStr"/>
      <c r="AA71" s="28" t="n">
        <v>88</v>
      </c>
      <c r="AB71" s="28" t="n">
        <v>88</v>
      </c>
      <c r="AC71" s="28" t="n">
        <v>88</v>
      </c>
      <c r="AD71" s="28" t="n">
        <v>85</v>
      </c>
      <c r="AE71" s="28" t="n">
        <v>82</v>
      </c>
      <c r="AF71" s="28" t="n">
        <v>92</v>
      </c>
      <c r="AG71" s="28" t="n">
        <v>2.4</v>
      </c>
      <c r="AH71" s="28" t="n">
        <v>0.04</v>
      </c>
      <c r="AI71" s="28" t="n">
        <v>0.4</v>
      </c>
      <c r="AJ71" s="28" t="n">
        <v>2.4</v>
      </c>
      <c r="AK71" s="28" t="n">
        <v>0.04</v>
      </c>
      <c r="AL71" s="28" t="n">
        <v>180</v>
      </c>
      <c r="AM71" s="28" t="n">
        <v>120</v>
      </c>
      <c r="AN71" s="28" t="n">
        <v>1.8</v>
      </c>
      <c r="AO71" s="28" t="n">
        <v>3.2</v>
      </c>
      <c r="AP71" s="28" t="n">
        <v>4.1</v>
      </c>
      <c r="AQ71" s="28" t="n">
        <v>400</v>
      </c>
      <c r="AR71" s="28" t="n">
        <v>88</v>
      </c>
      <c r="AS71" s="28" t="n">
        <v>85</v>
      </c>
      <c r="AT71" s="28" t="n">
        <v>82</v>
      </c>
      <c r="AU71" s="28" t="n">
        <v>92</v>
      </c>
      <c r="AV71" s="28" t="n">
        <v>2.4</v>
      </c>
      <c r="AW71" s="28" t="n">
        <v>0.04</v>
      </c>
      <c r="AX71" s="28" t="n">
        <v>180</v>
      </c>
      <c r="AY71" s="28" t="n">
        <v>120</v>
      </c>
      <c r="AZ71" s="28" t="n">
        <v>1.8</v>
      </c>
      <c r="BA71" s="28" t="n">
        <v>3.2</v>
      </c>
      <c r="BB71" s="28" t="n">
        <v>4.1</v>
      </c>
      <c r="BC71" s="28" t="n">
        <v>400</v>
      </c>
      <c r="BD71" s="28" t="n">
        <v>500</v>
      </c>
      <c r="BE71" s="28" t="n">
        <v>842</v>
      </c>
      <c r="BF71" s="28" t="n">
        <v>1250</v>
      </c>
      <c r="BG71" s="28" t="n">
        <v>1</v>
      </c>
      <c r="BH71" s="28" t="b">
        <v>1</v>
      </c>
      <c r="BI71" s="34" t="b">
        <v>1</v>
      </c>
      <c r="BJ71" s="28" t="b">
        <v>1</v>
      </c>
      <c r="BK71" s="28" t="b">
        <v>1</v>
      </c>
      <c r="BL71" s="28" t="b">
        <v>0</v>
      </c>
      <c r="BM71" s="28" t="n">
        <v>65</v>
      </c>
      <c r="BN71" s="28" t="inlineStr">
        <is>
          <t>complete</t>
        </is>
      </c>
      <c r="BO71" s="28" t="inlineStr">
        <is>
          <t>rendered_browser</t>
        </is>
      </c>
      <c r="BP71" s="28" t="b">
        <v>0</v>
      </c>
      <c r="BQ71" s="28" t="n">
        <v>0</v>
      </c>
      <c r="BR71" s="28" t="n">
        <v>0</v>
      </c>
      <c r="BS71" s="28" t="inlineStr">
        <is>
          <t>https://africanmarketingconfederation.org/og-68.jpg</t>
        </is>
      </c>
      <c r="BT71" s="28" t="b">
        <v>0</v>
      </c>
      <c r="BU71" s="28" t="inlineStr"/>
      <c r="BV71" s="28" t="inlineStr"/>
      <c r="BW71" s="28" t="n">
        <v>0</v>
      </c>
      <c r="BX71" s="28" t="inlineStr"/>
      <c r="BY71" s="28" t="n">
        <v>0</v>
      </c>
      <c r="BZ71" s="28" t="inlineStr"/>
      <c r="CA71" s="28" t="n">
        <v>0</v>
      </c>
      <c r="CB71" s="28" t="inlineStr"/>
      <c r="CC71" s="28" t="n">
        <v>0</v>
      </c>
      <c r="CD71" s="28" t="inlineStr"/>
      <c r="CE71" s="28" t="n">
        <v>0</v>
      </c>
      <c r="CF71" s="28" t="inlineStr"/>
      <c r="CG71" s="28" t="n">
        <v>0</v>
      </c>
      <c r="CH71" s="28" t="inlineStr"/>
      <c r="CI71" s="28" t="inlineStr"/>
      <c r="CJ71" s="28" t="inlineStr"/>
      <c r="CK71" s="28" t="inlineStr"/>
      <c r="CL71" s="28" t="inlineStr">
        <is>
          <t>2026-06-01 to 2026-06-30 (30-day window; excludes today; typical GSC lag ~48h)</t>
        </is>
      </c>
      <c r="CM71" s="28" t="inlineStr">
        <is>
          <t>No Search Analytics row matched this URL in the 30-day export (compare Final URL with the page URL shown in GSC)</t>
        </is>
      </c>
      <c r="CN71" s="28" t="n">
        <v>-1</v>
      </c>
      <c r="CO71" s="28" t="b">
        <v>1</v>
      </c>
      <c r="CP71" s="28" t="n">
        <v>0.012048</v>
      </c>
      <c r="CQ71" s="28" t="b">
        <v>1</v>
      </c>
      <c r="CR71" s="28" t="b">
        <v>1</v>
      </c>
      <c r="CS71" s="28" t="inlineStr">
        <is>
          <t>Both</t>
        </is>
      </c>
      <c r="CT71" s="74" t="inlineStr"/>
      <c r="CU71" s="28" t="n">
        <v>69</v>
      </c>
      <c r="CV71" s="34">
        <f>IFERROR(INDEX(OFFSET('Technical Diagnostics'!$A$1,2,MATCH("SEO Health Score",'Technical Diagnostics'!$2:$2,0)-1,99998,1),MATCH(B71,OFFSET('Technical Diagnostics'!$A$1,2,MATCH("URL",'Technical Diagnostics'!$2:$2,0)-1,99998,1),0)),"")</f>
        <v/>
      </c>
      <c r="CW71" s="32" t="n">
        <v>100</v>
      </c>
      <c r="CX71" s="34" t="n">
        <v>25</v>
      </c>
      <c r="CY71" s="32" t="b">
        <v>1</v>
      </c>
      <c r="CZ71" s="28" t="b">
        <v>0</v>
      </c>
      <c r="DA71" s="28" t="inlineStr"/>
      <c r="DB71" s="28" t="inlineStr"/>
      <c r="DC71" s="28" t="inlineStr"/>
      <c r="DD71" s="28" t="n">
        <v>0</v>
      </c>
      <c r="DE71" s="28" t="n">
        <v>0</v>
      </c>
      <c r="DF71" s="28" t="inlineStr"/>
      <c r="DG71" s="28" t="inlineStr"/>
      <c r="DH71" s="28" t="inlineStr"/>
      <c r="DI71" s="28" t="n">
        <v>6</v>
      </c>
      <c r="DJ71" s="28" t="inlineStr">
        <is>
          <t>Author 68</t>
        </is>
      </c>
      <c r="DK71" s="28" t="inlineStr"/>
      <c r="DL71" s="28" t="b">
        <v>1</v>
      </c>
      <c r="DM71" s="28" t="inlineStr"/>
      <c r="DN71" s="28" t="inlineStr">
        <is>
          <t>2026-06-01</t>
        </is>
      </c>
      <c r="DO71" s="28" t="inlineStr"/>
      <c r="DP71" s="28" t="inlineStr">
        <is>
          <t>2026-06-01</t>
        </is>
      </c>
      <c r="DQ71" s="28" t="inlineStr"/>
      <c r="DR71" s="28" t="b">
        <v>0</v>
      </c>
      <c r="DS71" s="28" t="b">
        <v>1</v>
      </c>
      <c r="DT71" s="28" t="b">
        <v>1</v>
      </c>
      <c r="DU71" s="28" t="b">
        <v>0</v>
      </c>
      <c r="DV71" s="28" t="n">
        <v>0</v>
      </c>
      <c r="DW71" s="28" t="b">
        <v>0</v>
      </c>
      <c r="DX71" s="28" t="b">
        <v>0</v>
      </c>
      <c r="DY71" s="28" t="b">
        <v>0</v>
      </c>
      <c r="DZ71" s="28" t="b">
        <v>0</v>
      </c>
      <c r="EA71" s="32" t="b">
        <v>0</v>
      </c>
      <c r="EB71" s="28" t="b">
        <v>0</v>
      </c>
      <c r="EC71" s="28" t="inlineStr"/>
      <c r="ED71" s="28" t="inlineStr"/>
      <c r="EE71" s="28" t="b">
        <v>0</v>
      </c>
      <c r="EF71" s="28" t="inlineStr"/>
      <c r="EG71" s="28" t="inlineStr"/>
      <c r="EH71" s="28" t="inlineStr"/>
      <c r="EI71" s="28" t="inlineStr"/>
      <c r="EJ71" s="28" t="inlineStr"/>
      <c r="EK71" s="28" t="inlineStr">
        <is>
          <t>Fresh</t>
        </is>
      </c>
      <c r="EL71" s="28" t="inlineStr">
        <is>
          <t>Smoke title 68</t>
        </is>
      </c>
      <c r="EM71" s="28" t="inlineStr">
        <is>
          <t>Smoke meta description for page 68.</t>
        </is>
      </c>
      <c r="EN71" s="28" t="inlineStr">
        <is>
          <t>article</t>
        </is>
      </c>
      <c r="EO71" s="74" t="inlineStr"/>
      <c r="EP71" s="74" t="inlineStr">
        <is>
          <t>https://africanmarketingconfederation.org/og-68.jpg</t>
        </is>
      </c>
      <c r="EQ71" s="28" t="inlineStr"/>
      <c r="ER71" s="28" t="inlineStr"/>
      <c r="ES71" s="28" t="inlineStr"/>
      <c r="ET71" s="28" t="inlineStr"/>
      <c r="EU71" s="75" t="b">
        <v>0</v>
      </c>
      <c r="EV71" s="28" t="inlineStr">
        <is>
          <t>summary_large_image</t>
        </is>
      </c>
      <c r="EW71" s="28" t="inlineStr"/>
      <c r="EX71" s="28" t="inlineStr"/>
      <c r="EY71" s="28" t="inlineStr"/>
      <c r="EZ71" s="28" t="n">
        <v>0</v>
      </c>
      <c r="FA71" s="40" t="b">
        <v>0</v>
      </c>
      <c r="FB71" s="74" t="inlineStr">
        <is>
          <t>https://africanmarketingconfederation.org/smoke-archive/page-68</t>
        </is>
      </c>
      <c r="FC71" s="28" t="inlineStr"/>
      <c r="FD71" s="28" t="n">
        <v>0</v>
      </c>
      <c r="FE71" s="20" t="inlineStr"/>
      <c r="FF71" s="28" t="b">
        <v>0</v>
      </c>
      <c r="FG71" s="28" t="b">
        <v>0</v>
      </c>
      <c r="FH71" s="32" t="b">
        <v>0</v>
      </c>
      <c r="FI71" s="28" t="n">
        <v>0</v>
      </c>
      <c r="FJ71" s="28" t="inlineStr">
        <is>
          <t>https://africanmarketingconfederation.org/smoke-archive/page-68</t>
        </is>
      </c>
      <c r="FK71" s="28" t="inlineStr"/>
      <c r="FL71" s="32" t="b">
        <v>0</v>
      </c>
      <c r="FM71" s="28" t="b">
        <v>0</v>
      </c>
      <c r="FN71" s="32" t="b">
        <v>0</v>
      </c>
      <c r="FO71" s="28" t="inlineStr"/>
      <c r="FP71" s="28" t="inlineStr"/>
      <c r="FQ71" s="28" t="inlineStr"/>
      <c r="FR71" s="28" t="inlineStr"/>
      <c r="FS71" s="28" t="inlineStr"/>
      <c r="FT71" s="28" t="inlineStr"/>
      <c r="FU71" s="28" t="inlineStr">
        <is>
          <t>Not specified</t>
        </is>
      </c>
      <c r="FV71" s="28" t="inlineStr">
        <is>
          <t>Not specified</t>
        </is>
      </c>
      <c r="FW71" s="28" t="inlineStr">
        <is>
          <t>Not specified</t>
        </is>
      </c>
      <c r="FX71" s="28" t="inlineStr">
        <is>
          <t>Not specified</t>
        </is>
      </c>
      <c r="FY71" s="28" t="inlineStr">
        <is>
          <t>Not specified</t>
        </is>
      </c>
      <c r="FZ71" s="28" t="b">
        <v>0</v>
      </c>
      <c r="GA71" s="28" t="n">
        <v>0</v>
      </c>
      <c r="GB71" s="28" t="inlineStr"/>
      <c r="GC71" s="28" t="inlineStr"/>
      <c r="GD71" s="28" t="b">
        <v>0</v>
      </c>
      <c r="GE71" s="28" t="b">
        <v>0</v>
      </c>
      <c r="GF71" s="28" t="b">
        <v>0</v>
      </c>
      <c r="GG71" s="28" t="b">
        <v>0</v>
      </c>
      <c r="GH71" s="28" t="b">
        <v>0</v>
      </c>
      <c r="GI71" s="28" t="b">
        <v>0</v>
      </c>
      <c r="GJ71" s="28" t="n">
        <v>0</v>
      </c>
      <c r="GK71" s="28" t="n">
        <v>0</v>
      </c>
      <c r="GL71" s="28" t="n">
        <v>0</v>
      </c>
      <c r="GM71" s="74" t="inlineStr"/>
      <c r="GN71" s="74" t="inlineStr"/>
      <c r="GO71" s="32" t="b">
        <v>0</v>
      </c>
      <c r="GP71" s="28" t="inlineStr"/>
      <c r="GQ71" s="74" t="inlineStr"/>
      <c r="GR71" s="28" t="inlineStr">
        <is>
          <t>Not Declared</t>
        </is>
      </c>
      <c r="GS71" s="28" t="b">
        <v>1</v>
      </c>
      <c r="GT71" s="28" t="n">
        <v>29.3</v>
      </c>
      <c r="GU71" s="28" t="inlineStr">
        <is>
          <t>Orphan</t>
        </is>
      </c>
      <c r="GV71" s="28" t="n">
        <v>0</v>
      </c>
      <c r="GW71" s="34" t="n">
        <v>0</v>
      </c>
      <c r="GX71" s="28" t="b">
        <v>0</v>
      </c>
      <c r="GY71" s="28" t="inlineStr">
        <is>
          <t>FAQ</t>
        </is>
      </c>
      <c r="GZ71" s="28" t="n">
        <v>9</v>
      </c>
      <c r="HA71" s="28" t="b">
        <v>0</v>
      </c>
      <c r="HB71" s="28" t="inlineStr">
        <is>
          <t>smoke, body, copy, intent, classification</t>
        </is>
      </c>
      <c r="HC71" s="28" t="b">
        <v>0</v>
      </c>
      <c r="HD71" s="28" t="b">
        <v>0</v>
      </c>
      <c r="HE71" s="28" t="b">
        <v>0</v>
      </c>
      <c r="HF71" s="34" t="n">
        <v>0</v>
      </c>
      <c r="HG71" s="28" t="b">
        <v>0</v>
      </c>
      <c r="HH71" s="28" t="b">
        <v>0</v>
      </c>
      <c r="HI71">
        <f>IFERROR(HYPERLINK("#'Technical Diagnostics'!A"&amp;MATCH(B71,'Technical Diagnostics'!A:A,0),"Open Technical"),HYPERLINK("#'Technical Diagnostics'!A1","Open Technical"))</f>
        <v/>
      </c>
    </row>
    <row r="72" ht="18" customHeight="1">
      <c r="A72" s="30" t="inlineStr">
        <is>
          <t>WARN 🟡</t>
        </is>
      </c>
      <c r="B72" s="37" t="inlineStr">
        <is>
          <t>https://africanmarketingconfederation.org/smoke-archive/page-69</t>
        </is>
      </c>
      <c r="C72" s="30" t="inlineStr"/>
      <c r="D72" s="30" t="inlineStr">
        <is>
          <t>Indexable</t>
        </is>
      </c>
      <c r="E72" s="30" t="inlineStr"/>
      <c r="F72" s="30" t="inlineStr">
        <is>
          <t>Smoke title 69</t>
        </is>
      </c>
      <c r="G72" s="30" t="inlineStr">
        <is>
          <t>Smoke meta description for page 69.</t>
        </is>
      </c>
      <c r="H72" s="30" t="n">
        <v>339</v>
      </c>
      <c r="I72" s="30" t="n">
        <v>80</v>
      </c>
      <c r="J72" s="30" t="inlineStr">
        <is>
          <t>Warning</t>
        </is>
      </c>
      <c r="K72" s="30" t="inlineStr">
        <is>
          <t>Yes</t>
        </is>
      </c>
      <c r="L72" s="30" t="inlineStr"/>
      <c r="M72" s="30" t="inlineStr"/>
      <c r="N72" s="30" t="inlineStr">
        <is>
          <t>Lab only</t>
        </is>
      </c>
      <c r="O72" s="30" t="inlineStr">
        <is>
          <t>None</t>
        </is>
      </c>
      <c r="P72" s="30" t="inlineStr">
        <is>
          <t>PSI Lab</t>
        </is>
      </c>
      <c r="Q72" s="30" t="inlineStr">
        <is>
          <t>None</t>
        </is>
      </c>
      <c r="R72" s="30" t="inlineStr"/>
      <c r="S72" s="30" t="inlineStr"/>
      <c r="T72" s="30" t="inlineStr"/>
      <c r="U72" s="30" t="inlineStr"/>
      <c r="V72" s="30" t="inlineStr"/>
      <c r="W72" s="30" t="inlineStr"/>
      <c r="X72" s="30" t="inlineStr"/>
      <c r="Y72" s="30" t="inlineStr"/>
      <c r="Z72" s="30" t="inlineStr"/>
      <c r="AA72" s="30" t="n">
        <v>88</v>
      </c>
      <c r="AB72" s="30" t="n">
        <v>88</v>
      </c>
      <c r="AC72" s="30" t="n">
        <v>88</v>
      </c>
      <c r="AD72" s="30" t="n">
        <v>85</v>
      </c>
      <c r="AE72" s="30" t="n">
        <v>82</v>
      </c>
      <c r="AF72" s="30" t="n">
        <v>92</v>
      </c>
      <c r="AG72" s="30" t="n">
        <v>2.4</v>
      </c>
      <c r="AH72" s="30" t="n">
        <v>0.04</v>
      </c>
      <c r="AI72" s="30" t="n">
        <v>0.4</v>
      </c>
      <c r="AJ72" s="30" t="n">
        <v>2.4</v>
      </c>
      <c r="AK72" s="30" t="n">
        <v>0.04</v>
      </c>
      <c r="AL72" s="30" t="n">
        <v>180</v>
      </c>
      <c r="AM72" s="30" t="n">
        <v>120</v>
      </c>
      <c r="AN72" s="30" t="n">
        <v>1.8</v>
      </c>
      <c r="AO72" s="30" t="n">
        <v>3.2</v>
      </c>
      <c r="AP72" s="30" t="n">
        <v>4.1</v>
      </c>
      <c r="AQ72" s="30" t="n">
        <v>400</v>
      </c>
      <c r="AR72" s="30" t="n">
        <v>88</v>
      </c>
      <c r="AS72" s="30" t="n">
        <v>85</v>
      </c>
      <c r="AT72" s="30" t="n">
        <v>82</v>
      </c>
      <c r="AU72" s="30" t="n">
        <v>92</v>
      </c>
      <c r="AV72" s="30" t="n">
        <v>2.4</v>
      </c>
      <c r="AW72" s="30" t="n">
        <v>0.04</v>
      </c>
      <c r="AX72" s="30" t="n">
        <v>180</v>
      </c>
      <c r="AY72" s="30" t="n">
        <v>120</v>
      </c>
      <c r="AZ72" s="30" t="n">
        <v>1.8</v>
      </c>
      <c r="BA72" s="30" t="n">
        <v>3.2</v>
      </c>
      <c r="BB72" s="30" t="n">
        <v>4.1</v>
      </c>
      <c r="BC72" s="30" t="n">
        <v>400</v>
      </c>
      <c r="BD72" s="30" t="n">
        <v>500</v>
      </c>
      <c r="BE72" s="30" t="n">
        <v>842</v>
      </c>
      <c r="BF72" s="30" t="n">
        <v>1250</v>
      </c>
      <c r="BG72" s="30" t="n">
        <v>1</v>
      </c>
      <c r="BH72" s="30" t="b">
        <v>1</v>
      </c>
      <c r="BI72" s="34" t="b">
        <v>1</v>
      </c>
      <c r="BJ72" s="30" t="b">
        <v>1</v>
      </c>
      <c r="BK72" s="30" t="b">
        <v>1</v>
      </c>
      <c r="BL72" s="30" t="b">
        <v>0</v>
      </c>
      <c r="BM72" s="30" t="n">
        <v>65</v>
      </c>
      <c r="BN72" s="30" t="inlineStr">
        <is>
          <t>complete</t>
        </is>
      </c>
      <c r="BO72" s="30" t="inlineStr">
        <is>
          <t>rendered_browser</t>
        </is>
      </c>
      <c r="BP72" s="30" t="b">
        <v>0</v>
      </c>
      <c r="BQ72" s="30" t="n">
        <v>0</v>
      </c>
      <c r="BR72" s="30" t="n">
        <v>0</v>
      </c>
      <c r="BS72" s="30" t="inlineStr"/>
      <c r="BT72" s="30" t="b">
        <v>0</v>
      </c>
      <c r="BU72" s="30" t="inlineStr"/>
      <c r="BV72" s="30" t="inlineStr"/>
      <c r="BW72" s="30" t="n">
        <v>0</v>
      </c>
      <c r="BX72" s="30" t="inlineStr"/>
      <c r="BY72" s="30" t="n">
        <v>0</v>
      </c>
      <c r="BZ72" s="30" t="inlineStr"/>
      <c r="CA72" s="30" t="n">
        <v>0</v>
      </c>
      <c r="CB72" s="30" t="inlineStr"/>
      <c r="CC72" s="30" t="n">
        <v>0</v>
      </c>
      <c r="CD72" s="30" t="inlineStr"/>
      <c r="CE72" s="30" t="n">
        <v>0</v>
      </c>
      <c r="CF72" s="30" t="inlineStr"/>
      <c r="CG72" s="30" t="n">
        <v>0</v>
      </c>
      <c r="CH72" s="30" t="inlineStr"/>
      <c r="CI72" s="30" t="inlineStr"/>
      <c r="CJ72" s="30" t="inlineStr"/>
      <c r="CK72" s="30" t="inlineStr"/>
      <c r="CL72" s="30" t="inlineStr">
        <is>
          <t>2026-06-01 to 2026-06-30 (30-day window; excludes today; typical GSC lag ~48h)</t>
        </is>
      </c>
      <c r="CM72" s="30" t="inlineStr">
        <is>
          <t>No Search Analytics row matched this URL in the 30-day export (compare Final URL with the page URL shown in GSC)</t>
        </is>
      </c>
      <c r="CN72" s="30" t="n">
        <v>-1</v>
      </c>
      <c r="CO72" s="30" t="b">
        <v>1</v>
      </c>
      <c r="CP72" s="30" t="n">
        <v>0.012048</v>
      </c>
      <c r="CQ72" s="30" t="b">
        <v>1</v>
      </c>
      <c r="CR72" s="30" t="b">
        <v>1</v>
      </c>
      <c r="CS72" s="30" t="inlineStr">
        <is>
          <t>Both</t>
        </is>
      </c>
      <c r="CT72" s="76" t="inlineStr"/>
      <c r="CU72" s="30" t="n">
        <v>70</v>
      </c>
      <c r="CV72" s="29">
        <f>IFERROR(INDEX(OFFSET('Technical Diagnostics'!$A$1,2,MATCH("SEO Health Score",'Technical Diagnostics'!$2:$2,0)-1,99998,1),MATCH(B72,OFFSET('Technical Diagnostics'!$A$1,2,MATCH("URL",'Technical Diagnostics'!$2:$2,0)-1,99998,1),0)),"")</f>
        <v/>
      </c>
      <c r="CW72" s="32" t="n">
        <v>100</v>
      </c>
      <c r="CX72" s="29" t="n">
        <v>85</v>
      </c>
      <c r="CY72" s="32" t="b">
        <v>1</v>
      </c>
      <c r="CZ72" s="30" t="b">
        <v>0</v>
      </c>
      <c r="DA72" s="30" t="inlineStr"/>
      <c r="DB72" s="30" t="inlineStr"/>
      <c r="DC72" s="30" t="inlineStr"/>
      <c r="DD72" s="30" t="n">
        <v>0</v>
      </c>
      <c r="DE72" s="30" t="n">
        <v>0</v>
      </c>
      <c r="DF72" s="30" t="inlineStr"/>
      <c r="DG72" s="30" t="inlineStr"/>
      <c r="DH72" s="30" t="inlineStr"/>
      <c r="DI72" s="30" t="n">
        <v>6</v>
      </c>
      <c r="DJ72" s="30" t="inlineStr">
        <is>
          <t>Author 69</t>
        </is>
      </c>
      <c r="DK72" s="30" t="inlineStr"/>
      <c r="DL72" s="30" t="b">
        <v>1</v>
      </c>
      <c r="DM72" s="30" t="inlineStr"/>
      <c r="DN72" s="30" t="inlineStr">
        <is>
          <t>2026-06-01</t>
        </is>
      </c>
      <c r="DO72" s="30" t="inlineStr"/>
      <c r="DP72" s="30" t="inlineStr">
        <is>
          <t>2026-06-01</t>
        </is>
      </c>
      <c r="DQ72" s="30" t="inlineStr"/>
      <c r="DR72" s="30" t="b">
        <v>0</v>
      </c>
      <c r="DS72" s="30" t="b">
        <v>1</v>
      </c>
      <c r="DT72" s="30" t="b">
        <v>1</v>
      </c>
      <c r="DU72" s="30" t="b">
        <v>0</v>
      </c>
      <c r="DV72" s="30" t="n">
        <v>0</v>
      </c>
      <c r="DW72" s="30" t="b">
        <v>0</v>
      </c>
      <c r="DX72" s="30" t="b">
        <v>0</v>
      </c>
      <c r="DY72" s="30" t="b">
        <v>0</v>
      </c>
      <c r="DZ72" s="30" t="b">
        <v>0</v>
      </c>
      <c r="EA72" s="32" t="b">
        <v>0</v>
      </c>
      <c r="EB72" s="30" t="b">
        <v>0</v>
      </c>
      <c r="EC72" s="30" t="inlineStr"/>
      <c r="ED72" s="30" t="inlineStr"/>
      <c r="EE72" s="30" t="b">
        <v>0</v>
      </c>
      <c r="EF72" s="30" t="inlineStr"/>
      <c r="EG72" s="30" t="inlineStr"/>
      <c r="EH72" s="30" t="inlineStr"/>
      <c r="EI72" s="30" t="inlineStr">
        <is>
          <t>2026-06-01</t>
        </is>
      </c>
      <c r="EJ72" s="30" t="inlineStr"/>
      <c r="EK72" s="30" t="inlineStr">
        <is>
          <t>Fresh</t>
        </is>
      </c>
      <c r="EL72" s="30" t="inlineStr">
        <is>
          <t>Smoke title 69</t>
        </is>
      </c>
      <c r="EM72" s="30" t="inlineStr">
        <is>
          <t>Smoke meta description for page 69.</t>
        </is>
      </c>
      <c r="EN72" s="30" t="inlineStr">
        <is>
          <t>article</t>
        </is>
      </c>
      <c r="EO72" s="76" t="inlineStr"/>
      <c r="EP72" s="76" t="inlineStr"/>
      <c r="EQ72" s="30" t="inlineStr"/>
      <c r="ER72" s="30" t="inlineStr"/>
      <c r="ES72" s="30" t="inlineStr"/>
      <c r="ET72" s="30" t="inlineStr"/>
      <c r="EU72" s="75" t="b">
        <v>0</v>
      </c>
      <c r="EV72" s="30" t="inlineStr">
        <is>
          <t>summary_large_image</t>
        </is>
      </c>
      <c r="EW72" s="30" t="inlineStr"/>
      <c r="EX72" s="30" t="inlineStr"/>
      <c r="EY72" s="30" t="inlineStr"/>
      <c r="EZ72" s="30" t="n">
        <v>0</v>
      </c>
      <c r="FA72" s="40" t="b">
        <v>0</v>
      </c>
      <c r="FB72" s="76" t="inlineStr">
        <is>
          <t>https://africanmarketingconfederation.org/smoke-archive/page-69</t>
        </is>
      </c>
      <c r="FC72" s="30" t="inlineStr"/>
      <c r="FD72" s="30" t="n">
        <v>0</v>
      </c>
      <c r="FE72" s="31" t="inlineStr"/>
      <c r="FF72" s="30" t="b">
        <v>0</v>
      </c>
      <c r="FG72" s="30" t="b">
        <v>0</v>
      </c>
      <c r="FH72" s="32" t="b">
        <v>0</v>
      </c>
      <c r="FI72" s="30" t="n">
        <v>0</v>
      </c>
      <c r="FJ72" s="30" t="inlineStr">
        <is>
          <t>https://africanmarketingconfederation.org/smoke-archive/page-69</t>
        </is>
      </c>
      <c r="FK72" s="30" t="inlineStr"/>
      <c r="FL72" s="32" t="b">
        <v>0</v>
      </c>
      <c r="FM72" s="30" t="b">
        <v>0</v>
      </c>
      <c r="FN72" s="32" t="b">
        <v>0</v>
      </c>
      <c r="FO72" s="30" t="inlineStr"/>
      <c r="FP72" s="30" t="inlineStr"/>
      <c r="FQ72" s="30" t="inlineStr"/>
      <c r="FR72" s="30" t="inlineStr"/>
      <c r="FS72" s="30" t="inlineStr"/>
      <c r="FT72" s="30" t="inlineStr"/>
      <c r="FU72" s="30" t="inlineStr">
        <is>
          <t>Not specified</t>
        </is>
      </c>
      <c r="FV72" s="30" t="inlineStr">
        <is>
          <t>Not specified</t>
        </is>
      </c>
      <c r="FW72" s="30" t="inlineStr">
        <is>
          <t>Not specified</t>
        </is>
      </c>
      <c r="FX72" s="30" t="inlineStr">
        <is>
          <t>Not specified</t>
        </is>
      </c>
      <c r="FY72" s="30" t="inlineStr">
        <is>
          <t>Not specified</t>
        </is>
      </c>
      <c r="FZ72" s="30" t="b">
        <v>0</v>
      </c>
      <c r="GA72" s="30" t="n">
        <v>0</v>
      </c>
      <c r="GB72" s="30" t="inlineStr"/>
      <c r="GC72" s="30" t="inlineStr"/>
      <c r="GD72" s="30" t="b">
        <v>0</v>
      </c>
      <c r="GE72" s="30" t="b">
        <v>0</v>
      </c>
      <c r="GF72" s="30" t="b">
        <v>0</v>
      </c>
      <c r="GG72" s="30" t="b">
        <v>0</v>
      </c>
      <c r="GH72" s="30" t="b">
        <v>0</v>
      </c>
      <c r="GI72" s="30" t="b">
        <v>0</v>
      </c>
      <c r="GJ72" s="30" t="n">
        <v>0</v>
      </c>
      <c r="GK72" s="30" t="n">
        <v>0</v>
      </c>
      <c r="GL72" s="30" t="n">
        <v>0</v>
      </c>
      <c r="GM72" s="76" t="inlineStr"/>
      <c r="GN72" s="76" t="inlineStr"/>
      <c r="GO72" s="32" t="b">
        <v>0</v>
      </c>
      <c r="GP72" s="30" t="inlineStr"/>
      <c r="GQ72" s="76" t="inlineStr"/>
      <c r="GR72" s="30" t="inlineStr">
        <is>
          <t>Not Declared</t>
        </is>
      </c>
      <c r="GS72" s="30" t="b">
        <v>1</v>
      </c>
      <c r="GT72" s="30" t="n">
        <v>81.7</v>
      </c>
      <c r="GU72" s="30" t="inlineStr">
        <is>
          <t>Orphan</t>
        </is>
      </c>
      <c r="GV72" s="30" t="n">
        <v>0</v>
      </c>
      <c r="GW72" s="34" t="n">
        <v>0</v>
      </c>
      <c r="GX72" s="30" t="b">
        <v>0</v>
      </c>
      <c r="GY72" s="30" t="inlineStr">
        <is>
          <t>FAQ</t>
        </is>
      </c>
      <c r="GZ72" s="30" t="n">
        <v>9</v>
      </c>
      <c r="HA72" s="30" t="b">
        <v>0</v>
      </c>
      <c r="HB72" s="30" t="inlineStr">
        <is>
          <t>smoke, body, copy, intent, classification</t>
        </is>
      </c>
      <c r="HC72" s="30" t="b">
        <v>0</v>
      </c>
      <c r="HD72" s="30" t="b">
        <v>0</v>
      </c>
      <c r="HE72" s="30" t="b">
        <v>0</v>
      </c>
      <c r="HF72" s="34" t="n">
        <v>0</v>
      </c>
      <c r="HG72" s="30" t="b">
        <v>0</v>
      </c>
      <c r="HH72" s="30" t="b">
        <v>0</v>
      </c>
      <c r="HI72" s="38">
        <f>IFERROR(HYPERLINK("#'Technical Diagnostics'!A"&amp;MATCH(B72,'Technical Diagnostics'!A:A,0),"Open Technical"),HYPERLINK("#'Technical Diagnostics'!A1","Open Technical"))</f>
        <v/>
      </c>
    </row>
    <row r="73" ht="18" customHeight="1">
      <c r="A73" s="28" t="inlineStr">
        <is>
          <t>WARN 🟡</t>
        </is>
      </c>
      <c r="B73" s="35" t="inlineStr">
        <is>
          <t>https://africanmarketingconfederation.org/smoke-archive/page-70</t>
        </is>
      </c>
      <c r="C73" s="28" t="inlineStr"/>
      <c r="D73" s="28" t="inlineStr">
        <is>
          <t>Indexable</t>
        </is>
      </c>
      <c r="E73" s="28" t="inlineStr"/>
      <c r="F73" s="28" t="inlineStr">
        <is>
          <t>Smoke title 70</t>
        </is>
      </c>
      <c r="G73" s="28" t="inlineStr"/>
      <c r="H73" s="28" t="n">
        <v>340</v>
      </c>
      <c r="I73" s="28" t="n">
        <v>50</v>
      </c>
      <c r="J73" s="28" t="inlineStr">
        <is>
          <t>Warning</t>
        </is>
      </c>
      <c r="K73" s="28" t="inlineStr">
        <is>
          <t>Yes</t>
        </is>
      </c>
      <c r="L73" s="28" t="inlineStr"/>
      <c r="M73" s="28" t="inlineStr"/>
      <c r="N73" s="28" t="inlineStr">
        <is>
          <t>Lab only</t>
        </is>
      </c>
      <c r="O73" s="28" t="inlineStr">
        <is>
          <t>None</t>
        </is>
      </c>
      <c r="P73" s="28" t="inlineStr">
        <is>
          <t>PSI Lab</t>
        </is>
      </c>
      <c r="Q73" s="28" t="inlineStr">
        <is>
          <t>None</t>
        </is>
      </c>
      <c r="R73" s="28" t="inlineStr"/>
      <c r="S73" s="28" t="inlineStr"/>
      <c r="T73" s="28" t="inlineStr"/>
      <c r="U73" s="28" t="inlineStr"/>
      <c r="V73" s="28" t="inlineStr"/>
      <c r="W73" s="28" t="inlineStr"/>
      <c r="X73" s="28" t="inlineStr"/>
      <c r="Y73" s="28" t="inlineStr"/>
      <c r="Z73" s="28" t="inlineStr"/>
      <c r="AA73" s="28" t="n">
        <v>88</v>
      </c>
      <c r="AB73" s="28" t="n">
        <v>88</v>
      </c>
      <c r="AC73" s="28" t="n">
        <v>88</v>
      </c>
      <c r="AD73" s="28" t="n">
        <v>85</v>
      </c>
      <c r="AE73" s="28" t="n">
        <v>82</v>
      </c>
      <c r="AF73" s="28" t="n">
        <v>92</v>
      </c>
      <c r="AG73" s="28" t="n">
        <v>2.4</v>
      </c>
      <c r="AH73" s="28" t="n">
        <v>0.04</v>
      </c>
      <c r="AI73" s="28" t="n">
        <v>0.4</v>
      </c>
      <c r="AJ73" s="28" t="n">
        <v>2.4</v>
      </c>
      <c r="AK73" s="28" t="n">
        <v>0.04</v>
      </c>
      <c r="AL73" s="28" t="n">
        <v>180</v>
      </c>
      <c r="AM73" s="28" t="n">
        <v>120</v>
      </c>
      <c r="AN73" s="28" t="n">
        <v>1.8</v>
      </c>
      <c r="AO73" s="28" t="n">
        <v>3.2</v>
      </c>
      <c r="AP73" s="28" t="n">
        <v>4.1</v>
      </c>
      <c r="AQ73" s="28" t="n">
        <v>400</v>
      </c>
      <c r="AR73" s="28" t="n">
        <v>88</v>
      </c>
      <c r="AS73" s="28" t="n">
        <v>85</v>
      </c>
      <c r="AT73" s="28" t="n">
        <v>82</v>
      </c>
      <c r="AU73" s="28" t="n">
        <v>92</v>
      </c>
      <c r="AV73" s="28" t="n">
        <v>2.4</v>
      </c>
      <c r="AW73" s="28" t="n">
        <v>0.04</v>
      </c>
      <c r="AX73" s="28" t="n">
        <v>180</v>
      </c>
      <c r="AY73" s="28" t="n">
        <v>120</v>
      </c>
      <c r="AZ73" s="28" t="n">
        <v>1.8</v>
      </c>
      <c r="BA73" s="28" t="n">
        <v>3.2</v>
      </c>
      <c r="BB73" s="28" t="n">
        <v>4.1</v>
      </c>
      <c r="BC73" s="28" t="n">
        <v>400</v>
      </c>
      <c r="BD73" s="28" t="n">
        <v>500</v>
      </c>
      <c r="BE73" s="28" t="n">
        <v>842</v>
      </c>
      <c r="BF73" s="28" t="n">
        <v>1250</v>
      </c>
      <c r="BG73" s="28" t="n">
        <v>1</v>
      </c>
      <c r="BH73" s="28" t="b">
        <v>1</v>
      </c>
      <c r="BI73" s="34" t="b">
        <v>1</v>
      </c>
      <c r="BJ73" s="28" t="b">
        <v>1</v>
      </c>
      <c r="BK73" s="28" t="b">
        <v>1</v>
      </c>
      <c r="BL73" s="28" t="b">
        <v>0</v>
      </c>
      <c r="BM73" s="28" t="n">
        <v>65</v>
      </c>
      <c r="BN73" s="28" t="inlineStr">
        <is>
          <t>complete</t>
        </is>
      </c>
      <c r="BO73" s="28" t="inlineStr">
        <is>
          <t>rendered_browser</t>
        </is>
      </c>
      <c r="BP73" s="28" t="b">
        <v>0</v>
      </c>
      <c r="BQ73" s="28" t="n">
        <v>0</v>
      </c>
      <c r="BR73" s="28" t="n">
        <v>0</v>
      </c>
      <c r="BS73" s="28" t="inlineStr"/>
      <c r="BT73" s="28" t="b">
        <v>0</v>
      </c>
      <c r="BU73" s="28" t="inlineStr"/>
      <c r="BV73" s="28" t="inlineStr"/>
      <c r="BW73" s="28" t="n">
        <v>0</v>
      </c>
      <c r="BX73" s="28" t="inlineStr"/>
      <c r="BY73" s="28" t="n">
        <v>0</v>
      </c>
      <c r="BZ73" s="28" t="inlineStr"/>
      <c r="CA73" s="28" t="n">
        <v>0</v>
      </c>
      <c r="CB73" s="28" t="inlineStr"/>
      <c r="CC73" s="28" t="n">
        <v>0</v>
      </c>
      <c r="CD73" s="28" t="inlineStr"/>
      <c r="CE73" s="28" t="n">
        <v>0</v>
      </c>
      <c r="CF73" s="28" t="inlineStr"/>
      <c r="CG73" s="28" t="n">
        <v>0</v>
      </c>
      <c r="CH73" s="28" t="inlineStr"/>
      <c r="CI73" s="28" t="inlineStr"/>
      <c r="CJ73" s="28" t="inlineStr"/>
      <c r="CK73" s="28" t="inlineStr"/>
      <c r="CL73" s="28" t="inlineStr">
        <is>
          <t>2026-06-01 to 2026-06-30 (30-day window; excludes today; typical GSC lag ~48h)</t>
        </is>
      </c>
      <c r="CM73" s="28" t="inlineStr">
        <is>
          <t>No Search Analytics row matched this URL in the 30-day export (compare Final URL with the page URL shown in GSC)</t>
        </is>
      </c>
      <c r="CN73" s="28" t="n">
        <v>-1</v>
      </c>
      <c r="CO73" s="28" t="b">
        <v>1</v>
      </c>
      <c r="CP73" s="28" t="n">
        <v>0.012048</v>
      </c>
      <c r="CQ73" s="28" t="b">
        <v>1</v>
      </c>
      <c r="CR73" s="28" t="b">
        <v>1</v>
      </c>
      <c r="CS73" s="28" t="inlineStr">
        <is>
          <t>Both</t>
        </is>
      </c>
      <c r="CT73" s="74" t="inlineStr"/>
      <c r="CU73" s="28" t="n">
        <v>71</v>
      </c>
      <c r="CV73" s="34">
        <f>IFERROR(INDEX(OFFSET('Technical Diagnostics'!$A$1,2,MATCH("SEO Health Score",'Technical Diagnostics'!$2:$2,0)-1,99998,1),MATCH(B73,OFFSET('Technical Diagnostics'!$A$1,2,MATCH("URL",'Technical Diagnostics'!$2:$2,0)-1,99998,1),0)),"")</f>
        <v/>
      </c>
      <c r="CW73" s="29" t="n">
        <v>80</v>
      </c>
      <c r="CX73" s="34" t="n">
        <v>57.5</v>
      </c>
      <c r="CY73" s="32" t="b">
        <v>1</v>
      </c>
      <c r="CZ73" s="28" t="b">
        <v>0</v>
      </c>
      <c r="DA73" s="28" t="inlineStr"/>
      <c r="DB73" s="28" t="inlineStr"/>
      <c r="DC73" s="28" t="inlineStr"/>
      <c r="DD73" s="28" t="n">
        <v>0</v>
      </c>
      <c r="DE73" s="28" t="n">
        <v>0</v>
      </c>
      <c r="DF73" s="28" t="inlineStr"/>
      <c r="DG73" s="28" t="inlineStr"/>
      <c r="DH73" s="28" t="inlineStr"/>
      <c r="DI73" s="28" t="n">
        <v>2</v>
      </c>
      <c r="DJ73" s="28" t="inlineStr"/>
      <c r="DK73" s="28" t="inlineStr"/>
      <c r="DL73" s="28" t="b">
        <v>0</v>
      </c>
      <c r="DM73" s="28" t="inlineStr"/>
      <c r="DN73" s="28" t="inlineStr">
        <is>
          <t>2026-06-01</t>
        </is>
      </c>
      <c r="DO73" s="28" t="inlineStr"/>
      <c r="DP73" s="28" t="inlineStr">
        <is>
          <t>2026-06-01</t>
        </is>
      </c>
      <c r="DQ73" s="28" t="inlineStr"/>
      <c r="DR73" s="28" t="b">
        <v>0</v>
      </c>
      <c r="DS73" s="28" t="b">
        <v>1</v>
      </c>
      <c r="DT73" s="28" t="b">
        <v>1</v>
      </c>
      <c r="DU73" s="28" t="b">
        <v>0</v>
      </c>
      <c r="DV73" s="28" t="n">
        <v>0</v>
      </c>
      <c r="DW73" s="28" t="b">
        <v>0</v>
      </c>
      <c r="DX73" s="28" t="b">
        <v>0</v>
      </c>
      <c r="DY73" s="28" t="b">
        <v>0</v>
      </c>
      <c r="DZ73" s="28" t="b">
        <v>0</v>
      </c>
      <c r="EA73" s="32" t="b">
        <v>0</v>
      </c>
      <c r="EB73" s="28" t="b">
        <v>0</v>
      </c>
      <c r="EC73" s="28" t="inlineStr"/>
      <c r="ED73" s="28" t="inlineStr"/>
      <c r="EE73" s="28" t="b">
        <v>0</v>
      </c>
      <c r="EF73" s="28" t="inlineStr"/>
      <c r="EG73" s="28" t="inlineStr"/>
      <c r="EH73" s="28" t="inlineStr"/>
      <c r="EI73" s="28" t="inlineStr"/>
      <c r="EJ73" s="28" t="inlineStr"/>
      <c r="EK73" s="28" t="inlineStr">
        <is>
          <t>Fresh</t>
        </is>
      </c>
      <c r="EL73" s="28" t="inlineStr">
        <is>
          <t>Smoke title 70</t>
        </is>
      </c>
      <c r="EM73" s="28" t="inlineStr"/>
      <c r="EN73" s="28" t="inlineStr">
        <is>
          <t>article</t>
        </is>
      </c>
      <c r="EO73" s="74" t="inlineStr"/>
      <c r="EP73" s="74" t="inlineStr"/>
      <c r="EQ73" s="28" t="inlineStr"/>
      <c r="ER73" s="28" t="inlineStr"/>
      <c r="ES73" s="28" t="inlineStr"/>
      <c r="ET73" s="28" t="inlineStr"/>
      <c r="EU73" s="75" t="b">
        <v>0</v>
      </c>
      <c r="EV73" s="28" t="inlineStr">
        <is>
          <t>summary_large_image</t>
        </is>
      </c>
      <c r="EW73" s="28" t="inlineStr"/>
      <c r="EX73" s="28" t="inlineStr"/>
      <c r="EY73" s="28" t="inlineStr"/>
      <c r="EZ73" s="28" t="n">
        <v>0</v>
      </c>
      <c r="FA73" s="40" t="b">
        <v>0</v>
      </c>
      <c r="FB73" s="74" t="inlineStr">
        <is>
          <t>https://africanmarketingconfederation.org/smoke-archive/page-70</t>
        </is>
      </c>
      <c r="FC73" s="28" t="inlineStr"/>
      <c r="FD73" s="28" t="n">
        <v>0</v>
      </c>
      <c r="FE73" s="20" t="inlineStr"/>
      <c r="FF73" s="28" t="b">
        <v>0</v>
      </c>
      <c r="FG73" s="28" t="b">
        <v>0</v>
      </c>
      <c r="FH73" s="32" t="b">
        <v>0</v>
      </c>
      <c r="FI73" s="28" t="n">
        <v>0</v>
      </c>
      <c r="FJ73" s="28" t="inlineStr">
        <is>
          <t>https://africanmarketingconfederation.org/smoke-archive/page-70</t>
        </is>
      </c>
      <c r="FK73" s="28" t="inlineStr"/>
      <c r="FL73" s="32" t="b">
        <v>0</v>
      </c>
      <c r="FM73" s="28" t="b">
        <v>0</v>
      </c>
      <c r="FN73" s="32" t="b">
        <v>0</v>
      </c>
      <c r="FO73" s="28" t="inlineStr"/>
      <c r="FP73" s="28" t="inlineStr"/>
      <c r="FQ73" s="28" t="inlineStr"/>
      <c r="FR73" s="28" t="inlineStr"/>
      <c r="FS73" s="28" t="inlineStr"/>
      <c r="FT73" s="28" t="inlineStr"/>
      <c r="FU73" s="28" t="inlineStr">
        <is>
          <t>Not specified</t>
        </is>
      </c>
      <c r="FV73" s="28" t="inlineStr">
        <is>
          <t>Not specified</t>
        </is>
      </c>
      <c r="FW73" s="28" t="inlineStr">
        <is>
          <t>Not specified</t>
        </is>
      </c>
      <c r="FX73" s="28" t="inlineStr">
        <is>
          <t>Not specified</t>
        </is>
      </c>
      <c r="FY73" s="28" t="inlineStr">
        <is>
          <t>Not specified</t>
        </is>
      </c>
      <c r="FZ73" s="28" t="b">
        <v>0</v>
      </c>
      <c r="GA73" s="28" t="n">
        <v>0</v>
      </c>
      <c r="GB73" s="28" t="inlineStr"/>
      <c r="GC73" s="28" t="inlineStr"/>
      <c r="GD73" s="28" t="b">
        <v>0</v>
      </c>
      <c r="GE73" s="28" t="b">
        <v>0</v>
      </c>
      <c r="GF73" s="28" t="b">
        <v>0</v>
      </c>
      <c r="GG73" s="28" t="b">
        <v>0</v>
      </c>
      <c r="GH73" s="28" t="b">
        <v>0</v>
      </c>
      <c r="GI73" s="28" t="b">
        <v>0</v>
      </c>
      <c r="GJ73" s="28" t="n">
        <v>0</v>
      </c>
      <c r="GK73" s="28" t="n">
        <v>0</v>
      </c>
      <c r="GL73" s="28" t="n">
        <v>0</v>
      </c>
      <c r="GM73" s="74" t="inlineStr"/>
      <c r="GN73" s="74" t="inlineStr"/>
      <c r="GO73" s="32" t="b">
        <v>0</v>
      </c>
      <c r="GP73" s="28" t="inlineStr"/>
      <c r="GQ73" s="74" t="inlineStr"/>
      <c r="GR73" s="28" t="inlineStr">
        <is>
          <t>Not Declared</t>
        </is>
      </c>
      <c r="GS73" s="28" t="b">
        <v>1</v>
      </c>
      <c r="GT73" s="28" t="n">
        <v>15.9</v>
      </c>
      <c r="GU73" s="28" t="inlineStr">
        <is>
          <t>Orphan</t>
        </is>
      </c>
      <c r="GV73" s="28" t="n">
        <v>0</v>
      </c>
      <c r="GW73" s="34" t="n">
        <v>0</v>
      </c>
      <c r="GX73" s="28" t="b">
        <v>0</v>
      </c>
      <c r="GY73" s="28" t="inlineStr">
        <is>
          <t>FAQ</t>
        </is>
      </c>
      <c r="GZ73" s="28" t="n">
        <v>9</v>
      </c>
      <c r="HA73" s="28" t="b">
        <v>0</v>
      </c>
      <c r="HB73" s="28" t="inlineStr">
        <is>
          <t>smoke, body, copy, intent, classification</t>
        </is>
      </c>
      <c r="HC73" s="28" t="b">
        <v>0</v>
      </c>
      <c r="HD73" s="28" t="b">
        <v>0</v>
      </c>
      <c r="HE73" s="28" t="b">
        <v>0</v>
      </c>
      <c r="HF73" s="34" t="n">
        <v>0</v>
      </c>
      <c r="HG73" s="28" t="b">
        <v>0</v>
      </c>
      <c r="HH73" s="28" t="b">
        <v>0</v>
      </c>
      <c r="HI73">
        <f>IFERROR(HYPERLINK("#'Technical Diagnostics'!A"&amp;MATCH(B73,'Technical Diagnostics'!A:A,0),"Open Technical"),HYPERLINK("#'Technical Diagnostics'!A1","Open Technical"))</f>
        <v/>
      </c>
    </row>
    <row r="74" ht="18" customHeight="1">
      <c r="A74" s="30" t="inlineStr">
        <is>
          <t>WARN 🟡</t>
        </is>
      </c>
      <c r="B74" s="37" t="inlineStr">
        <is>
          <t>https://africanmarketingconfederation.org/smoke-archive/page-71</t>
        </is>
      </c>
      <c r="C74" s="30" t="inlineStr"/>
      <c r="D74" s="30" t="inlineStr">
        <is>
          <t>Indexable</t>
        </is>
      </c>
      <c r="E74" s="30" t="inlineStr"/>
      <c r="F74" s="30" t="inlineStr">
        <is>
          <t>Smoke title 71</t>
        </is>
      </c>
      <c r="G74" s="30" t="inlineStr">
        <is>
          <t>Smoke meta description for page 71.</t>
        </is>
      </c>
      <c r="H74" s="30" t="n">
        <v>341</v>
      </c>
      <c r="I74" s="30" t="n">
        <v>80</v>
      </c>
      <c r="J74" s="30" t="inlineStr">
        <is>
          <t>Warning</t>
        </is>
      </c>
      <c r="K74" s="30" t="inlineStr">
        <is>
          <t>Yes</t>
        </is>
      </c>
      <c r="L74" s="30" t="inlineStr"/>
      <c r="M74" s="30" t="inlineStr"/>
      <c r="N74" s="30" t="inlineStr">
        <is>
          <t>Lab only</t>
        </is>
      </c>
      <c r="O74" s="30" t="inlineStr">
        <is>
          <t>None</t>
        </is>
      </c>
      <c r="P74" s="30" t="inlineStr">
        <is>
          <t>PSI Lab</t>
        </is>
      </c>
      <c r="Q74" s="30" t="inlineStr">
        <is>
          <t>None</t>
        </is>
      </c>
      <c r="R74" s="30" t="inlineStr"/>
      <c r="S74" s="30" t="inlineStr"/>
      <c r="T74" s="30" t="inlineStr"/>
      <c r="U74" s="30" t="inlineStr"/>
      <c r="V74" s="30" t="inlineStr"/>
      <c r="W74" s="30" t="inlineStr"/>
      <c r="X74" s="30" t="inlineStr"/>
      <c r="Y74" s="30" t="inlineStr"/>
      <c r="Z74" s="30" t="inlineStr"/>
      <c r="AA74" s="30" t="n">
        <v>88</v>
      </c>
      <c r="AB74" s="30" t="n">
        <v>88</v>
      </c>
      <c r="AC74" s="30" t="n">
        <v>88</v>
      </c>
      <c r="AD74" s="30" t="n">
        <v>85</v>
      </c>
      <c r="AE74" s="30" t="n">
        <v>82</v>
      </c>
      <c r="AF74" s="30" t="n">
        <v>92</v>
      </c>
      <c r="AG74" s="30" t="n">
        <v>2.4</v>
      </c>
      <c r="AH74" s="30" t="n">
        <v>0.04</v>
      </c>
      <c r="AI74" s="30" t="n">
        <v>0.4</v>
      </c>
      <c r="AJ74" s="30" t="n">
        <v>2.4</v>
      </c>
      <c r="AK74" s="30" t="n">
        <v>0.04</v>
      </c>
      <c r="AL74" s="30" t="n">
        <v>180</v>
      </c>
      <c r="AM74" s="30" t="n">
        <v>120</v>
      </c>
      <c r="AN74" s="30" t="n">
        <v>1.8</v>
      </c>
      <c r="AO74" s="30" t="n">
        <v>3.2</v>
      </c>
      <c r="AP74" s="30" t="n">
        <v>4.1</v>
      </c>
      <c r="AQ74" s="30" t="n">
        <v>400</v>
      </c>
      <c r="AR74" s="30" t="n">
        <v>88</v>
      </c>
      <c r="AS74" s="30" t="n">
        <v>85</v>
      </c>
      <c r="AT74" s="30" t="n">
        <v>82</v>
      </c>
      <c r="AU74" s="30" t="n">
        <v>92</v>
      </c>
      <c r="AV74" s="30" t="n">
        <v>2.4</v>
      </c>
      <c r="AW74" s="30" t="n">
        <v>0.04</v>
      </c>
      <c r="AX74" s="30" t="n">
        <v>180</v>
      </c>
      <c r="AY74" s="30" t="n">
        <v>120</v>
      </c>
      <c r="AZ74" s="30" t="n">
        <v>1.8</v>
      </c>
      <c r="BA74" s="30" t="n">
        <v>3.2</v>
      </c>
      <c r="BB74" s="30" t="n">
        <v>4.1</v>
      </c>
      <c r="BC74" s="30" t="n">
        <v>400</v>
      </c>
      <c r="BD74" s="30" t="n">
        <v>500</v>
      </c>
      <c r="BE74" s="30" t="n">
        <v>842</v>
      </c>
      <c r="BF74" s="30" t="n">
        <v>1250</v>
      </c>
      <c r="BG74" s="30" t="n">
        <v>1</v>
      </c>
      <c r="BH74" s="30" t="b">
        <v>1</v>
      </c>
      <c r="BI74" s="34" t="b">
        <v>1</v>
      </c>
      <c r="BJ74" s="30" t="b">
        <v>1</v>
      </c>
      <c r="BK74" s="30" t="b">
        <v>1</v>
      </c>
      <c r="BL74" s="30" t="b">
        <v>0</v>
      </c>
      <c r="BM74" s="30" t="n">
        <v>65</v>
      </c>
      <c r="BN74" s="30" t="inlineStr">
        <is>
          <t>complete</t>
        </is>
      </c>
      <c r="BO74" s="30" t="inlineStr">
        <is>
          <t>rendered_browser</t>
        </is>
      </c>
      <c r="BP74" s="30" t="b">
        <v>0</v>
      </c>
      <c r="BQ74" s="30" t="n">
        <v>0</v>
      </c>
      <c r="BR74" s="30" t="n">
        <v>0</v>
      </c>
      <c r="BS74" s="30" t="inlineStr"/>
      <c r="BT74" s="30" t="b">
        <v>0</v>
      </c>
      <c r="BU74" s="30" t="inlineStr"/>
      <c r="BV74" s="30" t="inlineStr"/>
      <c r="BW74" s="30" t="n">
        <v>0</v>
      </c>
      <c r="BX74" s="30" t="inlineStr"/>
      <c r="BY74" s="30" t="n">
        <v>0</v>
      </c>
      <c r="BZ74" s="30" t="inlineStr"/>
      <c r="CA74" s="30" t="n">
        <v>0</v>
      </c>
      <c r="CB74" s="30" t="inlineStr"/>
      <c r="CC74" s="30" t="n">
        <v>0</v>
      </c>
      <c r="CD74" s="30" t="inlineStr"/>
      <c r="CE74" s="30" t="n">
        <v>0</v>
      </c>
      <c r="CF74" s="30" t="inlineStr"/>
      <c r="CG74" s="30" t="n">
        <v>0</v>
      </c>
      <c r="CH74" s="30" t="inlineStr"/>
      <c r="CI74" s="30" t="inlineStr"/>
      <c r="CJ74" s="30" t="inlineStr"/>
      <c r="CK74" s="30" t="inlineStr"/>
      <c r="CL74" s="30" t="inlineStr">
        <is>
          <t>2026-06-01 to 2026-06-30 (30-day window; excludes today; typical GSC lag ~48h)</t>
        </is>
      </c>
      <c r="CM74" s="30" t="inlineStr">
        <is>
          <t>No Search Analytics row matched this URL in the 30-day export (compare Final URL with the page URL shown in GSC)</t>
        </is>
      </c>
      <c r="CN74" s="30" t="n">
        <v>-1</v>
      </c>
      <c r="CO74" s="30" t="b">
        <v>1</v>
      </c>
      <c r="CP74" s="30" t="n">
        <v>0.012048</v>
      </c>
      <c r="CQ74" s="30" t="b">
        <v>1</v>
      </c>
      <c r="CR74" s="30" t="b">
        <v>1</v>
      </c>
      <c r="CS74" s="30" t="inlineStr">
        <is>
          <t>Both</t>
        </is>
      </c>
      <c r="CT74" s="76" t="inlineStr"/>
      <c r="CU74" s="30" t="n">
        <v>72</v>
      </c>
      <c r="CV74" s="29">
        <f>IFERROR(INDEX(OFFSET('Technical Diagnostics'!$A$1,2,MATCH("SEO Health Score",'Technical Diagnostics'!$2:$2,0)-1,99998,1),MATCH(B74,OFFSET('Technical Diagnostics'!$A$1,2,MATCH("URL",'Technical Diagnostics'!$2:$2,0)-1,99998,1),0)),"")</f>
        <v/>
      </c>
      <c r="CW74" s="32" t="n">
        <v>100</v>
      </c>
      <c r="CX74" s="29" t="n">
        <v>85</v>
      </c>
      <c r="CY74" s="32" t="b">
        <v>1</v>
      </c>
      <c r="CZ74" s="30" t="b">
        <v>0</v>
      </c>
      <c r="DA74" s="30" t="inlineStr"/>
      <c r="DB74" s="30" t="inlineStr"/>
      <c r="DC74" s="30" t="inlineStr"/>
      <c r="DD74" s="30" t="n">
        <v>0</v>
      </c>
      <c r="DE74" s="30" t="n">
        <v>0</v>
      </c>
      <c r="DF74" s="30" t="inlineStr"/>
      <c r="DG74" s="30" t="inlineStr"/>
      <c r="DH74" s="30" t="inlineStr"/>
      <c r="DI74" s="30" t="n">
        <v>6</v>
      </c>
      <c r="DJ74" s="30" t="inlineStr">
        <is>
          <t>Author 71</t>
        </is>
      </c>
      <c r="DK74" s="30" t="inlineStr"/>
      <c r="DL74" s="30" t="b">
        <v>1</v>
      </c>
      <c r="DM74" s="30" t="inlineStr"/>
      <c r="DN74" s="30" t="inlineStr">
        <is>
          <t>2026-06-01</t>
        </is>
      </c>
      <c r="DO74" s="30" t="inlineStr"/>
      <c r="DP74" s="30" t="inlineStr">
        <is>
          <t>2026-06-01</t>
        </is>
      </c>
      <c r="DQ74" s="30" t="inlineStr"/>
      <c r="DR74" s="30" t="b">
        <v>0</v>
      </c>
      <c r="DS74" s="30" t="b">
        <v>1</v>
      </c>
      <c r="DT74" s="30" t="b">
        <v>1</v>
      </c>
      <c r="DU74" s="30" t="b">
        <v>0</v>
      </c>
      <c r="DV74" s="30" t="n">
        <v>0</v>
      </c>
      <c r="DW74" s="30" t="b">
        <v>0</v>
      </c>
      <c r="DX74" s="30" t="b">
        <v>0</v>
      </c>
      <c r="DY74" s="30" t="b">
        <v>0</v>
      </c>
      <c r="DZ74" s="30" t="b">
        <v>0</v>
      </c>
      <c r="EA74" s="32" t="b">
        <v>0</v>
      </c>
      <c r="EB74" s="30" t="b">
        <v>0</v>
      </c>
      <c r="EC74" s="30" t="inlineStr"/>
      <c r="ED74" s="30" t="inlineStr"/>
      <c r="EE74" s="30" t="b">
        <v>0</v>
      </c>
      <c r="EF74" s="30" t="inlineStr"/>
      <c r="EG74" s="30" t="inlineStr"/>
      <c r="EH74" s="30" t="inlineStr"/>
      <c r="EI74" s="30" t="inlineStr"/>
      <c r="EJ74" s="30" t="inlineStr"/>
      <c r="EK74" s="30" t="inlineStr">
        <is>
          <t>Fresh</t>
        </is>
      </c>
      <c r="EL74" s="30" t="inlineStr">
        <is>
          <t>Smoke title 71</t>
        </is>
      </c>
      <c r="EM74" s="30" t="inlineStr">
        <is>
          <t>Smoke meta description for page 71.</t>
        </is>
      </c>
      <c r="EN74" s="30" t="inlineStr">
        <is>
          <t>article</t>
        </is>
      </c>
      <c r="EO74" s="76" t="inlineStr"/>
      <c r="EP74" s="76" t="inlineStr"/>
      <c r="EQ74" s="30" t="inlineStr"/>
      <c r="ER74" s="30" t="inlineStr"/>
      <c r="ES74" s="30" t="inlineStr"/>
      <c r="ET74" s="30" t="inlineStr"/>
      <c r="EU74" s="75" t="b">
        <v>0</v>
      </c>
      <c r="EV74" s="30" t="inlineStr">
        <is>
          <t>summary_large_image</t>
        </is>
      </c>
      <c r="EW74" s="30" t="inlineStr"/>
      <c r="EX74" s="30" t="inlineStr"/>
      <c r="EY74" s="30" t="inlineStr"/>
      <c r="EZ74" s="30" t="n">
        <v>0</v>
      </c>
      <c r="FA74" s="40" t="b">
        <v>0</v>
      </c>
      <c r="FB74" s="76" t="inlineStr">
        <is>
          <t>https://africanmarketingconfederation.org/smoke-archive/page-71</t>
        </is>
      </c>
      <c r="FC74" s="30" t="inlineStr"/>
      <c r="FD74" s="30" t="n">
        <v>0</v>
      </c>
      <c r="FE74" s="31" t="inlineStr"/>
      <c r="FF74" s="30" t="b">
        <v>0</v>
      </c>
      <c r="FG74" s="30" t="b">
        <v>0</v>
      </c>
      <c r="FH74" s="32" t="b">
        <v>0</v>
      </c>
      <c r="FI74" s="30" t="n">
        <v>0</v>
      </c>
      <c r="FJ74" s="30" t="inlineStr">
        <is>
          <t>https://africanmarketingconfederation.org/smoke-archive/page-71</t>
        </is>
      </c>
      <c r="FK74" s="30" t="inlineStr"/>
      <c r="FL74" s="32" t="b">
        <v>0</v>
      </c>
      <c r="FM74" s="30" t="b">
        <v>0</v>
      </c>
      <c r="FN74" s="32" t="b">
        <v>0</v>
      </c>
      <c r="FO74" s="30" t="inlineStr"/>
      <c r="FP74" s="30" t="inlineStr"/>
      <c r="FQ74" s="30" t="inlineStr"/>
      <c r="FR74" s="30" t="inlineStr"/>
      <c r="FS74" s="30" t="inlineStr"/>
      <c r="FT74" s="30" t="inlineStr"/>
      <c r="FU74" s="30" t="inlineStr">
        <is>
          <t>Not specified</t>
        </is>
      </c>
      <c r="FV74" s="30" t="inlineStr">
        <is>
          <t>Not specified</t>
        </is>
      </c>
      <c r="FW74" s="30" t="inlineStr">
        <is>
          <t>Not specified</t>
        </is>
      </c>
      <c r="FX74" s="30" t="inlineStr">
        <is>
          <t>Not specified</t>
        </is>
      </c>
      <c r="FY74" s="30" t="inlineStr">
        <is>
          <t>Not specified</t>
        </is>
      </c>
      <c r="FZ74" s="30" t="b">
        <v>0</v>
      </c>
      <c r="GA74" s="30" t="n">
        <v>0</v>
      </c>
      <c r="GB74" s="30" t="inlineStr"/>
      <c r="GC74" s="30" t="inlineStr"/>
      <c r="GD74" s="30" t="b">
        <v>0</v>
      </c>
      <c r="GE74" s="30" t="b">
        <v>0</v>
      </c>
      <c r="GF74" s="30" t="b">
        <v>0</v>
      </c>
      <c r="GG74" s="30" t="b">
        <v>0</v>
      </c>
      <c r="GH74" s="30" t="b">
        <v>0</v>
      </c>
      <c r="GI74" s="30" t="b">
        <v>0</v>
      </c>
      <c r="GJ74" s="30" t="n">
        <v>0</v>
      </c>
      <c r="GK74" s="30" t="n">
        <v>0</v>
      </c>
      <c r="GL74" s="30" t="n">
        <v>0</v>
      </c>
      <c r="GM74" s="76" t="inlineStr"/>
      <c r="GN74" s="76" t="inlineStr"/>
      <c r="GO74" s="32" t="b">
        <v>0</v>
      </c>
      <c r="GP74" s="30" t="inlineStr"/>
      <c r="GQ74" s="76" t="inlineStr"/>
      <c r="GR74" s="30" t="inlineStr">
        <is>
          <t>Not Declared</t>
        </is>
      </c>
      <c r="GS74" s="30" t="b">
        <v>1</v>
      </c>
      <c r="GT74" s="30" t="n">
        <v>43.9</v>
      </c>
      <c r="GU74" s="30" t="inlineStr">
        <is>
          <t>Orphan</t>
        </is>
      </c>
      <c r="GV74" s="30" t="n">
        <v>0</v>
      </c>
      <c r="GW74" s="34" t="n">
        <v>0</v>
      </c>
      <c r="GX74" s="30" t="b">
        <v>0</v>
      </c>
      <c r="GY74" s="30" t="inlineStr">
        <is>
          <t>FAQ</t>
        </is>
      </c>
      <c r="GZ74" s="30" t="n">
        <v>9</v>
      </c>
      <c r="HA74" s="30" t="b">
        <v>0</v>
      </c>
      <c r="HB74" s="30" t="inlineStr">
        <is>
          <t>smoke, body, copy, intent, classification</t>
        </is>
      </c>
      <c r="HC74" s="30" t="b">
        <v>0</v>
      </c>
      <c r="HD74" s="30" t="b">
        <v>0</v>
      </c>
      <c r="HE74" s="30" t="b">
        <v>0</v>
      </c>
      <c r="HF74" s="34" t="n">
        <v>0</v>
      </c>
      <c r="HG74" s="30" t="b">
        <v>0</v>
      </c>
      <c r="HH74" s="30" t="b">
        <v>0</v>
      </c>
      <c r="HI74" s="38">
        <f>IFERROR(HYPERLINK("#'Technical Diagnostics'!A"&amp;MATCH(B74,'Technical Diagnostics'!A:A,0),"Open Technical"),HYPERLINK("#'Technical Diagnostics'!A1","Open Technical"))</f>
        <v/>
      </c>
    </row>
    <row r="75" ht="18" customHeight="1">
      <c r="A75" s="28" t="inlineStr">
        <is>
          <t>FAIL 🔴</t>
        </is>
      </c>
      <c r="B75" s="35" t="inlineStr">
        <is>
          <t>https://africanmarketingconfederation.org/smoke-archive/page-72</t>
        </is>
      </c>
      <c r="C75" s="28" t="inlineStr"/>
      <c r="D75" s="28" t="inlineStr">
        <is>
          <t>Indexable</t>
        </is>
      </c>
      <c r="E75" s="28" t="inlineStr"/>
      <c r="F75" s="28" t="inlineStr">
        <is>
          <t>Smoke title 72</t>
        </is>
      </c>
      <c r="G75" s="28" t="inlineStr">
        <is>
          <t>Smoke meta description for page 72.</t>
        </is>
      </c>
      <c r="H75" s="28" t="n">
        <v>342</v>
      </c>
      <c r="I75" s="28" t="n">
        <v>35</v>
      </c>
      <c r="J75" s="28" t="inlineStr">
        <is>
          <t>Critical</t>
        </is>
      </c>
      <c r="K75" s="28" t="inlineStr">
        <is>
          <t>Yes</t>
        </is>
      </c>
      <c r="L75" s="28" t="inlineStr"/>
      <c r="M75" s="28" t="inlineStr"/>
      <c r="N75" s="28" t="inlineStr">
        <is>
          <t>Lab only</t>
        </is>
      </c>
      <c r="O75" s="28" t="inlineStr">
        <is>
          <t>None</t>
        </is>
      </c>
      <c r="P75" s="28" t="inlineStr">
        <is>
          <t>PSI Lab</t>
        </is>
      </c>
      <c r="Q75" s="28" t="inlineStr">
        <is>
          <t>None</t>
        </is>
      </c>
      <c r="R75" s="28" t="inlineStr"/>
      <c r="S75" s="28" t="inlineStr"/>
      <c r="T75" s="28" t="inlineStr"/>
      <c r="U75" s="28" t="inlineStr"/>
      <c r="V75" s="28" t="inlineStr"/>
      <c r="W75" s="28" t="inlineStr"/>
      <c r="X75" s="28" t="inlineStr"/>
      <c r="Y75" s="28" t="inlineStr"/>
      <c r="Z75" s="28" t="inlineStr"/>
      <c r="AA75" s="28" t="n">
        <v>88</v>
      </c>
      <c r="AB75" s="28" t="n">
        <v>88</v>
      </c>
      <c r="AC75" s="28" t="n">
        <v>88</v>
      </c>
      <c r="AD75" s="28" t="n">
        <v>85</v>
      </c>
      <c r="AE75" s="28" t="n">
        <v>82</v>
      </c>
      <c r="AF75" s="28" t="n">
        <v>92</v>
      </c>
      <c r="AG75" s="28" t="n">
        <v>2.4</v>
      </c>
      <c r="AH75" s="28" t="n">
        <v>0.04</v>
      </c>
      <c r="AI75" s="28" t="n">
        <v>0.4</v>
      </c>
      <c r="AJ75" s="28" t="n">
        <v>2.4</v>
      </c>
      <c r="AK75" s="28" t="n">
        <v>0.04</v>
      </c>
      <c r="AL75" s="28" t="n">
        <v>180</v>
      </c>
      <c r="AM75" s="28" t="n">
        <v>120</v>
      </c>
      <c r="AN75" s="28" t="n">
        <v>1.8</v>
      </c>
      <c r="AO75" s="28" t="n">
        <v>3.2</v>
      </c>
      <c r="AP75" s="28" t="n">
        <v>4.1</v>
      </c>
      <c r="AQ75" s="28" t="n">
        <v>400</v>
      </c>
      <c r="AR75" s="28" t="n">
        <v>88</v>
      </c>
      <c r="AS75" s="28" t="n">
        <v>85</v>
      </c>
      <c r="AT75" s="28" t="n">
        <v>82</v>
      </c>
      <c r="AU75" s="28" t="n">
        <v>92</v>
      </c>
      <c r="AV75" s="28" t="n">
        <v>2.4</v>
      </c>
      <c r="AW75" s="28" t="n">
        <v>0.04</v>
      </c>
      <c r="AX75" s="28" t="n">
        <v>180</v>
      </c>
      <c r="AY75" s="28" t="n">
        <v>120</v>
      </c>
      <c r="AZ75" s="28" t="n">
        <v>1.8</v>
      </c>
      <c r="BA75" s="28" t="n">
        <v>3.2</v>
      </c>
      <c r="BB75" s="28" t="n">
        <v>4.1</v>
      </c>
      <c r="BC75" s="28" t="n">
        <v>400</v>
      </c>
      <c r="BD75" s="28" t="n">
        <v>500</v>
      </c>
      <c r="BE75" s="28" t="n">
        <v>842</v>
      </c>
      <c r="BF75" s="28" t="n">
        <v>1250</v>
      </c>
      <c r="BG75" s="28" t="n">
        <v>1</v>
      </c>
      <c r="BH75" s="28" t="b">
        <v>1</v>
      </c>
      <c r="BI75" s="34" t="b">
        <v>1</v>
      </c>
      <c r="BJ75" s="28" t="b">
        <v>1</v>
      </c>
      <c r="BK75" s="28" t="b">
        <v>1</v>
      </c>
      <c r="BL75" s="28" t="b">
        <v>0</v>
      </c>
      <c r="BM75" s="28" t="n">
        <v>65</v>
      </c>
      <c r="BN75" s="28" t="inlineStr">
        <is>
          <t>complete</t>
        </is>
      </c>
      <c r="BO75" s="28" t="inlineStr">
        <is>
          <t>rendered_browser</t>
        </is>
      </c>
      <c r="BP75" s="28" t="b">
        <v>0</v>
      </c>
      <c r="BQ75" s="28" t="n">
        <v>0</v>
      </c>
      <c r="BR75" s="28" t="n">
        <v>0</v>
      </c>
      <c r="BS75" s="28" t="inlineStr">
        <is>
          <t>https://africanmarketingconfederation.org/og-72.jpg</t>
        </is>
      </c>
      <c r="BT75" s="28" t="b">
        <v>0</v>
      </c>
      <c r="BU75" s="28" t="inlineStr"/>
      <c r="BV75" s="28" t="inlineStr"/>
      <c r="BW75" s="28" t="n">
        <v>0</v>
      </c>
      <c r="BX75" s="28" t="inlineStr"/>
      <c r="BY75" s="28" t="n">
        <v>0</v>
      </c>
      <c r="BZ75" s="28" t="inlineStr"/>
      <c r="CA75" s="28" t="n">
        <v>0</v>
      </c>
      <c r="CB75" s="28" t="inlineStr"/>
      <c r="CC75" s="28" t="n">
        <v>0</v>
      </c>
      <c r="CD75" s="28" t="inlineStr"/>
      <c r="CE75" s="28" t="n">
        <v>0</v>
      </c>
      <c r="CF75" s="28" t="inlineStr"/>
      <c r="CG75" s="28" t="n">
        <v>0</v>
      </c>
      <c r="CH75" s="28" t="inlineStr"/>
      <c r="CI75" s="28" t="inlineStr"/>
      <c r="CJ75" s="28" t="inlineStr"/>
      <c r="CK75" s="28" t="inlineStr"/>
      <c r="CL75" s="28" t="inlineStr">
        <is>
          <t>2026-06-01 to 2026-06-30 (30-day window; excludes today; typical GSC lag ~48h)</t>
        </is>
      </c>
      <c r="CM75" s="28" t="inlineStr">
        <is>
          <t>No Search Analytics row matched this URL in the 30-day export (compare Final URL with the page URL shown in GSC)</t>
        </is>
      </c>
      <c r="CN75" s="28" t="n">
        <v>-1</v>
      </c>
      <c r="CO75" s="28" t="b">
        <v>1</v>
      </c>
      <c r="CP75" s="28" t="n">
        <v>0.012048</v>
      </c>
      <c r="CQ75" s="28" t="b">
        <v>1</v>
      </c>
      <c r="CR75" s="28" t="b">
        <v>1</v>
      </c>
      <c r="CS75" s="28" t="inlineStr">
        <is>
          <t>Both</t>
        </is>
      </c>
      <c r="CT75" s="74" t="inlineStr"/>
      <c r="CU75" s="28" t="n">
        <v>73</v>
      </c>
      <c r="CV75" s="34">
        <f>IFERROR(INDEX(OFFSET('Technical Diagnostics'!$A$1,2,MATCH("SEO Health Score",'Technical Diagnostics'!$2:$2,0)-1,99998,1),MATCH(B75,OFFSET('Technical Diagnostics'!$A$1,2,MATCH("URL",'Technical Diagnostics'!$2:$2,0)-1,99998,1),0)),"")</f>
        <v/>
      </c>
      <c r="CW75" s="32" t="n">
        <v>100</v>
      </c>
      <c r="CX75" s="34" t="n">
        <v>51.25</v>
      </c>
      <c r="CY75" s="40" t="b">
        <v>0</v>
      </c>
      <c r="CZ75" s="28" t="b">
        <v>0</v>
      </c>
      <c r="DA75" s="28" t="inlineStr"/>
      <c r="DB75" s="28" t="inlineStr"/>
      <c r="DC75" s="28" t="inlineStr"/>
      <c r="DD75" s="28" t="n">
        <v>0</v>
      </c>
      <c r="DE75" s="28" t="n">
        <v>0</v>
      </c>
      <c r="DF75" s="28" t="inlineStr"/>
      <c r="DG75" s="28" t="inlineStr"/>
      <c r="DH75" s="28" t="inlineStr"/>
      <c r="DI75" s="28" t="n">
        <v>6</v>
      </c>
      <c r="DJ75" s="28" t="inlineStr">
        <is>
          <t>Author 72</t>
        </is>
      </c>
      <c r="DK75" s="28" t="inlineStr"/>
      <c r="DL75" s="28" t="b">
        <v>1</v>
      </c>
      <c r="DM75" s="28" t="inlineStr"/>
      <c r="DN75" s="28" t="inlineStr">
        <is>
          <t>2026-06-01</t>
        </is>
      </c>
      <c r="DO75" s="28" t="inlineStr"/>
      <c r="DP75" s="28" t="inlineStr">
        <is>
          <t>2026-06-01</t>
        </is>
      </c>
      <c r="DQ75" s="28" t="inlineStr"/>
      <c r="DR75" s="28" t="b">
        <v>0</v>
      </c>
      <c r="DS75" s="28" t="b">
        <v>1</v>
      </c>
      <c r="DT75" s="28" t="b">
        <v>1</v>
      </c>
      <c r="DU75" s="28" t="b">
        <v>0</v>
      </c>
      <c r="DV75" s="28" t="n">
        <v>0</v>
      </c>
      <c r="DW75" s="28" t="b">
        <v>0</v>
      </c>
      <c r="DX75" s="28" t="b">
        <v>0</v>
      </c>
      <c r="DY75" s="28" t="b">
        <v>0</v>
      </c>
      <c r="DZ75" s="28" t="b">
        <v>0</v>
      </c>
      <c r="EA75" s="32" t="b">
        <v>0</v>
      </c>
      <c r="EB75" s="28" t="b">
        <v>0</v>
      </c>
      <c r="EC75" s="28" t="inlineStr"/>
      <c r="ED75" s="28" t="inlineStr"/>
      <c r="EE75" s="28" t="b">
        <v>0</v>
      </c>
      <c r="EF75" s="28" t="inlineStr"/>
      <c r="EG75" s="28" t="inlineStr"/>
      <c r="EH75" s="28" t="inlineStr"/>
      <c r="EI75" s="28" t="inlineStr">
        <is>
          <t>2026-06-01</t>
        </is>
      </c>
      <c r="EJ75" s="28" t="inlineStr"/>
      <c r="EK75" s="28" t="inlineStr">
        <is>
          <t>Fresh</t>
        </is>
      </c>
      <c r="EL75" s="28" t="inlineStr"/>
      <c r="EM75" s="28" t="inlineStr">
        <is>
          <t>Smoke meta description for page 72.</t>
        </is>
      </c>
      <c r="EN75" s="28" t="inlineStr">
        <is>
          <t>article</t>
        </is>
      </c>
      <c r="EO75" s="74" t="inlineStr"/>
      <c r="EP75" s="74" t="inlineStr">
        <is>
          <t>https://africanmarketingconfederation.org/og-72.jpg</t>
        </is>
      </c>
      <c r="EQ75" s="28" t="inlineStr"/>
      <c r="ER75" s="28" t="inlineStr"/>
      <c r="ES75" s="28" t="inlineStr"/>
      <c r="ET75" s="28" t="inlineStr"/>
      <c r="EU75" s="75" t="b">
        <v>0</v>
      </c>
      <c r="EV75" s="28" t="inlineStr">
        <is>
          <t>summary_large_image</t>
        </is>
      </c>
      <c r="EW75" s="28" t="inlineStr"/>
      <c r="EX75" s="28" t="inlineStr"/>
      <c r="EY75" s="28" t="inlineStr"/>
      <c r="EZ75" s="28" t="n">
        <v>0</v>
      </c>
      <c r="FA75" s="40" t="b">
        <v>0</v>
      </c>
      <c r="FB75" s="74" t="inlineStr">
        <is>
          <t>https://africanmarketingconfederation.org/smoke-archive/page-72</t>
        </is>
      </c>
      <c r="FC75" s="28" t="inlineStr"/>
      <c r="FD75" s="28" t="n">
        <v>0</v>
      </c>
      <c r="FE75" s="20" t="inlineStr"/>
      <c r="FF75" s="28" t="b">
        <v>0</v>
      </c>
      <c r="FG75" s="28" t="b">
        <v>0</v>
      </c>
      <c r="FH75" s="32" t="b">
        <v>0</v>
      </c>
      <c r="FI75" s="28" t="n">
        <v>0</v>
      </c>
      <c r="FJ75" s="28" t="inlineStr">
        <is>
          <t>https://africanmarketingconfederation.org/smoke-archive/page-72</t>
        </is>
      </c>
      <c r="FK75" s="28" t="inlineStr"/>
      <c r="FL75" s="32" t="b">
        <v>0</v>
      </c>
      <c r="FM75" s="28" t="b">
        <v>0</v>
      </c>
      <c r="FN75" s="32" t="b">
        <v>0</v>
      </c>
      <c r="FO75" s="28" t="inlineStr"/>
      <c r="FP75" s="28" t="inlineStr"/>
      <c r="FQ75" s="28" t="inlineStr"/>
      <c r="FR75" s="28" t="inlineStr"/>
      <c r="FS75" s="28" t="inlineStr"/>
      <c r="FT75" s="28" t="inlineStr"/>
      <c r="FU75" s="28" t="inlineStr">
        <is>
          <t>Not specified</t>
        </is>
      </c>
      <c r="FV75" s="28" t="inlineStr">
        <is>
          <t>Not specified</t>
        </is>
      </c>
      <c r="FW75" s="28" t="inlineStr">
        <is>
          <t>Not specified</t>
        </is>
      </c>
      <c r="FX75" s="28" t="inlineStr">
        <is>
          <t>Not specified</t>
        </is>
      </c>
      <c r="FY75" s="28" t="inlineStr">
        <is>
          <t>Not specified</t>
        </is>
      </c>
      <c r="FZ75" s="28" t="b">
        <v>0</v>
      </c>
      <c r="GA75" s="28" t="n">
        <v>0</v>
      </c>
      <c r="GB75" s="28" t="inlineStr"/>
      <c r="GC75" s="28" t="inlineStr"/>
      <c r="GD75" s="28" t="b">
        <v>0</v>
      </c>
      <c r="GE75" s="28" t="b">
        <v>0</v>
      </c>
      <c r="GF75" s="28" t="b">
        <v>0</v>
      </c>
      <c r="GG75" s="28" t="b">
        <v>0</v>
      </c>
      <c r="GH75" s="28" t="b">
        <v>0</v>
      </c>
      <c r="GI75" s="28" t="b">
        <v>0</v>
      </c>
      <c r="GJ75" s="28" t="n">
        <v>0</v>
      </c>
      <c r="GK75" s="28" t="n">
        <v>0</v>
      </c>
      <c r="GL75" s="28" t="n">
        <v>0</v>
      </c>
      <c r="GM75" s="74" t="inlineStr"/>
      <c r="GN75" s="74" t="inlineStr"/>
      <c r="GO75" s="32" t="b">
        <v>0</v>
      </c>
      <c r="GP75" s="28" t="inlineStr"/>
      <c r="GQ75" s="74" t="inlineStr"/>
      <c r="GR75" s="28" t="inlineStr">
        <is>
          <t>Not Declared</t>
        </is>
      </c>
      <c r="GS75" s="28" t="b">
        <v>1</v>
      </c>
      <c r="GT75" s="28" t="n">
        <v>70.7</v>
      </c>
      <c r="GU75" s="28" t="inlineStr">
        <is>
          <t>Orphan</t>
        </is>
      </c>
      <c r="GV75" s="28" t="n">
        <v>0</v>
      </c>
      <c r="GW75" s="34" t="n">
        <v>0</v>
      </c>
      <c r="GX75" s="28" t="b">
        <v>0</v>
      </c>
      <c r="GY75" s="28" t="inlineStr">
        <is>
          <t>None</t>
        </is>
      </c>
      <c r="GZ75" s="28" t="n">
        <v>0</v>
      </c>
      <c r="HA75" s="28" t="b">
        <v>0</v>
      </c>
      <c r="HB75" s="28" t="inlineStr">
        <is>
          <t>smoke, body, copy, intent, classification</t>
        </is>
      </c>
      <c r="HC75" s="28" t="b">
        <v>0</v>
      </c>
      <c r="HD75" s="28" t="b">
        <v>0</v>
      </c>
      <c r="HE75" s="28" t="b">
        <v>0</v>
      </c>
      <c r="HF75" s="34" t="n">
        <v>0</v>
      </c>
      <c r="HG75" s="28" t="b">
        <v>0</v>
      </c>
      <c r="HH75" s="28" t="b">
        <v>0</v>
      </c>
      <c r="HI75">
        <f>IFERROR(HYPERLINK("#'Technical Diagnostics'!A"&amp;MATCH(B75,'Technical Diagnostics'!A:A,0),"Open Technical"),HYPERLINK("#'Technical Diagnostics'!A1","Open Technical"))</f>
        <v/>
      </c>
    </row>
    <row r="76" ht="18" customHeight="1">
      <c r="A76" s="30" t="inlineStr">
        <is>
          <t>WARN 🟡</t>
        </is>
      </c>
      <c r="B76" s="37" t="inlineStr">
        <is>
          <t>https://africanmarketingconfederation.org/smoke-archive/page-73</t>
        </is>
      </c>
      <c r="C76" s="30" t="inlineStr"/>
      <c r="D76" s="30" t="inlineStr">
        <is>
          <t>Indexable</t>
        </is>
      </c>
      <c r="E76" s="30" t="inlineStr"/>
      <c r="F76" s="30" t="inlineStr">
        <is>
          <t>Smoke title 73</t>
        </is>
      </c>
      <c r="G76" s="30" t="inlineStr">
        <is>
          <t>Smoke meta description for page 73.</t>
        </is>
      </c>
      <c r="H76" s="30" t="n">
        <v>343</v>
      </c>
      <c r="I76" s="30" t="n">
        <v>80</v>
      </c>
      <c r="J76" s="30" t="inlineStr">
        <is>
          <t>Warning</t>
        </is>
      </c>
      <c r="K76" s="30" t="inlineStr">
        <is>
          <t>Yes</t>
        </is>
      </c>
      <c r="L76" s="30" t="inlineStr"/>
      <c r="M76" s="30" t="inlineStr"/>
      <c r="N76" s="30" t="inlineStr">
        <is>
          <t>Lab only</t>
        </is>
      </c>
      <c r="O76" s="30" t="inlineStr">
        <is>
          <t>None</t>
        </is>
      </c>
      <c r="P76" s="30" t="inlineStr">
        <is>
          <t>PSI Lab</t>
        </is>
      </c>
      <c r="Q76" s="30" t="inlineStr">
        <is>
          <t>None</t>
        </is>
      </c>
      <c r="R76" s="30" t="inlineStr"/>
      <c r="S76" s="30" t="inlineStr"/>
      <c r="T76" s="30" t="inlineStr"/>
      <c r="U76" s="30" t="inlineStr"/>
      <c r="V76" s="30" t="inlineStr"/>
      <c r="W76" s="30" t="inlineStr"/>
      <c r="X76" s="30" t="inlineStr"/>
      <c r="Y76" s="30" t="inlineStr"/>
      <c r="Z76" s="30" t="inlineStr"/>
      <c r="AA76" s="30" t="n">
        <v>88</v>
      </c>
      <c r="AB76" s="30" t="n">
        <v>88</v>
      </c>
      <c r="AC76" s="30" t="n">
        <v>88</v>
      </c>
      <c r="AD76" s="30" t="n">
        <v>85</v>
      </c>
      <c r="AE76" s="30" t="n">
        <v>82</v>
      </c>
      <c r="AF76" s="30" t="n">
        <v>92</v>
      </c>
      <c r="AG76" s="30" t="n">
        <v>2.4</v>
      </c>
      <c r="AH76" s="30" t="n">
        <v>0.04</v>
      </c>
      <c r="AI76" s="30" t="n">
        <v>0.4</v>
      </c>
      <c r="AJ76" s="30" t="n">
        <v>2.4</v>
      </c>
      <c r="AK76" s="30" t="n">
        <v>0.04</v>
      </c>
      <c r="AL76" s="30" t="n">
        <v>180</v>
      </c>
      <c r="AM76" s="30" t="n">
        <v>120</v>
      </c>
      <c r="AN76" s="30" t="n">
        <v>1.8</v>
      </c>
      <c r="AO76" s="30" t="n">
        <v>3.2</v>
      </c>
      <c r="AP76" s="30" t="n">
        <v>4.1</v>
      </c>
      <c r="AQ76" s="30" t="n">
        <v>400</v>
      </c>
      <c r="AR76" s="30" t="n">
        <v>88</v>
      </c>
      <c r="AS76" s="30" t="n">
        <v>85</v>
      </c>
      <c r="AT76" s="30" t="n">
        <v>82</v>
      </c>
      <c r="AU76" s="30" t="n">
        <v>92</v>
      </c>
      <c r="AV76" s="30" t="n">
        <v>2.4</v>
      </c>
      <c r="AW76" s="30" t="n">
        <v>0.04</v>
      </c>
      <c r="AX76" s="30" t="n">
        <v>180</v>
      </c>
      <c r="AY76" s="30" t="n">
        <v>120</v>
      </c>
      <c r="AZ76" s="30" t="n">
        <v>1.8</v>
      </c>
      <c r="BA76" s="30" t="n">
        <v>3.2</v>
      </c>
      <c r="BB76" s="30" t="n">
        <v>4.1</v>
      </c>
      <c r="BC76" s="30" t="n">
        <v>400</v>
      </c>
      <c r="BD76" s="30" t="n">
        <v>500</v>
      </c>
      <c r="BE76" s="30" t="n">
        <v>842</v>
      </c>
      <c r="BF76" s="30" t="n">
        <v>1250</v>
      </c>
      <c r="BG76" s="30" t="n">
        <v>1</v>
      </c>
      <c r="BH76" s="30" t="b">
        <v>1</v>
      </c>
      <c r="BI76" s="34" t="b">
        <v>1</v>
      </c>
      <c r="BJ76" s="30" t="b">
        <v>1</v>
      </c>
      <c r="BK76" s="30" t="b">
        <v>1</v>
      </c>
      <c r="BL76" s="30" t="b">
        <v>0</v>
      </c>
      <c r="BM76" s="30" t="n">
        <v>65</v>
      </c>
      <c r="BN76" s="30" t="inlineStr">
        <is>
          <t>complete</t>
        </is>
      </c>
      <c r="BO76" s="30" t="inlineStr">
        <is>
          <t>rendered_browser</t>
        </is>
      </c>
      <c r="BP76" s="30" t="b">
        <v>0</v>
      </c>
      <c r="BQ76" s="30" t="n">
        <v>0</v>
      </c>
      <c r="BR76" s="30" t="n">
        <v>0</v>
      </c>
      <c r="BS76" s="30" t="inlineStr"/>
      <c r="BT76" s="30" t="b">
        <v>0</v>
      </c>
      <c r="BU76" s="30" t="inlineStr"/>
      <c r="BV76" s="30" t="inlineStr"/>
      <c r="BW76" s="30" t="n">
        <v>0</v>
      </c>
      <c r="BX76" s="30" t="inlineStr"/>
      <c r="BY76" s="30" t="n">
        <v>0</v>
      </c>
      <c r="BZ76" s="30" t="inlineStr"/>
      <c r="CA76" s="30" t="n">
        <v>0</v>
      </c>
      <c r="CB76" s="30" t="inlineStr"/>
      <c r="CC76" s="30" t="n">
        <v>0</v>
      </c>
      <c r="CD76" s="30" t="inlineStr"/>
      <c r="CE76" s="30" t="n">
        <v>0</v>
      </c>
      <c r="CF76" s="30" t="inlineStr"/>
      <c r="CG76" s="30" t="n">
        <v>0</v>
      </c>
      <c r="CH76" s="30" t="inlineStr"/>
      <c r="CI76" s="30" t="inlineStr"/>
      <c r="CJ76" s="30" t="inlineStr"/>
      <c r="CK76" s="30" t="inlineStr"/>
      <c r="CL76" s="30" t="inlineStr">
        <is>
          <t>2026-06-01 to 2026-06-30 (30-day window; excludes today; typical GSC lag ~48h)</t>
        </is>
      </c>
      <c r="CM76" s="30" t="inlineStr">
        <is>
          <t>No Search Analytics row matched this URL in the 30-day export (compare Final URL with the page URL shown in GSC)</t>
        </is>
      </c>
      <c r="CN76" s="30" t="n">
        <v>-1</v>
      </c>
      <c r="CO76" s="30" t="b">
        <v>1</v>
      </c>
      <c r="CP76" s="30" t="n">
        <v>0.012048</v>
      </c>
      <c r="CQ76" s="30" t="b">
        <v>1</v>
      </c>
      <c r="CR76" s="30" t="b">
        <v>1</v>
      </c>
      <c r="CS76" s="30" t="inlineStr">
        <is>
          <t>Both</t>
        </is>
      </c>
      <c r="CT76" s="76" t="inlineStr"/>
      <c r="CU76" s="30" t="n">
        <v>74</v>
      </c>
      <c r="CV76" s="29">
        <f>IFERROR(INDEX(OFFSET('Technical Diagnostics'!$A$1,2,MATCH("SEO Health Score",'Technical Diagnostics'!$2:$2,0)-1,99998,1),MATCH(B76,OFFSET('Technical Diagnostics'!$A$1,2,MATCH("URL",'Technical Diagnostics'!$2:$2,0)-1,99998,1),0)),"")</f>
        <v/>
      </c>
      <c r="CW76" s="32" t="n">
        <v>100</v>
      </c>
      <c r="CX76" s="29" t="n">
        <v>85</v>
      </c>
      <c r="CY76" s="32" t="b">
        <v>1</v>
      </c>
      <c r="CZ76" s="30" t="b">
        <v>0</v>
      </c>
      <c r="DA76" s="30" t="inlineStr"/>
      <c r="DB76" s="30" t="inlineStr"/>
      <c r="DC76" s="30" t="inlineStr"/>
      <c r="DD76" s="30" t="n">
        <v>0</v>
      </c>
      <c r="DE76" s="30" t="n">
        <v>0</v>
      </c>
      <c r="DF76" s="30" t="inlineStr"/>
      <c r="DG76" s="30" t="inlineStr"/>
      <c r="DH76" s="30" t="inlineStr"/>
      <c r="DI76" s="30" t="n">
        <v>6</v>
      </c>
      <c r="DJ76" s="30" t="inlineStr">
        <is>
          <t>Author 73</t>
        </is>
      </c>
      <c r="DK76" s="30" t="inlineStr"/>
      <c r="DL76" s="30" t="b">
        <v>1</v>
      </c>
      <c r="DM76" s="30" t="inlineStr"/>
      <c r="DN76" s="30" t="inlineStr">
        <is>
          <t>2026-06-01</t>
        </is>
      </c>
      <c r="DO76" s="30" t="inlineStr"/>
      <c r="DP76" s="30" t="inlineStr">
        <is>
          <t>2026-06-01</t>
        </is>
      </c>
      <c r="DQ76" s="30" t="inlineStr"/>
      <c r="DR76" s="30" t="b">
        <v>0</v>
      </c>
      <c r="DS76" s="30" t="b">
        <v>1</v>
      </c>
      <c r="DT76" s="30" t="b">
        <v>1</v>
      </c>
      <c r="DU76" s="30" t="b">
        <v>0</v>
      </c>
      <c r="DV76" s="30" t="n">
        <v>0</v>
      </c>
      <c r="DW76" s="30" t="b">
        <v>0</v>
      </c>
      <c r="DX76" s="30" t="b">
        <v>0</v>
      </c>
      <c r="DY76" s="30" t="b">
        <v>0</v>
      </c>
      <c r="DZ76" s="30" t="b">
        <v>0</v>
      </c>
      <c r="EA76" s="32" t="b">
        <v>0</v>
      </c>
      <c r="EB76" s="30" t="b">
        <v>0</v>
      </c>
      <c r="EC76" s="30" t="inlineStr"/>
      <c r="ED76" s="30" t="inlineStr"/>
      <c r="EE76" s="30" t="b">
        <v>0</v>
      </c>
      <c r="EF76" s="30" t="inlineStr"/>
      <c r="EG76" s="30" t="inlineStr"/>
      <c r="EH76" s="30" t="inlineStr"/>
      <c r="EI76" s="30" t="inlineStr"/>
      <c r="EJ76" s="30" t="inlineStr"/>
      <c r="EK76" s="30" t="inlineStr">
        <is>
          <t>Fresh</t>
        </is>
      </c>
      <c r="EL76" s="30" t="inlineStr">
        <is>
          <t>Smoke title 73</t>
        </is>
      </c>
      <c r="EM76" s="30" t="inlineStr">
        <is>
          <t>Smoke meta description for page 73.</t>
        </is>
      </c>
      <c r="EN76" s="30" t="inlineStr">
        <is>
          <t>article</t>
        </is>
      </c>
      <c r="EO76" s="76" t="inlineStr"/>
      <c r="EP76" s="76" t="inlineStr"/>
      <c r="EQ76" s="30" t="inlineStr"/>
      <c r="ER76" s="30" t="inlineStr"/>
      <c r="ES76" s="30" t="inlineStr"/>
      <c r="ET76" s="30" t="inlineStr"/>
      <c r="EU76" s="75" t="b">
        <v>0</v>
      </c>
      <c r="EV76" s="30" t="inlineStr">
        <is>
          <t>summary_large_image</t>
        </is>
      </c>
      <c r="EW76" s="30" t="inlineStr"/>
      <c r="EX76" s="30" t="inlineStr"/>
      <c r="EY76" s="30" t="inlineStr"/>
      <c r="EZ76" s="30" t="n">
        <v>0</v>
      </c>
      <c r="FA76" s="40" t="b">
        <v>0</v>
      </c>
      <c r="FB76" s="76" t="inlineStr">
        <is>
          <t>https://africanmarketingconfederation.org/smoke-archive/page-73</t>
        </is>
      </c>
      <c r="FC76" s="30" t="inlineStr"/>
      <c r="FD76" s="30" t="n">
        <v>0</v>
      </c>
      <c r="FE76" s="31" t="inlineStr"/>
      <c r="FF76" s="30" t="b">
        <v>0</v>
      </c>
      <c r="FG76" s="30" t="b">
        <v>0</v>
      </c>
      <c r="FH76" s="32" t="b">
        <v>0</v>
      </c>
      <c r="FI76" s="30" t="n">
        <v>0</v>
      </c>
      <c r="FJ76" s="30" t="inlineStr">
        <is>
          <t>https://africanmarketingconfederation.org/smoke-archive/page-73</t>
        </is>
      </c>
      <c r="FK76" s="30" t="inlineStr"/>
      <c r="FL76" s="32" t="b">
        <v>0</v>
      </c>
      <c r="FM76" s="30" t="b">
        <v>0</v>
      </c>
      <c r="FN76" s="32" t="b">
        <v>0</v>
      </c>
      <c r="FO76" s="30" t="inlineStr"/>
      <c r="FP76" s="30" t="inlineStr"/>
      <c r="FQ76" s="30" t="inlineStr"/>
      <c r="FR76" s="30" t="inlineStr"/>
      <c r="FS76" s="30" t="inlineStr"/>
      <c r="FT76" s="30" t="inlineStr"/>
      <c r="FU76" s="30" t="inlineStr">
        <is>
          <t>Not specified</t>
        </is>
      </c>
      <c r="FV76" s="30" t="inlineStr">
        <is>
          <t>Not specified</t>
        </is>
      </c>
      <c r="FW76" s="30" t="inlineStr">
        <is>
          <t>Not specified</t>
        </is>
      </c>
      <c r="FX76" s="30" t="inlineStr">
        <is>
          <t>Not specified</t>
        </is>
      </c>
      <c r="FY76" s="30" t="inlineStr">
        <is>
          <t>Not specified</t>
        </is>
      </c>
      <c r="FZ76" s="30" t="b">
        <v>0</v>
      </c>
      <c r="GA76" s="30" t="n">
        <v>0</v>
      </c>
      <c r="GB76" s="30" t="inlineStr"/>
      <c r="GC76" s="30" t="inlineStr"/>
      <c r="GD76" s="30" t="b">
        <v>0</v>
      </c>
      <c r="GE76" s="30" t="b">
        <v>0</v>
      </c>
      <c r="GF76" s="30" t="b">
        <v>0</v>
      </c>
      <c r="GG76" s="30" t="b">
        <v>0</v>
      </c>
      <c r="GH76" s="30" t="b">
        <v>0</v>
      </c>
      <c r="GI76" s="30" t="b">
        <v>0</v>
      </c>
      <c r="GJ76" s="30" t="n">
        <v>0</v>
      </c>
      <c r="GK76" s="30" t="n">
        <v>0</v>
      </c>
      <c r="GL76" s="30" t="n">
        <v>0</v>
      </c>
      <c r="GM76" s="76" t="inlineStr"/>
      <c r="GN76" s="76" t="inlineStr"/>
      <c r="GO76" s="32" t="b">
        <v>0</v>
      </c>
      <c r="GP76" s="30" t="inlineStr"/>
      <c r="GQ76" s="76" t="inlineStr"/>
      <c r="GR76" s="30" t="inlineStr">
        <is>
          <t>Not Declared</t>
        </is>
      </c>
      <c r="GS76" s="30" t="b">
        <v>1</v>
      </c>
      <c r="GT76" s="30" t="n">
        <v>17.1</v>
      </c>
      <c r="GU76" s="30" t="inlineStr">
        <is>
          <t>Orphan</t>
        </is>
      </c>
      <c r="GV76" s="30" t="n">
        <v>0</v>
      </c>
      <c r="GW76" s="34" t="n">
        <v>0</v>
      </c>
      <c r="GX76" s="30" t="b">
        <v>0</v>
      </c>
      <c r="GY76" s="30" t="inlineStr">
        <is>
          <t>FAQ</t>
        </is>
      </c>
      <c r="GZ76" s="30" t="n">
        <v>9</v>
      </c>
      <c r="HA76" s="30" t="b">
        <v>0</v>
      </c>
      <c r="HB76" s="30" t="inlineStr">
        <is>
          <t>smoke, body, copy, intent, classification</t>
        </is>
      </c>
      <c r="HC76" s="30" t="b">
        <v>0</v>
      </c>
      <c r="HD76" s="30" t="b">
        <v>0</v>
      </c>
      <c r="HE76" s="30" t="b">
        <v>0</v>
      </c>
      <c r="HF76" s="34" t="n">
        <v>0</v>
      </c>
      <c r="HG76" s="30" t="b">
        <v>0</v>
      </c>
      <c r="HH76" s="30" t="b">
        <v>0</v>
      </c>
      <c r="HI76" s="38">
        <f>IFERROR(HYPERLINK("#'Technical Diagnostics'!A"&amp;MATCH(B76,'Technical Diagnostics'!A:A,0),"Open Technical"),HYPERLINK("#'Technical Diagnostics'!A1","Open Technical"))</f>
        <v/>
      </c>
    </row>
    <row r="77" ht="18" customHeight="1">
      <c r="A77" s="28" t="inlineStr">
        <is>
          <t>WARN 🟡</t>
        </is>
      </c>
      <c r="B77" s="35" t="inlineStr">
        <is>
          <t>https://africanmarketingconfederation.org/smoke-archive/page-74</t>
        </is>
      </c>
      <c r="C77" s="28" t="inlineStr"/>
      <c r="D77" s="28" t="inlineStr">
        <is>
          <t>Indexable</t>
        </is>
      </c>
      <c r="E77" s="28" t="inlineStr"/>
      <c r="F77" s="28" t="inlineStr">
        <is>
          <t>Smoke title 74</t>
        </is>
      </c>
      <c r="G77" s="28" t="inlineStr">
        <is>
          <t>Smoke meta description for page 74.</t>
        </is>
      </c>
      <c r="H77" s="28" t="n">
        <v>344</v>
      </c>
      <c r="I77" s="28" t="n">
        <v>80</v>
      </c>
      <c r="J77" s="28" t="inlineStr">
        <is>
          <t>Warning</t>
        </is>
      </c>
      <c r="K77" s="28" t="inlineStr">
        <is>
          <t>Yes</t>
        </is>
      </c>
      <c r="L77" s="28" t="inlineStr"/>
      <c r="M77" s="28" t="inlineStr"/>
      <c r="N77" s="28" t="inlineStr">
        <is>
          <t>Lab only</t>
        </is>
      </c>
      <c r="O77" s="28" t="inlineStr">
        <is>
          <t>None</t>
        </is>
      </c>
      <c r="P77" s="28" t="inlineStr">
        <is>
          <t>PSI Lab</t>
        </is>
      </c>
      <c r="Q77" s="28" t="inlineStr">
        <is>
          <t>None</t>
        </is>
      </c>
      <c r="R77" s="28" t="inlineStr"/>
      <c r="S77" s="28" t="inlineStr"/>
      <c r="T77" s="28" t="inlineStr"/>
      <c r="U77" s="28" t="inlineStr"/>
      <c r="V77" s="28" t="inlineStr"/>
      <c r="W77" s="28" t="inlineStr"/>
      <c r="X77" s="28" t="inlineStr"/>
      <c r="Y77" s="28" t="inlineStr"/>
      <c r="Z77" s="28" t="inlineStr"/>
      <c r="AA77" s="28" t="n">
        <v>88</v>
      </c>
      <c r="AB77" s="28" t="n">
        <v>88</v>
      </c>
      <c r="AC77" s="28" t="n">
        <v>88</v>
      </c>
      <c r="AD77" s="28" t="n">
        <v>85</v>
      </c>
      <c r="AE77" s="28" t="n">
        <v>82</v>
      </c>
      <c r="AF77" s="28" t="n">
        <v>92</v>
      </c>
      <c r="AG77" s="28" t="n">
        <v>2.4</v>
      </c>
      <c r="AH77" s="28" t="n">
        <v>0.04</v>
      </c>
      <c r="AI77" s="28" t="n">
        <v>0.4</v>
      </c>
      <c r="AJ77" s="28" t="n">
        <v>2.4</v>
      </c>
      <c r="AK77" s="28" t="n">
        <v>0.04</v>
      </c>
      <c r="AL77" s="28" t="n">
        <v>180</v>
      </c>
      <c r="AM77" s="28" t="n">
        <v>120</v>
      </c>
      <c r="AN77" s="28" t="n">
        <v>1.8</v>
      </c>
      <c r="AO77" s="28" t="n">
        <v>3.2</v>
      </c>
      <c r="AP77" s="28" t="n">
        <v>4.1</v>
      </c>
      <c r="AQ77" s="28" t="n">
        <v>400</v>
      </c>
      <c r="AR77" s="28" t="n">
        <v>88</v>
      </c>
      <c r="AS77" s="28" t="n">
        <v>85</v>
      </c>
      <c r="AT77" s="28" t="n">
        <v>82</v>
      </c>
      <c r="AU77" s="28" t="n">
        <v>92</v>
      </c>
      <c r="AV77" s="28" t="n">
        <v>2.4</v>
      </c>
      <c r="AW77" s="28" t="n">
        <v>0.04</v>
      </c>
      <c r="AX77" s="28" t="n">
        <v>180</v>
      </c>
      <c r="AY77" s="28" t="n">
        <v>120</v>
      </c>
      <c r="AZ77" s="28" t="n">
        <v>1.8</v>
      </c>
      <c r="BA77" s="28" t="n">
        <v>3.2</v>
      </c>
      <c r="BB77" s="28" t="n">
        <v>4.1</v>
      </c>
      <c r="BC77" s="28" t="n">
        <v>400</v>
      </c>
      <c r="BD77" s="28" t="n">
        <v>500</v>
      </c>
      <c r="BE77" s="28" t="n">
        <v>842</v>
      </c>
      <c r="BF77" s="28" t="n">
        <v>1250</v>
      </c>
      <c r="BG77" s="28" t="n">
        <v>1</v>
      </c>
      <c r="BH77" s="28" t="b">
        <v>1</v>
      </c>
      <c r="BI77" s="34" t="b">
        <v>1</v>
      </c>
      <c r="BJ77" s="28" t="b">
        <v>1</v>
      </c>
      <c r="BK77" s="28" t="b">
        <v>1</v>
      </c>
      <c r="BL77" s="28" t="b">
        <v>0</v>
      </c>
      <c r="BM77" s="28" t="n">
        <v>65</v>
      </c>
      <c r="BN77" s="28" t="inlineStr">
        <is>
          <t>complete</t>
        </is>
      </c>
      <c r="BO77" s="28" t="inlineStr">
        <is>
          <t>rendered_browser</t>
        </is>
      </c>
      <c r="BP77" s="28" t="b">
        <v>0</v>
      </c>
      <c r="BQ77" s="28" t="n">
        <v>0</v>
      </c>
      <c r="BR77" s="28" t="n">
        <v>0</v>
      </c>
      <c r="BS77" s="28" t="inlineStr"/>
      <c r="BT77" s="28" t="b">
        <v>0</v>
      </c>
      <c r="BU77" s="28" t="inlineStr"/>
      <c r="BV77" s="28" t="inlineStr"/>
      <c r="BW77" s="28" t="n">
        <v>0</v>
      </c>
      <c r="BX77" s="28" t="inlineStr"/>
      <c r="BY77" s="28" t="n">
        <v>0</v>
      </c>
      <c r="BZ77" s="28" t="inlineStr"/>
      <c r="CA77" s="28" t="n">
        <v>0</v>
      </c>
      <c r="CB77" s="28" t="inlineStr"/>
      <c r="CC77" s="28" t="n">
        <v>0</v>
      </c>
      <c r="CD77" s="28" t="inlineStr"/>
      <c r="CE77" s="28" t="n">
        <v>0</v>
      </c>
      <c r="CF77" s="28" t="inlineStr"/>
      <c r="CG77" s="28" t="n">
        <v>0</v>
      </c>
      <c r="CH77" s="28" t="inlineStr"/>
      <c r="CI77" s="28" t="inlineStr"/>
      <c r="CJ77" s="28" t="inlineStr"/>
      <c r="CK77" s="28" t="inlineStr"/>
      <c r="CL77" s="28" t="inlineStr">
        <is>
          <t>2026-06-01 to 2026-06-30 (30-day window; excludes today; typical GSC lag ~48h)</t>
        </is>
      </c>
      <c r="CM77" s="28" t="inlineStr">
        <is>
          <t>No Search Analytics row matched this URL in the 30-day export (compare Final URL with the page URL shown in GSC)</t>
        </is>
      </c>
      <c r="CN77" s="28" t="n">
        <v>-1</v>
      </c>
      <c r="CO77" s="28" t="b">
        <v>1</v>
      </c>
      <c r="CP77" s="28" t="n">
        <v>0.012048</v>
      </c>
      <c r="CQ77" s="28" t="b">
        <v>1</v>
      </c>
      <c r="CR77" s="28" t="b">
        <v>1</v>
      </c>
      <c r="CS77" s="28" t="inlineStr">
        <is>
          <t>Both</t>
        </is>
      </c>
      <c r="CT77" s="74" t="inlineStr"/>
      <c r="CU77" s="28" t="n">
        <v>75</v>
      </c>
      <c r="CV77" s="29">
        <f>IFERROR(INDEX(OFFSET('Technical Diagnostics'!$A$1,2,MATCH("SEO Health Score",'Technical Diagnostics'!$2:$2,0)-1,99998,1),MATCH(B77,OFFSET('Technical Diagnostics'!$A$1,2,MATCH("URL",'Technical Diagnostics'!$2:$2,0)-1,99998,1),0)),"")</f>
        <v/>
      </c>
      <c r="CW77" s="32" t="n">
        <v>100</v>
      </c>
      <c r="CX77" s="29" t="n">
        <v>85</v>
      </c>
      <c r="CY77" s="32" t="b">
        <v>1</v>
      </c>
      <c r="CZ77" s="28" t="b">
        <v>0</v>
      </c>
      <c r="DA77" s="28" t="inlineStr"/>
      <c r="DB77" s="28" t="inlineStr"/>
      <c r="DC77" s="28" t="inlineStr"/>
      <c r="DD77" s="28" t="n">
        <v>0</v>
      </c>
      <c r="DE77" s="28" t="n">
        <v>0</v>
      </c>
      <c r="DF77" s="28" t="inlineStr"/>
      <c r="DG77" s="28" t="inlineStr"/>
      <c r="DH77" s="28" t="inlineStr"/>
      <c r="DI77" s="28" t="n">
        <v>6</v>
      </c>
      <c r="DJ77" s="28" t="inlineStr">
        <is>
          <t>Author 74</t>
        </is>
      </c>
      <c r="DK77" s="28" t="inlineStr"/>
      <c r="DL77" s="28" t="b">
        <v>1</v>
      </c>
      <c r="DM77" s="28" t="inlineStr"/>
      <c r="DN77" s="28" t="inlineStr">
        <is>
          <t>2026-06-01</t>
        </is>
      </c>
      <c r="DO77" s="28" t="inlineStr"/>
      <c r="DP77" s="28" t="inlineStr">
        <is>
          <t>2026-06-01</t>
        </is>
      </c>
      <c r="DQ77" s="28" t="inlineStr"/>
      <c r="DR77" s="28" t="b">
        <v>0</v>
      </c>
      <c r="DS77" s="28" t="b">
        <v>1</v>
      </c>
      <c r="DT77" s="28" t="b">
        <v>1</v>
      </c>
      <c r="DU77" s="28" t="b">
        <v>0</v>
      </c>
      <c r="DV77" s="28" t="n">
        <v>0</v>
      </c>
      <c r="DW77" s="28" t="b">
        <v>0</v>
      </c>
      <c r="DX77" s="28" t="b">
        <v>0</v>
      </c>
      <c r="DY77" s="28" t="b">
        <v>0</v>
      </c>
      <c r="DZ77" s="28" t="b">
        <v>0</v>
      </c>
      <c r="EA77" s="32" t="b">
        <v>0</v>
      </c>
      <c r="EB77" s="28" t="b">
        <v>0</v>
      </c>
      <c r="EC77" s="28" t="inlineStr"/>
      <c r="ED77" s="28" t="inlineStr"/>
      <c r="EE77" s="28" t="b">
        <v>0</v>
      </c>
      <c r="EF77" s="28" t="inlineStr"/>
      <c r="EG77" s="28" t="inlineStr"/>
      <c r="EH77" s="28" t="inlineStr"/>
      <c r="EI77" s="28" t="inlineStr"/>
      <c r="EJ77" s="28" t="inlineStr"/>
      <c r="EK77" s="28" t="inlineStr">
        <is>
          <t>Fresh</t>
        </is>
      </c>
      <c r="EL77" s="28" t="inlineStr">
        <is>
          <t>Smoke title 74</t>
        </is>
      </c>
      <c r="EM77" s="28" t="inlineStr">
        <is>
          <t>Smoke meta description for page 74.</t>
        </is>
      </c>
      <c r="EN77" s="28" t="inlineStr">
        <is>
          <t>article</t>
        </is>
      </c>
      <c r="EO77" s="74" t="inlineStr"/>
      <c r="EP77" s="74" t="inlineStr"/>
      <c r="EQ77" s="28" t="inlineStr"/>
      <c r="ER77" s="28" t="inlineStr"/>
      <c r="ES77" s="28" t="inlineStr"/>
      <c r="ET77" s="28" t="inlineStr"/>
      <c r="EU77" s="75" t="b">
        <v>0</v>
      </c>
      <c r="EV77" s="28" t="inlineStr">
        <is>
          <t>summary_large_image</t>
        </is>
      </c>
      <c r="EW77" s="28" t="inlineStr"/>
      <c r="EX77" s="28" t="inlineStr"/>
      <c r="EY77" s="28" t="inlineStr"/>
      <c r="EZ77" s="28" t="n">
        <v>0</v>
      </c>
      <c r="FA77" s="40" t="b">
        <v>0</v>
      </c>
      <c r="FB77" s="74" t="inlineStr">
        <is>
          <t>https://africanmarketingconfederation.org/smoke-archive/page-74</t>
        </is>
      </c>
      <c r="FC77" s="28" t="inlineStr"/>
      <c r="FD77" s="28" t="n">
        <v>0</v>
      </c>
      <c r="FE77" s="20" t="inlineStr"/>
      <c r="FF77" s="28" t="b">
        <v>0</v>
      </c>
      <c r="FG77" s="28" t="b">
        <v>0</v>
      </c>
      <c r="FH77" s="32" t="b">
        <v>0</v>
      </c>
      <c r="FI77" s="28" t="n">
        <v>0</v>
      </c>
      <c r="FJ77" s="28" t="inlineStr">
        <is>
          <t>https://africanmarketingconfederation.org/smoke-archive/page-74</t>
        </is>
      </c>
      <c r="FK77" s="28" t="inlineStr"/>
      <c r="FL77" s="32" t="b">
        <v>0</v>
      </c>
      <c r="FM77" s="28" t="b">
        <v>0</v>
      </c>
      <c r="FN77" s="32" t="b">
        <v>0</v>
      </c>
      <c r="FO77" s="28" t="inlineStr"/>
      <c r="FP77" s="28" t="inlineStr"/>
      <c r="FQ77" s="28" t="inlineStr"/>
      <c r="FR77" s="28" t="inlineStr"/>
      <c r="FS77" s="28" t="inlineStr"/>
      <c r="FT77" s="28" t="inlineStr"/>
      <c r="FU77" s="28" t="inlineStr">
        <is>
          <t>Not specified</t>
        </is>
      </c>
      <c r="FV77" s="28" t="inlineStr">
        <is>
          <t>Not specified</t>
        </is>
      </c>
      <c r="FW77" s="28" t="inlineStr">
        <is>
          <t>Not specified</t>
        </is>
      </c>
      <c r="FX77" s="28" t="inlineStr">
        <is>
          <t>Not specified</t>
        </is>
      </c>
      <c r="FY77" s="28" t="inlineStr">
        <is>
          <t>Not specified</t>
        </is>
      </c>
      <c r="FZ77" s="28" t="b">
        <v>0</v>
      </c>
      <c r="GA77" s="28" t="n">
        <v>0</v>
      </c>
      <c r="GB77" s="28" t="inlineStr"/>
      <c r="GC77" s="28" t="inlineStr"/>
      <c r="GD77" s="28" t="b">
        <v>0</v>
      </c>
      <c r="GE77" s="28" t="b">
        <v>0</v>
      </c>
      <c r="GF77" s="28" t="b">
        <v>0</v>
      </c>
      <c r="GG77" s="28" t="b">
        <v>0</v>
      </c>
      <c r="GH77" s="28" t="b">
        <v>0</v>
      </c>
      <c r="GI77" s="28" t="b">
        <v>0</v>
      </c>
      <c r="GJ77" s="28" t="n">
        <v>0</v>
      </c>
      <c r="GK77" s="28" t="n">
        <v>0</v>
      </c>
      <c r="GL77" s="28" t="n">
        <v>0</v>
      </c>
      <c r="GM77" s="74" t="inlineStr"/>
      <c r="GN77" s="74" t="inlineStr"/>
      <c r="GO77" s="32" t="b">
        <v>0</v>
      </c>
      <c r="GP77" s="28" t="inlineStr"/>
      <c r="GQ77" s="74" t="inlineStr"/>
      <c r="GR77" s="28" t="inlineStr">
        <is>
          <t>Not Declared</t>
        </is>
      </c>
      <c r="GS77" s="28" t="b">
        <v>1</v>
      </c>
      <c r="GT77" s="28" t="n">
        <v>61</v>
      </c>
      <c r="GU77" s="28" t="inlineStr">
        <is>
          <t>Orphan</t>
        </is>
      </c>
      <c r="GV77" s="28" t="n">
        <v>0</v>
      </c>
      <c r="GW77" s="34" t="n">
        <v>0</v>
      </c>
      <c r="GX77" s="28" t="b">
        <v>0</v>
      </c>
      <c r="GY77" s="28" t="inlineStr">
        <is>
          <t>FAQ</t>
        </is>
      </c>
      <c r="GZ77" s="28" t="n">
        <v>9</v>
      </c>
      <c r="HA77" s="28" t="b">
        <v>0</v>
      </c>
      <c r="HB77" s="28" t="inlineStr">
        <is>
          <t>smoke, body, copy, intent, classification</t>
        </is>
      </c>
      <c r="HC77" s="28" t="b">
        <v>0</v>
      </c>
      <c r="HD77" s="28" t="b">
        <v>0</v>
      </c>
      <c r="HE77" s="28" t="b">
        <v>0</v>
      </c>
      <c r="HF77" s="34" t="n">
        <v>0</v>
      </c>
      <c r="HG77" s="28" t="b">
        <v>0</v>
      </c>
      <c r="HH77" s="28" t="b">
        <v>0</v>
      </c>
      <c r="HI77">
        <f>IFERROR(HYPERLINK("#'Technical Diagnostics'!A"&amp;MATCH(B77,'Technical Diagnostics'!A:A,0),"Open Technical"),HYPERLINK("#'Technical Diagnostics'!A1","Open Technical"))</f>
        <v/>
      </c>
    </row>
    <row r="78" ht="18" customHeight="1">
      <c r="A78" s="30" t="inlineStr">
        <is>
          <t>WARN 🟡</t>
        </is>
      </c>
      <c r="B78" s="37" t="inlineStr">
        <is>
          <t>https://africanmarketingconfederation.org/smoke-archive/page-75</t>
        </is>
      </c>
      <c r="C78" s="30" t="inlineStr"/>
      <c r="D78" s="30" t="inlineStr">
        <is>
          <t>Indexable</t>
        </is>
      </c>
      <c r="E78" s="30" t="inlineStr"/>
      <c r="F78" s="30" t="inlineStr">
        <is>
          <t>Smoke title 75</t>
        </is>
      </c>
      <c r="G78" s="30" t="inlineStr"/>
      <c r="H78" s="30" t="n">
        <v>345</v>
      </c>
      <c r="I78" s="30" t="n">
        <v>60</v>
      </c>
      <c r="J78" s="30" t="inlineStr">
        <is>
          <t>Warning</t>
        </is>
      </c>
      <c r="K78" s="30" t="inlineStr">
        <is>
          <t>Yes</t>
        </is>
      </c>
      <c r="L78" s="30" t="inlineStr"/>
      <c r="M78" s="30" t="inlineStr"/>
      <c r="N78" s="30" t="inlineStr">
        <is>
          <t>Lab only</t>
        </is>
      </c>
      <c r="O78" s="30" t="inlineStr">
        <is>
          <t>None</t>
        </is>
      </c>
      <c r="P78" s="30" t="inlineStr">
        <is>
          <t>PSI Lab</t>
        </is>
      </c>
      <c r="Q78" s="30" t="inlineStr">
        <is>
          <t>None</t>
        </is>
      </c>
      <c r="R78" s="30" t="inlineStr"/>
      <c r="S78" s="30" t="inlineStr"/>
      <c r="T78" s="30" t="inlineStr"/>
      <c r="U78" s="30" t="inlineStr"/>
      <c r="V78" s="30" t="inlineStr"/>
      <c r="W78" s="30" t="inlineStr"/>
      <c r="X78" s="30" t="inlineStr"/>
      <c r="Y78" s="30" t="inlineStr"/>
      <c r="Z78" s="30" t="inlineStr"/>
      <c r="AA78" s="30" t="n">
        <v>88</v>
      </c>
      <c r="AB78" s="30" t="n">
        <v>88</v>
      </c>
      <c r="AC78" s="30" t="n">
        <v>88</v>
      </c>
      <c r="AD78" s="30" t="n">
        <v>85</v>
      </c>
      <c r="AE78" s="30" t="n">
        <v>82</v>
      </c>
      <c r="AF78" s="30" t="n">
        <v>92</v>
      </c>
      <c r="AG78" s="30" t="n">
        <v>2.4</v>
      </c>
      <c r="AH78" s="30" t="n">
        <v>0.04</v>
      </c>
      <c r="AI78" s="30" t="n">
        <v>0.4</v>
      </c>
      <c r="AJ78" s="30" t="n">
        <v>2.4</v>
      </c>
      <c r="AK78" s="30" t="n">
        <v>0.04</v>
      </c>
      <c r="AL78" s="30" t="n">
        <v>180</v>
      </c>
      <c r="AM78" s="30" t="n">
        <v>120</v>
      </c>
      <c r="AN78" s="30" t="n">
        <v>1.8</v>
      </c>
      <c r="AO78" s="30" t="n">
        <v>3.2</v>
      </c>
      <c r="AP78" s="30" t="n">
        <v>4.1</v>
      </c>
      <c r="AQ78" s="30" t="n">
        <v>400</v>
      </c>
      <c r="AR78" s="30" t="n">
        <v>88</v>
      </c>
      <c r="AS78" s="30" t="n">
        <v>85</v>
      </c>
      <c r="AT78" s="30" t="n">
        <v>82</v>
      </c>
      <c r="AU78" s="30" t="n">
        <v>92</v>
      </c>
      <c r="AV78" s="30" t="n">
        <v>2.4</v>
      </c>
      <c r="AW78" s="30" t="n">
        <v>0.04</v>
      </c>
      <c r="AX78" s="30" t="n">
        <v>180</v>
      </c>
      <c r="AY78" s="30" t="n">
        <v>120</v>
      </c>
      <c r="AZ78" s="30" t="n">
        <v>1.8</v>
      </c>
      <c r="BA78" s="30" t="n">
        <v>3.2</v>
      </c>
      <c r="BB78" s="30" t="n">
        <v>4.1</v>
      </c>
      <c r="BC78" s="30" t="n">
        <v>400</v>
      </c>
      <c r="BD78" s="30" t="n">
        <v>500</v>
      </c>
      <c r="BE78" s="30" t="n">
        <v>842</v>
      </c>
      <c r="BF78" s="30" t="n">
        <v>1250</v>
      </c>
      <c r="BG78" s="30" t="n">
        <v>1</v>
      </c>
      <c r="BH78" s="30" t="b">
        <v>1</v>
      </c>
      <c r="BI78" s="34" t="b">
        <v>1</v>
      </c>
      <c r="BJ78" s="30" t="b">
        <v>1</v>
      </c>
      <c r="BK78" s="30" t="b">
        <v>1</v>
      </c>
      <c r="BL78" s="30" t="b">
        <v>0</v>
      </c>
      <c r="BM78" s="30" t="n">
        <v>65</v>
      </c>
      <c r="BN78" s="30" t="inlineStr">
        <is>
          <t>complete</t>
        </is>
      </c>
      <c r="BO78" s="30" t="inlineStr">
        <is>
          <t>rendered_browser</t>
        </is>
      </c>
      <c r="BP78" s="30" t="b">
        <v>0</v>
      </c>
      <c r="BQ78" s="30" t="n">
        <v>0</v>
      </c>
      <c r="BR78" s="30" t="n">
        <v>0</v>
      </c>
      <c r="BS78" s="30" t="inlineStr"/>
      <c r="BT78" s="30" t="b">
        <v>0</v>
      </c>
      <c r="BU78" s="30" t="inlineStr"/>
      <c r="BV78" s="30" t="inlineStr"/>
      <c r="BW78" s="30" t="n">
        <v>0</v>
      </c>
      <c r="BX78" s="30" t="inlineStr"/>
      <c r="BY78" s="30" t="n">
        <v>0</v>
      </c>
      <c r="BZ78" s="30" t="inlineStr"/>
      <c r="CA78" s="30" t="n">
        <v>0</v>
      </c>
      <c r="CB78" s="30" t="inlineStr"/>
      <c r="CC78" s="30" t="n">
        <v>0</v>
      </c>
      <c r="CD78" s="30" t="inlineStr"/>
      <c r="CE78" s="30" t="n">
        <v>0</v>
      </c>
      <c r="CF78" s="30" t="inlineStr"/>
      <c r="CG78" s="30" t="n">
        <v>0</v>
      </c>
      <c r="CH78" s="30" t="inlineStr"/>
      <c r="CI78" s="30" t="inlineStr"/>
      <c r="CJ78" s="30" t="inlineStr"/>
      <c r="CK78" s="30" t="inlineStr"/>
      <c r="CL78" s="30" t="inlineStr">
        <is>
          <t>2026-06-01 to 2026-06-30 (30-day window; excludes today; typical GSC lag ~48h)</t>
        </is>
      </c>
      <c r="CM78" s="30" t="inlineStr">
        <is>
          <t>No Search Analytics row matched this URL in the 30-day export (compare Final URL with the page URL shown in GSC)</t>
        </is>
      </c>
      <c r="CN78" s="30" t="n">
        <v>-1</v>
      </c>
      <c r="CO78" s="30" t="b">
        <v>1</v>
      </c>
      <c r="CP78" s="30" t="n">
        <v>0.012048</v>
      </c>
      <c r="CQ78" s="30" t="b">
        <v>1</v>
      </c>
      <c r="CR78" s="30" t="b">
        <v>1</v>
      </c>
      <c r="CS78" s="30" t="inlineStr">
        <is>
          <t>Both</t>
        </is>
      </c>
      <c r="CT78" s="76" t="inlineStr"/>
      <c r="CU78" s="30" t="n">
        <v>76</v>
      </c>
      <c r="CV78" s="34">
        <f>IFERROR(INDEX(OFFSET('Technical Diagnostics'!$A$1,2,MATCH("SEO Health Score",'Technical Diagnostics'!$2:$2,0)-1,99998,1),MATCH(B78,OFFSET('Technical Diagnostics'!$A$1,2,MATCH("URL",'Technical Diagnostics'!$2:$2,0)-1,99998,1),0)),"")</f>
        <v/>
      </c>
      <c r="CW78" s="29" t="n">
        <v>80</v>
      </c>
      <c r="CX78" s="34" t="n">
        <v>65</v>
      </c>
      <c r="CY78" s="32" t="b">
        <v>1</v>
      </c>
      <c r="CZ78" s="30" t="b">
        <v>0</v>
      </c>
      <c r="DA78" s="30" t="inlineStr"/>
      <c r="DB78" s="30" t="inlineStr"/>
      <c r="DC78" s="30" t="inlineStr"/>
      <c r="DD78" s="30" t="n">
        <v>0</v>
      </c>
      <c r="DE78" s="30" t="n">
        <v>0</v>
      </c>
      <c r="DF78" s="30" t="inlineStr"/>
      <c r="DG78" s="30" t="inlineStr"/>
      <c r="DH78" s="30" t="inlineStr"/>
      <c r="DI78" s="30" t="n">
        <v>6</v>
      </c>
      <c r="DJ78" s="30" t="inlineStr">
        <is>
          <t>Author 75</t>
        </is>
      </c>
      <c r="DK78" s="30" t="inlineStr"/>
      <c r="DL78" s="30" t="b">
        <v>1</v>
      </c>
      <c r="DM78" s="30" t="inlineStr"/>
      <c r="DN78" s="30" t="inlineStr">
        <is>
          <t>2026-06-01</t>
        </is>
      </c>
      <c r="DO78" s="30" t="inlineStr"/>
      <c r="DP78" s="30" t="inlineStr">
        <is>
          <t>2026-06-01</t>
        </is>
      </c>
      <c r="DQ78" s="30" t="inlineStr"/>
      <c r="DR78" s="30" t="b">
        <v>0</v>
      </c>
      <c r="DS78" s="30" t="b">
        <v>1</v>
      </c>
      <c r="DT78" s="30" t="b">
        <v>1</v>
      </c>
      <c r="DU78" s="30" t="b">
        <v>0</v>
      </c>
      <c r="DV78" s="30" t="n">
        <v>0</v>
      </c>
      <c r="DW78" s="30" t="b">
        <v>0</v>
      </c>
      <c r="DX78" s="30" t="b">
        <v>0</v>
      </c>
      <c r="DY78" s="30" t="b">
        <v>0</v>
      </c>
      <c r="DZ78" s="30" t="b">
        <v>0</v>
      </c>
      <c r="EA78" s="32" t="b">
        <v>0</v>
      </c>
      <c r="EB78" s="30" t="b">
        <v>0</v>
      </c>
      <c r="EC78" s="30" t="inlineStr"/>
      <c r="ED78" s="30" t="inlineStr"/>
      <c r="EE78" s="30" t="b">
        <v>0</v>
      </c>
      <c r="EF78" s="30" t="inlineStr"/>
      <c r="EG78" s="30" t="inlineStr"/>
      <c r="EH78" s="30" t="inlineStr"/>
      <c r="EI78" s="30" t="inlineStr">
        <is>
          <t>2026-06-01</t>
        </is>
      </c>
      <c r="EJ78" s="30" t="inlineStr"/>
      <c r="EK78" s="30" t="inlineStr">
        <is>
          <t>Fresh</t>
        </is>
      </c>
      <c r="EL78" s="30" t="inlineStr">
        <is>
          <t>Smoke title 75</t>
        </is>
      </c>
      <c r="EM78" s="30" t="inlineStr"/>
      <c r="EN78" s="30" t="inlineStr">
        <is>
          <t>article</t>
        </is>
      </c>
      <c r="EO78" s="76" t="inlineStr"/>
      <c r="EP78" s="76" t="inlineStr"/>
      <c r="EQ78" s="30" t="inlineStr"/>
      <c r="ER78" s="30" t="inlineStr"/>
      <c r="ES78" s="30" t="inlineStr"/>
      <c r="ET78" s="30" t="inlineStr"/>
      <c r="EU78" s="75" t="b">
        <v>0</v>
      </c>
      <c r="EV78" s="30" t="inlineStr">
        <is>
          <t>summary_large_image</t>
        </is>
      </c>
      <c r="EW78" s="30" t="inlineStr"/>
      <c r="EX78" s="30" t="inlineStr"/>
      <c r="EY78" s="30" t="inlineStr"/>
      <c r="EZ78" s="30" t="n">
        <v>0</v>
      </c>
      <c r="FA78" s="40" t="b">
        <v>0</v>
      </c>
      <c r="FB78" s="76" t="inlineStr">
        <is>
          <t>https://africanmarketingconfederation.org/smoke-archive/page-75</t>
        </is>
      </c>
      <c r="FC78" s="30" t="inlineStr"/>
      <c r="FD78" s="30" t="n">
        <v>0</v>
      </c>
      <c r="FE78" s="31" t="inlineStr"/>
      <c r="FF78" s="30" t="b">
        <v>0</v>
      </c>
      <c r="FG78" s="30" t="b">
        <v>0</v>
      </c>
      <c r="FH78" s="32" t="b">
        <v>0</v>
      </c>
      <c r="FI78" s="30" t="n">
        <v>0</v>
      </c>
      <c r="FJ78" s="30" t="inlineStr">
        <is>
          <t>https://africanmarketingconfederation.org/smoke-archive/page-75</t>
        </is>
      </c>
      <c r="FK78" s="30" t="inlineStr"/>
      <c r="FL78" s="32" t="b">
        <v>0</v>
      </c>
      <c r="FM78" s="30" t="b">
        <v>0</v>
      </c>
      <c r="FN78" s="32" t="b">
        <v>0</v>
      </c>
      <c r="FO78" s="30" t="inlineStr"/>
      <c r="FP78" s="30" t="inlineStr"/>
      <c r="FQ78" s="30" t="inlineStr"/>
      <c r="FR78" s="30" t="inlineStr"/>
      <c r="FS78" s="30" t="inlineStr"/>
      <c r="FT78" s="30" t="inlineStr"/>
      <c r="FU78" s="30" t="inlineStr">
        <is>
          <t>Not specified</t>
        </is>
      </c>
      <c r="FV78" s="30" t="inlineStr">
        <is>
          <t>Not specified</t>
        </is>
      </c>
      <c r="FW78" s="30" t="inlineStr">
        <is>
          <t>Not specified</t>
        </is>
      </c>
      <c r="FX78" s="30" t="inlineStr">
        <is>
          <t>Not specified</t>
        </is>
      </c>
      <c r="FY78" s="30" t="inlineStr">
        <is>
          <t>Not specified</t>
        </is>
      </c>
      <c r="FZ78" s="30" t="b">
        <v>0</v>
      </c>
      <c r="GA78" s="30" t="n">
        <v>0</v>
      </c>
      <c r="GB78" s="30" t="inlineStr"/>
      <c r="GC78" s="30" t="inlineStr"/>
      <c r="GD78" s="30" t="b">
        <v>0</v>
      </c>
      <c r="GE78" s="30" t="b">
        <v>0</v>
      </c>
      <c r="GF78" s="30" t="b">
        <v>0</v>
      </c>
      <c r="GG78" s="30" t="b">
        <v>0</v>
      </c>
      <c r="GH78" s="30" t="b">
        <v>0</v>
      </c>
      <c r="GI78" s="30" t="b">
        <v>0</v>
      </c>
      <c r="GJ78" s="30" t="n">
        <v>0</v>
      </c>
      <c r="GK78" s="30" t="n">
        <v>0</v>
      </c>
      <c r="GL78" s="30" t="n">
        <v>0</v>
      </c>
      <c r="GM78" s="76" t="inlineStr"/>
      <c r="GN78" s="76" t="inlineStr"/>
      <c r="GO78" s="32" t="b">
        <v>0</v>
      </c>
      <c r="GP78" s="30" t="inlineStr"/>
      <c r="GQ78" s="76" t="inlineStr"/>
      <c r="GR78" s="30" t="inlineStr">
        <is>
          <t>Not Declared</t>
        </is>
      </c>
      <c r="GS78" s="30" t="b">
        <v>1</v>
      </c>
      <c r="GT78" s="30" t="n">
        <v>87.8</v>
      </c>
      <c r="GU78" s="30" t="inlineStr">
        <is>
          <t>Orphan</t>
        </is>
      </c>
      <c r="GV78" s="30" t="n">
        <v>0</v>
      </c>
      <c r="GW78" s="34" t="n">
        <v>0</v>
      </c>
      <c r="GX78" s="30" t="b">
        <v>0</v>
      </c>
      <c r="GY78" s="30" t="inlineStr">
        <is>
          <t>FAQ</t>
        </is>
      </c>
      <c r="GZ78" s="30" t="n">
        <v>9</v>
      </c>
      <c r="HA78" s="30" t="b">
        <v>0</v>
      </c>
      <c r="HB78" s="30" t="inlineStr">
        <is>
          <t>smoke, body, copy, intent, classification</t>
        </is>
      </c>
      <c r="HC78" s="30" t="b">
        <v>0</v>
      </c>
      <c r="HD78" s="30" t="b">
        <v>0</v>
      </c>
      <c r="HE78" s="30" t="b">
        <v>0</v>
      </c>
      <c r="HF78" s="34" t="n">
        <v>0</v>
      </c>
      <c r="HG78" s="30" t="b">
        <v>0</v>
      </c>
      <c r="HH78" s="30" t="b">
        <v>0</v>
      </c>
      <c r="HI78" s="38">
        <f>IFERROR(HYPERLINK("#'Technical Diagnostics'!A"&amp;MATCH(B78,'Technical Diagnostics'!A:A,0),"Open Technical"),HYPERLINK("#'Technical Diagnostics'!A1","Open Technical"))</f>
        <v/>
      </c>
    </row>
    <row r="79" ht="18" customHeight="1">
      <c r="A79" s="28" t="inlineStr">
        <is>
          <t>OBS 🔵</t>
        </is>
      </c>
      <c r="B79" s="35" t="inlineStr">
        <is>
          <t>https://africanmarketingconfederation.org/smoke-archive/page-76</t>
        </is>
      </c>
      <c r="C79" s="28" t="inlineStr"/>
      <c r="D79" s="28" t="inlineStr">
        <is>
          <t>Indexable</t>
        </is>
      </c>
      <c r="E79" s="28" t="inlineStr"/>
      <c r="F79" s="28" t="inlineStr">
        <is>
          <t>Smoke title 76</t>
        </is>
      </c>
      <c r="G79" s="28" t="inlineStr">
        <is>
          <t>Smoke meta description for page 76.</t>
        </is>
      </c>
      <c r="H79" s="28" t="n">
        <v>346</v>
      </c>
      <c r="I79" s="28" t="n">
        <v>90</v>
      </c>
      <c r="J79" s="28" t="inlineStr">
        <is>
          <t>Observation</t>
        </is>
      </c>
      <c r="K79" s="28" t="inlineStr">
        <is>
          <t>No</t>
        </is>
      </c>
      <c r="L79" s="28" t="inlineStr"/>
      <c r="M79" s="28" t="inlineStr"/>
      <c r="N79" s="28" t="inlineStr">
        <is>
          <t>Lab only</t>
        </is>
      </c>
      <c r="O79" s="28" t="inlineStr">
        <is>
          <t>None</t>
        </is>
      </c>
      <c r="P79" s="28" t="inlineStr">
        <is>
          <t>PSI Lab</t>
        </is>
      </c>
      <c r="Q79" s="28" t="inlineStr">
        <is>
          <t>None</t>
        </is>
      </c>
      <c r="R79" s="28" t="inlineStr"/>
      <c r="S79" s="28" t="inlineStr"/>
      <c r="T79" s="28" t="inlineStr"/>
      <c r="U79" s="28" t="inlineStr"/>
      <c r="V79" s="28" t="inlineStr"/>
      <c r="W79" s="28" t="inlineStr"/>
      <c r="X79" s="28" t="inlineStr"/>
      <c r="Y79" s="28" t="inlineStr"/>
      <c r="Z79" s="28" t="inlineStr"/>
      <c r="AA79" s="28" t="n">
        <v>88</v>
      </c>
      <c r="AB79" s="28" t="n">
        <v>88</v>
      </c>
      <c r="AC79" s="28" t="n">
        <v>88</v>
      </c>
      <c r="AD79" s="28" t="n">
        <v>85</v>
      </c>
      <c r="AE79" s="28" t="n">
        <v>82</v>
      </c>
      <c r="AF79" s="28" t="n">
        <v>92</v>
      </c>
      <c r="AG79" s="28" t="n">
        <v>2.4</v>
      </c>
      <c r="AH79" s="28" t="n">
        <v>0.04</v>
      </c>
      <c r="AI79" s="28" t="n">
        <v>0.4</v>
      </c>
      <c r="AJ79" s="28" t="n">
        <v>2.4</v>
      </c>
      <c r="AK79" s="28" t="n">
        <v>0.04</v>
      </c>
      <c r="AL79" s="28" t="n">
        <v>180</v>
      </c>
      <c r="AM79" s="28" t="n">
        <v>120</v>
      </c>
      <c r="AN79" s="28" t="n">
        <v>1.8</v>
      </c>
      <c r="AO79" s="28" t="n">
        <v>3.2</v>
      </c>
      <c r="AP79" s="28" t="n">
        <v>4.1</v>
      </c>
      <c r="AQ79" s="28" t="n">
        <v>400</v>
      </c>
      <c r="AR79" s="28" t="n">
        <v>88</v>
      </c>
      <c r="AS79" s="28" t="n">
        <v>85</v>
      </c>
      <c r="AT79" s="28" t="n">
        <v>82</v>
      </c>
      <c r="AU79" s="28" t="n">
        <v>92</v>
      </c>
      <c r="AV79" s="28" t="n">
        <v>2.4</v>
      </c>
      <c r="AW79" s="28" t="n">
        <v>0.04</v>
      </c>
      <c r="AX79" s="28" t="n">
        <v>180</v>
      </c>
      <c r="AY79" s="28" t="n">
        <v>120</v>
      </c>
      <c r="AZ79" s="28" t="n">
        <v>1.8</v>
      </c>
      <c r="BA79" s="28" t="n">
        <v>3.2</v>
      </c>
      <c r="BB79" s="28" t="n">
        <v>4.1</v>
      </c>
      <c r="BC79" s="28" t="n">
        <v>400</v>
      </c>
      <c r="BD79" s="28" t="n">
        <v>500</v>
      </c>
      <c r="BE79" s="28" t="n">
        <v>842</v>
      </c>
      <c r="BF79" s="28" t="n">
        <v>1250</v>
      </c>
      <c r="BG79" s="28" t="n">
        <v>1</v>
      </c>
      <c r="BH79" s="28" t="b">
        <v>1</v>
      </c>
      <c r="BI79" s="34" t="b">
        <v>1</v>
      </c>
      <c r="BJ79" s="28" t="b">
        <v>1</v>
      </c>
      <c r="BK79" s="28" t="b">
        <v>1</v>
      </c>
      <c r="BL79" s="28" t="b">
        <v>0</v>
      </c>
      <c r="BM79" s="28" t="n">
        <v>65</v>
      </c>
      <c r="BN79" s="28" t="inlineStr">
        <is>
          <t>partial</t>
        </is>
      </c>
      <c r="BO79" s="28" t="inlineStr">
        <is>
          <t>rendered_browser</t>
        </is>
      </c>
      <c r="BP79" s="28" t="b">
        <v>0</v>
      </c>
      <c r="BQ79" s="28" t="n">
        <v>0</v>
      </c>
      <c r="BR79" s="28" t="n">
        <v>0</v>
      </c>
      <c r="BS79" s="28" t="inlineStr">
        <is>
          <t>https://africanmarketingconfederation.org/og-76.jpg</t>
        </is>
      </c>
      <c r="BT79" s="28" t="b">
        <v>0</v>
      </c>
      <c r="BU79" s="28" t="inlineStr"/>
      <c r="BV79" s="28" t="inlineStr"/>
      <c r="BW79" s="28" t="n">
        <v>0</v>
      </c>
      <c r="BX79" s="28" t="inlineStr"/>
      <c r="BY79" s="28" t="n">
        <v>0</v>
      </c>
      <c r="BZ79" s="28" t="inlineStr"/>
      <c r="CA79" s="28" t="n">
        <v>0</v>
      </c>
      <c r="CB79" s="28" t="inlineStr"/>
      <c r="CC79" s="28" t="n">
        <v>0</v>
      </c>
      <c r="CD79" s="28" t="inlineStr"/>
      <c r="CE79" s="28" t="n">
        <v>0</v>
      </c>
      <c r="CF79" s="28" t="inlineStr"/>
      <c r="CG79" s="28" t="n">
        <v>0</v>
      </c>
      <c r="CH79" s="28" t="inlineStr"/>
      <c r="CI79" s="28" t="inlineStr"/>
      <c r="CJ79" s="28" t="inlineStr"/>
      <c r="CK79" s="28" t="inlineStr"/>
      <c r="CL79" s="28" t="inlineStr">
        <is>
          <t>2026-06-01 to 2026-06-30 (30-day window; excludes today; typical GSC lag ~48h)</t>
        </is>
      </c>
      <c r="CM79" s="28" t="inlineStr">
        <is>
          <t>No Search Analytics row matched this URL in the 30-day export (compare Final URL with the page URL shown in GSC)</t>
        </is>
      </c>
      <c r="CN79" s="28" t="n">
        <v>-1</v>
      </c>
      <c r="CO79" s="28" t="b">
        <v>1</v>
      </c>
      <c r="CP79" s="28" t="n">
        <v>0.012048</v>
      </c>
      <c r="CQ79" s="28" t="b">
        <v>1</v>
      </c>
      <c r="CR79" s="28" t="b">
        <v>1</v>
      </c>
      <c r="CS79" s="28" t="inlineStr">
        <is>
          <t>Both</t>
        </is>
      </c>
      <c r="CT79" s="74" t="inlineStr"/>
      <c r="CU79" s="28" t="n">
        <v>77</v>
      </c>
      <c r="CV79" s="32">
        <f>IFERROR(INDEX(OFFSET('Technical Diagnostics'!$A$1,2,MATCH("SEO Health Score",'Technical Diagnostics'!$2:$2,0)-1,99998,1),MATCH(B79,OFFSET('Technical Diagnostics'!$A$1,2,MATCH("URL",'Technical Diagnostics'!$2:$2,0)-1,99998,1),0)),"")</f>
        <v/>
      </c>
      <c r="CW79" s="32" t="n">
        <v>100</v>
      </c>
      <c r="CX79" s="32" t="n">
        <v>92.5</v>
      </c>
      <c r="CY79" s="32" t="b">
        <v>1</v>
      </c>
      <c r="CZ79" s="28" t="b">
        <v>0</v>
      </c>
      <c r="DA79" s="28" t="inlineStr"/>
      <c r="DB79" s="28" t="inlineStr"/>
      <c r="DC79" s="28" t="inlineStr"/>
      <c r="DD79" s="28" t="n">
        <v>0</v>
      </c>
      <c r="DE79" s="28" t="n">
        <v>0</v>
      </c>
      <c r="DF79" s="28" t="inlineStr"/>
      <c r="DG79" s="28" t="inlineStr"/>
      <c r="DH79" s="28" t="inlineStr"/>
      <c r="DI79" s="28" t="n">
        <v>6</v>
      </c>
      <c r="DJ79" s="28" t="inlineStr">
        <is>
          <t>Author 76</t>
        </is>
      </c>
      <c r="DK79" s="28" t="inlineStr"/>
      <c r="DL79" s="28" t="b">
        <v>1</v>
      </c>
      <c r="DM79" s="28" t="inlineStr"/>
      <c r="DN79" s="28" t="inlineStr">
        <is>
          <t>2026-06-01</t>
        </is>
      </c>
      <c r="DO79" s="28" t="inlineStr"/>
      <c r="DP79" s="28" t="inlineStr">
        <is>
          <t>2026-06-01</t>
        </is>
      </c>
      <c r="DQ79" s="28" t="inlineStr"/>
      <c r="DR79" s="28" t="b">
        <v>0</v>
      </c>
      <c r="DS79" s="28" t="b">
        <v>1</v>
      </c>
      <c r="DT79" s="28" t="b">
        <v>1</v>
      </c>
      <c r="DU79" s="28" t="b">
        <v>0</v>
      </c>
      <c r="DV79" s="28" t="n">
        <v>0</v>
      </c>
      <c r="DW79" s="28" t="b">
        <v>0</v>
      </c>
      <c r="DX79" s="28" t="b">
        <v>0</v>
      </c>
      <c r="DY79" s="28" t="b">
        <v>0</v>
      </c>
      <c r="DZ79" s="28" t="b">
        <v>0</v>
      </c>
      <c r="EA79" s="32" t="b">
        <v>0</v>
      </c>
      <c r="EB79" s="28" t="b">
        <v>0</v>
      </c>
      <c r="EC79" s="28" t="inlineStr"/>
      <c r="ED79" s="28" t="inlineStr"/>
      <c r="EE79" s="28" t="b">
        <v>0</v>
      </c>
      <c r="EF79" s="28" t="inlineStr"/>
      <c r="EG79" s="28" t="inlineStr"/>
      <c r="EH79" s="28" t="inlineStr"/>
      <c r="EI79" s="28" t="inlineStr"/>
      <c r="EJ79" s="28" t="inlineStr"/>
      <c r="EK79" s="28" t="inlineStr">
        <is>
          <t>Fresh</t>
        </is>
      </c>
      <c r="EL79" s="28" t="inlineStr">
        <is>
          <t>Smoke title 76</t>
        </is>
      </c>
      <c r="EM79" s="28" t="inlineStr">
        <is>
          <t>Smoke meta description for page 76.</t>
        </is>
      </c>
      <c r="EN79" s="28" t="inlineStr">
        <is>
          <t>article</t>
        </is>
      </c>
      <c r="EO79" s="74" t="inlineStr"/>
      <c r="EP79" s="74" t="inlineStr">
        <is>
          <t>https://africanmarketingconfederation.org/og-76.jpg</t>
        </is>
      </c>
      <c r="EQ79" s="28" t="inlineStr"/>
      <c r="ER79" s="28" t="inlineStr"/>
      <c r="ES79" s="28" t="inlineStr"/>
      <c r="ET79" s="28" t="inlineStr"/>
      <c r="EU79" s="75" t="b">
        <v>0</v>
      </c>
      <c r="EV79" s="28" t="inlineStr">
        <is>
          <t>summary_large_image</t>
        </is>
      </c>
      <c r="EW79" s="28" t="inlineStr"/>
      <c r="EX79" s="28" t="inlineStr"/>
      <c r="EY79" s="28" t="inlineStr"/>
      <c r="EZ79" s="28" t="n">
        <v>0</v>
      </c>
      <c r="FA79" s="40" t="b">
        <v>0</v>
      </c>
      <c r="FB79" s="74" t="inlineStr">
        <is>
          <t>https://africanmarketingconfederation.org/smoke-archive/page-76</t>
        </is>
      </c>
      <c r="FC79" s="28" t="inlineStr"/>
      <c r="FD79" s="28" t="n">
        <v>0</v>
      </c>
      <c r="FE79" s="20" t="inlineStr"/>
      <c r="FF79" s="28" t="b">
        <v>0</v>
      </c>
      <c r="FG79" s="28" t="b">
        <v>0</v>
      </c>
      <c r="FH79" s="32" t="b">
        <v>0</v>
      </c>
      <c r="FI79" s="28" t="n">
        <v>0</v>
      </c>
      <c r="FJ79" s="28" t="inlineStr">
        <is>
          <t>https://africanmarketingconfederation.org/smoke-archive/page-76</t>
        </is>
      </c>
      <c r="FK79" s="28" t="inlineStr"/>
      <c r="FL79" s="32" t="b">
        <v>0</v>
      </c>
      <c r="FM79" s="28" t="b">
        <v>0</v>
      </c>
      <c r="FN79" s="32" t="b">
        <v>0</v>
      </c>
      <c r="FO79" s="28" t="inlineStr"/>
      <c r="FP79" s="28" t="inlineStr"/>
      <c r="FQ79" s="28" t="inlineStr"/>
      <c r="FR79" s="28" t="inlineStr"/>
      <c r="FS79" s="28" t="inlineStr"/>
      <c r="FT79" s="28" t="inlineStr"/>
      <c r="FU79" s="28" t="inlineStr">
        <is>
          <t>Not specified</t>
        </is>
      </c>
      <c r="FV79" s="28" t="inlineStr">
        <is>
          <t>Not specified</t>
        </is>
      </c>
      <c r="FW79" s="28" t="inlineStr">
        <is>
          <t>Not specified</t>
        </is>
      </c>
      <c r="FX79" s="28" t="inlineStr">
        <is>
          <t>Not specified</t>
        </is>
      </c>
      <c r="FY79" s="28" t="inlineStr">
        <is>
          <t>Not specified</t>
        </is>
      </c>
      <c r="FZ79" s="28" t="b">
        <v>0</v>
      </c>
      <c r="GA79" s="28" t="n">
        <v>0</v>
      </c>
      <c r="GB79" s="28" t="inlineStr"/>
      <c r="GC79" s="28" t="inlineStr"/>
      <c r="GD79" s="28" t="b">
        <v>0</v>
      </c>
      <c r="GE79" s="28" t="b">
        <v>0</v>
      </c>
      <c r="GF79" s="28" t="b">
        <v>0</v>
      </c>
      <c r="GG79" s="28" t="b">
        <v>0</v>
      </c>
      <c r="GH79" s="28" t="b">
        <v>0</v>
      </c>
      <c r="GI79" s="28" t="b">
        <v>0</v>
      </c>
      <c r="GJ79" s="28" t="n">
        <v>0</v>
      </c>
      <c r="GK79" s="28" t="n">
        <v>0</v>
      </c>
      <c r="GL79" s="28" t="n">
        <v>0</v>
      </c>
      <c r="GM79" s="74" t="inlineStr"/>
      <c r="GN79" s="74" t="inlineStr"/>
      <c r="GO79" s="32" t="b">
        <v>0</v>
      </c>
      <c r="GP79" s="28" t="inlineStr"/>
      <c r="GQ79" s="74" t="inlineStr"/>
      <c r="GR79" s="28" t="inlineStr">
        <is>
          <t>Not Declared</t>
        </is>
      </c>
      <c r="GS79" s="28" t="b">
        <v>1</v>
      </c>
      <c r="GT79" s="28" t="n">
        <v>58.5</v>
      </c>
      <c r="GU79" s="28" t="inlineStr">
        <is>
          <t>Orphan</t>
        </is>
      </c>
      <c r="GV79" s="28" t="n">
        <v>0</v>
      </c>
      <c r="GW79" s="34" t="n">
        <v>0</v>
      </c>
      <c r="GX79" s="28" t="b">
        <v>0</v>
      </c>
      <c r="GY79" s="28" t="inlineStr">
        <is>
          <t>FAQ</t>
        </is>
      </c>
      <c r="GZ79" s="28" t="n">
        <v>9</v>
      </c>
      <c r="HA79" s="28" t="b">
        <v>0</v>
      </c>
      <c r="HB79" s="28" t="inlineStr">
        <is>
          <t>smoke, body, copy, intent, classification</t>
        </is>
      </c>
      <c r="HC79" s="28" t="b">
        <v>0</v>
      </c>
      <c r="HD79" s="28" t="b">
        <v>0</v>
      </c>
      <c r="HE79" s="28" t="b">
        <v>0</v>
      </c>
      <c r="HF79" s="34" t="n">
        <v>0</v>
      </c>
      <c r="HG79" s="28" t="b">
        <v>0</v>
      </c>
      <c r="HH79" s="28" t="b">
        <v>0</v>
      </c>
      <c r="HI79">
        <f>IFERROR(HYPERLINK("#'Technical Diagnostics'!A"&amp;MATCH(B79,'Technical Diagnostics'!A:A,0),"Open Technical"),HYPERLINK("#'Technical Diagnostics'!A1","Open Technical"))</f>
        <v/>
      </c>
    </row>
    <row r="80" ht="18" customHeight="1">
      <c r="A80" s="30" t="inlineStr">
        <is>
          <t>WARN 🟡</t>
        </is>
      </c>
      <c r="B80" s="37" t="inlineStr">
        <is>
          <t>https://africanmarketingconfederation.org/smoke-archive/page-77</t>
        </is>
      </c>
      <c r="C80" s="30" t="inlineStr"/>
      <c r="D80" s="30" t="inlineStr">
        <is>
          <t>Indexable</t>
        </is>
      </c>
      <c r="E80" s="30" t="inlineStr"/>
      <c r="F80" s="30" t="inlineStr">
        <is>
          <t>Smoke title 77</t>
        </is>
      </c>
      <c r="G80" s="30" t="inlineStr">
        <is>
          <t>Smoke meta description for page 77.</t>
        </is>
      </c>
      <c r="H80" s="30" t="n">
        <v>347</v>
      </c>
      <c r="I80" s="30" t="n">
        <v>70</v>
      </c>
      <c r="J80" s="30" t="inlineStr">
        <is>
          <t>Warning</t>
        </is>
      </c>
      <c r="K80" s="30" t="inlineStr">
        <is>
          <t>Yes</t>
        </is>
      </c>
      <c r="L80" s="30" t="inlineStr"/>
      <c r="M80" s="30" t="inlineStr"/>
      <c r="N80" s="30" t="inlineStr">
        <is>
          <t>Lab only</t>
        </is>
      </c>
      <c r="O80" s="30" t="inlineStr">
        <is>
          <t>None</t>
        </is>
      </c>
      <c r="P80" s="30" t="inlineStr">
        <is>
          <t>PSI Lab</t>
        </is>
      </c>
      <c r="Q80" s="30" t="inlineStr">
        <is>
          <t>None</t>
        </is>
      </c>
      <c r="R80" s="30" t="inlineStr"/>
      <c r="S80" s="30" t="inlineStr"/>
      <c r="T80" s="30" t="inlineStr"/>
      <c r="U80" s="30" t="inlineStr"/>
      <c r="V80" s="30" t="inlineStr"/>
      <c r="W80" s="30" t="inlineStr"/>
      <c r="X80" s="30" t="inlineStr"/>
      <c r="Y80" s="30" t="inlineStr"/>
      <c r="Z80" s="30" t="inlineStr"/>
      <c r="AA80" s="30" t="n">
        <v>88</v>
      </c>
      <c r="AB80" s="30" t="n">
        <v>88</v>
      </c>
      <c r="AC80" s="30" t="n">
        <v>88</v>
      </c>
      <c r="AD80" s="30" t="n">
        <v>85</v>
      </c>
      <c r="AE80" s="30" t="n">
        <v>82</v>
      </c>
      <c r="AF80" s="30" t="n">
        <v>92</v>
      </c>
      <c r="AG80" s="30" t="n">
        <v>2.4</v>
      </c>
      <c r="AH80" s="30" t="n">
        <v>0.04</v>
      </c>
      <c r="AI80" s="30" t="n">
        <v>0.4</v>
      </c>
      <c r="AJ80" s="30" t="n">
        <v>2.4</v>
      </c>
      <c r="AK80" s="30" t="n">
        <v>0.04</v>
      </c>
      <c r="AL80" s="30" t="n">
        <v>180</v>
      </c>
      <c r="AM80" s="30" t="n">
        <v>120</v>
      </c>
      <c r="AN80" s="30" t="n">
        <v>1.8</v>
      </c>
      <c r="AO80" s="30" t="n">
        <v>3.2</v>
      </c>
      <c r="AP80" s="30" t="n">
        <v>4.1</v>
      </c>
      <c r="AQ80" s="30" t="n">
        <v>400</v>
      </c>
      <c r="AR80" s="30" t="n">
        <v>88</v>
      </c>
      <c r="AS80" s="30" t="n">
        <v>85</v>
      </c>
      <c r="AT80" s="30" t="n">
        <v>82</v>
      </c>
      <c r="AU80" s="30" t="n">
        <v>92</v>
      </c>
      <c r="AV80" s="30" t="n">
        <v>2.4</v>
      </c>
      <c r="AW80" s="30" t="n">
        <v>0.04</v>
      </c>
      <c r="AX80" s="30" t="n">
        <v>180</v>
      </c>
      <c r="AY80" s="30" t="n">
        <v>120</v>
      </c>
      <c r="AZ80" s="30" t="n">
        <v>1.8</v>
      </c>
      <c r="BA80" s="30" t="n">
        <v>3.2</v>
      </c>
      <c r="BB80" s="30" t="n">
        <v>4.1</v>
      </c>
      <c r="BC80" s="30" t="n">
        <v>400</v>
      </c>
      <c r="BD80" s="30" t="n">
        <v>500</v>
      </c>
      <c r="BE80" s="30" t="n">
        <v>842</v>
      </c>
      <c r="BF80" s="30" t="n">
        <v>1250</v>
      </c>
      <c r="BG80" s="30" t="n">
        <v>1</v>
      </c>
      <c r="BH80" s="30" t="b">
        <v>1</v>
      </c>
      <c r="BI80" s="34" t="b">
        <v>1</v>
      </c>
      <c r="BJ80" s="30" t="b">
        <v>1</v>
      </c>
      <c r="BK80" s="30" t="b">
        <v>1</v>
      </c>
      <c r="BL80" s="30" t="b">
        <v>0</v>
      </c>
      <c r="BM80" s="30" t="n">
        <v>65</v>
      </c>
      <c r="BN80" s="30" t="inlineStr">
        <is>
          <t>complete</t>
        </is>
      </c>
      <c r="BO80" s="30" t="inlineStr">
        <is>
          <t>rendered_browser</t>
        </is>
      </c>
      <c r="BP80" s="30" t="b">
        <v>0</v>
      </c>
      <c r="BQ80" s="30" t="n">
        <v>0</v>
      </c>
      <c r="BR80" s="30" t="n">
        <v>0</v>
      </c>
      <c r="BS80" s="30" t="inlineStr"/>
      <c r="BT80" s="30" t="b">
        <v>0</v>
      </c>
      <c r="BU80" s="30" t="inlineStr"/>
      <c r="BV80" s="30" t="inlineStr"/>
      <c r="BW80" s="30" t="n">
        <v>0</v>
      </c>
      <c r="BX80" s="30" t="inlineStr"/>
      <c r="BY80" s="30" t="n">
        <v>0</v>
      </c>
      <c r="BZ80" s="30" t="inlineStr"/>
      <c r="CA80" s="30" t="n">
        <v>0</v>
      </c>
      <c r="CB80" s="30" t="inlineStr"/>
      <c r="CC80" s="30" t="n">
        <v>0</v>
      </c>
      <c r="CD80" s="30" t="inlineStr"/>
      <c r="CE80" s="30" t="n">
        <v>0</v>
      </c>
      <c r="CF80" s="30" t="inlineStr"/>
      <c r="CG80" s="30" t="n">
        <v>0</v>
      </c>
      <c r="CH80" s="30" t="inlineStr"/>
      <c r="CI80" s="30" t="inlineStr"/>
      <c r="CJ80" s="30" t="inlineStr"/>
      <c r="CK80" s="30" t="inlineStr"/>
      <c r="CL80" s="30" t="inlineStr">
        <is>
          <t>2026-06-01 to 2026-06-30 (30-day window; excludes today; typical GSC lag ~48h)</t>
        </is>
      </c>
      <c r="CM80" s="30" t="inlineStr">
        <is>
          <t>No Search Analytics row matched this URL in the 30-day export (compare Final URL with the page URL shown in GSC)</t>
        </is>
      </c>
      <c r="CN80" s="30" t="n">
        <v>-1</v>
      </c>
      <c r="CO80" s="30" t="b">
        <v>1</v>
      </c>
      <c r="CP80" s="30" t="n">
        <v>0.012048</v>
      </c>
      <c r="CQ80" s="30" t="b">
        <v>1</v>
      </c>
      <c r="CR80" s="30" t="b">
        <v>1</v>
      </c>
      <c r="CS80" s="30" t="inlineStr">
        <is>
          <t>Both</t>
        </is>
      </c>
      <c r="CT80" s="76" t="inlineStr"/>
      <c r="CU80" s="30" t="n">
        <v>78</v>
      </c>
      <c r="CV80" s="29">
        <f>IFERROR(INDEX(OFFSET('Technical Diagnostics'!$A$1,2,MATCH("SEO Health Score",'Technical Diagnostics'!$2:$2,0)-1,99998,1),MATCH(B80,OFFSET('Technical Diagnostics'!$A$1,2,MATCH("URL",'Technical Diagnostics'!$2:$2,0)-1,99998,1),0)),"")</f>
        <v/>
      </c>
      <c r="CW80" s="32" t="n">
        <v>100</v>
      </c>
      <c r="CX80" s="29" t="n">
        <v>77.5</v>
      </c>
      <c r="CY80" s="32" t="b">
        <v>1</v>
      </c>
      <c r="CZ80" s="30" t="b">
        <v>0</v>
      </c>
      <c r="DA80" s="30" t="inlineStr"/>
      <c r="DB80" s="30" t="inlineStr"/>
      <c r="DC80" s="30" t="inlineStr"/>
      <c r="DD80" s="30" t="n">
        <v>0</v>
      </c>
      <c r="DE80" s="30" t="n">
        <v>0</v>
      </c>
      <c r="DF80" s="30" t="inlineStr"/>
      <c r="DG80" s="30" t="inlineStr"/>
      <c r="DH80" s="30" t="inlineStr"/>
      <c r="DI80" s="30" t="n">
        <v>2</v>
      </c>
      <c r="DJ80" s="30" t="inlineStr"/>
      <c r="DK80" s="30" t="inlineStr"/>
      <c r="DL80" s="30" t="b">
        <v>0</v>
      </c>
      <c r="DM80" s="30" t="inlineStr"/>
      <c r="DN80" s="30" t="inlineStr">
        <is>
          <t>2026-06-01</t>
        </is>
      </c>
      <c r="DO80" s="30" t="inlineStr"/>
      <c r="DP80" s="30" t="inlineStr">
        <is>
          <t>2026-06-01</t>
        </is>
      </c>
      <c r="DQ80" s="30" t="inlineStr"/>
      <c r="DR80" s="30" t="b">
        <v>0</v>
      </c>
      <c r="DS80" s="30" t="b">
        <v>1</v>
      </c>
      <c r="DT80" s="30" t="b">
        <v>1</v>
      </c>
      <c r="DU80" s="30" t="b">
        <v>0</v>
      </c>
      <c r="DV80" s="30" t="n">
        <v>0</v>
      </c>
      <c r="DW80" s="30" t="b">
        <v>0</v>
      </c>
      <c r="DX80" s="30" t="b">
        <v>0</v>
      </c>
      <c r="DY80" s="30" t="b">
        <v>0</v>
      </c>
      <c r="DZ80" s="30" t="b">
        <v>0</v>
      </c>
      <c r="EA80" s="32" t="b">
        <v>0</v>
      </c>
      <c r="EB80" s="30" t="b">
        <v>0</v>
      </c>
      <c r="EC80" s="30" t="inlineStr"/>
      <c r="ED80" s="30" t="inlineStr"/>
      <c r="EE80" s="30" t="b">
        <v>0</v>
      </c>
      <c r="EF80" s="30" t="inlineStr"/>
      <c r="EG80" s="30" t="inlineStr"/>
      <c r="EH80" s="30" t="inlineStr"/>
      <c r="EI80" s="30" t="inlineStr"/>
      <c r="EJ80" s="30" t="inlineStr"/>
      <c r="EK80" s="30" t="inlineStr">
        <is>
          <t>Fresh</t>
        </is>
      </c>
      <c r="EL80" s="30" t="inlineStr">
        <is>
          <t>Smoke title 77</t>
        </is>
      </c>
      <c r="EM80" s="30" t="inlineStr">
        <is>
          <t>Smoke meta description for page 77.</t>
        </is>
      </c>
      <c r="EN80" s="30" t="inlineStr">
        <is>
          <t>article</t>
        </is>
      </c>
      <c r="EO80" s="76" t="inlineStr"/>
      <c r="EP80" s="76" t="inlineStr"/>
      <c r="EQ80" s="30" t="inlineStr"/>
      <c r="ER80" s="30" t="inlineStr"/>
      <c r="ES80" s="30" t="inlineStr"/>
      <c r="ET80" s="30" t="inlineStr"/>
      <c r="EU80" s="75" t="b">
        <v>0</v>
      </c>
      <c r="EV80" s="30" t="inlineStr">
        <is>
          <t>summary_large_image</t>
        </is>
      </c>
      <c r="EW80" s="30" t="inlineStr"/>
      <c r="EX80" s="30" t="inlineStr"/>
      <c r="EY80" s="30" t="inlineStr"/>
      <c r="EZ80" s="30" t="n">
        <v>0</v>
      </c>
      <c r="FA80" s="40" t="b">
        <v>0</v>
      </c>
      <c r="FB80" s="76" t="inlineStr">
        <is>
          <t>https://africanmarketingconfederation.org/smoke-archive/page-77-canonical/</t>
        </is>
      </c>
      <c r="FC80" s="30" t="inlineStr"/>
      <c r="FD80" s="30" t="n">
        <v>1</v>
      </c>
      <c r="FE80" s="31" t="inlineStr"/>
      <c r="FF80" s="30" t="b">
        <v>0</v>
      </c>
      <c r="FG80" s="30" t="b">
        <v>0</v>
      </c>
      <c r="FH80" s="32" t="b">
        <v>0</v>
      </c>
      <c r="FI80" s="30" t="n">
        <v>0</v>
      </c>
      <c r="FJ80" s="30" t="inlineStr">
        <is>
          <t>https://africanmarketingconfederation.org/smoke-archive/page-77</t>
        </is>
      </c>
      <c r="FK80" s="30" t="inlineStr"/>
      <c r="FL80" s="32" t="b">
        <v>0</v>
      </c>
      <c r="FM80" s="30" t="b">
        <v>0</v>
      </c>
      <c r="FN80" s="32" t="b">
        <v>0</v>
      </c>
      <c r="FO80" s="30" t="inlineStr"/>
      <c r="FP80" s="30" t="inlineStr"/>
      <c r="FQ80" s="30" t="inlineStr"/>
      <c r="FR80" s="30" t="inlineStr"/>
      <c r="FS80" s="30" t="inlineStr"/>
      <c r="FT80" s="30" t="inlineStr"/>
      <c r="FU80" s="30" t="inlineStr">
        <is>
          <t>Not specified</t>
        </is>
      </c>
      <c r="FV80" s="30" t="inlineStr">
        <is>
          <t>Not specified</t>
        </is>
      </c>
      <c r="FW80" s="30" t="inlineStr">
        <is>
          <t>Not specified</t>
        </is>
      </c>
      <c r="FX80" s="30" t="inlineStr">
        <is>
          <t>Not specified</t>
        </is>
      </c>
      <c r="FY80" s="30" t="inlineStr">
        <is>
          <t>Not specified</t>
        </is>
      </c>
      <c r="FZ80" s="30" t="b">
        <v>0</v>
      </c>
      <c r="GA80" s="30" t="n">
        <v>0</v>
      </c>
      <c r="GB80" s="30" t="inlineStr"/>
      <c r="GC80" s="30" t="inlineStr"/>
      <c r="GD80" s="30" t="b">
        <v>0</v>
      </c>
      <c r="GE80" s="30" t="b">
        <v>0</v>
      </c>
      <c r="GF80" s="30" t="b">
        <v>0</v>
      </c>
      <c r="GG80" s="30" t="b">
        <v>0</v>
      </c>
      <c r="GH80" s="30" t="b">
        <v>0</v>
      </c>
      <c r="GI80" s="30" t="b">
        <v>0</v>
      </c>
      <c r="GJ80" s="30" t="n">
        <v>0</v>
      </c>
      <c r="GK80" s="30" t="n">
        <v>0</v>
      </c>
      <c r="GL80" s="30" t="n">
        <v>0</v>
      </c>
      <c r="GM80" s="76" t="inlineStr"/>
      <c r="GN80" s="76" t="inlineStr"/>
      <c r="GO80" s="32" t="b">
        <v>0</v>
      </c>
      <c r="GP80" s="30" t="inlineStr"/>
      <c r="GQ80" s="76" t="inlineStr"/>
      <c r="GR80" s="30" t="inlineStr">
        <is>
          <t>Not Declared</t>
        </is>
      </c>
      <c r="GS80" s="30" t="b">
        <v>1</v>
      </c>
      <c r="GT80" s="30" t="n">
        <v>24.4</v>
      </c>
      <c r="GU80" s="30" t="inlineStr">
        <is>
          <t>Orphan</t>
        </is>
      </c>
      <c r="GV80" s="30" t="n">
        <v>0</v>
      </c>
      <c r="GW80" s="34" t="n">
        <v>0</v>
      </c>
      <c r="GX80" s="30" t="b">
        <v>0</v>
      </c>
      <c r="GY80" s="30" t="inlineStr">
        <is>
          <t>FAQ</t>
        </is>
      </c>
      <c r="GZ80" s="30" t="n">
        <v>9</v>
      </c>
      <c r="HA80" s="30" t="b">
        <v>0</v>
      </c>
      <c r="HB80" s="30" t="inlineStr">
        <is>
          <t>smoke, body, copy, intent, classification</t>
        </is>
      </c>
      <c r="HC80" s="30" t="b">
        <v>0</v>
      </c>
      <c r="HD80" s="30" t="b">
        <v>0</v>
      </c>
      <c r="HE80" s="30" t="b">
        <v>0</v>
      </c>
      <c r="HF80" s="34" t="n">
        <v>0</v>
      </c>
      <c r="HG80" s="30" t="b">
        <v>0</v>
      </c>
      <c r="HH80" s="30" t="b">
        <v>0</v>
      </c>
      <c r="HI80" s="38">
        <f>IFERROR(HYPERLINK("#'Technical Diagnostics'!A"&amp;MATCH(B80,'Technical Diagnostics'!A:A,0),"Open Technical"),HYPERLINK("#'Technical Diagnostics'!A1","Open Technical"))</f>
        <v/>
      </c>
    </row>
    <row r="81" ht="18" customHeight="1">
      <c r="A81" s="28" t="inlineStr">
        <is>
          <t>FAIL 🔴</t>
        </is>
      </c>
      <c r="B81" s="35" t="inlineStr">
        <is>
          <t>https://africanmarketingconfederation.org/smoke-archive/page-78</t>
        </is>
      </c>
      <c r="C81" s="28" t="inlineStr"/>
      <c r="D81" s="28" t="inlineStr">
        <is>
          <t>Non-Indexable</t>
        </is>
      </c>
      <c r="E81" s="28" t="inlineStr"/>
      <c r="F81" s="28" t="inlineStr">
        <is>
          <t>Smoke title 78</t>
        </is>
      </c>
      <c r="G81" s="28" t="inlineStr">
        <is>
          <t>Smoke meta description for page 78.</t>
        </is>
      </c>
      <c r="H81" s="28" t="n">
        <v>348</v>
      </c>
      <c r="I81" s="28" t="n">
        <v>0</v>
      </c>
      <c r="J81" s="28" t="inlineStr">
        <is>
          <t>Critical</t>
        </is>
      </c>
      <c r="K81" s="28" t="inlineStr">
        <is>
          <t>Yes</t>
        </is>
      </c>
      <c r="L81" s="28" t="inlineStr"/>
      <c r="M81" s="28" t="inlineStr"/>
      <c r="N81" s="28" t="inlineStr">
        <is>
          <t>Lab only</t>
        </is>
      </c>
      <c r="O81" s="28" t="inlineStr">
        <is>
          <t>None</t>
        </is>
      </c>
      <c r="P81" s="28" t="inlineStr">
        <is>
          <t>PSI Lab</t>
        </is>
      </c>
      <c r="Q81" s="28" t="inlineStr">
        <is>
          <t>None</t>
        </is>
      </c>
      <c r="R81" s="28" t="inlineStr"/>
      <c r="S81" s="28" t="inlineStr"/>
      <c r="T81" s="28" t="inlineStr"/>
      <c r="U81" s="28" t="inlineStr"/>
      <c r="V81" s="28" t="inlineStr"/>
      <c r="W81" s="28" t="inlineStr"/>
      <c r="X81" s="28" t="inlineStr"/>
      <c r="Y81" s="28" t="inlineStr"/>
      <c r="Z81" s="28" t="inlineStr"/>
      <c r="AA81" s="28" t="n">
        <v>88</v>
      </c>
      <c r="AB81" s="28" t="n">
        <v>88</v>
      </c>
      <c r="AC81" s="28" t="n">
        <v>88</v>
      </c>
      <c r="AD81" s="28" t="n">
        <v>85</v>
      </c>
      <c r="AE81" s="28" t="n">
        <v>82</v>
      </c>
      <c r="AF81" s="28" t="n">
        <v>92</v>
      </c>
      <c r="AG81" s="28" t="n">
        <v>2.4</v>
      </c>
      <c r="AH81" s="28" t="n">
        <v>0.04</v>
      </c>
      <c r="AI81" s="28" t="n">
        <v>0.4</v>
      </c>
      <c r="AJ81" s="28" t="n">
        <v>2.4</v>
      </c>
      <c r="AK81" s="28" t="n">
        <v>0.04</v>
      </c>
      <c r="AL81" s="28" t="n">
        <v>180</v>
      </c>
      <c r="AM81" s="28" t="n">
        <v>120</v>
      </c>
      <c r="AN81" s="28" t="n">
        <v>1.8</v>
      </c>
      <c r="AO81" s="28" t="n">
        <v>3.2</v>
      </c>
      <c r="AP81" s="28" t="n">
        <v>4.1</v>
      </c>
      <c r="AQ81" s="28" t="n">
        <v>400</v>
      </c>
      <c r="AR81" s="28" t="n">
        <v>88</v>
      </c>
      <c r="AS81" s="28" t="n">
        <v>85</v>
      </c>
      <c r="AT81" s="28" t="n">
        <v>82</v>
      </c>
      <c r="AU81" s="28" t="n">
        <v>92</v>
      </c>
      <c r="AV81" s="28" t="n">
        <v>2.4</v>
      </c>
      <c r="AW81" s="28" t="n">
        <v>0.04</v>
      </c>
      <c r="AX81" s="28" t="n">
        <v>180</v>
      </c>
      <c r="AY81" s="28" t="n">
        <v>120</v>
      </c>
      <c r="AZ81" s="28" t="n">
        <v>1.8</v>
      </c>
      <c r="BA81" s="28" t="n">
        <v>3.2</v>
      </c>
      <c r="BB81" s="28" t="n">
        <v>4.1</v>
      </c>
      <c r="BC81" s="28" t="n">
        <v>400</v>
      </c>
      <c r="BD81" s="28" t="n">
        <v>500</v>
      </c>
      <c r="BE81" s="28" t="n">
        <v>842</v>
      </c>
      <c r="BF81" s="28" t="n">
        <v>1250</v>
      </c>
      <c r="BG81" s="28" t="n">
        <v>1</v>
      </c>
      <c r="BH81" s="28" t="b">
        <v>1</v>
      </c>
      <c r="BI81" s="34" t="b">
        <v>1</v>
      </c>
      <c r="BJ81" s="28" t="b">
        <v>1</v>
      </c>
      <c r="BK81" s="28" t="b">
        <v>1</v>
      </c>
      <c r="BL81" s="28" t="b">
        <v>0</v>
      </c>
      <c r="BM81" s="28" t="n">
        <v>65</v>
      </c>
      <c r="BN81" s="28" t="inlineStr">
        <is>
          <t>complete</t>
        </is>
      </c>
      <c r="BO81" s="28" t="inlineStr">
        <is>
          <t>rendered_browser</t>
        </is>
      </c>
      <c r="BP81" s="28" t="b">
        <v>0</v>
      </c>
      <c r="BQ81" s="28" t="n">
        <v>0</v>
      </c>
      <c r="BR81" s="28" t="n">
        <v>0</v>
      </c>
      <c r="BS81" s="28" t="inlineStr"/>
      <c r="BT81" s="28" t="b">
        <v>0</v>
      </c>
      <c r="BU81" s="28" t="inlineStr"/>
      <c r="BV81" s="28" t="inlineStr"/>
      <c r="BW81" s="28" t="n">
        <v>0</v>
      </c>
      <c r="BX81" s="28" t="inlineStr"/>
      <c r="BY81" s="28" t="n">
        <v>0</v>
      </c>
      <c r="BZ81" s="28" t="inlineStr"/>
      <c r="CA81" s="28" t="n">
        <v>0</v>
      </c>
      <c r="CB81" s="28" t="inlineStr"/>
      <c r="CC81" s="28" t="n">
        <v>0</v>
      </c>
      <c r="CD81" s="28" t="inlineStr"/>
      <c r="CE81" s="28" t="n">
        <v>0</v>
      </c>
      <c r="CF81" s="28" t="inlineStr"/>
      <c r="CG81" s="28" t="n">
        <v>0</v>
      </c>
      <c r="CH81" s="28" t="inlineStr"/>
      <c r="CI81" s="28" t="inlineStr"/>
      <c r="CJ81" s="28" t="inlineStr"/>
      <c r="CK81" s="28" t="inlineStr"/>
      <c r="CL81" s="28" t="inlineStr">
        <is>
          <t>2026-06-01 to 2026-06-30 (30-day window; excludes today; typical GSC lag ~48h)</t>
        </is>
      </c>
      <c r="CM81" s="28" t="inlineStr">
        <is>
          <t>No Search Analytics row matched this URL in the 30-day export (compare Final URL with the page URL shown in GSC)</t>
        </is>
      </c>
      <c r="CN81" s="28" t="n">
        <v>-1</v>
      </c>
      <c r="CO81" s="28" t="b">
        <v>1</v>
      </c>
      <c r="CP81" s="28" t="n">
        <v>0.012048</v>
      </c>
      <c r="CQ81" s="28" t="b">
        <v>1</v>
      </c>
      <c r="CR81" s="28" t="b">
        <v>1</v>
      </c>
      <c r="CS81" s="28" t="inlineStr">
        <is>
          <t>Both</t>
        </is>
      </c>
      <c r="CT81" s="74" t="inlineStr"/>
      <c r="CU81" s="28" t="n">
        <v>79</v>
      </c>
      <c r="CV81" s="34">
        <f>IFERROR(INDEX(OFFSET('Technical Diagnostics'!$A$1,2,MATCH("SEO Health Score",'Technical Diagnostics'!$2:$2,0)-1,99998,1),MATCH(B81,OFFSET('Technical Diagnostics'!$A$1,2,MATCH("URL",'Technical Diagnostics'!$2:$2,0)-1,99998,1),0)),"")</f>
        <v/>
      </c>
      <c r="CW81" s="32" t="n">
        <v>100</v>
      </c>
      <c r="CX81" s="34" t="n">
        <v>5</v>
      </c>
      <c r="CY81" s="32" t="b">
        <v>1</v>
      </c>
      <c r="CZ81" s="28" t="b">
        <v>0</v>
      </c>
      <c r="DA81" s="28" t="inlineStr"/>
      <c r="DB81" s="28" t="inlineStr"/>
      <c r="DC81" s="28" t="inlineStr"/>
      <c r="DD81" s="28" t="n">
        <v>0</v>
      </c>
      <c r="DE81" s="28" t="n">
        <v>0</v>
      </c>
      <c r="DF81" s="28" t="inlineStr"/>
      <c r="DG81" s="28" t="inlineStr"/>
      <c r="DH81" s="28" t="inlineStr"/>
      <c r="DI81" s="28" t="n">
        <v>6</v>
      </c>
      <c r="DJ81" s="28" t="inlineStr">
        <is>
          <t>Author 78</t>
        </is>
      </c>
      <c r="DK81" s="28" t="inlineStr"/>
      <c r="DL81" s="28" t="b">
        <v>1</v>
      </c>
      <c r="DM81" s="28" t="inlineStr"/>
      <c r="DN81" s="28" t="inlineStr">
        <is>
          <t>2026-06-01</t>
        </is>
      </c>
      <c r="DO81" s="28" t="inlineStr"/>
      <c r="DP81" s="28" t="inlineStr">
        <is>
          <t>2026-06-01</t>
        </is>
      </c>
      <c r="DQ81" s="28" t="inlineStr"/>
      <c r="DR81" s="28" t="b">
        <v>0</v>
      </c>
      <c r="DS81" s="28" t="b">
        <v>1</v>
      </c>
      <c r="DT81" s="28" t="b">
        <v>1</v>
      </c>
      <c r="DU81" s="28" t="b">
        <v>0</v>
      </c>
      <c r="DV81" s="28" t="n">
        <v>0</v>
      </c>
      <c r="DW81" s="28" t="b">
        <v>0</v>
      </c>
      <c r="DX81" s="28" t="b">
        <v>0</v>
      </c>
      <c r="DY81" s="28" t="b">
        <v>0</v>
      </c>
      <c r="DZ81" s="28" t="b">
        <v>0</v>
      </c>
      <c r="EA81" s="32" t="b">
        <v>0</v>
      </c>
      <c r="EB81" s="28" t="b">
        <v>0</v>
      </c>
      <c r="EC81" s="28" t="inlineStr"/>
      <c r="ED81" s="28" t="inlineStr"/>
      <c r="EE81" s="28" t="b">
        <v>0</v>
      </c>
      <c r="EF81" s="28" t="inlineStr"/>
      <c r="EG81" s="28" t="inlineStr"/>
      <c r="EH81" s="28" t="inlineStr"/>
      <c r="EI81" s="28" t="inlineStr">
        <is>
          <t>2026-06-01</t>
        </is>
      </c>
      <c r="EJ81" s="28" t="inlineStr"/>
      <c r="EK81" s="28" t="inlineStr">
        <is>
          <t>Fresh</t>
        </is>
      </c>
      <c r="EL81" s="28" t="inlineStr">
        <is>
          <t>Smoke title 78</t>
        </is>
      </c>
      <c r="EM81" s="28" t="inlineStr">
        <is>
          <t>Smoke meta description for page 78.</t>
        </is>
      </c>
      <c r="EN81" s="28" t="inlineStr">
        <is>
          <t>article</t>
        </is>
      </c>
      <c r="EO81" s="74" t="inlineStr"/>
      <c r="EP81" s="74" t="inlineStr"/>
      <c r="EQ81" s="28" t="inlineStr"/>
      <c r="ER81" s="28" t="inlineStr"/>
      <c r="ES81" s="28" t="inlineStr"/>
      <c r="ET81" s="28" t="inlineStr"/>
      <c r="EU81" s="75" t="b">
        <v>0</v>
      </c>
      <c r="EV81" s="28" t="inlineStr">
        <is>
          <t>summary_large_image</t>
        </is>
      </c>
      <c r="EW81" s="28" t="inlineStr"/>
      <c r="EX81" s="28" t="inlineStr"/>
      <c r="EY81" s="28" t="inlineStr"/>
      <c r="EZ81" s="28" t="n">
        <v>0</v>
      </c>
      <c r="FA81" s="40" t="b">
        <v>0</v>
      </c>
      <c r="FB81" s="74" t="inlineStr">
        <is>
          <t>https://africanmarketingconfederation.org/smoke-archive/page-78</t>
        </is>
      </c>
      <c r="FC81" s="28" t="inlineStr"/>
      <c r="FD81" s="28" t="n">
        <v>0</v>
      </c>
      <c r="FE81" s="20" t="inlineStr"/>
      <c r="FF81" s="28" t="b">
        <v>0</v>
      </c>
      <c r="FG81" s="28" t="b">
        <v>0</v>
      </c>
      <c r="FH81" s="32" t="b">
        <v>0</v>
      </c>
      <c r="FI81" s="28" t="n">
        <v>0</v>
      </c>
      <c r="FJ81" s="28" t="inlineStr">
        <is>
          <t>https://africanmarketingconfederation.org/smoke-archive/page-78</t>
        </is>
      </c>
      <c r="FK81" s="28" t="inlineStr"/>
      <c r="FL81" s="32" t="b">
        <v>0</v>
      </c>
      <c r="FM81" s="28" t="b">
        <v>0</v>
      </c>
      <c r="FN81" s="32" t="b">
        <v>0</v>
      </c>
      <c r="FO81" s="28" t="inlineStr"/>
      <c r="FP81" s="28" t="inlineStr"/>
      <c r="FQ81" s="28" t="inlineStr"/>
      <c r="FR81" s="28" t="inlineStr"/>
      <c r="FS81" s="28" t="inlineStr"/>
      <c r="FT81" s="28" t="inlineStr"/>
      <c r="FU81" s="28" t="inlineStr">
        <is>
          <t>Not specified</t>
        </is>
      </c>
      <c r="FV81" s="28" t="inlineStr">
        <is>
          <t>Not specified</t>
        </is>
      </c>
      <c r="FW81" s="28" t="inlineStr">
        <is>
          <t>Not specified</t>
        </is>
      </c>
      <c r="FX81" s="28" t="inlineStr">
        <is>
          <t>Not specified</t>
        </is>
      </c>
      <c r="FY81" s="28" t="inlineStr">
        <is>
          <t>Not specified</t>
        </is>
      </c>
      <c r="FZ81" s="28" t="b">
        <v>0</v>
      </c>
      <c r="GA81" s="28" t="n">
        <v>0</v>
      </c>
      <c r="GB81" s="28" t="inlineStr"/>
      <c r="GC81" s="28" t="inlineStr"/>
      <c r="GD81" s="28" t="b">
        <v>0</v>
      </c>
      <c r="GE81" s="28" t="b">
        <v>0</v>
      </c>
      <c r="GF81" s="28" t="b">
        <v>0</v>
      </c>
      <c r="GG81" s="28" t="b">
        <v>0</v>
      </c>
      <c r="GH81" s="28" t="b">
        <v>0</v>
      </c>
      <c r="GI81" s="28" t="b">
        <v>0</v>
      </c>
      <c r="GJ81" s="28" t="n">
        <v>0</v>
      </c>
      <c r="GK81" s="28" t="n">
        <v>0</v>
      </c>
      <c r="GL81" s="28" t="n">
        <v>0</v>
      </c>
      <c r="GM81" s="74" t="inlineStr"/>
      <c r="GN81" s="74" t="inlineStr"/>
      <c r="GO81" s="32" t="b">
        <v>0</v>
      </c>
      <c r="GP81" s="28" t="inlineStr"/>
      <c r="GQ81" s="74" t="inlineStr"/>
      <c r="GR81" s="28" t="inlineStr">
        <is>
          <t>Not Declared</t>
        </is>
      </c>
      <c r="GS81" s="28" t="b">
        <v>1</v>
      </c>
      <c r="GT81" s="28" t="n">
        <v>78</v>
      </c>
      <c r="GU81" s="28" t="inlineStr">
        <is>
          <t>Orphan</t>
        </is>
      </c>
      <c r="GV81" s="28" t="n">
        <v>0</v>
      </c>
      <c r="GW81" s="34" t="n">
        <v>0</v>
      </c>
      <c r="GX81" s="28" t="b">
        <v>0</v>
      </c>
      <c r="GY81" s="28" t="inlineStr">
        <is>
          <t>FAQ</t>
        </is>
      </c>
      <c r="GZ81" s="28" t="n">
        <v>9</v>
      </c>
      <c r="HA81" s="28" t="b">
        <v>0</v>
      </c>
      <c r="HB81" s="28" t="inlineStr">
        <is>
          <t>smoke, body, copy, intent, classification</t>
        </is>
      </c>
      <c r="HC81" s="28" t="b">
        <v>0</v>
      </c>
      <c r="HD81" s="28" t="b">
        <v>0</v>
      </c>
      <c r="HE81" s="28" t="b">
        <v>0</v>
      </c>
      <c r="HF81" s="34" t="n">
        <v>0</v>
      </c>
      <c r="HG81" s="28" t="b">
        <v>0</v>
      </c>
      <c r="HH81" s="28" t="b">
        <v>0</v>
      </c>
      <c r="HI81">
        <f>IFERROR(HYPERLINK("#'Technical Diagnostics'!A"&amp;MATCH(B81,'Technical Diagnostics'!A:A,0),"Open Technical"),HYPERLINK("#'Technical Diagnostics'!A1","Open Technical"))</f>
        <v/>
      </c>
    </row>
    <row r="82" ht="18" customHeight="1">
      <c r="A82" s="30" t="inlineStr">
        <is>
          <t>WARN 🟡</t>
        </is>
      </c>
      <c r="B82" s="37" t="inlineStr">
        <is>
          <t>https://africanmarketingconfederation.org/smoke-archive/page-79</t>
        </is>
      </c>
      <c r="C82" s="30" t="inlineStr"/>
      <c r="D82" s="30" t="inlineStr">
        <is>
          <t>Indexable</t>
        </is>
      </c>
      <c r="E82" s="30" t="inlineStr"/>
      <c r="F82" s="30" t="inlineStr">
        <is>
          <t>Smoke title 79</t>
        </is>
      </c>
      <c r="G82" s="30" t="inlineStr">
        <is>
          <t>Smoke meta description for page 79.</t>
        </is>
      </c>
      <c r="H82" s="30" t="n">
        <v>349</v>
      </c>
      <c r="I82" s="30" t="n">
        <v>80</v>
      </c>
      <c r="J82" s="30" t="inlineStr">
        <is>
          <t>Warning</t>
        </is>
      </c>
      <c r="K82" s="30" t="inlineStr">
        <is>
          <t>Yes</t>
        </is>
      </c>
      <c r="L82" s="30" t="inlineStr"/>
      <c r="M82" s="30" t="inlineStr"/>
      <c r="N82" s="30" t="inlineStr">
        <is>
          <t>Lab only</t>
        </is>
      </c>
      <c r="O82" s="30" t="inlineStr">
        <is>
          <t>None</t>
        </is>
      </c>
      <c r="P82" s="30" t="inlineStr">
        <is>
          <t>PSI Lab</t>
        </is>
      </c>
      <c r="Q82" s="30" t="inlineStr">
        <is>
          <t>None</t>
        </is>
      </c>
      <c r="R82" s="30" t="inlineStr"/>
      <c r="S82" s="30" t="inlineStr"/>
      <c r="T82" s="30" t="inlineStr"/>
      <c r="U82" s="30" t="inlineStr"/>
      <c r="V82" s="30" t="inlineStr"/>
      <c r="W82" s="30" t="inlineStr"/>
      <c r="X82" s="30" t="inlineStr"/>
      <c r="Y82" s="30" t="inlineStr"/>
      <c r="Z82" s="30" t="inlineStr"/>
      <c r="AA82" s="30" t="n">
        <v>88</v>
      </c>
      <c r="AB82" s="30" t="n">
        <v>88</v>
      </c>
      <c r="AC82" s="30" t="n">
        <v>88</v>
      </c>
      <c r="AD82" s="30" t="n">
        <v>85</v>
      </c>
      <c r="AE82" s="30" t="n">
        <v>82</v>
      </c>
      <c r="AF82" s="30" t="n">
        <v>92</v>
      </c>
      <c r="AG82" s="30" t="n">
        <v>2.4</v>
      </c>
      <c r="AH82" s="30" t="n">
        <v>0.04</v>
      </c>
      <c r="AI82" s="30" t="n">
        <v>0.4</v>
      </c>
      <c r="AJ82" s="30" t="n">
        <v>2.4</v>
      </c>
      <c r="AK82" s="30" t="n">
        <v>0.04</v>
      </c>
      <c r="AL82" s="30" t="n">
        <v>180</v>
      </c>
      <c r="AM82" s="30" t="n">
        <v>120</v>
      </c>
      <c r="AN82" s="30" t="n">
        <v>1.8</v>
      </c>
      <c r="AO82" s="30" t="n">
        <v>3.2</v>
      </c>
      <c r="AP82" s="30" t="n">
        <v>4.1</v>
      </c>
      <c r="AQ82" s="30" t="n">
        <v>400</v>
      </c>
      <c r="AR82" s="30" t="n">
        <v>88</v>
      </c>
      <c r="AS82" s="30" t="n">
        <v>85</v>
      </c>
      <c r="AT82" s="30" t="n">
        <v>82</v>
      </c>
      <c r="AU82" s="30" t="n">
        <v>92</v>
      </c>
      <c r="AV82" s="30" t="n">
        <v>2.4</v>
      </c>
      <c r="AW82" s="30" t="n">
        <v>0.04</v>
      </c>
      <c r="AX82" s="30" t="n">
        <v>180</v>
      </c>
      <c r="AY82" s="30" t="n">
        <v>120</v>
      </c>
      <c r="AZ82" s="30" t="n">
        <v>1.8</v>
      </c>
      <c r="BA82" s="30" t="n">
        <v>3.2</v>
      </c>
      <c r="BB82" s="30" t="n">
        <v>4.1</v>
      </c>
      <c r="BC82" s="30" t="n">
        <v>400</v>
      </c>
      <c r="BD82" s="30" t="n">
        <v>500</v>
      </c>
      <c r="BE82" s="30" t="n">
        <v>842</v>
      </c>
      <c r="BF82" s="30" t="n">
        <v>1250</v>
      </c>
      <c r="BG82" s="30" t="n">
        <v>1</v>
      </c>
      <c r="BH82" s="30" t="b">
        <v>1</v>
      </c>
      <c r="BI82" s="34" t="b">
        <v>1</v>
      </c>
      <c r="BJ82" s="30" t="b">
        <v>1</v>
      </c>
      <c r="BK82" s="30" t="b">
        <v>1</v>
      </c>
      <c r="BL82" s="30" t="b">
        <v>0</v>
      </c>
      <c r="BM82" s="30" t="n">
        <v>65</v>
      </c>
      <c r="BN82" s="30" t="inlineStr">
        <is>
          <t>complete</t>
        </is>
      </c>
      <c r="BO82" s="30" t="inlineStr">
        <is>
          <t>rendered_browser</t>
        </is>
      </c>
      <c r="BP82" s="30" t="b">
        <v>0</v>
      </c>
      <c r="BQ82" s="30" t="n">
        <v>0</v>
      </c>
      <c r="BR82" s="30" t="n">
        <v>0</v>
      </c>
      <c r="BS82" s="30" t="inlineStr"/>
      <c r="BT82" s="30" t="b">
        <v>0</v>
      </c>
      <c r="BU82" s="30" t="inlineStr"/>
      <c r="BV82" s="30" t="inlineStr"/>
      <c r="BW82" s="30" t="n">
        <v>0</v>
      </c>
      <c r="BX82" s="30" t="inlineStr"/>
      <c r="BY82" s="30" t="n">
        <v>0</v>
      </c>
      <c r="BZ82" s="30" t="inlineStr"/>
      <c r="CA82" s="30" t="n">
        <v>0</v>
      </c>
      <c r="CB82" s="30" t="inlineStr"/>
      <c r="CC82" s="30" t="n">
        <v>0</v>
      </c>
      <c r="CD82" s="30" t="inlineStr"/>
      <c r="CE82" s="30" t="n">
        <v>0</v>
      </c>
      <c r="CF82" s="30" t="inlineStr"/>
      <c r="CG82" s="30" t="n">
        <v>0</v>
      </c>
      <c r="CH82" s="30" t="inlineStr"/>
      <c r="CI82" s="30" t="inlineStr"/>
      <c r="CJ82" s="30" t="inlineStr"/>
      <c r="CK82" s="30" t="inlineStr"/>
      <c r="CL82" s="30" t="inlineStr">
        <is>
          <t>2026-06-01 to 2026-06-30 (30-day window; excludes today; typical GSC lag ~48h)</t>
        </is>
      </c>
      <c r="CM82" s="30" t="inlineStr">
        <is>
          <t>No Search Analytics row matched this URL in the 30-day export (compare Final URL with the page URL shown in GSC)</t>
        </is>
      </c>
      <c r="CN82" s="30" t="n">
        <v>-1</v>
      </c>
      <c r="CO82" s="30" t="b">
        <v>1</v>
      </c>
      <c r="CP82" s="30" t="n">
        <v>0.012048</v>
      </c>
      <c r="CQ82" s="30" t="b">
        <v>1</v>
      </c>
      <c r="CR82" s="30" t="b">
        <v>1</v>
      </c>
      <c r="CS82" s="30" t="inlineStr">
        <is>
          <t>Both</t>
        </is>
      </c>
      <c r="CT82" s="76" t="inlineStr"/>
      <c r="CU82" s="30" t="n">
        <v>80</v>
      </c>
      <c r="CV82" s="29">
        <f>IFERROR(INDEX(OFFSET('Technical Diagnostics'!$A$1,2,MATCH("SEO Health Score",'Technical Diagnostics'!$2:$2,0)-1,99998,1),MATCH(B82,OFFSET('Technical Diagnostics'!$A$1,2,MATCH("URL",'Technical Diagnostics'!$2:$2,0)-1,99998,1),0)),"")</f>
        <v/>
      </c>
      <c r="CW82" s="32" t="n">
        <v>100</v>
      </c>
      <c r="CX82" s="29" t="n">
        <v>85</v>
      </c>
      <c r="CY82" s="32" t="b">
        <v>1</v>
      </c>
      <c r="CZ82" s="30" t="b">
        <v>0</v>
      </c>
      <c r="DA82" s="30" t="inlineStr"/>
      <c r="DB82" s="30" t="inlineStr"/>
      <c r="DC82" s="30" t="inlineStr"/>
      <c r="DD82" s="30" t="n">
        <v>0</v>
      </c>
      <c r="DE82" s="30" t="n">
        <v>0</v>
      </c>
      <c r="DF82" s="30" t="inlineStr"/>
      <c r="DG82" s="30" t="inlineStr"/>
      <c r="DH82" s="30" t="inlineStr"/>
      <c r="DI82" s="30" t="n">
        <v>6</v>
      </c>
      <c r="DJ82" s="30" t="inlineStr">
        <is>
          <t>Author 79</t>
        </is>
      </c>
      <c r="DK82" s="30" t="inlineStr"/>
      <c r="DL82" s="30" t="b">
        <v>1</v>
      </c>
      <c r="DM82" s="30" t="inlineStr"/>
      <c r="DN82" s="30" t="inlineStr">
        <is>
          <t>2026-06-01</t>
        </is>
      </c>
      <c r="DO82" s="30" t="inlineStr"/>
      <c r="DP82" s="30" t="inlineStr">
        <is>
          <t>2026-06-01</t>
        </is>
      </c>
      <c r="DQ82" s="30" t="inlineStr"/>
      <c r="DR82" s="30" t="b">
        <v>0</v>
      </c>
      <c r="DS82" s="30" t="b">
        <v>1</v>
      </c>
      <c r="DT82" s="30" t="b">
        <v>1</v>
      </c>
      <c r="DU82" s="30" t="b">
        <v>0</v>
      </c>
      <c r="DV82" s="30" t="n">
        <v>0</v>
      </c>
      <c r="DW82" s="30" t="b">
        <v>0</v>
      </c>
      <c r="DX82" s="30" t="b">
        <v>0</v>
      </c>
      <c r="DY82" s="30" t="b">
        <v>0</v>
      </c>
      <c r="DZ82" s="30" t="b">
        <v>0</v>
      </c>
      <c r="EA82" s="32" t="b">
        <v>0</v>
      </c>
      <c r="EB82" s="30" t="b">
        <v>0</v>
      </c>
      <c r="EC82" s="30" t="inlineStr"/>
      <c r="ED82" s="30" t="inlineStr"/>
      <c r="EE82" s="30" t="b">
        <v>0</v>
      </c>
      <c r="EF82" s="30" t="inlineStr"/>
      <c r="EG82" s="30" t="inlineStr"/>
      <c r="EH82" s="30" t="inlineStr"/>
      <c r="EI82" s="30" t="inlineStr"/>
      <c r="EJ82" s="30" t="inlineStr"/>
      <c r="EK82" s="30" t="inlineStr">
        <is>
          <t>Fresh</t>
        </is>
      </c>
      <c r="EL82" s="30" t="inlineStr">
        <is>
          <t>Smoke title 79</t>
        </is>
      </c>
      <c r="EM82" s="30" t="inlineStr">
        <is>
          <t>Smoke meta description for page 79.</t>
        </is>
      </c>
      <c r="EN82" s="30" t="inlineStr">
        <is>
          <t>article</t>
        </is>
      </c>
      <c r="EO82" s="76" t="inlineStr"/>
      <c r="EP82" s="76" t="inlineStr"/>
      <c r="EQ82" s="30" t="inlineStr"/>
      <c r="ER82" s="30" t="inlineStr"/>
      <c r="ES82" s="30" t="inlineStr"/>
      <c r="ET82" s="30" t="inlineStr"/>
      <c r="EU82" s="75" t="b">
        <v>0</v>
      </c>
      <c r="EV82" s="30" t="inlineStr">
        <is>
          <t>summary_large_image</t>
        </is>
      </c>
      <c r="EW82" s="30" t="inlineStr"/>
      <c r="EX82" s="30" t="inlineStr"/>
      <c r="EY82" s="30" t="inlineStr"/>
      <c r="EZ82" s="30" t="n">
        <v>0</v>
      </c>
      <c r="FA82" s="40" t="b">
        <v>0</v>
      </c>
      <c r="FB82" s="76" t="inlineStr">
        <is>
          <t>https://africanmarketingconfederation.org/smoke-archive/page-79</t>
        </is>
      </c>
      <c r="FC82" s="30" t="inlineStr"/>
      <c r="FD82" s="30" t="n">
        <v>0</v>
      </c>
      <c r="FE82" s="31" t="inlineStr"/>
      <c r="FF82" s="30" t="b">
        <v>0</v>
      </c>
      <c r="FG82" s="30" t="b">
        <v>0</v>
      </c>
      <c r="FH82" s="32" t="b">
        <v>0</v>
      </c>
      <c r="FI82" s="30" t="n">
        <v>0</v>
      </c>
      <c r="FJ82" s="30" t="inlineStr">
        <is>
          <t>https://africanmarketingconfederation.org/smoke-archive/page-79</t>
        </is>
      </c>
      <c r="FK82" s="30" t="inlineStr"/>
      <c r="FL82" s="32" t="b">
        <v>0</v>
      </c>
      <c r="FM82" s="30" t="b">
        <v>0</v>
      </c>
      <c r="FN82" s="32" t="b">
        <v>0</v>
      </c>
      <c r="FO82" s="30" t="inlineStr"/>
      <c r="FP82" s="30" t="inlineStr"/>
      <c r="FQ82" s="30" t="inlineStr"/>
      <c r="FR82" s="30" t="inlineStr"/>
      <c r="FS82" s="30" t="inlineStr"/>
      <c r="FT82" s="30" t="inlineStr"/>
      <c r="FU82" s="30" t="inlineStr">
        <is>
          <t>Not specified</t>
        </is>
      </c>
      <c r="FV82" s="30" t="inlineStr">
        <is>
          <t>Not specified</t>
        </is>
      </c>
      <c r="FW82" s="30" t="inlineStr">
        <is>
          <t>Not specified</t>
        </is>
      </c>
      <c r="FX82" s="30" t="inlineStr">
        <is>
          <t>Not specified</t>
        </is>
      </c>
      <c r="FY82" s="30" t="inlineStr">
        <is>
          <t>Not specified</t>
        </is>
      </c>
      <c r="FZ82" s="30" t="b">
        <v>0</v>
      </c>
      <c r="GA82" s="30" t="n">
        <v>0</v>
      </c>
      <c r="GB82" s="30" t="inlineStr"/>
      <c r="GC82" s="30" t="inlineStr"/>
      <c r="GD82" s="30" t="b">
        <v>0</v>
      </c>
      <c r="GE82" s="30" t="b">
        <v>0</v>
      </c>
      <c r="GF82" s="30" t="b">
        <v>0</v>
      </c>
      <c r="GG82" s="30" t="b">
        <v>0</v>
      </c>
      <c r="GH82" s="30" t="b">
        <v>0</v>
      </c>
      <c r="GI82" s="30" t="b">
        <v>0</v>
      </c>
      <c r="GJ82" s="30" t="n">
        <v>0</v>
      </c>
      <c r="GK82" s="30" t="n">
        <v>0</v>
      </c>
      <c r="GL82" s="30" t="n">
        <v>0</v>
      </c>
      <c r="GM82" s="76" t="inlineStr"/>
      <c r="GN82" s="76" t="inlineStr"/>
      <c r="GO82" s="32" t="b">
        <v>0</v>
      </c>
      <c r="GP82" s="30" t="inlineStr"/>
      <c r="GQ82" s="76" t="inlineStr"/>
      <c r="GR82" s="30" t="inlineStr">
        <is>
          <t>Not Declared</t>
        </is>
      </c>
      <c r="GS82" s="30" t="b">
        <v>1</v>
      </c>
      <c r="GT82" s="30" t="n">
        <v>45.1</v>
      </c>
      <c r="GU82" s="30" t="inlineStr">
        <is>
          <t>Orphan</t>
        </is>
      </c>
      <c r="GV82" s="30" t="n">
        <v>0</v>
      </c>
      <c r="GW82" s="34" t="n">
        <v>0</v>
      </c>
      <c r="GX82" s="30" t="b">
        <v>0</v>
      </c>
      <c r="GY82" s="30" t="inlineStr">
        <is>
          <t>FAQ</t>
        </is>
      </c>
      <c r="GZ82" s="30" t="n">
        <v>9</v>
      </c>
      <c r="HA82" s="30" t="b">
        <v>0</v>
      </c>
      <c r="HB82" s="30" t="inlineStr">
        <is>
          <t>smoke, body, copy, intent, classification</t>
        </is>
      </c>
      <c r="HC82" s="30" t="b">
        <v>0</v>
      </c>
      <c r="HD82" s="30" t="b">
        <v>0</v>
      </c>
      <c r="HE82" s="30" t="b">
        <v>0</v>
      </c>
      <c r="HF82" s="34" t="n">
        <v>0</v>
      </c>
      <c r="HG82" s="30" t="b">
        <v>0</v>
      </c>
      <c r="HH82" s="30" t="b">
        <v>0</v>
      </c>
      <c r="HI82" s="38">
        <f>IFERROR(HYPERLINK("#'Technical Diagnostics'!A"&amp;MATCH(B82,'Technical Diagnostics'!A:A,0),"Open Technical"),HYPERLINK("#'Technical Diagnostics'!A1","Open Technical"))</f>
        <v/>
      </c>
    </row>
    <row r="83" ht="18" customHeight="1">
      <c r="A83" s="28" t="inlineStr">
        <is>
          <t>WARN 🟡</t>
        </is>
      </c>
      <c r="B83" s="35" t="inlineStr">
        <is>
          <t>https://africanmarketingconfederation.org/discovered-via-bfs-1</t>
        </is>
      </c>
      <c r="C83" s="28" t="inlineStr"/>
      <c r="D83" s="28" t="inlineStr">
        <is>
          <t>Indexable</t>
        </is>
      </c>
      <c r="E83" s="28" t="inlineStr"/>
      <c r="F83" s="28" t="inlineStr">
        <is>
          <t>Smoke title 81</t>
        </is>
      </c>
      <c r="G83" s="28" t="inlineStr">
        <is>
          <t>Smoke meta description for page 81.</t>
        </is>
      </c>
      <c r="H83" s="28" t="n">
        <v>351</v>
      </c>
      <c r="I83" s="28" t="n">
        <v>70</v>
      </c>
      <c r="J83" s="28" t="inlineStr">
        <is>
          <t>Warning</t>
        </is>
      </c>
      <c r="K83" s="28" t="inlineStr">
        <is>
          <t>Yes</t>
        </is>
      </c>
      <c r="L83" s="28" t="inlineStr"/>
      <c r="M83" s="28" t="inlineStr"/>
      <c r="N83" s="28" t="inlineStr">
        <is>
          <t>Lab only</t>
        </is>
      </c>
      <c r="O83" s="28" t="inlineStr">
        <is>
          <t>None</t>
        </is>
      </c>
      <c r="P83" s="28" t="inlineStr">
        <is>
          <t>PSI Lab</t>
        </is>
      </c>
      <c r="Q83" s="28" t="inlineStr">
        <is>
          <t>None</t>
        </is>
      </c>
      <c r="R83" s="28" t="inlineStr"/>
      <c r="S83" s="28" t="inlineStr"/>
      <c r="T83" s="28" t="inlineStr"/>
      <c r="U83" s="28" t="inlineStr"/>
      <c r="V83" s="28" t="inlineStr"/>
      <c r="W83" s="28" t="inlineStr"/>
      <c r="X83" s="28" t="inlineStr"/>
      <c r="Y83" s="28" t="inlineStr"/>
      <c r="Z83" s="28" t="inlineStr"/>
      <c r="AA83" s="28" t="n">
        <v>88</v>
      </c>
      <c r="AB83" s="28" t="n">
        <v>88</v>
      </c>
      <c r="AC83" s="28" t="n">
        <v>88</v>
      </c>
      <c r="AD83" s="28" t="n">
        <v>85</v>
      </c>
      <c r="AE83" s="28" t="n">
        <v>82</v>
      </c>
      <c r="AF83" s="28" t="n">
        <v>92</v>
      </c>
      <c r="AG83" s="28" t="n">
        <v>2.4</v>
      </c>
      <c r="AH83" s="28" t="n">
        <v>0.04</v>
      </c>
      <c r="AI83" s="28" t="n">
        <v>0.4</v>
      </c>
      <c r="AJ83" s="28" t="n">
        <v>2.4</v>
      </c>
      <c r="AK83" s="28" t="n">
        <v>0.04</v>
      </c>
      <c r="AL83" s="28" t="n">
        <v>180</v>
      </c>
      <c r="AM83" s="28" t="n">
        <v>120</v>
      </c>
      <c r="AN83" s="28" t="n">
        <v>1.8</v>
      </c>
      <c r="AO83" s="28" t="n">
        <v>3.2</v>
      </c>
      <c r="AP83" s="28" t="n">
        <v>4.1</v>
      </c>
      <c r="AQ83" s="28" t="n">
        <v>400</v>
      </c>
      <c r="AR83" s="28" t="n">
        <v>88</v>
      </c>
      <c r="AS83" s="28" t="n">
        <v>85</v>
      </c>
      <c r="AT83" s="28" t="n">
        <v>82</v>
      </c>
      <c r="AU83" s="28" t="n">
        <v>92</v>
      </c>
      <c r="AV83" s="28" t="n">
        <v>2.4</v>
      </c>
      <c r="AW83" s="28" t="n">
        <v>0.04</v>
      </c>
      <c r="AX83" s="28" t="n">
        <v>180</v>
      </c>
      <c r="AY83" s="28" t="n">
        <v>120</v>
      </c>
      <c r="AZ83" s="28" t="n">
        <v>1.8</v>
      </c>
      <c r="BA83" s="28" t="n">
        <v>3.2</v>
      </c>
      <c r="BB83" s="28" t="n">
        <v>4.1</v>
      </c>
      <c r="BC83" s="28" t="n">
        <v>400</v>
      </c>
      <c r="BD83" s="28" t="n">
        <v>500</v>
      </c>
      <c r="BE83" s="28" t="n">
        <v>842</v>
      </c>
      <c r="BF83" s="28" t="n">
        <v>1250</v>
      </c>
      <c r="BG83" s="28" t="n">
        <v>1</v>
      </c>
      <c r="BH83" s="28" t="b">
        <v>1</v>
      </c>
      <c r="BI83" s="34" t="b">
        <v>1</v>
      </c>
      <c r="BJ83" s="28" t="b">
        <v>1</v>
      </c>
      <c r="BK83" s="28" t="b">
        <v>1</v>
      </c>
      <c r="BL83" s="28" t="b">
        <v>0</v>
      </c>
      <c r="BM83" s="28" t="n">
        <v>65</v>
      </c>
      <c r="BN83" s="28" t="inlineStr">
        <is>
          <t>complete</t>
        </is>
      </c>
      <c r="BO83" s="28" t="inlineStr">
        <is>
          <t>rendered_browser</t>
        </is>
      </c>
      <c r="BP83" s="28" t="b">
        <v>0</v>
      </c>
      <c r="BQ83" s="28" t="n">
        <v>0</v>
      </c>
      <c r="BR83" s="28" t="n">
        <v>0</v>
      </c>
      <c r="BS83" s="28" t="inlineStr"/>
      <c r="BT83" s="28" t="b">
        <v>0</v>
      </c>
      <c r="BU83" s="28" t="inlineStr"/>
      <c r="BV83" s="28" t="inlineStr"/>
      <c r="BW83" s="28" t="n">
        <v>0</v>
      </c>
      <c r="BX83" s="28" t="inlineStr"/>
      <c r="BY83" s="28" t="n">
        <v>0</v>
      </c>
      <c r="BZ83" s="28" t="inlineStr"/>
      <c r="CA83" s="28" t="n">
        <v>0</v>
      </c>
      <c r="CB83" s="28" t="inlineStr"/>
      <c r="CC83" s="28" t="n">
        <v>0</v>
      </c>
      <c r="CD83" s="28" t="inlineStr"/>
      <c r="CE83" s="28" t="n">
        <v>0</v>
      </c>
      <c r="CF83" s="28" t="inlineStr"/>
      <c r="CG83" s="28" t="n">
        <v>0</v>
      </c>
      <c r="CH83" s="28" t="inlineStr"/>
      <c r="CI83" s="28" t="inlineStr"/>
      <c r="CJ83" s="28" t="inlineStr"/>
      <c r="CK83" s="28" t="inlineStr"/>
      <c r="CL83" s="28" t="inlineStr">
        <is>
          <t>2026-06-01 to 2026-06-30 (30-day window; excludes today; typical GSC lag ~48h)</t>
        </is>
      </c>
      <c r="CM83" s="28" t="inlineStr">
        <is>
          <t>No Search Analytics row matched this URL in the 30-day export (compare Final URL with the page URL shown in GSC)</t>
        </is>
      </c>
      <c r="CN83" s="28" t="n">
        <v>-1</v>
      </c>
      <c r="CO83" s="28" t="b">
        <v>1</v>
      </c>
      <c r="CP83" s="28" t="n">
        <v>0.012048</v>
      </c>
      <c r="CQ83" s="28" t="b">
        <v>0</v>
      </c>
      <c r="CR83" s="28" t="b">
        <v>1</v>
      </c>
      <c r="CS83" s="28" t="inlineStr">
        <is>
          <t>Crawl</t>
        </is>
      </c>
      <c r="CT83" s="74" t="inlineStr">
        <is>
          <t>https://africanmarketingconfederation.org/smoke-archive/page-1</t>
        </is>
      </c>
      <c r="CU83" s="28" t="n">
        <v>81</v>
      </c>
      <c r="CV83" s="29">
        <f>IFERROR(INDEX(OFFSET('Technical Diagnostics'!$A$1,2,MATCH("SEO Health Score",'Technical Diagnostics'!$2:$2,0)-1,99998,1),MATCH(B83,OFFSET('Technical Diagnostics'!$A$1,2,MATCH("URL",'Technical Diagnostics'!$2:$2,0)-1,99998,1),0)),"")</f>
        <v/>
      </c>
      <c r="CW83" s="32" t="n">
        <v>100</v>
      </c>
      <c r="CX83" s="29" t="n">
        <v>77.5</v>
      </c>
      <c r="CY83" s="32" t="b">
        <v>1</v>
      </c>
      <c r="CZ83" s="28" t="b">
        <v>0</v>
      </c>
      <c r="DA83" s="28" t="inlineStr"/>
      <c r="DB83" s="28" t="inlineStr"/>
      <c r="DC83" s="28" t="inlineStr"/>
      <c r="DD83" s="28" t="n">
        <v>0</v>
      </c>
      <c r="DE83" s="28" t="n">
        <v>0</v>
      </c>
      <c r="DF83" s="28" t="inlineStr"/>
      <c r="DG83" s="28" t="inlineStr"/>
      <c r="DH83" s="28" t="inlineStr"/>
      <c r="DI83" s="28" t="n">
        <v>6</v>
      </c>
      <c r="DJ83" s="28" t="inlineStr">
        <is>
          <t>Author 81</t>
        </is>
      </c>
      <c r="DK83" s="28" t="inlineStr"/>
      <c r="DL83" s="28" t="b">
        <v>1</v>
      </c>
      <c r="DM83" s="28" t="inlineStr"/>
      <c r="DN83" s="28" t="inlineStr">
        <is>
          <t>2026-06-01</t>
        </is>
      </c>
      <c r="DO83" s="28" t="inlineStr"/>
      <c r="DP83" s="28" t="inlineStr">
        <is>
          <t>2026-06-01</t>
        </is>
      </c>
      <c r="DQ83" s="28" t="inlineStr"/>
      <c r="DR83" s="28" t="b">
        <v>0</v>
      </c>
      <c r="DS83" s="28" t="b">
        <v>1</v>
      </c>
      <c r="DT83" s="28" t="b">
        <v>1</v>
      </c>
      <c r="DU83" s="28" t="b">
        <v>0</v>
      </c>
      <c r="DV83" s="28" t="n">
        <v>0</v>
      </c>
      <c r="DW83" s="28" t="b">
        <v>0</v>
      </c>
      <c r="DX83" s="28" t="b">
        <v>0</v>
      </c>
      <c r="DY83" s="28" t="b">
        <v>0</v>
      </c>
      <c r="DZ83" s="28" t="b">
        <v>0</v>
      </c>
      <c r="EA83" s="32" t="b">
        <v>0</v>
      </c>
      <c r="EB83" s="28" t="b">
        <v>0</v>
      </c>
      <c r="EC83" s="28" t="inlineStr"/>
      <c r="ED83" s="28" t="inlineStr"/>
      <c r="EE83" s="28" t="b">
        <v>0</v>
      </c>
      <c r="EF83" s="28" t="inlineStr"/>
      <c r="EG83" s="28" t="inlineStr"/>
      <c r="EH83" s="28" t="inlineStr"/>
      <c r="EI83" s="28" t="inlineStr">
        <is>
          <t>2026-06-01</t>
        </is>
      </c>
      <c r="EJ83" s="28" t="inlineStr"/>
      <c r="EK83" s="28" t="inlineStr">
        <is>
          <t>Fresh</t>
        </is>
      </c>
      <c r="EL83" s="28" t="inlineStr">
        <is>
          <t>Smoke title 81</t>
        </is>
      </c>
      <c r="EM83" s="28" t="inlineStr">
        <is>
          <t>Smoke meta description for page 81.</t>
        </is>
      </c>
      <c r="EN83" s="28" t="inlineStr">
        <is>
          <t>article</t>
        </is>
      </c>
      <c r="EO83" s="74" t="inlineStr"/>
      <c r="EP83" s="74" t="inlineStr"/>
      <c r="EQ83" s="28" t="inlineStr"/>
      <c r="ER83" s="28" t="inlineStr"/>
      <c r="ES83" s="28" t="inlineStr"/>
      <c r="ET83" s="28" t="inlineStr"/>
      <c r="EU83" s="75" t="b">
        <v>0</v>
      </c>
      <c r="EV83" s="28" t="inlineStr">
        <is>
          <t>summary_large_image</t>
        </is>
      </c>
      <c r="EW83" s="28" t="inlineStr"/>
      <c r="EX83" s="28" t="inlineStr"/>
      <c r="EY83" s="28" t="inlineStr"/>
      <c r="EZ83" s="28" t="n">
        <v>0</v>
      </c>
      <c r="FA83" s="40" t="b">
        <v>0</v>
      </c>
      <c r="FB83" s="74" t="inlineStr">
        <is>
          <t>https://africanmarketingconfederation.org/discovered-via-bfs-1</t>
        </is>
      </c>
      <c r="FC83" s="28" t="inlineStr"/>
      <c r="FD83" s="28" t="n">
        <v>0</v>
      </c>
      <c r="FE83" s="20" t="inlineStr"/>
      <c r="FF83" s="28" t="b">
        <v>0</v>
      </c>
      <c r="FG83" s="28" t="b">
        <v>0</v>
      </c>
      <c r="FH83" s="32" t="b">
        <v>0</v>
      </c>
      <c r="FI83" s="28" t="n">
        <v>0</v>
      </c>
      <c r="FJ83" s="28" t="inlineStr">
        <is>
          <t>https://africanmarketingconfederation.org/discovered-via-bfs-1</t>
        </is>
      </c>
      <c r="FK83" s="28" t="inlineStr"/>
      <c r="FL83" s="32" t="b">
        <v>0</v>
      </c>
      <c r="FM83" s="28" t="b">
        <v>0</v>
      </c>
      <c r="FN83" s="32" t="b">
        <v>0</v>
      </c>
      <c r="FO83" s="28" t="inlineStr"/>
      <c r="FP83" s="28" t="inlineStr"/>
      <c r="FQ83" s="28" t="inlineStr"/>
      <c r="FR83" s="28" t="inlineStr"/>
      <c r="FS83" s="28" t="inlineStr"/>
      <c r="FT83" s="28" t="inlineStr"/>
      <c r="FU83" s="28" t="inlineStr">
        <is>
          <t>Not specified</t>
        </is>
      </c>
      <c r="FV83" s="28" t="inlineStr">
        <is>
          <t>Not specified</t>
        </is>
      </c>
      <c r="FW83" s="28" t="inlineStr">
        <is>
          <t>Not specified</t>
        </is>
      </c>
      <c r="FX83" s="28" t="inlineStr">
        <is>
          <t>Not specified</t>
        </is>
      </c>
      <c r="FY83" s="28" t="inlineStr">
        <is>
          <t>Not specified</t>
        </is>
      </c>
      <c r="FZ83" s="28" t="b">
        <v>0</v>
      </c>
      <c r="GA83" s="28" t="n">
        <v>0</v>
      </c>
      <c r="GB83" s="28" t="inlineStr"/>
      <c r="GC83" s="28" t="inlineStr"/>
      <c r="GD83" s="28" t="b">
        <v>0</v>
      </c>
      <c r="GE83" s="28" t="b">
        <v>0</v>
      </c>
      <c r="GF83" s="28" t="b">
        <v>0</v>
      </c>
      <c r="GG83" s="28" t="b">
        <v>0</v>
      </c>
      <c r="GH83" s="28" t="b">
        <v>0</v>
      </c>
      <c r="GI83" s="28" t="b">
        <v>0</v>
      </c>
      <c r="GJ83" s="28" t="n">
        <v>0</v>
      </c>
      <c r="GK83" s="28" t="n">
        <v>0</v>
      </c>
      <c r="GL83" s="28" t="n">
        <v>0</v>
      </c>
      <c r="GM83" s="74" t="inlineStr"/>
      <c r="GN83" s="74" t="inlineStr"/>
      <c r="GO83" s="32" t="b">
        <v>0</v>
      </c>
      <c r="GP83" s="28" t="inlineStr"/>
      <c r="GQ83" s="74" t="inlineStr"/>
      <c r="GR83" s="28" t="inlineStr">
        <is>
          <t>Not Declared</t>
        </is>
      </c>
      <c r="GS83" s="28" t="b">
        <v>1</v>
      </c>
      <c r="GT83" s="28" t="n">
        <v>54.9</v>
      </c>
      <c r="GU83" s="28" t="inlineStr">
        <is>
          <t>Orphan</t>
        </is>
      </c>
      <c r="GV83" s="28" t="n">
        <v>0</v>
      </c>
      <c r="GW83" s="34" t="n">
        <v>0</v>
      </c>
      <c r="GX83" s="28" t="b">
        <v>0</v>
      </c>
      <c r="GY83" s="28" t="inlineStr">
        <is>
          <t>None</t>
        </is>
      </c>
      <c r="GZ83" s="28" t="n">
        <v>0</v>
      </c>
      <c r="HA83" s="28" t="b">
        <v>0</v>
      </c>
      <c r="HB83" s="28" t="inlineStr">
        <is>
          <t>smoke, body, copy, intent, classification</t>
        </is>
      </c>
      <c r="HC83" s="28" t="b">
        <v>0</v>
      </c>
      <c r="HD83" s="28" t="b">
        <v>0</v>
      </c>
      <c r="HE83" s="28" t="b">
        <v>0</v>
      </c>
      <c r="HF83" s="34" t="n">
        <v>0</v>
      </c>
      <c r="HG83" s="28" t="b">
        <v>0</v>
      </c>
      <c r="HH83" s="28" t="b">
        <v>0</v>
      </c>
      <c r="HI83">
        <f>IFERROR(HYPERLINK("#'Technical Diagnostics'!A"&amp;MATCH(B83,'Technical Diagnostics'!A:A,0),"Open Technical"),HYPERLINK("#'Technical Diagnostics'!A1","Open Technical"))</f>
        <v/>
      </c>
    </row>
    <row r="84" ht="18" customHeight="1">
      <c r="A84" s="30" t="inlineStr">
        <is>
          <t>WARN 🟡</t>
        </is>
      </c>
      <c r="B84" s="37" t="inlineStr">
        <is>
          <t>https://africanmarketingconfederation.org/discovered-via-bfs-2</t>
        </is>
      </c>
      <c r="C84" s="30" t="inlineStr"/>
      <c r="D84" s="30" t="inlineStr">
        <is>
          <t>Indexable</t>
        </is>
      </c>
      <c r="E84" s="30" t="inlineStr"/>
      <c r="F84" s="30" t="inlineStr">
        <is>
          <t>Smoke title 82</t>
        </is>
      </c>
      <c r="G84" s="30" t="inlineStr">
        <is>
          <t>Smoke meta description for page 82.</t>
        </is>
      </c>
      <c r="H84" s="30" t="n">
        <v>352</v>
      </c>
      <c r="I84" s="30" t="n">
        <v>80</v>
      </c>
      <c r="J84" s="30" t="inlineStr">
        <is>
          <t>Warning</t>
        </is>
      </c>
      <c r="K84" s="30" t="inlineStr">
        <is>
          <t>Yes</t>
        </is>
      </c>
      <c r="L84" s="30" t="inlineStr"/>
      <c r="M84" s="30" t="inlineStr"/>
      <c r="N84" s="30" t="inlineStr">
        <is>
          <t>Lab only</t>
        </is>
      </c>
      <c r="O84" s="30" t="inlineStr">
        <is>
          <t>None</t>
        </is>
      </c>
      <c r="P84" s="30" t="inlineStr">
        <is>
          <t>PSI Lab</t>
        </is>
      </c>
      <c r="Q84" s="30" t="inlineStr">
        <is>
          <t>None</t>
        </is>
      </c>
      <c r="R84" s="30" t="inlineStr"/>
      <c r="S84" s="30" t="inlineStr"/>
      <c r="T84" s="30" t="inlineStr"/>
      <c r="U84" s="30" t="inlineStr"/>
      <c r="V84" s="30" t="inlineStr"/>
      <c r="W84" s="30" t="inlineStr"/>
      <c r="X84" s="30" t="inlineStr"/>
      <c r="Y84" s="30" t="inlineStr"/>
      <c r="Z84" s="30" t="inlineStr"/>
      <c r="AA84" s="30" t="n">
        <v>88</v>
      </c>
      <c r="AB84" s="30" t="n">
        <v>88</v>
      </c>
      <c r="AC84" s="30" t="n">
        <v>88</v>
      </c>
      <c r="AD84" s="30" t="n">
        <v>85</v>
      </c>
      <c r="AE84" s="30" t="n">
        <v>82</v>
      </c>
      <c r="AF84" s="30" t="n">
        <v>92</v>
      </c>
      <c r="AG84" s="30" t="n">
        <v>2.4</v>
      </c>
      <c r="AH84" s="30" t="n">
        <v>0.04</v>
      </c>
      <c r="AI84" s="30" t="n">
        <v>0.4</v>
      </c>
      <c r="AJ84" s="30" t="n">
        <v>2.4</v>
      </c>
      <c r="AK84" s="30" t="n">
        <v>0.04</v>
      </c>
      <c r="AL84" s="30" t="n">
        <v>180</v>
      </c>
      <c r="AM84" s="30" t="n">
        <v>120</v>
      </c>
      <c r="AN84" s="30" t="n">
        <v>1.8</v>
      </c>
      <c r="AO84" s="30" t="n">
        <v>3.2</v>
      </c>
      <c r="AP84" s="30" t="n">
        <v>4.1</v>
      </c>
      <c r="AQ84" s="30" t="n">
        <v>400</v>
      </c>
      <c r="AR84" s="30" t="n">
        <v>88</v>
      </c>
      <c r="AS84" s="30" t="n">
        <v>85</v>
      </c>
      <c r="AT84" s="30" t="n">
        <v>82</v>
      </c>
      <c r="AU84" s="30" t="n">
        <v>92</v>
      </c>
      <c r="AV84" s="30" t="n">
        <v>2.4</v>
      </c>
      <c r="AW84" s="30" t="n">
        <v>0.04</v>
      </c>
      <c r="AX84" s="30" t="n">
        <v>180</v>
      </c>
      <c r="AY84" s="30" t="n">
        <v>120</v>
      </c>
      <c r="AZ84" s="30" t="n">
        <v>1.8</v>
      </c>
      <c r="BA84" s="30" t="n">
        <v>3.2</v>
      </c>
      <c r="BB84" s="30" t="n">
        <v>4.1</v>
      </c>
      <c r="BC84" s="30" t="n">
        <v>400</v>
      </c>
      <c r="BD84" s="30" t="n">
        <v>500</v>
      </c>
      <c r="BE84" s="30" t="n">
        <v>842</v>
      </c>
      <c r="BF84" s="30" t="n">
        <v>1250</v>
      </c>
      <c r="BG84" s="30" t="n">
        <v>1</v>
      </c>
      <c r="BH84" s="30" t="b">
        <v>1</v>
      </c>
      <c r="BI84" s="34" t="b">
        <v>1</v>
      </c>
      <c r="BJ84" s="30" t="b">
        <v>1</v>
      </c>
      <c r="BK84" s="30" t="b">
        <v>1</v>
      </c>
      <c r="BL84" s="30" t="b">
        <v>0</v>
      </c>
      <c r="BM84" s="30" t="n">
        <v>65</v>
      </c>
      <c r="BN84" s="30" t="inlineStr">
        <is>
          <t>complete</t>
        </is>
      </c>
      <c r="BO84" s="30" t="inlineStr">
        <is>
          <t>rendered_browser</t>
        </is>
      </c>
      <c r="BP84" s="30" t="b">
        <v>0</v>
      </c>
      <c r="BQ84" s="30" t="n">
        <v>0</v>
      </c>
      <c r="BR84" s="30" t="n">
        <v>0</v>
      </c>
      <c r="BS84" s="30" t="inlineStr"/>
      <c r="BT84" s="30" t="b">
        <v>0</v>
      </c>
      <c r="BU84" s="30" t="inlineStr"/>
      <c r="BV84" s="30" t="inlineStr"/>
      <c r="BW84" s="30" t="n">
        <v>0</v>
      </c>
      <c r="BX84" s="30" t="inlineStr"/>
      <c r="BY84" s="30" t="n">
        <v>0</v>
      </c>
      <c r="BZ84" s="30" t="inlineStr"/>
      <c r="CA84" s="30" t="n">
        <v>0</v>
      </c>
      <c r="CB84" s="30" t="inlineStr"/>
      <c r="CC84" s="30" t="n">
        <v>0</v>
      </c>
      <c r="CD84" s="30" t="inlineStr"/>
      <c r="CE84" s="30" t="n">
        <v>0</v>
      </c>
      <c r="CF84" s="30" t="inlineStr"/>
      <c r="CG84" s="30" t="n">
        <v>0</v>
      </c>
      <c r="CH84" s="30" t="inlineStr"/>
      <c r="CI84" s="30" t="inlineStr"/>
      <c r="CJ84" s="30" t="inlineStr"/>
      <c r="CK84" s="30" t="inlineStr"/>
      <c r="CL84" s="30" t="inlineStr">
        <is>
          <t>2026-06-01 to 2026-06-30 (30-day window; excludes today; typical GSC lag ~48h)</t>
        </is>
      </c>
      <c r="CM84" s="30" t="inlineStr">
        <is>
          <t>No Search Analytics row matched this URL in the 30-day export (compare Final URL with the page URL shown in GSC)</t>
        </is>
      </c>
      <c r="CN84" s="30" t="n">
        <v>-1</v>
      </c>
      <c r="CO84" s="30" t="b">
        <v>1</v>
      </c>
      <c r="CP84" s="30" t="n">
        <v>0.012048</v>
      </c>
      <c r="CQ84" s="30" t="b">
        <v>0</v>
      </c>
      <c r="CR84" s="30" t="b">
        <v>1</v>
      </c>
      <c r="CS84" s="30" t="inlineStr">
        <is>
          <t>Crawl</t>
        </is>
      </c>
      <c r="CT84" s="76" t="inlineStr">
        <is>
          <t>https://africanmarketingconfederation.org/smoke-archive/page-1</t>
        </is>
      </c>
      <c r="CU84" s="30" t="n">
        <v>82</v>
      </c>
      <c r="CV84" s="29">
        <f>IFERROR(INDEX(OFFSET('Technical Diagnostics'!$A$1,2,MATCH("SEO Health Score",'Technical Diagnostics'!$2:$2,0)-1,99998,1),MATCH(B84,OFFSET('Technical Diagnostics'!$A$1,2,MATCH("URL",'Technical Diagnostics'!$2:$2,0)-1,99998,1),0)),"")</f>
        <v/>
      </c>
      <c r="CW84" s="32" t="n">
        <v>100</v>
      </c>
      <c r="CX84" s="29" t="n">
        <v>85</v>
      </c>
      <c r="CY84" s="32" t="b">
        <v>1</v>
      </c>
      <c r="CZ84" s="30" t="b">
        <v>0</v>
      </c>
      <c r="DA84" s="30" t="inlineStr"/>
      <c r="DB84" s="30" t="inlineStr"/>
      <c r="DC84" s="30" t="inlineStr"/>
      <c r="DD84" s="30" t="n">
        <v>0</v>
      </c>
      <c r="DE84" s="30" t="n">
        <v>0</v>
      </c>
      <c r="DF84" s="30" t="inlineStr"/>
      <c r="DG84" s="30" t="inlineStr"/>
      <c r="DH84" s="30" t="inlineStr"/>
      <c r="DI84" s="30" t="n">
        <v>6</v>
      </c>
      <c r="DJ84" s="30" t="inlineStr">
        <is>
          <t>Author 82</t>
        </is>
      </c>
      <c r="DK84" s="30" t="inlineStr"/>
      <c r="DL84" s="30" t="b">
        <v>1</v>
      </c>
      <c r="DM84" s="30" t="inlineStr"/>
      <c r="DN84" s="30" t="inlineStr">
        <is>
          <t>2026-06-01</t>
        </is>
      </c>
      <c r="DO84" s="30" t="inlineStr"/>
      <c r="DP84" s="30" t="inlineStr">
        <is>
          <t>2026-06-01</t>
        </is>
      </c>
      <c r="DQ84" s="30" t="inlineStr"/>
      <c r="DR84" s="30" t="b">
        <v>0</v>
      </c>
      <c r="DS84" s="30" t="b">
        <v>1</v>
      </c>
      <c r="DT84" s="30" t="b">
        <v>1</v>
      </c>
      <c r="DU84" s="30" t="b">
        <v>0</v>
      </c>
      <c r="DV84" s="30" t="n">
        <v>0</v>
      </c>
      <c r="DW84" s="30" t="b">
        <v>0</v>
      </c>
      <c r="DX84" s="30" t="b">
        <v>0</v>
      </c>
      <c r="DY84" s="30" t="b">
        <v>0</v>
      </c>
      <c r="DZ84" s="30" t="b">
        <v>0</v>
      </c>
      <c r="EA84" s="32" t="b">
        <v>0</v>
      </c>
      <c r="EB84" s="30" t="b">
        <v>0</v>
      </c>
      <c r="EC84" s="30" t="inlineStr"/>
      <c r="ED84" s="30" t="inlineStr"/>
      <c r="EE84" s="30" t="b">
        <v>0</v>
      </c>
      <c r="EF84" s="30" t="inlineStr"/>
      <c r="EG84" s="30" t="inlineStr"/>
      <c r="EH84" s="30" t="inlineStr"/>
      <c r="EI84" s="30" t="inlineStr"/>
      <c r="EJ84" s="30" t="inlineStr"/>
      <c r="EK84" s="30" t="inlineStr">
        <is>
          <t>Fresh</t>
        </is>
      </c>
      <c r="EL84" s="30" t="inlineStr">
        <is>
          <t>Smoke title 82</t>
        </is>
      </c>
      <c r="EM84" s="30" t="inlineStr">
        <is>
          <t>Smoke meta description for page 82.</t>
        </is>
      </c>
      <c r="EN84" s="30" t="inlineStr">
        <is>
          <t>article</t>
        </is>
      </c>
      <c r="EO84" s="76" t="inlineStr"/>
      <c r="EP84" s="76" t="inlineStr"/>
      <c r="EQ84" s="30" t="inlineStr"/>
      <c r="ER84" s="30" t="inlineStr"/>
      <c r="ES84" s="30" t="inlineStr"/>
      <c r="ET84" s="30" t="inlineStr"/>
      <c r="EU84" s="75" t="b">
        <v>0</v>
      </c>
      <c r="EV84" s="30" t="inlineStr">
        <is>
          <t>summary_large_image</t>
        </is>
      </c>
      <c r="EW84" s="30" t="inlineStr"/>
      <c r="EX84" s="30" t="inlineStr"/>
      <c r="EY84" s="30" t="inlineStr"/>
      <c r="EZ84" s="30" t="n">
        <v>0</v>
      </c>
      <c r="FA84" s="40" t="b">
        <v>0</v>
      </c>
      <c r="FB84" s="76" t="inlineStr">
        <is>
          <t>https://africanmarketingconfederation.org/discovered-via-bfs-2</t>
        </is>
      </c>
      <c r="FC84" s="30" t="inlineStr"/>
      <c r="FD84" s="30" t="n">
        <v>0</v>
      </c>
      <c r="FE84" s="31" t="inlineStr"/>
      <c r="FF84" s="30" t="b">
        <v>0</v>
      </c>
      <c r="FG84" s="30" t="b">
        <v>0</v>
      </c>
      <c r="FH84" s="32" t="b">
        <v>0</v>
      </c>
      <c r="FI84" s="30" t="n">
        <v>0</v>
      </c>
      <c r="FJ84" s="30" t="inlineStr">
        <is>
          <t>https://africanmarketingconfederation.org/discovered-via-bfs-2</t>
        </is>
      </c>
      <c r="FK84" s="30" t="inlineStr"/>
      <c r="FL84" s="32" t="b">
        <v>0</v>
      </c>
      <c r="FM84" s="30" t="b">
        <v>0</v>
      </c>
      <c r="FN84" s="32" t="b">
        <v>0</v>
      </c>
      <c r="FO84" s="30" t="inlineStr"/>
      <c r="FP84" s="30" t="inlineStr"/>
      <c r="FQ84" s="30" t="inlineStr"/>
      <c r="FR84" s="30" t="inlineStr"/>
      <c r="FS84" s="30" t="inlineStr"/>
      <c r="FT84" s="30" t="inlineStr"/>
      <c r="FU84" s="30" t="inlineStr">
        <is>
          <t>Not specified</t>
        </is>
      </c>
      <c r="FV84" s="30" t="inlineStr">
        <is>
          <t>Not specified</t>
        </is>
      </c>
      <c r="FW84" s="30" t="inlineStr">
        <is>
          <t>Not specified</t>
        </is>
      </c>
      <c r="FX84" s="30" t="inlineStr">
        <is>
          <t>Not specified</t>
        </is>
      </c>
      <c r="FY84" s="30" t="inlineStr">
        <is>
          <t>Not specified</t>
        </is>
      </c>
      <c r="FZ84" s="30" t="b">
        <v>0</v>
      </c>
      <c r="GA84" s="30" t="n">
        <v>0</v>
      </c>
      <c r="GB84" s="30" t="inlineStr"/>
      <c r="GC84" s="30" t="inlineStr"/>
      <c r="GD84" s="30" t="b">
        <v>0</v>
      </c>
      <c r="GE84" s="30" t="b">
        <v>0</v>
      </c>
      <c r="GF84" s="30" t="b">
        <v>0</v>
      </c>
      <c r="GG84" s="30" t="b">
        <v>0</v>
      </c>
      <c r="GH84" s="30" t="b">
        <v>0</v>
      </c>
      <c r="GI84" s="30" t="b">
        <v>0</v>
      </c>
      <c r="GJ84" s="30" t="n">
        <v>0</v>
      </c>
      <c r="GK84" s="30" t="n">
        <v>0</v>
      </c>
      <c r="GL84" s="30" t="n">
        <v>0</v>
      </c>
      <c r="GM84" s="76" t="inlineStr"/>
      <c r="GN84" s="76" t="inlineStr"/>
      <c r="GO84" s="32" t="b">
        <v>0</v>
      </c>
      <c r="GP84" s="30" t="inlineStr"/>
      <c r="GQ84" s="76" t="inlineStr"/>
      <c r="GR84" s="30" t="inlineStr">
        <is>
          <t>Not Declared</t>
        </is>
      </c>
      <c r="GS84" s="30" t="b">
        <v>1</v>
      </c>
      <c r="GT84" s="30" t="n">
        <v>63.4</v>
      </c>
      <c r="GU84" s="30" t="inlineStr">
        <is>
          <t>Orphan</t>
        </is>
      </c>
      <c r="GV84" s="30" t="n">
        <v>0</v>
      </c>
      <c r="GW84" s="34" t="n">
        <v>0</v>
      </c>
      <c r="GX84" s="30" t="b">
        <v>0</v>
      </c>
      <c r="GY84" s="30" t="inlineStr">
        <is>
          <t>FAQ</t>
        </is>
      </c>
      <c r="GZ84" s="30" t="n">
        <v>9</v>
      </c>
      <c r="HA84" s="30" t="b">
        <v>0</v>
      </c>
      <c r="HB84" s="30" t="inlineStr">
        <is>
          <t>smoke, body, copy, intent, classification</t>
        </is>
      </c>
      <c r="HC84" s="30" t="b">
        <v>0</v>
      </c>
      <c r="HD84" s="30" t="b">
        <v>0</v>
      </c>
      <c r="HE84" s="30" t="b">
        <v>0</v>
      </c>
      <c r="HF84" s="34" t="n">
        <v>0</v>
      </c>
      <c r="HG84" s="30" t="b">
        <v>0</v>
      </c>
      <c r="HH84" s="30" t="b">
        <v>0</v>
      </c>
      <c r="HI84" s="38">
        <f>IFERROR(HYPERLINK("#'Technical Diagnostics'!A"&amp;MATCH(B84,'Technical Diagnostics'!A:A,0),"Open Technical"),HYPERLINK("#'Technical Diagnostics'!A1","Open Technical"))</f>
        <v/>
      </c>
    </row>
    <row r="85" ht="18" customHeight="1">
      <c r="A85" s="28" t="inlineStr">
        <is>
          <t>WARN 🟡</t>
        </is>
      </c>
      <c r="B85" s="35" t="inlineStr">
        <is>
          <t>https://africanmarketingconfederation.org/discovered-via-bfs-3</t>
        </is>
      </c>
      <c r="C85" s="28" t="inlineStr"/>
      <c r="D85" s="28" t="inlineStr">
        <is>
          <t>Indexable</t>
        </is>
      </c>
      <c r="E85" s="28" t="inlineStr"/>
      <c r="F85" s="28" t="inlineStr">
        <is>
          <t>Smoke title 83</t>
        </is>
      </c>
      <c r="G85" s="28" t="inlineStr">
        <is>
          <t>Smoke meta description for page 83.</t>
        </is>
      </c>
      <c r="H85" s="28" t="n">
        <v>353</v>
      </c>
      <c r="I85" s="28" t="n">
        <v>80</v>
      </c>
      <c r="J85" s="28" t="inlineStr">
        <is>
          <t>Warning</t>
        </is>
      </c>
      <c r="K85" s="28" t="inlineStr">
        <is>
          <t>Yes</t>
        </is>
      </c>
      <c r="L85" s="28" t="inlineStr"/>
      <c r="M85" s="28" t="inlineStr"/>
      <c r="N85" s="28" t="inlineStr">
        <is>
          <t>Lab only</t>
        </is>
      </c>
      <c r="O85" s="28" t="inlineStr">
        <is>
          <t>None</t>
        </is>
      </c>
      <c r="P85" s="28" t="inlineStr">
        <is>
          <t>PSI Lab</t>
        </is>
      </c>
      <c r="Q85" s="28" t="inlineStr">
        <is>
          <t>None</t>
        </is>
      </c>
      <c r="R85" s="28" t="inlineStr"/>
      <c r="S85" s="28" t="inlineStr"/>
      <c r="T85" s="28" t="inlineStr"/>
      <c r="U85" s="28" t="inlineStr"/>
      <c r="V85" s="28" t="inlineStr"/>
      <c r="W85" s="28" t="inlineStr"/>
      <c r="X85" s="28" t="inlineStr"/>
      <c r="Y85" s="28" t="inlineStr"/>
      <c r="Z85" s="28" t="inlineStr"/>
      <c r="AA85" s="28" t="n">
        <v>88</v>
      </c>
      <c r="AB85" s="28" t="n">
        <v>88</v>
      </c>
      <c r="AC85" s="28" t="n">
        <v>88</v>
      </c>
      <c r="AD85" s="28" t="n">
        <v>85</v>
      </c>
      <c r="AE85" s="28" t="n">
        <v>82</v>
      </c>
      <c r="AF85" s="28" t="n">
        <v>92</v>
      </c>
      <c r="AG85" s="28" t="n">
        <v>2.4</v>
      </c>
      <c r="AH85" s="28" t="n">
        <v>0.04</v>
      </c>
      <c r="AI85" s="28" t="n">
        <v>0.4</v>
      </c>
      <c r="AJ85" s="28" t="n">
        <v>2.4</v>
      </c>
      <c r="AK85" s="28" t="n">
        <v>0.04</v>
      </c>
      <c r="AL85" s="28" t="n">
        <v>180</v>
      </c>
      <c r="AM85" s="28" t="n">
        <v>120</v>
      </c>
      <c r="AN85" s="28" t="n">
        <v>1.8</v>
      </c>
      <c r="AO85" s="28" t="n">
        <v>3.2</v>
      </c>
      <c r="AP85" s="28" t="n">
        <v>4.1</v>
      </c>
      <c r="AQ85" s="28" t="n">
        <v>400</v>
      </c>
      <c r="AR85" s="28" t="n">
        <v>88</v>
      </c>
      <c r="AS85" s="28" t="n">
        <v>85</v>
      </c>
      <c r="AT85" s="28" t="n">
        <v>82</v>
      </c>
      <c r="AU85" s="28" t="n">
        <v>92</v>
      </c>
      <c r="AV85" s="28" t="n">
        <v>2.4</v>
      </c>
      <c r="AW85" s="28" t="n">
        <v>0.04</v>
      </c>
      <c r="AX85" s="28" t="n">
        <v>180</v>
      </c>
      <c r="AY85" s="28" t="n">
        <v>120</v>
      </c>
      <c r="AZ85" s="28" t="n">
        <v>1.8</v>
      </c>
      <c r="BA85" s="28" t="n">
        <v>3.2</v>
      </c>
      <c r="BB85" s="28" t="n">
        <v>4.1</v>
      </c>
      <c r="BC85" s="28" t="n">
        <v>400</v>
      </c>
      <c r="BD85" s="28" t="n">
        <v>500</v>
      </c>
      <c r="BE85" s="28" t="n">
        <v>842</v>
      </c>
      <c r="BF85" s="28" t="n">
        <v>1250</v>
      </c>
      <c r="BG85" s="28" t="n">
        <v>1</v>
      </c>
      <c r="BH85" s="28" t="b">
        <v>1</v>
      </c>
      <c r="BI85" s="34" t="b">
        <v>1</v>
      </c>
      <c r="BJ85" s="28" t="b">
        <v>1</v>
      </c>
      <c r="BK85" s="28" t="b">
        <v>1</v>
      </c>
      <c r="BL85" s="28" t="b">
        <v>0</v>
      </c>
      <c r="BM85" s="28" t="n">
        <v>65</v>
      </c>
      <c r="BN85" s="28" t="inlineStr">
        <is>
          <t>complete</t>
        </is>
      </c>
      <c r="BO85" s="28" t="inlineStr">
        <is>
          <t>rendered_browser</t>
        </is>
      </c>
      <c r="BP85" s="28" t="b">
        <v>0</v>
      </c>
      <c r="BQ85" s="28" t="n">
        <v>0</v>
      </c>
      <c r="BR85" s="28" t="n">
        <v>0</v>
      </c>
      <c r="BS85" s="28" t="inlineStr"/>
      <c r="BT85" s="28" t="b">
        <v>0</v>
      </c>
      <c r="BU85" s="28" t="inlineStr"/>
      <c r="BV85" s="28" t="inlineStr"/>
      <c r="BW85" s="28" t="n">
        <v>0</v>
      </c>
      <c r="BX85" s="28" t="inlineStr"/>
      <c r="BY85" s="28" t="n">
        <v>0</v>
      </c>
      <c r="BZ85" s="28" t="inlineStr"/>
      <c r="CA85" s="28" t="n">
        <v>0</v>
      </c>
      <c r="CB85" s="28" t="inlineStr"/>
      <c r="CC85" s="28" t="n">
        <v>0</v>
      </c>
      <c r="CD85" s="28" t="inlineStr"/>
      <c r="CE85" s="28" t="n">
        <v>0</v>
      </c>
      <c r="CF85" s="28" t="inlineStr"/>
      <c r="CG85" s="28" t="n">
        <v>0</v>
      </c>
      <c r="CH85" s="28" t="inlineStr"/>
      <c r="CI85" s="28" t="inlineStr"/>
      <c r="CJ85" s="28" t="inlineStr"/>
      <c r="CK85" s="28" t="inlineStr"/>
      <c r="CL85" s="28" t="inlineStr">
        <is>
          <t>2026-06-01 to 2026-06-30 (30-day window; excludes today; typical GSC lag ~48h)</t>
        </is>
      </c>
      <c r="CM85" s="28" t="inlineStr">
        <is>
          <t>No Search Analytics row matched this URL in the 30-day export (compare Final URL with the page URL shown in GSC)</t>
        </is>
      </c>
      <c r="CN85" s="28" t="n">
        <v>-1</v>
      </c>
      <c r="CO85" s="28" t="b">
        <v>1</v>
      </c>
      <c r="CP85" s="28" t="n">
        <v>0.012048</v>
      </c>
      <c r="CQ85" s="28" t="b">
        <v>0</v>
      </c>
      <c r="CR85" s="28" t="b">
        <v>1</v>
      </c>
      <c r="CS85" s="28" t="inlineStr">
        <is>
          <t>Crawl</t>
        </is>
      </c>
      <c r="CT85" s="74" t="inlineStr">
        <is>
          <t>https://africanmarketingconfederation.org/smoke-archive/page-1</t>
        </is>
      </c>
      <c r="CU85" s="28" t="n">
        <v>83</v>
      </c>
      <c r="CV85" s="29">
        <f>IFERROR(INDEX(OFFSET('Technical Diagnostics'!$A$1,2,MATCH("SEO Health Score",'Technical Diagnostics'!$2:$2,0)-1,99998,1),MATCH(B85,OFFSET('Technical Diagnostics'!$A$1,2,MATCH("URL",'Technical Diagnostics'!$2:$2,0)-1,99998,1),0)),"")</f>
        <v/>
      </c>
      <c r="CW85" s="32" t="n">
        <v>100</v>
      </c>
      <c r="CX85" s="29" t="n">
        <v>85</v>
      </c>
      <c r="CY85" s="32" t="b">
        <v>1</v>
      </c>
      <c r="CZ85" s="28" t="b">
        <v>0</v>
      </c>
      <c r="DA85" s="28" t="inlineStr"/>
      <c r="DB85" s="28" t="inlineStr"/>
      <c r="DC85" s="28" t="inlineStr"/>
      <c r="DD85" s="28" t="n">
        <v>0</v>
      </c>
      <c r="DE85" s="28" t="n">
        <v>0</v>
      </c>
      <c r="DF85" s="28" t="inlineStr"/>
      <c r="DG85" s="28" t="inlineStr"/>
      <c r="DH85" s="28" t="inlineStr"/>
      <c r="DI85" s="28" t="n">
        <v>6</v>
      </c>
      <c r="DJ85" s="28" t="inlineStr">
        <is>
          <t>Author 83</t>
        </is>
      </c>
      <c r="DK85" s="28" t="inlineStr"/>
      <c r="DL85" s="28" t="b">
        <v>1</v>
      </c>
      <c r="DM85" s="28" t="inlineStr"/>
      <c r="DN85" s="28" t="inlineStr">
        <is>
          <t>2026-06-01</t>
        </is>
      </c>
      <c r="DO85" s="28" t="inlineStr"/>
      <c r="DP85" s="28" t="inlineStr">
        <is>
          <t>2026-06-01</t>
        </is>
      </c>
      <c r="DQ85" s="28" t="inlineStr"/>
      <c r="DR85" s="28" t="b">
        <v>0</v>
      </c>
      <c r="DS85" s="28" t="b">
        <v>1</v>
      </c>
      <c r="DT85" s="28" t="b">
        <v>1</v>
      </c>
      <c r="DU85" s="28" t="b">
        <v>0</v>
      </c>
      <c r="DV85" s="28" t="n">
        <v>0</v>
      </c>
      <c r="DW85" s="28" t="b">
        <v>0</v>
      </c>
      <c r="DX85" s="28" t="b">
        <v>0</v>
      </c>
      <c r="DY85" s="28" t="b">
        <v>0</v>
      </c>
      <c r="DZ85" s="28" t="b">
        <v>0</v>
      </c>
      <c r="EA85" s="32" t="b">
        <v>0</v>
      </c>
      <c r="EB85" s="28" t="b">
        <v>0</v>
      </c>
      <c r="EC85" s="28" t="inlineStr"/>
      <c r="ED85" s="28" t="inlineStr"/>
      <c r="EE85" s="28" t="b">
        <v>0</v>
      </c>
      <c r="EF85" s="28" t="inlineStr"/>
      <c r="EG85" s="28" t="inlineStr"/>
      <c r="EH85" s="28" t="inlineStr"/>
      <c r="EI85" s="28" t="inlineStr"/>
      <c r="EJ85" s="28" t="inlineStr"/>
      <c r="EK85" s="28" t="inlineStr">
        <is>
          <t>Fresh</t>
        </is>
      </c>
      <c r="EL85" s="28" t="inlineStr">
        <is>
          <t>Smoke title 83</t>
        </is>
      </c>
      <c r="EM85" s="28" t="inlineStr">
        <is>
          <t>Smoke meta description for page 83.</t>
        </is>
      </c>
      <c r="EN85" s="28" t="inlineStr">
        <is>
          <t>article</t>
        </is>
      </c>
      <c r="EO85" s="74" t="inlineStr"/>
      <c r="EP85" s="74" t="inlineStr"/>
      <c r="EQ85" s="28" t="inlineStr"/>
      <c r="ER85" s="28" t="inlineStr"/>
      <c r="ES85" s="28" t="inlineStr"/>
      <c r="ET85" s="28" t="inlineStr"/>
      <c r="EU85" s="75" t="b">
        <v>0</v>
      </c>
      <c r="EV85" s="28" t="inlineStr">
        <is>
          <t>summary_large_image</t>
        </is>
      </c>
      <c r="EW85" s="28" t="inlineStr"/>
      <c r="EX85" s="28" t="inlineStr"/>
      <c r="EY85" s="28" t="inlineStr"/>
      <c r="EZ85" s="28" t="n">
        <v>0</v>
      </c>
      <c r="FA85" s="40" t="b">
        <v>0</v>
      </c>
      <c r="FB85" s="74" t="inlineStr">
        <is>
          <t>https://africanmarketingconfederation.org/discovered-via-bfs-3</t>
        </is>
      </c>
      <c r="FC85" s="28" t="inlineStr"/>
      <c r="FD85" s="28" t="n">
        <v>0</v>
      </c>
      <c r="FE85" s="20" t="inlineStr"/>
      <c r="FF85" s="28" t="b">
        <v>0</v>
      </c>
      <c r="FG85" s="28" t="b">
        <v>0</v>
      </c>
      <c r="FH85" s="32" t="b">
        <v>0</v>
      </c>
      <c r="FI85" s="28" t="n">
        <v>0</v>
      </c>
      <c r="FJ85" s="28" t="inlineStr">
        <is>
          <t>https://africanmarketingconfederation.org/discovered-via-bfs-3</t>
        </is>
      </c>
      <c r="FK85" s="28" t="inlineStr"/>
      <c r="FL85" s="32" t="b">
        <v>0</v>
      </c>
      <c r="FM85" s="28" t="b">
        <v>0</v>
      </c>
      <c r="FN85" s="32" t="b">
        <v>0</v>
      </c>
      <c r="FO85" s="28" t="inlineStr"/>
      <c r="FP85" s="28" t="inlineStr"/>
      <c r="FQ85" s="28" t="inlineStr"/>
      <c r="FR85" s="28" t="inlineStr"/>
      <c r="FS85" s="28" t="inlineStr"/>
      <c r="FT85" s="28" t="inlineStr"/>
      <c r="FU85" s="28" t="inlineStr">
        <is>
          <t>Not specified</t>
        </is>
      </c>
      <c r="FV85" s="28" t="inlineStr">
        <is>
          <t>Not specified</t>
        </is>
      </c>
      <c r="FW85" s="28" t="inlineStr">
        <is>
          <t>Not specified</t>
        </is>
      </c>
      <c r="FX85" s="28" t="inlineStr">
        <is>
          <t>Not specified</t>
        </is>
      </c>
      <c r="FY85" s="28" t="inlineStr">
        <is>
          <t>Not specified</t>
        </is>
      </c>
      <c r="FZ85" s="28" t="b">
        <v>0</v>
      </c>
      <c r="GA85" s="28" t="n">
        <v>0</v>
      </c>
      <c r="GB85" s="28" t="inlineStr"/>
      <c r="GC85" s="28" t="inlineStr"/>
      <c r="GD85" s="28" t="b">
        <v>0</v>
      </c>
      <c r="GE85" s="28" t="b">
        <v>0</v>
      </c>
      <c r="GF85" s="28" t="b">
        <v>0</v>
      </c>
      <c r="GG85" s="28" t="b">
        <v>0</v>
      </c>
      <c r="GH85" s="28" t="b">
        <v>0</v>
      </c>
      <c r="GI85" s="28" t="b">
        <v>0</v>
      </c>
      <c r="GJ85" s="28" t="n">
        <v>0</v>
      </c>
      <c r="GK85" s="28" t="n">
        <v>0</v>
      </c>
      <c r="GL85" s="28" t="n">
        <v>0</v>
      </c>
      <c r="GM85" s="74" t="inlineStr"/>
      <c r="GN85" s="74" t="inlineStr"/>
      <c r="GO85" s="32" t="b">
        <v>0</v>
      </c>
      <c r="GP85" s="28" t="inlineStr"/>
      <c r="GQ85" s="74" t="inlineStr"/>
      <c r="GR85" s="28" t="inlineStr">
        <is>
          <t>Not Declared</t>
        </is>
      </c>
      <c r="GS85" s="28" t="b">
        <v>1</v>
      </c>
      <c r="GT85" s="28" t="n">
        <v>26.8</v>
      </c>
      <c r="GU85" s="28" t="inlineStr">
        <is>
          <t>Orphan</t>
        </is>
      </c>
      <c r="GV85" s="28" t="n">
        <v>0</v>
      </c>
      <c r="GW85" s="34" t="n">
        <v>0</v>
      </c>
      <c r="GX85" s="28" t="b">
        <v>0</v>
      </c>
      <c r="GY85" s="28" t="inlineStr">
        <is>
          <t>FAQ</t>
        </is>
      </c>
      <c r="GZ85" s="28" t="n">
        <v>9</v>
      </c>
      <c r="HA85" s="28" t="b">
        <v>0</v>
      </c>
      <c r="HB85" s="28" t="inlineStr">
        <is>
          <t>smoke, body, copy, intent, classification</t>
        </is>
      </c>
      <c r="HC85" s="28" t="b">
        <v>0</v>
      </c>
      <c r="HD85" s="28" t="b">
        <v>0</v>
      </c>
      <c r="HE85" s="28" t="b">
        <v>0</v>
      </c>
      <c r="HF85" s="34" t="n">
        <v>0</v>
      </c>
      <c r="HG85" s="28" t="b">
        <v>0</v>
      </c>
      <c r="HH85" s="28" t="b">
        <v>0</v>
      </c>
      <c r="HI85">
        <f>IFERROR(HYPERLINK("#'Technical Diagnostics'!A"&amp;MATCH(B85,'Technical Diagnostics'!A:A,0),"Open Technical"),HYPERLINK("#'Technical Diagnostics'!A1","Open Technical"))</f>
        <v/>
      </c>
    </row>
  </sheetData>
  <autoFilter ref="A2:HI85"/>
  <mergeCells count="2">
    <mergeCell ref="A1:B1"/>
    <mergeCell ref="C1:H1"/>
  </mergeCells>
  <conditionalFormatting sqref="E3:E85">
    <cfRule type="colorScale" priority="1">
      <colorScale>
        <cfvo type="min"/>
        <cfvo type="percentile" val="50"/>
        <cfvo type="max"/>
        <color rgb="0063BE7B"/>
        <color rgb="00FFEB84"/>
        <color rgb="00F8696B"/>
      </colorScale>
    </cfRule>
    <cfRule type="dataBar" priority="2">
      <dataBar showValue="1">
        <cfvo type="min"/>
        <cfvo type="max"/>
        <color rgb="00638EC6"/>
      </dataBar>
    </cfRule>
  </conditionalFormatting>
  <conditionalFormatting sqref="K3:K85">
    <cfRule type="expression" priority="3" dxfId="0" stopIfTrue="1">
      <formula>LOWER(K2)="yes"</formula>
    </cfRule>
    <cfRule type="expression" priority="4" dxfId="2" stopIfTrue="1">
      <formula>LOWER(K2)="no"</formula>
    </cfRule>
  </conditionalFormatting>
  <conditionalFormatting sqref="A3:HH85">
    <cfRule type="expression" priority="5" dxfId="3" stopIfTrue="0">
      <formula>MOD(ROW(),2)=0</formula>
    </cfRule>
  </conditionalFormatting>
  <conditionalFormatting sqref="I3:I85">
    <cfRule type="colorScale" priority="6">
      <colorScale>
        <cfvo type="num" val="0"/>
        <cfvo type="num" val="50"/>
        <cfvo type="num" val="100"/>
        <color rgb="00F8696B"/>
        <color rgb="00FFEB84"/>
        <color rgb="0063BE7B"/>
      </colorScale>
    </cfRule>
  </conditionalFormatting>
  <conditionalFormatting sqref="AB3:AB85">
    <cfRule type="colorScale" priority="6">
      <colorScale>
        <cfvo type="num" val="0"/>
        <cfvo type="num" val="50"/>
        <cfvo type="num" val="100"/>
        <color rgb="00F8696B"/>
        <color rgb="00FFEB84"/>
        <color rgb="0063BE7B"/>
      </colorScale>
    </cfRule>
  </conditionalFormatting>
  <conditionalFormatting sqref="AA3:AA85">
    <cfRule type="colorScale" priority="6">
      <colorScale>
        <cfvo type="num" val="0"/>
        <cfvo type="num" val="50"/>
        <cfvo type="num" val="100"/>
        <color rgb="00F8696B"/>
        <color rgb="00FFEB84"/>
        <color rgb="0063BE7B"/>
      </colorScale>
    </cfRule>
  </conditionalFormatting>
  <conditionalFormatting sqref="AC3:AC85">
    <cfRule type="colorScale" priority="6">
      <colorScale>
        <cfvo type="num" val="0"/>
        <cfvo type="num" val="50"/>
        <cfvo type="num" val="100"/>
        <color rgb="00F8696B"/>
        <color rgb="00FFEB84"/>
        <color rgb="0063BE7B"/>
      </colorScale>
    </cfRule>
  </conditionalFormatting>
  <conditionalFormatting sqref="AD3:AD85">
    <cfRule type="colorScale" priority="6">
      <colorScale>
        <cfvo type="num" val="0"/>
        <cfvo type="num" val="50"/>
        <cfvo type="num" val="100"/>
        <color rgb="00F8696B"/>
        <color rgb="00FFEB84"/>
        <color rgb="0063BE7B"/>
      </colorScale>
    </cfRule>
  </conditionalFormatting>
  <conditionalFormatting sqref="AE3:AE85">
    <cfRule type="colorScale" priority="6">
      <colorScale>
        <cfvo type="num" val="0"/>
        <cfvo type="num" val="50"/>
        <cfvo type="num" val="100"/>
        <color rgb="00F8696B"/>
        <color rgb="00FFEB84"/>
        <color rgb="0063BE7B"/>
      </colorScale>
    </cfRule>
  </conditionalFormatting>
  <conditionalFormatting sqref="AF3:AF85">
    <cfRule type="colorScale" priority="6">
      <colorScale>
        <cfvo type="num" val="0"/>
        <cfvo type="num" val="50"/>
        <cfvo type="num" val="100"/>
        <color rgb="00F8696B"/>
        <color rgb="00FFEB84"/>
        <color rgb="0063BE7B"/>
      </colorScale>
    </cfRule>
  </conditionalFormatting>
  <conditionalFormatting sqref="AJ3:AJ85">
    <cfRule type="colorScale" priority="13">
      <colorScale>
        <cfvo type="num" val="0"/>
        <cfvo type="num" val="2.5"/>
        <cfvo type="num" val="10"/>
        <color rgb="0063BE7B"/>
        <color rgb="00FFEB84"/>
        <color rgb="00F8696B"/>
      </colorScale>
    </cfRule>
  </conditionalFormatting>
  <conditionalFormatting sqref="C3:C85">
    <cfRule type="cellIs" priority="14" operator="greaterThanOrEqual" dxfId="22">
      <formula>400</formula>
    </cfRule>
    <cfRule type="cellIs" priority="15" operator="equal" dxfId="23">
      <formula>"Timeout"</formula>
    </cfRule>
  </conditionalFormatting>
  <conditionalFormatting sqref="H3:H85">
    <cfRule type="dataBar" priority="16">
      <dataBar>
        <cfvo type="num" val="0"/>
        <cfvo type="num" val="2000"/>
        <color rgb="00638EC6"/>
      </dataBar>
    </cfRule>
  </conditionalFormatting>
  <conditionalFormatting sqref="DI3:DI85">
    <cfRule type="colorScale" priority="17">
      <colorScale>
        <cfvo type="num" val="0"/>
        <cfvo type="num" val="5"/>
        <cfvo type="num" val="10"/>
        <color rgb="00F8696B"/>
        <color rgb="00FFEB84"/>
        <color rgb="0063BE7B"/>
      </colorScale>
    </cfRule>
  </conditionalFormatting>
  <conditionalFormatting sqref="DD3:DD85">
    <cfRule type="cellIs" priority="18" operator="greaterThan" dxfId="9">
      <formula>0</formula>
    </cfRule>
    <cfRule type="cellIs" priority="19" operator="equal" dxfId="11">
      <formula>0</formula>
    </cfRule>
  </conditionalFormatting>
  <conditionalFormatting sqref="CN3:CN85">
    <cfRule type="cellIs" priority="20" operator="equal" dxfId="24">
      <formula>-1</formula>
    </cfRule>
  </conditionalFormatting>
  <conditionalFormatting sqref="BD3:BD85">
    <cfRule type="cellIs" priority="21" operator="greaterThan" dxfId="9">
      <formula>1024</formula>
    </cfRule>
  </conditionalFormatting>
  <conditionalFormatting sqref="J3:J85">
    <cfRule type="cellIs" priority="22" operator="equal" dxfId="25">
      <formula>"Critical"</formula>
    </cfRule>
    <cfRule type="cellIs" priority="23" operator="equal" dxfId="26">
      <formula>"Warning"</formula>
    </cfRule>
    <cfRule type="cellIs" priority="24" operator="equal" dxfId="27">
      <formula>"Observation"</formula>
    </cfRule>
    <cfRule type="cellIs" priority="25" operator="equal" dxfId="28">
      <formula>"Unmeasured"</formula>
    </cfRule>
  </conditionalFormatting>
  <conditionalFormatting sqref="EA3:EA85">
    <cfRule type="cellIs" priority="26" operator="equal" dxfId="9">
      <formula>TRUE</formula>
    </cfRule>
  </conditionalFormatting>
  <conditionalFormatting sqref="EB3:EB85">
    <cfRule type="cellIs" priority="27" operator="equal" dxfId="9">
      <formula>TRUE</formula>
    </cfRule>
  </conditionalFormatting>
  <conditionalFormatting sqref="EE3:EE85">
    <cfRule type="cellIs" priority="28" operator="equal" dxfId="9">
      <formula>TRUE</formula>
    </cfRule>
  </conditionalFormatting>
  <conditionalFormatting sqref="EJ3:EJ85">
    <cfRule type="cellIs" priority="29" operator="greaterThan" dxfId="9">
      <formula>730</formula>
    </cfRule>
    <cfRule type="cellIs" priority="30" operator="greaterThan" dxfId="26">
      <formula>365</formula>
    </cfRule>
  </conditionalFormatting>
  <conditionalFormatting sqref="BR3:BR85">
    <cfRule type="cellIs" priority="31" operator="greaterThan" dxfId="20">
      <formula>160</formula>
    </cfRule>
  </conditionalFormatting>
  <hyperlinks>
    <hyperlink xmlns:r="http://schemas.openxmlformats.org/officeDocument/2006/relationships" ref="A1"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tabColor rgb="002980B9"/>
    <outlinePr summaryBelow="1" summaryRight="1"/>
    <pageSetUpPr fitToPage="1"/>
  </sheetPr>
  <dimension ref="A1:T389"/>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19" customWidth="1" min="2" max="2"/>
    <col width="45" customWidth="1" min="3" max="3"/>
    <col width="14" customWidth="1" min="4" max="4"/>
    <col width="13" customWidth="1" min="5" max="5"/>
    <col width="43" customWidth="1" min="6" max="6"/>
    <col width="16" customWidth="1" min="7" max="7"/>
    <col width="55" customWidth="1" min="8" max="8"/>
    <col width="55" customWidth="1" min="9" max="9"/>
    <col width="55" customWidth="1" min="10" max="10"/>
    <col width="19" customWidth="1" min="11" max="11"/>
    <col width="30" customWidth="1" min="12" max="12"/>
    <col width="15" customWidth="1" min="13" max="13"/>
    <col width="13" customWidth="1" min="14" max="14"/>
    <col width="10" customWidth="1" min="15" max="15"/>
    <col width="12" customWidth="1" min="16" max="16"/>
    <col width="48" customWidth="1" min="17" max="17"/>
    <col width="55" customWidth="1" min="18" max="18"/>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6" t="inlineStr">
        <is>
          <t>WordPress Post ID</t>
        </is>
      </c>
      <c r="C2" s="26" t="inlineStr">
        <is>
          <t>Direct Edit Link</t>
        </is>
      </c>
      <c r="D2" s="26" t="inlineStr">
        <is>
          <t>AIOSEO Panel</t>
        </is>
      </c>
      <c r="E2" s="26" t="inlineStr">
        <is>
          <t>Severity</t>
        </is>
      </c>
      <c r="F2" s="26" t="inlineStr">
        <is>
          <t>Issue</t>
        </is>
      </c>
      <c r="G2" s="27" t="inlineStr">
        <is>
          <t>Priority Score</t>
        </is>
      </c>
      <c r="H2" s="26" t="inlineStr">
        <is>
          <t>Current Value</t>
        </is>
      </c>
      <c r="I2" s="26" t="inlineStr">
        <is>
          <t>Recommended Target</t>
        </is>
      </c>
      <c r="J2" s="26" t="inlineStr">
        <is>
          <t>How to Fix in AIOSEO</t>
        </is>
      </c>
      <c r="K2" s="26" t="inlineStr">
        <is>
          <t>Reference Tab</t>
        </is>
      </c>
      <c r="L2" s="26" t="inlineStr">
        <is>
          <t>Reference Field</t>
        </is>
      </c>
      <c r="M2" s="26" t="inlineStr">
        <is>
          <t>Action Needed</t>
        </is>
      </c>
      <c r="N2" s="26" t="inlineStr">
        <is>
          <t>Owner</t>
        </is>
      </c>
      <c r="O2" s="26" t="inlineStr">
        <is>
          <t>Status</t>
        </is>
      </c>
      <c r="P2" s="27" t="inlineStr">
        <is>
          <t>Est. Hours</t>
        </is>
      </c>
      <c r="Q2" s="26" t="inlineStr">
        <is>
          <t>Stable Issue ID</t>
        </is>
      </c>
      <c r="R2" s="26" t="inlineStr">
        <is>
          <t>Why It Matters</t>
        </is>
      </c>
      <c r="S2" s="26" t="inlineStr">
        <is>
          <t>Open in Main</t>
        </is>
      </c>
      <c r="T2" s="26" t="inlineStr">
        <is>
          <t>Open in Technical</t>
        </is>
      </c>
    </row>
    <row r="3" ht="75" customHeight="1">
      <c r="A3" s="35" t="inlineStr">
        <is>
          <t>https://africanmarketingconfederation.org/smoke-archive/page-13</t>
        </is>
      </c>
      <c r="B3" s="28" t="inlineStr"/>
      <c r="C3" s="28" t="inlineStr"/>
      <c r="D3" s="28" t="inlineStr">
        <is>
          <t>Basic SEO</t>
        </is>
      </c>
      <c r="E3" s="34" t="inlineStr">
        <is>
          <t>Critical</t>
        </is>
      </c>
      <c r="F3" s="28" t="inlineStr">
        <is>
          <t>Page returns non-200 response</t>
        </is>
      </c>
      <c r="G3" s="28" t="n">
        <v>105</v>
      </c>
      <c r="H3" s="28" t="n">
        <v>404</v>
      </c>
      <c r="I3" s="28" t="inlineStr">
        <is>
          <t>200</t>
        </is>
      </c>
      <c r="J3" s="28" t="inlineStr">
        <is>
          <t>Update URL target, restore page, or set correct redirect. In AIOSEO, review canonical/robots only after the page returns 200. (Taxonomy/Archive page: navigate via AIOSEO → Search Appearance → Taxonomies.)</t>
        </is>
      </c>
      <c r="K3" s="28" t="inlineStr">
        <is>
          <t>Technical</t>
        </is>
      </c>
      <c r="L3" s="28" t="inlineStr">
        <is>
          <t>Status Code</t>
        </is>
      </c>
      <c r="M3" s="28" t="inlineStr">
        <is>
          <t>Yes</t>
        </is>
      </c>
      <c r="N3" s="28" t="inlineStr">
        <is>
          <t>Dev</t>
        </is>
      </c>
      <c r="O3" s="36" t="inlineStr">
        <is>
          <t>Open</t>
        </is>
      </c>
      <c r="P3" s="28" t="n">
        <v>10</v>
      </c>
      <c r="Q3" s="28" t="inlineStr">
        <is>
          <t>https://africanmarketingconfederation.org/smoke-archive/page-13::aioseo_page_returns_non-200_response</t>
        </is>
      </c>
      <c r="R3" s="28" t="inlineStr">
        <is>
          <t>Pages that error cannot perform in search and fail core page-level SEO checks.</t>
        </is>
      </c>
      <c r="S3">
        <f>IFERROR(HYPERLINK("#'Main'!B"&amp;MATCH(TRIM(A3),'Main'!B:B,0),"Open"),HYPERLINK("#'Main'!B1","Open"))</f>
        <v/>
      </c>
      <c r="T3">
        <f>IFERROR(HYPERLINK("#'Technical Diagnostics'!A"&amp;MATCH(A3,'Technical Diagnostics'!A:A,0),"Open"),HYPERLINK("#'Technical Diagnostics'!A1","Open"))</f>
        <v/>
      </c>
    </row>
    <row r="4" ht="75" customHeight="1">
      <c r="A4" s="37" t="inlineStr">
        <is>
          <t>https://africanmarketingconfederation.org/smoke-archive/page-26</t>
        </is>
      </c>
      <c r="B4" s="30" t="inlineStr"/>
      <c r="C4" s="30" t="inlineStr"/>
      <c r="D4" s="30" t="inlineStr">
        <is>
          <t>Basic SEO</t>
        </is>
      </c>
      <c r="E4" s="34" t="inlineStr">
        <is>
          <t>Critical</t>
        </is>
      </c>
      <c r="F4" s="30" t="inlineStr">
        <is>
          <t>Page returns non-200 response</t>
        </is>
      </c>
      <c r="G4" s="30" t="n">
        <v>105</v>
      </c>
      <c r="H4" s="30" t="n">
        <v>404</v>
      </c>
      <c r="I4" s="30" t="inlineStr">
        <is>
          <t>200</t>
        </is>
      </c>
      <c r="J4" s="30" t="inlineStr">
        <is>
          <t>Update URL target, restore page, or set correct redirect. In AIOSEO, review canonical/robots only after the page returns 200. (Taxonomy/Archive page: navigate via AIOSEO → Search Appearance → Taxonomies.)</t>
        </is>
      </c>
      <c r="K4" s="30" t="inlineStr">
        <is>
          <t>Technical</t>
        </is>
      </c>
      <c r="L4" s="30" t="inlineStr">
        <is>
          <t>Status Code</t>
        </is>
      </c>
      <c r="M4" s="30" t="inlineStr">
        <is>
          <t>Yes</t>
        </is>
      </c>
      <c r="N4" s="30" t="inlineStr">
        <is>
          <t>Dev</t>
        </is>
      </c>
      <c r="O4" s="36" t="inlineStr">
        <is>
          <t>Open</t>
        </is>
      </c>
      <c r="P4" s="30" t="n">
        <v>10</v>
      </c>
      <c r="Q4" s="30" t="inlineStr">
        <is>
          <t>https://africanmarketingconfederation.org/smoke-archive/page-26::aioseo_page_returns_non-200_response</t>
        </is>
      </c>
      <c r="R4" s="30" t="inlineStr">
        <is>
          <t>Pages that error cannot perform in search and fail core page-level SEO checks.</t>
        </is>
      </c>
      <c r="S4" s="38">
        <f>IFERROR(HYPERLINK("#'Main'!B"&amp;MATCH(TRIM(A4),'Main'!B:B,0),"Open"),HYPERLINK("#'Main'!B1","Open"))</f>
        <v/>
      </c>
      <c r="T4" s="38">
        <f>IFERROR(HYPERLINK("#'Technical Diagnostics'!A"&amp;MATCH(A4,'Technical Diagnostics'!A:A,0),"Open"),HYPERLINK("#'Technical Diagnostics'!A1","Open"))</f>
        <v/>
      </c>
    </row>
    <row r="5" ht="75" customHeight="1">
      <c r="A5" s="35" t="inlineStr">
        <is>
          <t>https://africanmarketingconfederation.org/smoke-archive/page-39</t>
        </is>
      </c>
      <c r="B5" s="28" t="inlineStr"/>
      <c r="C5" s="28" t="inlineStr"/>
      <c r="D5" s="28" t="inlineStr">
        <is>
          <t>Basic SEO</t>
        </is>
      </c>
      <c r="E5" s="34" t="inlineStr">
        <is>
          <t>Critical</t>
        </is>
      </c>
      <c r="F5" s="28" t="inlineStr">
        <is>
          <t>Page returns non-200 response</t>
        </is>
      </c>
      <c r="G5" s="28" t="n">
        <v>105</v>
      </c>
      <c r="H5" s="28" t="n">
        <v>404</v>
      </c>
      <c r="I5" s="28" t="inlineStr">
        <is>
          <t>200</t>
        </is>
      </c>
      <c r="J5" s="28" t="inlineStr">
        <is>
          <t>Update URL target, restore page, or set correct redirect. In AIOSEO, review canonical/robots only after the page returns 200. (Taxonomy/Archive page: navigate via AIOSEO → Search Appearance → Taxonomies.)</t>
        </is>
      </c>
      <c r="K5" s="28" t="inlineStr">
        <is>
          <t>Technical</t>
        </is>
      </c>
      <c r="L5" s="28" t="inlineStr">
        <is>
          <t>Status Code</t>
        </is>
      </c>
      <c r="M5" s="28" t="inlineStr">
        <is>
          <t>Yes</t>
        </is>
      </c>
      <c r="N5" s="28" t="inlineStr">
        <is>
          <t>Dev</t>
        </is>
      </c>
      <c r="O5" s="36" t="inlineStr">
        <is>
          <t>Open</t>
        </is>
      </c>
      <c r="P5" s="28" t="n">
        <v>10</v>
      </c>
      <c r="Q5" s="28" t="inlineStr">
        <is>
          <t>https://africanmarketingconfederation.org/smoke-archive/page-39::aioseo_page_returns_non-200_response</t>
        </is>
      </c>
      <c r="R5" s="28" t="inlineStr">
        <is>
          <t>Pages that error cannot perform in search and fail core page-level SEO checks.</t>
        </is>
      </c>
      <c r="S5">
        <f>IFERROR(HYPERLINK("#'Main'!B"&amp;MATCH(TRIM(A5),'Main'!B:B,0),"Open"),HYPERLINK("#'Main'!B1","Open"))</f>
        <v/>
      </c>
      <c r="T5">
        <f>IFERROR(HYPERLINK("#'Technical Diagnostics'!A"&amp;MATCH(A5,'Technical Diagnostics'!A:A,0),"Open"),HYPERLINK("#'Technical Diagnostics'!A1","Open"))</f>
        <v/>
      </c>
    </row>
    <row r="6" ht="75" customHeight="1">
      <c r="A6" s="37" t="inlineStr">
        <is>
          <t>https://africanmarketingconfederation.org/smoke-archive/page-52</t>
        </is>
      </c>
      <c r="B6" s="30" t="inlineStr"/>
      <c r="C6" s="30" t="inlineStr"/>
      <c r="D6" s="30" t="inlineStr">
        <is>
          <t>Basic SEO</t>
        </is>
      </c>
      <c r="E6" s="34" t="inlineStr">
        <is>
          <t>Critical</t>
        </is>
      </c>
      <c r="F6" s="30" t="inlineStr">
        <is>
          <t>Page returns non-200 response</t>
        </is>
      </c>
      <c r="G6" s="30" t="n">
        <v>105</v>
      </c>
      <c r="H6" s="30" t="n">
        <v>404</v>
      </c>
      <c r="I6" s="30" t="inlineStr">
        <is>
          <t>200</t>
        </is>
      </c>
      <c r="J6" s="30" t="inlineStr">
        <is>
          <t>Update URL target, restore page, or set correct redirect. In AIOSEO, review canonical/robots only after the page returns 200. (Taxonomy/Archive page: navigate via AIOSEO → Search Appearance → Taxonomies.)</t>
        </is>
      </c>
      <c r="K6" s="30" t="inlineStr">
        <is>
          <t>Technical</t>
        </is>
      </c>
      <c r="L6" s="30" t="inlineStr">
        <is>
          <t>Status Code</t>
        </is>
      </c>
      <c r="M6" s="30" t="inlineStr">
        <is>
          <t>Yes</t>
        </is>
      </c>
      <c r="N6" s="30" t="inlineStr">
        <is>
          <t>Dev</t>
        </is>
      </c>
      <c r="O6" s="36" t="inlineStr">
        <is>
          <t>Open</t>
        </is>
      </c>
      <c r="P6" s="30" t="n">
        <v>10</v>
      </c>
      <c r="Q6" s="30" t="inlineStr">
        <is>
          <t>https://africanmarketingconfederation.org/smoke-archive/page-52::aioseo_page_returns_non-200_response</t>
        </is>
      </c>
      <c r="R6" s="30" t="inlineStr">
        <is>
          <t>Pages that error cannot perform in search and fail core page-level SEO checks.</t>
        </is>
      </c>
      <c r="S6" s="38">
        <f>IFERROR(HYPERLINK("#'Main'!B"&amp;MATCH(TRIM(A6),'Main'!B:B,0),"Open"),HYPERLINK("#'Main'!B1","Open"))</f>
        <v/>
      </c>
      <c r="T6" s="38">
        <f>IFERROR(HYPERLINK("#'Technical Diagnostics'!A"&amp;MATCH(A6,'Technical Diagnostics'!A:A,0),"Open"),HYPERLINK("#'Technical Diagnostics'!A1","Open"))</f>
        <v/>
      </c>
    </row>
    <row r="7" ht="75" customHeight="1">
      <c r="A7" s="35" t="inlineStr">
        <is>
          <t>https://africanmarketingconfederation.org/smoke-archive/page-65</t>
        </is>
      </c>
      <c r="B7" s="28" t="inlineStr"/>
      <c r="C7" s="28" t="inlineStr"/>
      <c r="D7" s="28" t="inlineStr">
        <is>
          <t>Basic SEO</t>
        </is>
      </c>
      <c r="E7" s="34" t="inlineStr">
        <is>
          <t>Critical</t>
        </is>
      </c>
      <c r="F7" s="28" t="inlineStr">
        <is>
          <t>Page returns non-200 response</t>
        </is>
      </c>
      <c r="G7" s="28" t="n">
        <v>105</v>
      </c>
      <c r="H7" s="28" t="n">
        <v>404</v>
      </c>
      <c r="I7" s="28" t="inlineStr">
        <is>
          <t>200</t>
        </is>
      </c>
      <c r="J7" s="28" t="inlineStr">
        <is>
          <t>Update URL target, restore page, or set correct redirect. In AIOSEO, review canonical/robots only after the page returns 200. (Taxonomy/Archive page: navigate via AIOSEO → Search Appearance → Taxonomies.)</t>
        </is>
      </c>
      <c r="K7" s="28" t="inlineStr">
        <is>
          <t>Technical</t>
        </is>
      </c>
      <c r="L7" s="28" t="inlineStr">
        <is>
          <t>Status Code</t>
        </is>
      </c>
      <c r="M7" s="28" t="inlineStr">
        <is>
          <t>Yes</t>
        </is>
      </c>
      <c r="N7" s="28" t="inlineStr">
        <is>
          <t>Dev</t>
        </is>
      </c>
      <c r="O7" s="36" t="inlineStr">
        <is>
          <t>Open</t>
        </is>
      </c>
      <c r="P7" s="28" t="n">
        <v>10</v>
      </c>
      <c r="Q7" s="28" t="inlineStr">
        <is>
          <t>https://africanmarketingconfederation.org/smoke-archive/page-65::aioseo_page_returns_non-200_response</t>
        </is>
      </c>
      <c r="R7" s="28" t="inlineStr">
        <is>
          <t>Pages that error cannot perform in search and fail core page-level SEO checks.</t>
        </is>
      </c>
      <c r="S7">
        <f>IFERROR(HYPERLINK("#'Main'!B"&amp;MATCH(TRIM(A7),'Main'!B:B,0),"Open"),HYPERLINK("#'Main'!B1","Open"))</f>
        <v/>
      </c>
      <c r="T7">
        <f>IFERROR(HYPERLINK("#'Technical Diagnostics'!A"&amp;MATCH(A7,'Technical Diagnostics'!A:A,0),"Open"),HYPERLINK("#'Technical Diagnostics'!A1","Open"))</f>
        <v/>
      </c>
    </row>
    <row r="8" ht="75" customHeight="1">
      <c r="A8" s="37" t="inlineStr">
        <is>
          <t>https://africanmarketingconfederation.org/smoke-archive/page-78</t>
        </is>
      </c>
      <c r="B8" s="30" t="inlineStr"/>
      <c r="C8" s="30" t="inlineStr"/>
      <c r="D8" s="30" t="inlineStr">
        <is>
          <t>Basic SEO</t>
        </is>
      </c>
      <c r="E8" s="34" t="inlineStr">
        <is>
          <t>Critical</t>
        </is>
      </c>
      <c r="F8" s="30" t="inlineStr">
        <is>
          <t>Page returns non-200 response</t>
        </is>
      </c>
      <c r="G8" s="30" t="n">
        <v>105</v>
      </c>
      <c r="H8" s="30" t="n">
        <v>404</v>
      </c>
      <c r="I8" s="30" t="inlineStr">
        <is>
          <t>200</t>
        </is>
      </c>
      <c r="J8" s="30" t="inlineStr">
        <is>
          <t>Update URL target, restore page, or set correct redirect. In AIOSEO, review canonical/robots only after the page returns 200. (Taxonomy/Archive page: navigate via AIOSEO → Search Appearance → Taxonomies.)</t>
        </is>
      </c>
      <c r="K8" s="30" t="inlineStr">
        <is>
          <t>Technical</t>
        </is>
      </c>
      <c r="L8" s="30" t="inlineStr">
        <is>
          <t>Status Code</t>
        </is>
      </c>
      <c r="M8" s="30" t="inlineStr">
        <is>
          <t>Yes</t>
        </is>
      </c>
      <c r="N8" s="30" t="inlineStr">
        <is>
          <t>Dev</t>
        </is>
      </c>
      <c r="O8" s="36" t="inlineStr">
        <is>
          <t>Open</t>
        </is>
      </c>
      <c r="P8" s="30" t="n">
        <v>10</v>
      </c>
      <c r="Q8" s="30" t="inlineStr">
        <is>
          <t>https://africanmarketingconfederation.org/smoke-archive/page-78::aioseo_page_returns_non-200_response</t>
        </is>
      </c>
      <c r="R8" s="30" t="inlineStr">
        <is>
          <t>Pages that error cannot perform in search and fail core page-level SEO checks.</t>
        </is>
      </c>
      <c r="S8" s="38">
        <f>IFERROR(HYPERLINK("#'Main'!B"&amp;MATCH(TRIM(A8),'Main'!B:B,0),"Open"),HYPERLINK("#'Main'!B1","Open"))</f>
        <v/>
      </c>
      <c r="T8" s="38">
        <f>IFERROR(HYPERLINK("#'Technical Diagnostics'!A"&amp;MATCH(A8,'Technical Diagnostics'!A:A,0),"Open"),HYPERLINK("#'Technical Diagnostics'!A1","Open"))</f>
        <v/>
      </c>
    </row>
    <row r="9" ht="60" customHeight="1">
      <c r="A9" s="35" t="inlineStr">
        <is>
          <t>https://africanmarketingconfederation.org/smoke-archive/page-10</t>
        </is>
      </c>
      <c r="B9" s="28" t="inlineStr"/>
      <c r="C9" s="28" t="inlineStr"/>
      <c r="D9" s="28" t="inlineStr">
        <is>
          <t>Basic SEO</t>
        </is>
      </c>
      <c r="E9" s="29" t="inlineStr">
        <is>
          <t>Warning</t>
        </is>
      </c>
      <c r="F9" s="28" t="inlineStr">
        <is>
          <t>Missing meta description</t>
        </is>
      </c>
      <c r="G9" s="28" t="n">
        <v>67</v>
      </c>
      <c r="H9" s="28" t="inlineStr">
        <is>
          <t>Missing</t>
        </is>
      </c>
      <c r="I9" s="28" t="inlineStr">
        <is>
          <t>120-160 characters</t>
        </is>
      </c>
      <c r="J9" s="28" t="inlineStr">
        <is>
          <t>In AIOSEO snippet settings, add a concise, unique meta description aligned to page intent. (Taxonomy/Archive page: navigate via AIOSEO → Search Appearance → Taxonomies.)</t>
        </is>
      </c>
      <c r="K9" s="39" t="inlineStr">
        <is>
          <t>Main</t>
        </is>
      </c>
      <c r="L9" s="28" t="inlineStr">
        <is>
          <t>Meta Description</t>
        </is>
      </c>
      <c r="M9" s="28" t="inlineStr">
        <is>
          <t>Yes</t>
        </is>
      </c>
      <c r="N9" s="28" t="inlineStr">
        <is>
          <t>Copy Writer</t>
        </is>
      </c>
      <c r="O9" s="36" t="inlineStr">
        <is>
          <t>Open</t>
        </is>
      </c>
      <c r="P9" s="28" t="n">
        <v>4</v>
      </c>
      <c r="Q9" s="28" t="inlineStr">
        <is>
          <t>https://africanmarketingconfederation.org/smoke-archive/page-10::aioseo_missing_meta_description</t>
        </is>
      </c>
      <c r="R9" s="28" t="inlineStr">
        <is>
          <t>Missing descriptions reduce control over search snippet messaging.</t>
        </is>
      </c>
      <c r="S9">
        <f>IFERROR(HYPERLINK("#'Main'!B"&amp;MATCH(TRIM(A9),'Main'!B:B,0),"Open"),HYPERLINK("#'Main'!B1","Open"))</f>
        <v/>
      </c>
      <c r="T9">
        <f>IFERROR(HYPERLINK("#'Technical Diagnostics'!A"&amp;MATCH(A9,'Technical Diagnostics'!A:A,0),"Open"),HYPERLINK("#'Technical Diagnostics'!A1","Open"))</f>
        <v/>
      </c>
    </row>
    <row r="10" ht="60" customHeight="1">
      <c r="A10" s="37" t="inlineStr">
        <is>
          <t>https://africanmarketingconfederation.org/smoke-archive/page-15</t>
        </is>
      </c>
      <c r="B10" s="30" t="inlineStr"/>
      <c r="C10" s="30" t="inlineStr"/>
      <c r="D10" s="30" t="inlineStr">
        <is>
          <t>Basic SEO</t>
        </is>
      </c>
      <c r="E10" s="29" t="inlineStr">
        <is>
          <t>Warning</t>
        </is>
      </c>
      <c r="F10" s="30" t="inlineStr">
        <is>
          <t>Missing meta description</t>
        </is>
      </c>
      <c r="G10" s="30" t="n">
        <v>67</v>
      </c>
      <c r="H10" s="30" t="inlineStr">
        <is>
          <t>Missing</t>
        </is>
      </c>
      <c r="I10" s="30" t="inlineStr">
        <is>
          <t>120-160 characters</t>
        </is>
      </c>
      <c r="J10" s="30" t="inlineStr">
        <is>
          <t>In AIOSEO snippet settings, add a concise, unique meta description aligned to page intent. (Taxonomy/Archive page: navigate via AIOSEO → Search Appearance → Taxonomies.)</t>
        </is>
      </c>
      <c r="K10" s="41" t="inlineStr">
        <is>
          <t>Main</t>
        </is>
      </c>
      <c r="L10" s="30" t="inlineStr">
        <is>
          <t>Meta Description</t>
        </is>
      </c>
      <c r="M10" s="30" t="inlineStr">
        <is>
          <t>Yes</t>
        </is>
      </c>
      <c r="N10" s="30" t="inlineStr">
        <is>
          <t>Copy Writer</t>
        </is>
      </c>
      <c r="O10" s="36" t="inlineStr">
        <is>
          <t>Open</t>
        </is>
      </c>
      <c r="P10" s="30" t="n">
        <v>4</v>
      </c>
      <c r="Q10" s="30" t="inlineStr">
        <is>
          <t>https://africanmarketingconfederation.org/smoke-archive/page-15::aioseo_missing_meta_description</t>
        </is>
      </c>
      <c r="R10" s="30" t="inlineStr">
        <is>
          <t>Missing descriptions reduce control over search snippet messaging.</t>
        </is>
      </c>
      <c r="S10" s="38">
        <f>IFERROR(HYPERLINK("#'Main'!B"&amp;MATCH(TRIM(A10),'Main'!B:B,0),"Open"),HYPERLINK("#'Main'!B1","Open"))</f>
        <v/>
      </c>
      <c r="T10" s="38">
        <f>IFERROR(HYPERLINK("#'Technical Diagnostics'!A"&amp;MATCH(A10,'Technical Diagnostics'!A:A,0),"Open"),HYPERLINK("#'Technical Diagnostics'!A1","Open"))</f>
        <v/>
      </c>
    </row>
    <row r="11" ht="60" customHeight="1">
      <c r="A11" s="35" t="inlineStr">
        <is>
          <t>https://africanmarketingconfederation.org/smoke-archive/page-20</t>
        </is>
      </c>
      <c r="B11" s="28" t="inlineStr"/>
      <c r="C11" s="28" t="inlineStr"/>
      <c r="D11" s="28" t="inlineStr">
        <is>
          <t>Basic SEO</t>
        </is>
      </c>
      <c r="E11" s="29" t="inlineStr">
        <is>
          <t>Warning</t>
        </is>
      </c>
      <c r="F11" s="28" t="inlineStr">
        <is>
          <t>Missing meta description</t>
        </is>
      </c>
      <c r="G11" s="28" t="n">
        <v>67</v>
      </c>
      <c r="H11" s="28" t="inlineStr">
        <is>
          <t>Missing</t>
        </is>
      </c>
      <c r="I11" s="28" t="inlineStr">
        <is>
          <t>120-160 characters</t>
        </is>
      </c>
      <c r="J11" s="28" t="inlineStr">
        <is>
          <t>In AIOSEO snippet settings, add a concise, unique meta description aligned to page intent. (Taxonomy/Archive page: navigate via AIOSEO → Search Appearance → Taxonomies.)</t>
        </is>
      </c>
      <c r="K11" s="39" t="inlineStr">
        <is>
          <t>Main</t>
        </is>
      </c>
      <c r="L11" s="28" t="inlineStr">
        <is>
          <t>Meta Description</t>
        </is>
      </c>
      <c r="M11" s="28" t="inlineStr">
        <is>
          <t>Yes</t>
        </is>
      </c>
      <c r="N11" s="28" t="inlineStr">
        <is>
          <t>Copy Writer</t>
        </is>
      </c>
      <c r="O11" s="36" t="inlineStr">
        <is>
          <t>Open</t>
        </is>
      </c>
      <c r="P11" s="28" t="n">
        <v>4</v>
      </c>
      <c r="Q11" s="28" t="inlineStr">
        <is>
          <t>https://africanmarketingconfederation.org/smoke-archive/page-20::aioseo_missing_meta_description</t>
        </is>
      </c>
      <c r="R11" s="28" t="inlineStr">
        <is>
          <t>Missing descriptions reduce control over search snippet messaging.</t>
        </is>
      </c>
      <c r="S11">
        <f>IFERROR(HYPERLINK("#'Main'!B"&amp;MATCH(TRIM(A11),'Main'!B:B,0),"Open"),HYPERLINK("#'Main'!B1","Open"))</f>
        <v/>
      </c>
      <c r="T11">
        <f>IFERROR(HYPERLINK("#'Technical Diagnostics'!A"&amp;MATCH(A11,'Technical Diagnostics'!A:A,0),"Open"),HYPERLINK("#'Technical Diagnostics'!A1","Open"))</f>
        <v/>
      </c>
    </row>
    <row r="12" ht="60" customHeight="1">
      <c r="A12" s="37" t="inlineStr">
        <is>
          <t>https://africanmarketingconfederation.org/smoke-archive/page-25</t>
        </is>
      </c>
      <c r="B12" s="30" t="inlineStr"/>
      <c r="C12" s="30" t="inlineStr"/>
      <c r="D12" s="30" t="inlineStr">
        <is>
          <t>Basic SEO</t>
        </is>
      </c>
      <c r="E12" s="29" t="inlineStr">
        <is>
          <t>Warning</t>
        </is>
      </c>
      <c r="F12" s="30" t="inlineStr">
        <is>
          <t>Missing meta description</t>
        </is>
      </c>
      <c r="G12" s="30" t="n">
        <v>67</v>
      </c>
      <c r="H12" s="30" t="inlineStr">
        <is>
          <t>Missing</t>
        </is>
      </c>
      <c r="I12" s="30" t="inlineStr">
        <is>
          <t>120-160 characters</t>
        </is>
      </c>
      <c r="J12" s="30" t="inlineStr">
        <is>
          <t>In AIOSEO snippet settings, add a concise, unique meta description aligned to page intent. (Taxonomy/Archive page: navigate via AIOSEO → Search Appearance → Taxonomies.)</t>
        </is>
      </c>
      <c r="K12" s="41" t="inlineStr">
        <is>
          <t>Main</t>
        </is>
      </c>
      <c r="L12" s="30" t="inlineStr">
        <is>
          <t>Meta Description</t>
        </is>
      </c>
      <c r="M12" s="30" t="inlineStr">
        <is>
          <t>Yes</t>
        </is>
      </c>
      <c r="N12" s="30" t="inlineStr">
        <is>
          <t>Copy Writer</t>
        </is>
      </c>
      <c r="O12" s="36" t="inlineStr">
        <is>
          <t>Open</t>
        </is>
      </c>
      <c r="P12" s="30" t="n">
        <v>4</v>
      </c>
      <c r="Q12" s="30" t="inlineStr">
        <is>
          <t>https://africanmarketingconfederation.org/smoke-archive/page-25::aioseo_missing_meta_description</t>
        </is>
      </c>
      <c r="R12" s="30" t="inlineStr">
        <is>
          <t>Missing descriptions reduce control over search snippet messaging.</t>
        </is>
      </c>
      <c r="S12" s="38">
        <f>IFERROR(HYPERLINK("#'Main'!B"&amp;MATCH(TRIM(A12),'Main'!B:B,0),"Open"),HYPERLINK("#'Main'!B1","Open"))</f>
        <v/>
      </c>
      <c r="T12" s="38">
        <f>IFERROR(HYPERLINK("#'Technical Diagnostics'!A"&amp;MATCH(A12,'Technical Diagnostics'!A:A,0),"Open"),HYPERLINK("#'Technical Diagnostics'!A1","Open"))</f>
        <v/>
      </c>
    </row>
    <row r="13" ht="60" customHeight="1">
      <c r="A13" s="35" t="inlineStr">
        <is>
          <t>https://africanmarketingconfederation.org/smoke-archive/page-30</t>
        </is>
      </c>
      <c r="B13" s="28" t="inlineStr"/>
      <c r="C13" s="28" t="inlineStr"/>
      <c r="D13" s="28" t="inlineStr">
        <is>
          <t>Basic SEO</t>
        </is>
      </c>
      <c r="E13" s="29" t="inlineStr">
        <is>
          <t>Warning</t>
        </is>
      </c>
      <c r="F13" s="28" t="inlineStr">
        <is>
          <t>Missing meta description</t>
        </is>
      </c>
      <c r="G13" s="28" t="n">
        <v>67</v>
      </c>
      <c r="H13" s="28" t="inlineStr">
        <is>
          <t>Missing</t>
        </is>
      </c>
      <c r="I13" s="28" t="inlineStr">
        <is>
          <t>120-160 characters</t>
        </is>
      </c>
      <c r="J13" s="28" t="inlineStr">
        <is>
          <t>In AIOSEO snippet settings, add a concise, unique meta description aligned to page intent. (Taxonomy/Archive page: navigate via AIOSEO → Search Appearance → Taxonomies.)</t>
        </is>
      </c>
      <c r="K13" s="39" t="inlineStr">
        <is>
          <t>Main</t>
        </is>
      </c>
      <c r="L13" s="28" t="inlineStr">
        <is>
          <t>Meta Description</t>
        </is>
      </c>
      <c r="M13" s="28" t="inlineStr">
        <is>
          <t>Yes</t>
        </is>
      </c>
      <c r="N13" s="28" t="inlineStr">
        <is>
          <t>Copy Writer</t>
        </is>
      </c>
      <c r="O13" s="36" t="inlineStr">
        <is>
          <t>Open</t>
        </is>
      </c>
      <c r="P13" s="28" t="n">
        <v>4</v>
      </c>
      <c r="Q13" s="28" t="inlineStr">
        <is>
          <t>https://africanmarketingconfederation.org/smoke-archive/page-30::aioseo_missing_meta_description</t>
        </is>
      </c>
      <c r="R13" s="28" t="inlineStr">
        <is>
          <t>Missing descriptions reduce control over search snippet messaging.</t>
        </is>
      </c>
      <c r="S13">
        <f>IFERROR(HYPERLINK("#'Main'!B"&amp;MATCH(TRIM(A13),'Main'!B:B,0),"Open"),HYPERLINK("#'Main'!B1","Open"))</f>
        <v/>
      </c>
      <c r="T13">
        <f>IFERROR(HYPERLINK("#'Technical Diagnostics'!A"&amp;MATCH(A13,'Technical Diagnostics'!A:A,0),"Open"),HYPERLINK("#'Technical Diagnostics'!A1","Open"))</f>
        <v/>
      </c>
    </row>
    <row r="14" ht="60" customHeight="1">
      <c r="A14" s="37" t="inlineStr">
        <is>
          <t>https://africanmarketingconfederation.org/smoke-archive/page-35</t>
        </is>
      </c>
      <c r="B14" s="30" t="inlineStr"/>
      <c r="C14" s="30" t="inlineStr"/>
      <c r="D14" s="30" t="inlineStr">
        <is>
          <t>Basic SEO</t>
        </is>
      </c>
      <c r="E14" s="29" t="inlineStr">
        <is>
          <t>Warning</t>
        </is>
      </c>
      <c r="F14" s="30" t="inlineStr">
        <is>
          <t>Missing meta description</t>
        </is>
      </c>
      <c r="G14" s="30" t="n">
        <v>67</v>
      </c>
      <c r="H14" s="30" t="inlineStr">
        <is>
          <t>Missing</t>
        </is>
      </c>
      <c r="I14" s="30" t="inlineStr">
        <is>
          <t>120-160 characters</t>
        </is>
      </c>
      <c r="J14" s="30" t="inlineStr">
        <is>
          <t>In AIOSEO snippet settings, add a concise, unique meta description aligned to page intent. (Taxonomy/Archive page: navigate via AIOSEO → Search Appearance → Taxonomies.)</t>
        </is>
      </c>
      <c r="K14" s="41" t="inlineStr">
        <is>
          <t>Main</t>
        </is>
      </c>
      <c r="L14" s="30" t="inlineStr">
        <is>
          <t>Meta Description</t>
        </is>
      </c>
      <c r="M14" s="30" t="inlineStr">
        <is>
          <t>Yes</t>
        </is>
      </c>
      <c r="N14" s="30" t="inlineStr">
        <is>
          <t>Copy Writer</t>
        </is>
      </c>
      <c r="O14" s="36" t="inlineStr">
        <is>
          <t>Open</t>
        </is>
      </c>
      <c r="P14" s="30" t="n">
        <v>4</v>
      </c>
      <c r="Q14" s="30" t="inlineStr">
        <is>
          <t>https://africanmarketingconfederation.org/smoke-archive/page-35::aioseo_missing_meta_description</t>
        </is>
      </c>
      <c r="R14" s="30" t="inlineStr">
        <is>
          <t>Missing descriptions reduce control over search snippet messaging.</t>
        </is>
      </c>
      <c r="S14" s="38">
        <f>IFERROR(HYPERLINK("#'Main'!B"&amp;MATCH(TRIM(A14),'Main'!B:B,0),"Open"),HYPERLINK("#'Main'!B1","Open"))</f>
        <v/>
      </c>
      <c r="T14" s="38">
        <f>IFERROR(HYPERLINK("#'Technical Diagnostics'!A"&amp;MATCH(A14,'Technical Diagnostics'!A:A,0),"Open"),HYPERLINK("#'Technical Diagnostics'!A1","Open"))</f>
        <v/>
      </c>
    </row>
    <row r="15" ht="60" customHeight="1">
      <c r="A15" s="35" t="inlineStr">
        <is>
          <t>https://africanmarketingconfederation.org/smoke-archive/page-40</t>
        </is>
      </c>
      <c r="B15" s="28" t="inlineStr"/>
      <c r="C15" s="28" t="inlineStr"/>
      <c r="D15" s="28" t="inlineStr">
        <is>
          <t>Basic SEO</t>
        </is>
      </c>
      <c r="E15" s="29" t="inlineStr">
        <is>
          <t>Warning</t>
        </is>
      </c>
      <c r="F15" s="28" t="inlineStr">
        <is>
          <t>Missing meta description</t>
        </is>
      </c>
      <c r="G15" s="28" t="n">
        <v>67</v>
      </c>
      <c r="H15" s="28" t="inlineStr">
        <is>
          <t>Missing</t>
        </is>
      </c>
      <c r="I15" s="28" t="inlineStr">
        <is>
          <t>120-160 characters</t>
        </is>
      </c>
      <c r="J15" s="28" t="inlineStr">
        <is>
          <t>In AIOSEO snippet settings, add a concise, unique meta description aligned to page intent. (Taxonomy/Archive page: navigate via AIOSEO → Search Appearance → Taxonomies.)</t>
        </is>
      </c>
      <c r="K15" s="39" t="inlineStr">
        <is>
          <t>Main</t>
        </is>
      </c>
      <c r="L15" s="28" t="inlineStr">
        <is>
          <t>Meta Description</t>
        </is>
      </c>
      <c r="M15" s="28" t="inlineStr">
        <is>
          <t>Yes</t>
        </is>
      </c>
      <c r="N15" s="28" t="inlineStr">
        <is>
          <t>Copy Writer</t>
        </is>
      </c>
      <c r="O15" s="36" t="inlineStr">
        <is>
          <t>Open</t>
        </is>
      </c>
      <c r="P15" s="28" t="n">
        <v>4</v>
      </c>
      <c r="Q15" s="28" t="inlineStr">
        <is>
          <t>https://africanmarketingconfederation.org/smoke-archive/page-40::aioseo_missing_meta_description</t>
        </is>
      </c>
      <c r="R15" s="28" t="inlineStr">
        <is>
          <t>Missing descriptions reduce control over search snippet messaging.</t>
        </is>
      </c>
      <c r="S15">
        <f>IFERROR(HYPERLINK("#'Main'!B"&amp;MATCH(TRIM(A15),'Main'!B:B,0),"Open"),HYPERLINK("#'Main'!B1","Open"))</f>
        <v/>
      </c>
      <c r="T15">
        <f>IFERROR(HYPERLINK("#'Technical Diagnostics'!A"&amp;MATCH(A15,'Technical Diagnostics'!A:A,0),"Open"),HYPERLINK("#'Technical Diagnostics'!A1","Open"))</f>
        <v/>
      </c>
    </row>
    <row r="16" ht="60" customHeight="1">
      <c r="A16" s="37" t="inlineStr">
        <is>
          <t>https://africanmarketingconfederation.org/smoke-archive/page-45</t>
        </is>
      </c>
      <c r="B16" s="30" t="inlineStr"/>
      <c r="C16" s="30" t="inlineStr"/>
      <c r="D16" s="30" t="inlineStr">
        <is>
          <t>Basic SEO</t>
        </is>
      </c>
      <c r="E16" s="29" t="inlineStr">
        <is>
          <t>Warning</t>
        </is>
      </c>
      <c r="F16" s="30" t="inlineStr">
        <is>
          <t>Missing meta description</t>
        </is>
      </c>
      <c r="G16" s="30" t="n">
        <v>67</v>
      </c>
      <c r="H16" s="30" t="inlineStr">
        <is>
          <t>Missing</t>
        </is>
      </c>
      <c r="I16" s="30" t="inlineStr">
        <is>
          <t>120-160 characters</t>
        </is>
      </c>
      <c r="J16" s="30" t="inlineStr">
        <is>
          <t>In AIOSEO snippet settings, add a concise, unique meta description aligned to page intent. (Taxonomy/Archive page: navigate via AIOSEO → Search Appearance → Taxonomies.)</t>
        </is>
      </c>
      <c r="K16" s="41" t="inlineStr">
        <is>
          <t>Main</t>
        </is>
      </c>
      <c r="L16" s="30" t="inlineStr">
        <is>
          <t>Meta Description</t>
        </is>
      </c>
      <c r="M16" s="30" t="inlineStr">
        <is>
          <t>Yes</t>
        </is>
      </c>
      <c r="N16" s="30" t="inlineStr">
        <is>
          <t>Copy Writer</t>
        </is>
      </c>
      <c r="O16" s="36" t="inlineStr">
        <is>
          <t>Open</t>
        </is>
      </c>
      <c r="P16" s="30" t="n">
        <v>4</v>
      </c>
      <c r="Q16" s="30" t="inlineStr">
        <is>
          <t>https://africanmarketingconfederation.org/smoke-archive/page-45::aioseo_missing_meta_description</t>
        </is>
      </c>
      <c r="R16" s="30" t="inlineStr">
        <is>
          <t>Missing descriptions reduce control over search snippet messaging.</t>
        </is>
      </c>
      <c r="S16" s="38">
        <f>IFERROR(HYPERLINK("#'Main'!B"&amp;MATCH(TRIM(A16),'Main'!B:B,0),"Open"),HYPERLINK("#'Main'!B1","Open"))</f>
        <v/>
      </c>
      <c r="T16" s="38">
        <f>IFERROR(HYPERLINK("#'Technical Diagnostics'!A"&amp;MATCH(A16,'Technical Diagnostics'!A:A,0),"Open"),HYPERLINK("#'Technical Diagnostics'!A1","Open"))</f>
        <v/>
      </c>
    </row>
    <row r="17" ht="60" customHeight="1">
      <c r="A17" s="35" t="inlineStr">
        <is>
          <t>https://africanmarketingconfederation.org/smoke-archive/page-5</t>
        </is>
      </c>
      <c r="B17" s="28" t="inlineStr"/>
      <c r="C17" s="28" t="inlineStr"/>
      <c r="D17" s="28" t="inlineStr">
        <is>
          <t>Basic SEO</t>
        </is>
      </c>
      <c r="E17" s="29" t="inlineStr">
        <is>
          <t>Warning</t>
        </is>
      </c>
      <c r="F17" s="28" t="inlineStr">
        <is>
          <t>Missing meta description</t>
        </is>
      </c>
      <c r="G17" s="28" t="n">
        <v>67</v>
      </c>
      <c r="H17" s="28" t="inlineStr">
        <is>
          <t>Missing</t>
        </is>
      </c>
      <c r="I17" s="28" t="inlineStr">
        <is>
          <t>120-160 characters</t>
        </is>
      </c>
      <c r="J17" s="28" t="inlineStr">
        <is>
          <t>In AIOSEO snippet settings, add a concise, unique meta description aligned to page intent. (Taxonomy/Archive page: navigate via AIOSEO → Search Appearance → Taxonomies.)</t>
        </is>
      </c>
      <c r="K17" s="39" t="inlineStr">
        <is>
          <t>Main</t>
        </is>
      </c>
      <c r="L17" s="28" t="inlineStr">
        <is>
          <t>Meta Description</t>
        </is>
      </c>
      <c r="M17" s="28" t="inlineStr">
        <is>
          <t>Yes</t>
        </is>
      </c>
      <c r="N17" s="28" t="inlineStr">
        <is>
          <t>Copy Writer</t>
        </is>
      </c>
      <c r="O17" s="36" t="inlineStr">
        <is>
          <t>Open</t>
        </is>
      </c>
      <c r="P17" s="28" t="n">
        <v>4</v>
      </c>
      <c r="Q17" s="28" t="inlineStr">
        <is>
          <t>https://africanmarketingconfederation.org/smoke-archive/page-5::aioseo_missing_meta_description</t>
        </is>
      </c>
      <c r="R17" s="28" t="inlineStr">
        <is>
          <t>Missing descriptions reduce control over search snippet messaging.</t>
        </is>
      </c>
      <c r="S17">
        <f>IFERROR(HYPERLINK("#'Main'!B"&amp;MATCH(TRIM(A17),'Main'!B:B,0),"Open"),HYPERLINK("#'Main'!B1","Open"))</f>
        <v/>
      </c>
      <c r="T17">
        <f>IFERROR(HYPERLINK("#'Technical Diagnostics'!A"&amp;MATCH(A17,'Technical Diagnostics'!A:A,0),"Open"),HYPERLINK("#'Technical Diagnostics'!A1","Open"))</f>
        <v/>
      </c>
    </row>
    <row r="18" ht="60" customHeight="1">
      <c r="A18" s="37" t="inlineStr">
        <is>
          <t>https://africanmarketingconfederation.org/smoke-archive/page-50</t>
        </is>
      </c>
      <c r="B18" s="30" t="inlineStr"/>
      <c r="C18" s="30" t="inlineStr"/>
      <c r="D18" s="30" t="inlineStr">
        <is>
          <t>Basic SEO</t>
        </is>
      </c>
      <c r="E18" s="29" t="inlineStr">
        <is>
          <t>Warning</t>
        </is>
      </c>
      <c r="F18" s="30" t="inlineStr">
        <is>
          <t>Missing meta description</t>
        </is>
      </c>
      <c r="G18" s="30" t="n">
        <v>67</v>
      </c>
      <c r="H18" s="30" t="inlineStr">
        <is>
          <t>Missing</t>
        </is>
      </c>
      <c r="I18" s="30" t="inlineStr">
        <is>
          <t>120-160 characters</t>
        </is>
      </c>
      <c r="J18" s="30" t="inlineStr">
        <is>
          <t>In AIOSEO snippet settings, add a concise, unique meta description aligned to page intent. (Taxonomy/Archive page: navigate via AIOSEO → Search Appearance → Taxonomies.)</t>
        </is>
      </c>
      <c r="K18" s="41" t="inlineStr">
        <is>
          <t>Main</t>
        </is>
      </c>
      <c r="L18" s="30" t="inlineStr">
        <is>
          <t>Meta Description</t>
        </is>
      </c>
      <c r="M18" s="30" t="inlineStr">
        <is>
          <t>Yes</t>
        </is>
      </c>
      <c r="N18" s="30" t="inlineStr">
        <is>
          <t>Copy Writer</t>
        </is>
      </c>
      <c r="O18" s="36" t="inlineStr">
        <is>
          <t>Open</t>
        </is>
      </c>
      <c r="P18" s="30" t="n">
        <v>4</v>
      </c>
      <c r="Q18" s="30" t="inlineStr">
        <is>
          <t>https://africanmarketingconfederation.org/smoke-archive/page-50::aioseo_missing_meta_description</t>
        </is>
      </c>
      <c r="R18" s="30" t="inlineStr">
        <is>
          <t>Missing descriptions reduce control over search snippet messaging.</t>
        </is>
      </c>
      <c r="S18" s="38">
        <f>IFERROR(HYPERLINK("#'Main'!B"&amp;MATCH(TRIM(A18),'Main'!B:B,0),"Open"),HYPERLINK("#'Main'!B1","Open"))</f>
        <v/>
      </c>
      <c r="T18" s="38">
        <f>IFERROR(HYPERLINK("#'Technical Diagnostics'!A"&amp;MATCH(A18,'Technical Diagnostics'!A:A,0),"Open"),HYPERLINK("#'Technical Diagnostics'!A1","Open"))</f>
        <v/>
      </c>
    </row>
    <row r="19" ht="60" customHeight="1">
      <c r="A19" s="35" t="inlineStr">
        <is>
          <t>https://africanmarketingconfederation.org/smoke-archive/page-55</t>
        </is>
      </c>
      <c r="B19" s="28" t="inlineStr"/>
      <c r="C19" s="28" t="inlineStr"/>
      <c r="D19" s="28" t="inlineStr">
        <is>
          <t>Basic SEO</t>
        </is>
      </c>
      <c r="E19" s="29" t="inlineStr">
        <is>
          <t>Warning</t>
        </is>
      </c>
      <c r="F19" s="28" t="inlineStr">
        <is>
          <t>Missing meta description</t>
        </is>
      </c>
      <c r="G19" s="28" t="n">
        <v>67</v>
      </c>
      <c r="H19" s="28" t="inlineStr">
        <is>
          <t>Missing</t>
        </is>
      </c>
      <c r="I19" s="28" t="inlineStr">
        <is>
          <t>120-160 characters</t>
        </is>
      </c>
      <c r="J19" s="28" t="inlineStr">
        <is>
          <t>In AIOSEO snippet settings, add a concise, unique meta description aligned to page intent. (Taxonomy/Archive page: navigate via AIOSEO → Search Appearance → Taxonomies.)</t>
        </is>
      </c>
      <c r="K19" s="39" t="inlineStr">
        <is>
          <t>Main</t>
        </is>
      </c>
      <c r="L19" s="28" t="inlineStr">
        <is>
          <t>Meta Description</t>
        </is>
      </c>
      <c r="M19" s="28" t="inlineStr">
        <is>
          <t>Yes</t>
        </is>
      </c>
      <c r="N19" s="28" t="inlineStr">
        <is>
          <t>Copy Writer</t>
        </is>
      </c>
      <c r="O19" s="36" t="inlineStr">
        <is>
          <t>Open</t>
        </is>
      </c>
      <c r="P19" s="28" t="n">
        <v>4</v>
      </c>
      <c r="Q19" s="28" t="inlineStr">
        <is>
          <t>https://africanmarketingconfederation.org/smoke-archive/page-55::aioseo_missing_meta_description</t>
        </is>
      </c>
      <c r="R19" s="28" t="inlineStr">
        <is>
          <t>Missing descriptions reduce control over search snippet messaging.</t>
        </is>
      </c>
      <c r="S19">
        <f>IFERROR(HYPERLINK("#'Main'!B"&amp;MATCH(TRIM(A19),'Main'!B:B,0),"Open"),HYPERLINK("#'Main'!B1","Open"))</f>
        <v/>
      </c>
      <c r="T19">
        <f>IFERROR(HYPERLINK("#'Technical Diagnostics'!A"&amp;MATCH(A19,'Technical Diagnostics'!A:A,0),"Open"),HYPERLINK("#'Technical Diagnostics'!A1","Open"))</f>
        <v/>
      </c>
    </row>
    <row r="20" ht="60" customHeight="1">
      <c r="A20" s="37" t="inlineStr">
        <is>
          <t>https://africanmarketingconfederation.org/smoke-archive/page-60</t>
        </is>
      </c>
      <c r="B20" s="30" t="inlineStr"/>
      <c r="C20" s="30" t="inlineStr"/>
      <c r="D20" s="30" t="inlineStr">
        <is>
          <t>Basic SEO</t>
        </is>
      </c>
      <c r="E20" s="29" t="inlineStr">
        <is>
          <t>Warning</t>
        </is>
      </c>
      <c r="F20" s="30" t="inlineStr">
        <is>
          <t>Missing meta description</t>
        </is>
      </c>
      <c r="G20" s="30" t="n">
        <v>67</v>
      </c>
      <c r="H20" s="30" t="inlineStr">
        <is>
          <t>Missing</t>
        </is>
      </c>
      <c r="I20" s="30" t="inlineStr">
        <is>
          <t>120-160 characters</t>
        </is>
      </c>
      <c r="J20" s="30" t="inlineStr">
        <is>
          <t>In AIOSEO snippet settings, add a concise, unique meta description aligned to page intent. (Taxonomy/Archive page: navigate via AIOSEO → Search Appearance → Taxonomies.)</t>
        </is>
      </c>
      <c r="K20" s="41" t="inlineStr">
        <is>
          <t>Main</t>
        </is>
      </c>
      <c r="L20" s="30" t="inlineStr">
        <is>
          <t>Meta Description</t>
        </is>
      </c>
      <c r="M20" s="30" t="inlineStr">
        <is>
          <t>Yes</t>
        </is>
      </c>
      <c r="N20" s="30" t="inlineStr">
        <is>
          <t>Copy Writer</t>
        </is>
      </c>
      <c r="O20" s="36" t="inlineStr">
        <is>
          <t>Open</t>
        </is>
      </c>
      <c r="P20" s="30" t="n">
        <v>4</v>
      </c>
      <c r="Q20" s="30" t="inlineStr">
        <is>
          <t>https://africanmarketingconfederation.org/smoke-archive/page-60::aioseo_missing_meta_description</t>
        </is>
      </c>
      <c r="R20" s="30" t="inlineStr">
        <is>
          <t>Missing descriptions reduce control over search snippet messaging.</t>
        </is>
      </c>
      <c r="S20" s="38">
        <f>IFERROR(HYPERLINK("#'Main'!B"&amp;MATCH(TRIM(A20),'Main'!B:B,0),"Open"),HYPERLINK("#'Main'!B1","Open"))</f>
        <v/>
      </c>
      <c r="T20" s="38">
        <f>IFERROR(HYPERLINK("#'Technical Diagnostics'!A"&amp;MATCH(A20,'Technical Diagnostics'!A:A,0),"Open"),HYPERLINK("#'Technical Diagnostics'!A1","Open"))</f>
        <v/>
      </c>
    </row>
    <row r="21" ht="60" customHeight="1">
      <c r="A21" s="35" t="inlineStr">
        <is>
          <t>https://africanmarketingconfederation.org/smoke-archive/page-65</t>
        </is>
      </c>
      <c r="B21" s="28" t="inlineStr"/>
      <c r="C21" s="28" t="inlineStr"/>
      <c r="D21" s="28" t="inlineStr">
        <is>
          <t>Basic SEO</t>
        </is>
      </c>
      <c r="E21" s="29" t="inlineStr">
        <is>
          <t>Warning</t>
        </is>
      </c>
      <c r="F21" s="28" t="inlineStr">
        <is>
          <t>Missing meta description</t>
        </is>
      </c>
      <c r="G21" s="28" t="n">
        <v>67</v>
      </c>
      <c r="H21" s="28" t="inlineStr">
        <is>
          <t>Missing</t>
        </is>
      </c>
      <c r="I21" s="28" t="inlineStr">
        <is>
          <t>120-160 characters</t>
        </is>
      </c>
      <c r="J21" s="28" t="inlineStr">
        <is>
          <t>In AIOSEO snippet settings, add a concise, unique meta description aligned to page intent. (Taxonomy/Archive page: navigate via AIOSEO → Search Appearance → Taxonomies.)</t>
        </is>
      </c>
      <c r="K21" s="39" t="inlineStr">
        <is>
          <t>Main</t>
        </is>
      </c>
      <c r="L21" s="28" t="inlineStr">
        <is>
          <t>Meta Description</t>
        </is>
      </c>
      <c r="M21" s="28" t="inlineStr">
        <is>
          <t>Yes</t>
        </is>
      </c>
      <c r="N21" s="28" t="inlineStr">
        <is>
          <t>Copy Writer</t>
        </is>
      </c>
      <c r="O21" s="36" t="inlineStr">
        <is>
          <t>Open</t>
        </is>
      </c>
      <c r="P21" s="28" t="n">
        <v>4</v>
      </c>
      <c r="Q21" s="28" t="inlineStr">
        <is>
          <t>https://africanmarketingconfederation.org/smoke-archive/page-65::aioseo_missing_meta_description</t>
        </is>
      </c>
      <c r="R21" s="28" t="inlineStr">
        <is>
          <t>Missing descriptions reduce control over search snippet messaging.</t>
        </is>
      </c>
      <c r="S21">
        <f>IFERROR(HYPERLINK("#'Main'!B"&amp;MATCH(TRIM(A21),'Main'!B:B,0),"Open"),HYPERLINK("#'Main'!B1","Open"))</f>
        <v/>
      </c>
      <c r="T21">
        <f>IFERROR(HYPERLINK("#'Technical Diagnostics'!A"&amp;MATCH(A21,'Technical Diagnostics'!A:A,0),"Open"),HYPERLINK("#'Technical Diagnostics'!A1","Open"))</f>
        <v/>
      </c>
    </row>
    <row r="22" ht="60" customHeight="1">
      <c r="A22" s="37" t="inlineStr">
        <is>
          <t>https://africanmarketingconfederation.org/smoke-archive/page-70</t>
        </is>
      </c>
      <c r="B22" s="30" t="inlineStr"/>
      <c r="C22" s="30" t="inlineStr"/>
      <c r="D22" s="30" t="inlineStr">
        <is>
          <t>Basic SEO</t>
        </is>
      </c>
      <c r="E22" s="29" t="inlineStr">
        <is>
          <t>Warning</t>
        </is>
      </c>
      <c r="F22" s="30" t="inlineStr">
        <is>
          <t>Missing meta description</t>
        </is>
      </c>
      <c r="G22" s="30" t="n">
        <v>67</v>
      </c>
      <c r="H22" s="30" t="inlineStr">
        <is>
          <t>Missing</t>
        </is>
      </c>
      <c r="I22" s="30" t="inlineStr">
        <is>
          <t>120-160 characters</t>
        </is>
      </c>
      <c r="J22" s="30" t="inlineStr">
        <is>
          <t>In AIOSEO snippet settings, add a concise, unique meta description aligned to page intent. (Taxonomy/Archive page: navigate via AIOSEO → Search Appearance → Taxonomies.)</t>
        </is>
      </c>
      <c r="K22" s="41" t="inlineStr">
        <is>
          <t>Main</t>
        </is>
      </c>
      <c r="L22" s="30" t="inlineStr">
        <is>
          <t>Meta Description</t>
        </is>
      </c>
      <c r="M22" s="30" t="inlineStr">
        <is>
          <t>Yes</t>
        </is>
      </c>
      <c r="N22" s="30" t="inlineStr">
        <is>
          <t>Copy Writer</t>
        </is>
      </c>
      <c r="O22" s="36" t="inlineStr">
        <is>
          <t>Open</t>
        </is>
      </c>
      <c r="P22" s="30" t="n">
        <v>4</v>
      </c>
      <c r="Q22" s="30" t="inlineStr">
        <is>
          <t>https://africanmarketingconfederation.org/smoke-archive/page-70::aioseo_missing_meta_description</t>
        </is>
      </c>
      <c r="R22" s="30" t="inlineStr">
        <is>
          <t>Missing descriptions reduce control over search snippet messaging.</t>
        </is>
      </c>
      <c r="S22" s="38">
        <f>IFERROR(HYPERLINK("#'Main'!B"&amp;MATCH(TRIM(A22),'Main'!B:B,0),"Open"),HYPERLINK("#'Main'!B1","Open"))</f>
        <v/>
      </c>
      <c r="T22" s="38">
        <f>IFERROR(HYPERLINK("#'Technical Diagnostics'!A"&amp;MATCH(A22,'Technical Diagnostics'!A:A,0),"Open"),HYPERLINK("#'Technical Diagnostics'!A1","Open"))</f>
        <v/>
      </c>
    </row>
    <row r="23" ht="60" customHeight="1">
      <c r="A23" s="35" t="inlineStr">
        <is>
          <t>https://africanmarketingconfederation.org/smoke-archive/page-75</t>
        </is>
      </c>
      <c r="B23" s="28" t="inlineStr"/>
      <c r="C23" s="28" t="inlineStr"/>
      <c r="D23" s="28" t="inlineStr">
        <is>
          <t>Basic SEO</t>
        </is>
      </c>
      <c r="E23" s="29" t="inlineStr">
        <is>
          <t>Warning</t>
        </is>
      </c>
      <c r="F23" s="28" t="inlineStr">
        <is>
          <t>Missing meta description</t>
        </is>
      </c>
      <c r="G23" s="28" t="n">
        <v>67</v>
      </c>
      <c r="H23" s="28" t="inlineStr">
        <is>
          <t>Missing</t>
        </is>
      </c>
      <c r="I23" s="28" t="inlineStr">
        <is>
          <t>120-160 characters</t>
        </is>
      </c>
      <c r="J23" s="28" t="inlineStr">
        <is>
          <t>In AIOSEO snippet settings, add a concise, unique meta description aligned to page intent. (Taxonomy/Archive page: navigate via AIOSEO → Search Appearance → Taxonomies.)</t>
        </is>
      </c>
      <c r="K23" s="39" t="inlineStr">
        <is>
          <t>Main</t>
        </is>
      </c>
      <c r="L23" s="28" t="inlineStr">
        <is>
          <t>Meta Description</t>
        </is>
      </c>
      <c r="M23" s="28" t="inlineStr">
        <is>
          <t>Yes</t>
        </is>
      </c>
      <c r="N23" s="28" t="inlineStr">
        <is>
          <t>Copy Writer</t>
        </is>
      </c>
      <c r="O23" s="36" t="inlineStr">
        <is>
          <t>Open</t>
        </is>
      </c>
      <c r="P23" s="28" t="n">
        <v>4</v>
      </c>
      <c r="Q23" s="28" t="inlineStr">
        <is>
          <t>https://africanmarketingconfederation.org/smoke-archive/page-75::aioseo_missing_meta_description</t>
        </is>
      </c>
      <c r="R23" s="28" t="inlineStr">
        <is>
          <t>Missing descriptions reduce control over search snippet messaging.</t>
        </is>
      </c>
      <c r="S23">
        <f>IFERROR(HYPERLINK("#'Main'!B"&amp;MATCH(TRIM(A23),'Main'!B:B,0),"Open"),HYPERLINK("#'Main'!B1","Open"))</f>
        <v/>
      </c>
      <c r="T23">
        <f>IFERROR(HYPERLINK("#'Technical Diagnostics'!A"&amp;MATCH(A23,'Technical Diagnostics'!A:A,0),"Open"),HYPERLINK("#'Technical Diagnostics'!A1","Open"))</f>
        <v/>
      </c>
    </row>
    <row r="24" ht="60" customHeight="1">
      <c r="A24" s="37" t="inlineStr">
        <is>
          <t>https://africanmarketingconfederation.org/discovered-via-bfs-1</t>
        </is>
      </c>
      <c r="B24" s="30" t="inlineStr"/>
      <c r="C24" s="30" t="inlineStr"/>
      <c r="D24" s="30" t="inlineStr">
        <is>
          <t>Content</t>
        </is>
      </c>
      <c r="E24" s="29" t="inlineStr">
        <is>
          <t>Warning</t>
        </is>
      </c>
      <c r="F24" s="30" t="inlineStr">
        <is>
          <t>Low AEO readiness score</t>
        </is>
      </c>
      <c r="G24" s="30" t="n">
        <v>67</v>
      </c>
      <c r="H24" s="30" t="n">
        <v>30</v>
      </c>
      <c r="I24" s="30" t="inlineStr">
        <is>
          <t>&gt;=60</t>
        </is>
      </c>
      <c r="J24" s="30" t="inlineStr">
        <is>
          <t>Add concise answer blocks, question-led subheadings, and clear structured sections. (Taxonomy/Archive page: navigate via AIOSEO → Search Appearance → Taxonomies.)</t>
        </is>
      </c>
      <c r="K24" s="30" t="inlineStr">
        <is>
          <t>AEO</t>
        </is>
      </c>
      <c r="L24" s="30" t="inlineStr">
        <is>
          <t>AEO Readiness Score</t>
        </is>
      </c>
      <c r="M24" s="30" t="inlineStr">
        <is>
          <t>Yes</t>
        </is>
      </c>
      <c r="N24" s="30" t="inlineStr">
        <is>
          <t>Copy Writer</t>
        </is>
      </c>
      <c r="O24" s="36" t="inlineStr">
        <is>
          <t>Open</t>
        </is>
      </c>
      <c r="P24" s="30" t="n">
        <v>4</v>
      </c>
      <c r="Q24" s="30" t="inlineStr">
        <is>
          <t>https://africanmarketingconfederation.org/discovered-via-bfs-1::aioseo_low_aeo_readiness_score</t>
        </is>
      </c>
      <c r="R24" s="30" t="inlineStr">
        <is>
          <t>Weak answer-style structure lowers AI/answer-engine retrieval potential.</t>
        </is>
      </c>
      <c r="S24" s="38">
        <f>IFERROR(HYPERLINK("#'Main'!B"&amp;MATCH(TRIM(A24),'Main'!B:B,0),"Open"),HYPERLINK("#'Main'!B1","Open"))</f>
        <v/>
      </c>
      <c r="T24" s="38">
        <f>IFERROR(HYPERLINK("#'Technical Diagnostics'!A"&amp;MATCH(A24,'Technical Diagnostics'!A:A,0),"Open"),HYPERLINK("#'Technical Diagnostics'!A1","Open"))</f>
        <v/>
      </c>
    </row>
    <row r="25" ht="60" customHeight="1">
      <c r="A25" s="35" t="inlineStr">
        <is>
          <t>https://africanmarketingconfederation.org/smoke-archive/page-18</t>
        </is>
      </c>
      <c r="B25" s="28" t="inlineStr"/>
      <c r="C25" s="28" t="inlineStr"/>
      <c r="D25" s="28" t="inlineStr">
        <is>
          <t>Content</t>
        </is>
      </c>
      <c r="E25" s="29" t="inlineStr">
        <is>
          <t>Warning</t>
        </is>
      </c>
      <c r="F25" s="28" t="inlineStr">
        <is>
          <t>Low AEO readiness score</t>
        </is>
      </c>
      <c r="G25" s="28" t="n">
        <v>67</v>
      </c>
      <c r="H25" s="28" t="n">
        <v>30</v>
      </c>
      <c r="I25" s="28" t="inlineStr">
        <is>
          <t>&gt;=60</t>
        </is>
      </c>
      <c r="J25" s="28" t="inlineStr">
        <is>
          <t>Add concise answer blocks, question-led subheadings, and clear structured sections. (Taxonomy/Archive page: navigate via AIOSEO → Search Appearance → Taxonomies.)</t>
        </is>
      </c>
      <c r="K25" s="28" t="inlineStr">
        <is>
          <t>AEO</t>
        </is>
      </c>
      <c r="L25" s="28" t="inlineStr">
        <is>
          <t>AEO Readiness Score</t>
        </is>
      </c>
      <c r="M25" s="28" t="inlineStr">
        <is>
          <t>Yes</t>
        </is>
      </c>
      <c r="N25" s="28" t="inlineStr">
        <is>
          <t>Copy Writer</t>
        </is>
      </c>
      <c r="O25" s="36" t="inlineStr">
        <is>
          <t>Open</t>
        </is>
      </c>
      <c r="P25" s="28" t="n">
        <v>4</v>
      </c>
      <c r="Q25" s="28" t="inlineStr">
        <is>
          <t>https://africanmarketingconfederation.org/smoke-archive/page-18::aioseo_low_aeo_readiness_score</t>
        </is>
      </c>
      <c r="R25" s="28" t="inlineStr">
        <is>
          <t>Weak answer-style structure lowers AI/answer-engine retrieval potential.</t>
        </is>
      </c>
      <c r="S25">
        <f>IFERROR(HYPERLINK("#'Main'!B"&amp;MATCH(TRIM(A25),'Main'!B:B,0),"Open"),HYPERLINK("#'Main'!B1","Open"))</f>
        <v/>
      </c>
      <c r="T25">
        <f>IFERROR(HYPERLINK("#'Technical Diagnostics'!A"&amp;MATCH(A25,'Technical Diagnostics'!A:A,0),"Open"),HYPERLINK("#'Technical Diagnostics'!A1","Open"))</f>
        <v/>
      </c>
    </row>
    <row r="26" ht="60" customHeight="1">
      <c r="A26" s="37" t="inlineStr">
        <is>
          <t>https://africanmarketingconfederation.org/smoke-archive/page-27</t>
        </is>
      </c>
      <c r="B26" s="30" t="inlineStr"/>
      <c r="C26" s="30" t="inlineStr"/>
      <c r="D26" s="30" t="inlineStr">
        <is>
          <t>Content</t>
        </is>
      </c>
      <c r="E26" s="29" t="inlineStr">
        <is>
          <t>Warning</t>
        </is>
      </c>
      <c r="F26" s="30" t="inlineStr">
        <is>
          <t>Low AEO readiness score</t>
        </is>
      </c>
      <c r="G26" s="30" t="n">
        <v>67</v>
      </c>
      <c r="H26" s="30" t="n">
        <v>30</v>
      </c>
      <c r="I26" s="30" t="inlineStr">
        <is>
          <t>&gt;=60</t>
        </is>
      </c>
      <c r="J26" s="30" t="inlineStr">
        <is>
          <t>Add concise answer blocks, question-led subheadings, and clear structured sections. (Taxonomy/Archive page: navigate via AIOSEO → Search Appearance → Taxonomies.)</t>
        </is>
      </c>
      <c r="K26" s="30" t="inlineStr">
        <is>
          <t>AEO</t>
        </is>
      </c>
      <c r="L26" s="30" t="inlineStr">
        <is>
          <t>AEO Readiness Score</t>
        </is>
      </c>
      <c r="M26" s="30" t="inlineStr">
        <is>
          <t>Yes</t>
        </is>
      </c>
      <c r="N26" s="30" t="inlineStr">
        <is>
          <t>Copy Writer</t>
        </is>
      </c>
      <c r="O26" s="36" t="inlineStr">
        <is>
          <t>Open</t>
        </is>
      </c>
      <c r="P26" s="30" t="n">
        <v>4</v>
      </c>
      <c r="Q26" s="30" t="inlineStr">
        <is>
          <t>https://africanmarketingconfederation.org/smoke-archive/page-27::aioseo_low_aeo_readiness_score</t>
        </is>
      </c>
      <c r="R26" s="30" t="inlineStr">
        <is>
          <t>Weak answer-style structure lowers AI/answer-engine retrieval potential.</t>
        </is>
      </c>
      <c r="S26" s="38">
        <f>IFERROR(HYPERLINK("#'Main'!B"&amp;MATCH(TRIM(A26),'Main'!B:B,0),"Open"),HYPERLINK("#'Main'!B1","Open"))</f>
        <v/>
      </c>
      <c r="T26" s="38">
        <f>IFERROR(HYPERLINK("#'Technical Diagnostics'!A"&amp;MATCH(A26,'Technical Diagnostics'!A:A,0),"Open"),HYPERLINK("#'Technical Diagnostics'!A1","Open"))</f>
        <v/>
      </c>
    </row>
    <row r="27" ht="60" customHeight="1">
      <c r="A27" s="35" t="inlineStr">
        <is>
          <t>https://africanmarketingconfederation.org/smoke-archive/page-36</t>
        </is>
      </c>
      <c r="B27" s="28" t="inlineStr"/>
      <c r="C27" s="28" t="inlineStr"/>
      <c r="D27" s="28" t="inlineStr">
        <is>
          <t>Content</t>
        </is>
      </c>
      <c r="E27" s="29" t="inlineStr">
        <is>
          <t>Warning</t>
        </is>
      </c>
      <c r="F27" s="28" t="inlineStr">
        <is>
          <t>Low AEO readiness score</t>
        </is>
      </c>
      <c r="G27" s="28" t="n">
        <v>67</v>
      </c>
      <c r="H27" s="28" t="n">
        <v>30</v>
      </c>
      <c r="I27" s="28" t="inlineStr">
        <is>
          <t>&gt;=60</t>
        </is>
      </c>
      <c r="J27" s="28" t="inlineStr">
        <is>
          <t>Add concise answer blocks, question-led subheadings, and clear structured sections. (Taxonomy/Archive page: navigate via AIOSEO → Search Appearance → Taxonomies.)</t>
        </is>
      </c>
      <c r="K27" s="28" t="inlineStr">
        <is>
          <t>AEO</t>
        </is>
      </c>
      <c r="L27" s="28" t="inlineStr">
        <is>
          <t>AEO Readiness Score</t>
        </is>
      </c>
      <c r="M27" s="28" t="inlineStr">
        <is>
          <t>Yes</t>
        </is>
      </c>
      <c r="N27" s="28" t="inlineStr">
        <is>
          <t>Copy Writer</t>
        </is>
      </c>
      <c r="O27" s="36" t="inlineStr">
        <is>
          <t>Open</t>
        </is>
      </c>
      <c r="P27" s="28" t="n">
        <v>4</v>
      </c>
      <c r="Q27" s="28" t="inlineStr">
        <is>
          <t>https://africanmarketingconfederation.org/smoke-archive/page-36::aioseo_low_aeo_readiness_score</t>
        </is>
      </c>
      <c r="R27" s="28" t="inlineStr">
        <is>
          <t>Weak answer-style structure lowers AI/answer-engine retrieval potential.</t>
        </is>
      </c>
      <c r="S27">
        <f>IFERROR(HYPERLINK("#'Main'!B"&amp;MATCH(TRIM(A27),'Main'!B:B,0),"Open"),HYPERLINK("#'Main'!B1","Open"))</f>
        <v/>
      </c>
      <c r="T27">
        <f>IFERROR(HYPERLINK("#'Technical Diagnostics'!A"&amp;MATCH(A27,'Technical Diagnostics'!A:A,0),"Open"),HYPERLINK("#'Technical Diagnostics'!A1","Open"))</f>
        <v/>
      </c>
    </row>
    <row r="28" ht="60" customHeight="1">
      <c r="A28" s="37" t="inlineStr">
        <is>
          <t>https://africanmarketingconfederation.org/smoke-archive/page-45</t>
        </is>
      </c>
      <c r="B28" s="30" t="inlineStr"/>
      <c r="C28" s="30" t="inlineStr"/>
      <c r="D28" s="30" t="inlineStr">
        <is>
          <t>Content</t>
        </is>
      </c>
      <c r="E28" s="29" t="inlineStr">
        <is>
          <t>Warning</t>
        </is>
      </c>
      <c r="F28" s="30" t="inlineStr">
        <is>
          <t>Low AEO readiness score</t>
        </is>
      </c>
      <c r="G28" s="30" t="n">
        <v>67</v>
      </c>
      <c r="H28" s="30" t="n">
        <v>30</v>
      </c>
      <c r="I28" s="30" t="inlineStr">
        <is>
          <t>&gt;=60</t>
        </is>
      </c>
      <c r="J28" s="30" t="inlineStr">
        <is>
          <t>Add concise answer blocks, question-led subheadings, and clear structured sections. (Taxonomy/Archive page: navigate via AIOSEO → Search Appearance → Taxonomies.)</t>
        </is>
      </c>
      <c r="K28" s="30" t="inlineStr">
        <is>
          <t>AEO</t>
        </is>
      </c>
      <c r="L28" s="30" t="inlineStr">
        <is>
          <t>AEO Readiness Score</t>
        </is>
      </c>
      <c r="M28" s="30" t="inlineStr">
        <is>
          <t>Yes</t>
        </is>
      </c>
      <c r="N28" s="30" t="inlineStr">
        <is>
          <t>Copy Writer</t>
        </is>
      </c>
      <c r="O28" s="36" t="inlineStr">
        <is>
          <t>Open</t>
        </is>
      </c>
      <c r="P28" s="30" t="n">
        <v>4</v>
      </c>
      <c r="Q28" s="30" t="inlineStr">
        <is>
          <t>https://africanmarketingconfederation.org/smoke-archive/page-45::aioseo_low_aeo_readiness_score</t>
        </is>
      </c>
      <c r="R28" s="30" t="inlineStr">
        <is>
          <t>Weak answer-style structure lowers AI/answer-engine retrieval potential.</t>
        </is>
      </c>
      <c r="S28" s="38">
        <f>IFERROR(HYPERLINK("#'Main'!B"&amp;MATCH(TRIM(A28),'Main'!B:B,0),"Open"),HYPERLINK("#'Main'!B1","Open"))</f>
        <v/>
      </c>
      <c r="T28" s="38">
        <f>IFERROR(HYPERLINK("#'Technical Diagnostics'!A"&amp;MATCH(A28,'Technical Diagnostics'!A:A,0),"Open"),HYPERLINK("#'Technical Diagnostics'!A1","Open"))</f>
        <v/>
      </c>
    </row>
    <row r="29" ht="60" customHeight="1">
      <c r="A29" s="35" t="inlineStr">
        <is>
          <t>https://africanmarketingconfederation.org/smoke-archive/page-54</t>
        </is>
      </c>
      <c r="B29" s="28" t="inlineStr"/>
      <c r="C29" s="28" t="inlineStr"/>
      <c r="D29" s="28" t="inlineStr">
        <is>
          <t>Content</t>
        </is>
      </c>
      <c r="E29" s="29" t="inlineStr">
        <is>
          <t>Warning</t>
        </is>
      </c>
      <c r="F29" s="28" t="inlineStr">
        <is>
          <t>Low AEO readiness score</t>
        </is>
      </c>
      <c r="G29" s="28" t="n">
        <v>67</v>
      </c>
      <c r="H29" s="28" t="n">
        <v>30</v>
      </c>
      <c r="I29" s="28" t="inlineStr">
        <is>
          <t>&gt;=60</t>
        </is>
      </c>
      <c r="J29" s="28" t="inlineStr">
        <is>
          <t>Add concise answer blocks, question-led subheadings, and clear structured sections. (Taxonomy/Archive page: navigate via AIOSEO → Search Appearance → Taxonomies.)</t>
        </is>
      </c>
      <c r="K29" s="28" t="inlineStr">
        <is>
          <t>AEO</t>
        </is>
      </c>
      <c r="L29" s="28" t="inlineStr">
        <is>
          <t>AEO Readiness Score</t>
        </is>
      </c>
      <c r="M29" s="28" t="inlineStr">
        <is>
          <t>Yes</t>
        </is>
      </c>
      <c r="N29" s="28" t="inlineStr">
        <is>
          <t>Copy Writer</t>
        </is>
      </c>
      <c r="O29" s="36" t="inlineStr">
        <is>
          <t>Open</t>
        </is>
      </c>
      <c r="P29" s="28" t="n">
        <v>4</v>
      </c>
      <c r="Q29" s="28" t="inlineStr">
        <is>
          <t>https://africanmarketingconfederation.org/smoke-archive/page-54::aioseo_low_aeo_readiness_score</t>
        </is>
      </c>
      <c r="R29" s="28" t="inlineStr">
        <is>
          <t>Weak answer-style structure lowers AI/answer-engine retrieval potential.</t>
        </is>
      </c>
      <c r="S29">
        <f>IFERROR(HYPERLINK("#'Main'!B"&amp;MATCH(TRIM(A29),'Main'!B:B,0),"Open"),HYPERLINK("#'Main'!B1","Open"))</f>
        <v/>
      </c>
      <c r="T29">
        <f>IFERROR(HYPERLINK("#'Technical Diagnostics'!A"&amp;MATCH(A29,'Technical Diagnostics'!A:A,0),"Open"),HYPERLINK("#'Technical Diagnostics'!A1","Open"))</f>
        <v/>
      </c>
    </row>
    <row r="30" ht="60" customHeight="1">
      <c r="A30" s="37" t="inlineStr">
        <is>
          <t>https://africanmarketingconfederation.org/smoke-archive/page-63</t>
        </is>
      </c>
      <c r="B30" s="30" t="inlineStr"/>
      <c r="C30" s="30" t="inlineStr"/>
      <c r="D30" s="30" t="inlineStr">
        <is>
          <t>Content</t>
        </is>
      </c>
      <c r="E30" s="29" t="inlineStr">
        <is>
          <t>Warning</t>
        </is>
      </c>
      <c r="F30" s="30" t="inlineStr">
        <is>
          <t>Low AEO readiness score</t>
        </is>
      </c>
      <c r="G30" s="30" t="n">
        <v>67</v>
      </c>
      <c r="H30" s="30" t="n">
        <v>30</v>
      </c>
      <c r="I30" s="30" t="inlineStr">
        <is>
          <t>&gt;=60</t>
        </is>
      </c>
      <c r="J30" s="30" t="inlineStr">
        <is>
          <t>Add concise answer blocks, question-led subheadings, and clear structured sections. (Taxonomy/Archive page: navigate via AIOSEO → Search Appearance → Taxonomies.)</t>
        </is>
      </c>
      <c r="K30" s="30" t="inlineStr">
        <is>
          <t>AEO</t>
        </is>
      </c>
      <c r="L30" s="30" t="inlineStr">
        <is>
          <t>AEO Readiness Score</t>
        </is>
      </c>
      <c r="M30" s="30" t="inlineStr">
        <is>
          <t>Yes</t>
        </is>
      </c>
      <c r="N30" s="30" t="inlineStr">
        <is>
          <t>Copy Writer</t>
        </is>
      </c>
      <c r="O30" s="36" t="inlineStr">
        <is>
          <t>Open</t>
        </is>
      </c>
      <c r="P30" s="30" t="n">
        <v>4</v>
      </c>
      <c r="Q30" s="30" t="inlineStr">
        <is>
          <t>https://africanmarketingconfederation.org/smoke-archive/page-63::aioseo_low_aeo_readiness_score</t>
        </is>
      </c>
      <c r="R30" s="30" t="inlineStr">
        <is>
          <t>Weak answer-style structure lowers AI/answer-engine retrieval potential.</t>
        </is>
      </c>
      <c r="S30" s="38">
        <f>IFERROR(HYPERLINK("#'Main'!B"&amp;MATCH(TRIM(A30),'Main'!B:B,0),"Open"),HYPERLINK("#'Main'!B1","Open"))</f>
        <v/>
      </c>
      <c r="T30" s="38">
        <f>IFERROR(HYPERLINK("#'Technical Diagnostics'!A"&amp;MATCH(A30,'Technical Diagnostics'!A:A,0),"Open"),HYPERLINK("#'Technical Diagnostics'!A1","Open"))</f>
        <v/>
      </c>
    </row>
    <row r="31" ht="60" customHeight="1">
      <c r="A31" s="35" t="inlineStr">
        <is>
          <t>https://africanmarketingconfederation.org/smoke-archive/page-72</t>
        </is>
      </c>
      <c r="B31" s="28" t="inlineStr"/>
      <c r="C31" s="28" t="inlineStr"/>
      <c r="D31" s="28" t="inlineStr">
        <is>
          <t>Content</t>
        </is>
      </c>
      <c r="E31" s="29" t="inlineStr">
        <is>
          <t>Warning</t>
        </is>
      </c>
      <c r="F31" s="28" t="inlineStr">
        <is>
          <t>Low AEO readiness score</t>
        </is>
      </c>
      <c r="G31" s="28" t="n">
        <v>67</v>
      </c>
      <c r="H31" s="28" t="n">
        <v>30</v>
      </c>
      <c r="I31" s="28" t="inlineStr">
        <is>
          <t>&gt;=60</t>
        </is>
      </c>
      <c r="J31" s="28" t="inlineStr">
        <is>
          <t>Add concise answer blocks, question-led subheadings, and clear structured sections. (Taxonomy/Archive page: navigate via AIOSEO → Search Appearance → Taxonomies.)</t>
        </is>
      </c>
      <c r="K31" s="28" t="inlineStr">
        <is>
          <t>AEO</t>
        </is>
      </c>
      <c r="L31" s="28" t="inlineStr">
        <is>
          <t>AEO Readiness Score</t>
        </is>
      </c>
      <c r="M31" s="28" t="inlineStr">
        <is>
          <t>Yes</t>
        </is>
      </c>
      <c r="N31" s="28" t="inlineStr">
        <is>
          <t>Copy Writer</t>
        </is>
      </c>
      <c r="O31" s="36" t="inlineStr">
        <is>
          <t>Open</t>
        </is>
      </c>
      <c r="P31" s="28" t="n">
        <v>4</v>
      </c>
      <c r="Q31" s="28" t="inlineStr">
        <is>
          <t>https://africanmarketingconfederation.org/smoke-archive/page-72::aioseo_low_aeo_readiness_score</t>
        </is>
      </c>
      <c r="R31" s="28" t="inlineStr">
        <is>
          <t>Weak answer-style structure lowers AI/answer-engine retrieval potential.</t>
        </is>
      </c>
      <c r="S31">
        <f>IFERROR(HYPERLINK("#'Main'!B"&amp;MATCH(TRIM(A31),'Main'!B:B,0),"Open"),HYPERLINK("#'Main'!B1","Open"))</f>
        <v/>
      </c>
      <c r="T31">
        <f>IFERROR(HYPERLINK("#'Technical Diagnostics'!A"&amp;MATCH(A31,'Technical Diagnostics'!A:A,0),"Open"),HYPERLINK("#'Technical Diagnostics'!A1","Open"))</f>
        <v/>
      </c>
    </row>
    <row r="32" ht="60" customHeight="1">
      <c r="A32" s="37" t="inlineStr">
        <is>
          <t>https://africanmarketingconfederation.org/smoke-archive/page-9</t>
        </is>
      </c>
      <c r="B32" s="30" t="inlineStr"/>
      <c r="C32" s="30" t="inlineStr"/>
      <c r="D32" s="30" t="inlineStr">
        <is>
          <t>Content</t>
        </is>
      </c>
      <c r="E32" s="29" t="inlineStr">
        <is>
          <t>Warning</t>
        </is>
      </c>
      <c r="F32" s="30" t="inlineStr">
        <is>
          <t>Low AEO readiness score</t>
        </is>
      </c>
      <c r="G32" s="30" t="n">
        <v>67</v>
      </c>
      <c r="H32" s="30" t="n">
        <v>30</v>
      </c>
      <c r="I32" s="30" t="inlineStr">
        <is>
          <t>&gt;=60</t>
        </is>
      </c>
      <c r="J32" s="30" t="inlineStr">
        <is>
          <t>Add concise answer blocks, question-led subheadings, and clear structured sections. (Taxonomy/Archive page: navigate via AIOSEO → Search Appearance → Taxonomies.)</t>
        </is>
      </c>
      <c r="K32" s="30" t="inlineStr">
        <is>
          <t>AEO</t>
        </is>
      </c>
      <c r="L32" s="30" t="inlineStr">
        <is>
          <t>AEO Readiness Score</t>
        </is>
      </c>
      <c r="M32" s="30" t="inlineStr">
        <is>
          <t>Yes</t>
        </is>
      </c>
      <c r="N32" s="30" t="inlineStr">
        <is>
          <t>Copy Writer</t>
        </is>
      </c>
      <c r="O32" s="36" t="inlineStr">
        <is>
          <t>Open</t>
        </is>
      </c>
      <c r="P32" s="30" t="n">
        <v>4</v>
      </c>
      <c r="Q32" s="30" t="inlineStr">
        <is>
          <t>https://africanmarketingconfederation.org/smoke-archive/page-9::aioseo_low_aeo_readiness_score</t>
        </is>
      </c>
      <c r="R32" s="30" t="inlineStr">
        <is>
          <t>Weak answer-style structure lowers AI/answer-engine retrieval potential.</t>
        </is>
      </c>
      <c r="S32" s="38">
        <f>IFERROR(HYPERLINK("#'Main'!B"&amp;MATCH(TRIM(A32),'Main'!B:B,0),"Open"),HYPERLINK("#'Main'!B1","Open"))</f>
        <v/>
      </c>
      <c r="T32" s="38">
        <f>IFERROR(HYPERLINK("#'Technical Diagnostics'!A"&amp;MATCH(A32,'Technical Diagnostics'!A:A,0),"Open"),HYPERLINK("#'Technical Diagnostics'!A1","Open"))</f>
        <v/>
      </c>
    </row>
    <row r="33" ht="60" customHeight="1">
      <c r="A33" s="35" t="inlineStr">
        <is>
          <t>https://africanmarketingconfederation.org/smoke-archive/page-12</t>
        </is>
      </c>
      <c r="B33" s="28" t="inlineStr"/>
      <c r="C33" s="28" t="inlineStr"/>
      <c r="D33" s="28" t="inlineStr">
        <is>
          <t>Readability</t>
        </is>
      </c>
      <c r="E33" s="29" t="inlineStr">
        <is>
          <t>Warning</t>
        </is>
      </c>
      <c r="F33" s="28" t="inlineStr">
        <is>
          <t>Low image alt coverage</t>
        </is>
      </c>
      <c r="G33" s="28" t="n">
        <v>67</v>
      </c>
      <c r="H33" s="28" t="n">
        <v>60</v>
      </c>
      <c r="I33" s="28" t="inlineStr">
        <is>
          <t>&gt;=80%</t>
        </is>
      </c>
      <c r="J33" s="28" t="inlineStr">
        <is>
          <t>Add descriptive alt text to meaningful images in the page editor/media fields. (Taxonomy/Archive page: navigate via AIOSEO → Search Appearance → Taxonomies.)</t>
        </is>
      </c>
      <c r="K33" s="28" t="inlineStr">
        <is>
          <t>Media</t>
        </is>
      </c>
      <c r="L33" s="28" t="inlineStr">
        <is>
          <t>Image Alt Coverage (%)</t>
        </is>
      </c>
      <c r="M33" s="28" t="inlineStr">
        <is>
          <t>Yes</t>
        </is>
      </c>
      <c r="N33" s="28" t="inlineStr">
        <is>
          <t>Copy Writer</t>
        </is>
      </c>
      <c r="O33" s="36" t="inlineStr">
        <is>
          <t>Open</t>
        </is>
      </c>
      <c r="P33" s="28" t="n">
        <v>4</v>
      </c>
      <c r="Q33" s="28" t="inlineStr">
        <is>
          <t>https://africanmarketingconfederation.org/smoke-archive/page-12::aioseo_low_image_alt_coverage</t>
        </is>
      </c>
      <c r="R33" s="28" t="inlineStr">
        <is>
          <t>Missing alt text reduces accessibility and weakens image context signals.</t>
        </is>
      </c>
      <c r="S33">
        <f>IFERROR(HYPERLINK("#'Main'!B"&amp;MATCH(TRIM(A33),'Main'!B:B,0),"Open"),HYPERLINK("#'Main'!B1","Open"))</f>
        <v/>
      </c>
      <c r="T33">
        <f>IFERROR(HYPERLINK("#'Technical Diagnostics'!A"&amp;MATCH(A33,'Technical Diagnostics'!A:A,0),"Open"),HYPERLINK("#'Technical Diagnostics'!A1","Open"))</f>
        <v/>
      </c>
    </row>
    <row r="34" ht="60" customHeight="1">
      <c r="A34" s="37" t="inlineStr">
        <is>
          <t>https://africanmarketingconfederation.org/smoke-archive/page-18</t>
        </is>
      </c>
      <c r="B34" s="30" t="inlineStr"/>
      <c r="C34" s="30" t="inlineStr"/>
      <c r="D34" s="30" t="inlineStr">
        <is>
          <t>Readability</t>
        </is>
      </c>
      <c r="E34" s="29" t="inlineStr">
        <is>
          <t>Warning</t>
        </is>
      </c>
      <c r="F34" s="30" t="inlineStr">
        <is>
          <t>Low image alt coverage</t>
        </is>
      </c>
      <c r="G34" s="30" t="n">
        <v>67</v>
      </c>
      <c r="H34" s="30" t="n">
        <v>60</v>
      </c>
      <c r="I34" s="30" t="inlineStr">
        <is>
          <t>&gt;=80%</t>
        </is>
      </c>
      <c r="J34" s="30" t="inlineStr">
        <is>
          <t>Add descriptive alt text to meaningful images in the page editor/media fields. (Taxonomy/Archive page: navigate via AIOSEO → Search Appearance → Taxonomies.)</t>
        </is>
      </c>
      <c r="K34" s="30" t="inlineStr">
        <is>
          <t>Media</t>
        </is>
      </c>
      <c r="L34" s="30" t="inlineStr">
        <is>
          <t>Image Alt Coverage (%)</t>
        </is>
      </c>
      <c r="M34" s="30" t="inlineStr">
        <is>
          <t>Yes</t>
        </is>
      </c>
      <c r="N34" s="30" t="inlineStr">
        <is>
          <t>Copy Writer</t>
        </is>
      </c>
      <c r="O34" s="36" t="inlineStr">
        <is>
          <t>Open</t>
        </is>
      </c>
      <c r="P34" s="30" t="n">
        <v>4</v>
      </c>
      <c r="Q34" s="30" t="inlineStr">
        <is>
          <t>https://africanmarketingconfederation.org/smoke-archive/page-18::aioseo_low_image_alt_coverage</t>
        </is>
      </c>
      <c r="R34" s="30" t="inlineStr">
        <is>
          <t>Missing alt text reduces accessibility and weakens image context signals.</t>
        </is>
      </c>
      <c r="S34" s="38">
        <f>IFERROR(HYPERLINK("#'Main'!B"&amp;MATCH(TRIM(A34),'Main'!B:B,0),"Open"),HYPERLINK("#'Main'!B1","Open"))</f>
        <v/>
      </c>
      <c r="T34" s="38">
        <f>IFERROR(HYPERLINK("#'Technical Diagnostics'!A"&amp;MATCH(A34,'Technical Diagnostics'!A:A,0),"Open"),HYPERLINK("#'Technical Diagnostics'!A1","Open"))</f>
        <v/>
      </c>
    </row>
    <row r="35" ht="60" customHeight="1">
      <c r="A35" s="35" t="inlineStr">
        <is>
          <t>https://africanmarketingconfederation.org/smoke-archive/page-24</t>
        </is>
      </c>
      <c r="B35" s="28" t="inlineStr"/>
      <c r="C35" s="28" t="inlineStr"/>
      <c r="D35" s="28" t="inlineStr">
        <is>
          <t>Readability</t>
        </is>
      </c>
      <c r="E35" s="29" t="inlineStr">
        <is>
          <t>Warning</t>
        </is>
      </c>
      <c r="F35" s="28" t="inlineStr">
        <is>
          <t>Low image alt coverage</t>
        </is>
      </c>
      <c r="G35" s="28" t="n">
        <v>67</v>
      </c>
      <c r="H35" s="28" t="n">
        <v>60</v>
      </c>
      <c r="I35" s="28" t="inlineStr">
        <is>
          <t>&gt;=80%</t>
        </is>
      </c>
      <c r="J35" s="28" t="inlineStr">
        <is>
          <t>Add descriptive alt text to meaningful images in the page editor/media fields. (Taxonomy/Archive page: navigate via AIOSEO → Search Appearance → Taxonomies.)</t>
        </is>
      </c>
      <c r="K35" s="28" t="inlineStr">
        <is>
          <t>Media</t>
        </is>
      </c>
      <c r="L35" s="28" t="inlineStr">
        <is>
          <t>Image Alt Coverage (%)</t>
        </is>
      </c>
      <c r="M35" s="28" t="inlineStr">
        <is>
          <t>Yes</t>
        </is>
      </c>
      <c r="N35" s="28" t="inlineStr">
        <is>
          <t>Copy Writer</t>
        </is>
      </c>
      <c r="O35" s="36" t="inlineStr">
        <is>
          <t>Open</t>
        </is>
      </c>
      <c r="P35" s="28" t="n">
        <v>4</v>
      </c>
      <c r="Q35" s="28" t="inlineStr">
        <is>
          <t>https://africanmarketingconfederation.org/smoke-archive/page-24::aioseo_low_image_alt_coverage</t>
        </is>
      </c>
      <c r="R35" s="28" t="inlineStr">
        <is>
          <t>Missing alt text reduces accessibility and weakens image context signals.</t>
        </is>
      </c>
      <c r="S35">
        <f>IFERROR(HYPERLINK("#'Main'!B"&amp;MATCH(TRIM(A35),'Main'!B:B,0),"Open"),HYPERLINK("#'Main'!B1","Open"))</f>
        <v/>
      </c>
      <c r="T35">
        <f>IFERROR(HYPERLINK("#'Technical Diagnostics'!A"&amp;MATCH(A35,'Technical Diagnostics'!A:A,0),"Open"),HYPERLINK("#'Technical Diagnostics'!A1","Open"))</f>
        <v/>
      </c>
    </row>
    <row r="36" ht="60" customHeight="1">
      <c r="A36" s="37" t="inlineStr">
        <is>
          <t>https://africanmarketingconfederation.org/smoke-archive/page-30</t>
        </is>
      </c>
      <c r="B36" s="30" t="inlineStr"/>
      <c r="C36" s="30" t="inlineStr"/>
      <c r="D36" s="30" t="inlineStr">
        <is>
          <t>Readability</t>
        </is>
      </c>
      <c r="E36" s="29" t="inlineStr">
        <is>
          <t>Warning</t>
        </is>
      </c>
      <c r="F36" s="30" t="inlineStr">
        <is>
          <t>Low image alt coverage</t>
        </is>
      </c>
      <c r="G36" s="30" t="n">
        <v>67</v>
      </c>
      <c r="H36" s="30" t="n">
        <v>60</v>
      </c>
      <c r="I36" s="30" t="inlineStr">
        <is>
          <t>&gt;=80%</t>
        </is>
      </c>
      <c r="J36" s="30" t="inlineStr">
        <is>
          <t>Add descriptive alt text to meaningful images in the page editor/media fields. (Taxonomy/Archive page: navigate via AIOSEO → Search Appearance → Taxonomies.)</t>
        </is>
      </c>
      <c r="K36" s="30" t="inlineStr">
        <is>
          <t>Media</t>
        </is>
      </c>
      <c r="L36" s="30" t="inlineStr">
        <is>
          <t>Image Alt Coverage (%)</t>
        </is>
      </c>
      <c r="M36" s="30" t="inlineStr">
        <is>
          <t>Yes</t>
        </is>
      </c>
      <c r="N36" s="30" t="inlineStr">
        <is>
          <t>Copy Writer</t>
        </is>
      </c>
      <c r="O36" s="36" t="inlineStr">
        <is>
          <t>Open</t>
        </is>
      </c>
      <c r="P36" s="30" t="n">
        <v>4</v>
      </c>
      <c r="Q36" s="30" t="inlineStr">
        <is>
          <t>https://africanmarketingconfederation.org/smoke-archive/page-30::aioseo_low_image_alt_coverage</t>
        </is>
      </c>
      <c r="R36" s="30" t="inlineStr">
        <is>
          <t>Missing alt text reduces accessibility and weakens image context signals.</t>
        </is>
      </c>
      <c r="S36" s="38">
        <f>IFERROR(HYPERLINK("#'Main'!B"&amp;MATCH(TRIM(A36),'Main'!B:B,0),"Open"),HYPERLINK("#'Main'!B1","Open"))</f>
        <v/>
      </c>
      <c r="T36" s="38">
        <f>IFERROR(HYPERLINK("#'Technical Diagnostics'!A"&amp;MATCH(A36,'Technical Diagnostics'!A:A,0),"Open"),HYPERLINK("#'Technical Diagnostics'!A1","Open"))</f>
        <v/>
      </c>
    </row>
    <row r="37" ht="60" customHeight="1">
      <c r="A37" s="35" t="inlineStr">
        <is>
          <t>https://africanmarketingconfederation.org/smoke-archive/page-36</t>
        </is>
      </c>
      <c r="B37" s="28" t="inlineStr"/>
      <c r="C37" s="28" t="inlineStr"/>
      <c r="D37" s="28" t="inlineStr">
        <is>
          <t>Readability</t>
        </is>
      </c>
      <c r="E37" s="29" t="inlineStr">
        <is>
          <t>Warning</t>
        </is>
      </c>
      <c r="F37" s="28" t="inlineStr">
        <is>
          <t>Low image alt coverage</t>
        </is>
      </c>
      <c r="G37" s="28" t="n">
        <v>67</v>
      </c>
      <c r="H37" s="28" t="n">
        <v>60</v>
      </c>
      <c r="I37" s="28" t="inlineStr">
        <is>
          <t>&gt;=80%</t>
        </is>
      </c>
      <c r="J37" s="28" t="inlineStr">
        <is>
          <t>Add descriptive alt text to meaningful images in the page editor/media fields. (Taxonomy/Archive page: navigate via AIOSEO → Search Appearance → Taxonomies.)</t>
        </is>
      </c>
      <c r="K37" s="28" t="inlineStr">
        <is>
          <t>Media</t>
        </is>
      </c>
      <c r="L37" s="28" t="inlineStr">
        <is>
          <t>Image Alt Coverage (%)</t>
        </is>
      </c>
      <c r="M37" s="28" t="inlineStr">
        <is>
          <t>Yes</t>
        </is>
      </c>
      <c r="N37" s="28" t="inlineStr">
        <is>
          <t>Copy Writer</t>
        </is>
      </c>
      <c r="O37" s="36" t="inlineStr">
        <is>
          <t>Open</t>
        </is>
      </c>
      <c r="P37" s="28" t="n">
        <v>4</v>
      </c>
      <c r="Q37" s="28" t="inlineStr">
        <is>
          <t>https://africanmarketingconfederation.org/smoke-archive/page-36::aioseo_low_image_alt_coverage</t>
        </is>
      </c>
      <c r="R37" s="28" t="inlineStr">
        <is>
          <t>Missing alt text reduces accessibility and weakens image context signals.</t>
        </is>
      </c>
      <c r="S37">
        <f>IFERROR(HYPERLINK("#'Main'!B"&amp;MATCH(TRIM(A37),'Main'!B:B,0),"Open"),HYPERLINK("#'Main'!B1","Open"))</f>
        <v/>
      </c>
      <c r="T37">
        <f>IFERROR(HYPERLINK("#'Technical Diagnostics'!A"&amp;MATCH(A37,'Technical Diagnostics'!A:A,0),"Open"),HYPERLINK("#'Technical Diagnostics'!A1","Open"))</f>
        <v/>
      </c>
    </row>
    <row r="38" ht="60" customHeight="1">
      <c r="A38" s="37" t="inlineStr">
        <is>
          <t>https://africanmarketingconfederation.org/smoke-archive/page-42</t>
        </is>
      </c>
      <c r="B38" s="30" t="inlineStr"/>
      <c r="C38" s="30" t="inlineStr"/>
      <c r="D38" s="30" t="inlineStr">
        <is>
          <t>Readability</t>
        </is>
      </c>
      <c r="E38" s="29" t="inlineStr">
        <is>
          <t>Warning</t>
        </is>
      </c>
      <c r="F38" s="30" t="inlineStr">
        <is>
          <t>Low image alt coverage</t>
        </is>
      </c>
      <c r="G38" s="30" t="n">
        <v>67</v>
      </c>
      <c r="H38" s="30" t="n">
        <v>60</v>
      </c>
      <c r="I38" s="30" t="inlineStr">
        <is>
          <t>&gt;=80%</t>
        </is>
      </c>
      <c r="J38" s="30" t="inlineStr">
        <is>
          <t>Add descriptive alt text to meaningful images in the page editor/media fields. (Taxonomy/Archive page: navigate via AIOSEO → Search Appearance → Taxonomies.)</t>
        </is>
      </c>
      <c r="K38" s="30" t="inlineStr">
        <is>
          <t>Media</t>
        </is>
      </c>
      <c r="L38" s="30" t="inlineStr">
        <is>
          <t>Image Alt Coverage (%)</t>
        </is>
      </c>
      <c r="M38" s="30" t="inlineStr">
        <is>
          <t>Yes</t>
        </is>
      </c>
      <c r="N38" s="30" t="inlineStr">
        <is>
          <t>Copy Writer</t>
        </is>
      </c>
      <c r="O38" s="36" t="inlineStr">
        <is>
          <t>Open</t>
        </is>
      </c>
      <c r="P38" s="30" t="n">
        <v>4</v>
      </c>
      <c r="Q38" s="30" t="inlineStr">
        <is>
          <t>https://africanmarketingconfederation.org/smoke-archive/page-42::aioseo_low_image_alt_coverage</t>
        </is>
      </c>
      <c r="R38" s="30" t="inlineStr">
        <is>
          <t>Missing alt text reduces accessibility and weakens image context signals.</t>
        </is>
      </c>
      <c r="S38" s="38">
        <f>IFERROR(HYPERLINK("#'Main'!B"&amp;MATCH(TRIM(A38),'Main'!B:B,0),"Open"),HYPERLINK("#'Main'!B1","Open"))</f>
        <v/>
      </c>
      <c r="T38" s="38">
        <f>IFERROR(HYPERLINK("#'Technical Diagnostics'!A"&amp;MATCH(A38,'Technical Diagnostics'!A:A,0),"Open"),HYPERLINK("#'Technical Diagnostics'!A1","Open"))</f>
        <v/>
      </c>
    </row>
    <row r="39" ht="60" customHeight="1">
      <c r="A39" s="35" t="inlineStr">
        <is>
          <t>https://africanmarketingconfederation.org/smoke-archive/page-48</t>
        </is>
      </c>
      <c r="B39" s="28" t="inlineStr"/>
      <c r="C39" s="28" t="inlineStr"/>
      <c r="D39" s="28" t="inlineStr">
        <is>
          <t>Readability</t>
        </is>
      </c>
      <c r="E39" s="29" t="inlineStr">
        <is>
          <t>Warning</t>
        </is>
      </c>
      <c r="F39" s="28" t="inlineStr">
        <is>
          <t>Low image alt coverage</t>
        </is>
      </c>
      <c r="G39" s="28" t="n">
        <v>67</v>
      </c>
      <c r="H39" s="28" t="n">
        <v>60</v>
      </c>
      <c r="I39" s="28" t="inlineStr">
        <is>
          <t>&gt;=80%</t>
        </is>
      </c>
      <c r="J39" s="28" t="inlineStr">
        <is>
          <t>Add descriptive alt text to meaningful images in the page editor/media fields. (Taxonomy/Archive page: navigate via AIOSEO → Search Appearance → Taxonomies.)</t>
        </is>
      </c>
      <c r="K39" s="28" t="inlineStr">
        <is>
          <t>Media</t>
        </is>
      </c>
      <c r="L39" s="28" t="inlineStr">
        <is>
          <t>Image Alt Coverage (%)</t>
        </is>
      </c>
      <c r="M39" s="28" t="inlineStr">
        <is>
          <t>Yes</t>
        </is>
      </c>
      <c r="N39" s="28" t="inlineStr">
        <is>
          <t>Copy Writer</t>
        </is>
      </c>
      <c r="O39" s="36" t="inlineStr">
        <is>
          <t>Open</t>
        </is>
      </c>
      <c r="P39" s="28" t="n">
        <v>4</v>
      </c>
      <c r="Q39" s="28" t="inlineStr">
        <is>
          <t>https://africanmarketingconfederation.org/smoke-archive/page-48::aioseo_low_image_alt_coverage</t>
        </is>
      </c>
      <c r="R39" s="28" t="inlineStr">
        <is>
          <t>Missing alt text reduces accessibility and weakens image context signals.</t>
        </is>
      </c>
      <c r="S39">
        <f>IFERROR(HYPERLINK("#'Main'!B"&amp;MATCH(TRIM(A39),'Main'!B:B,0),"Open"),HYPERLINK("#'Main'!B1","Open"))</f>
        <v/>
      </c>
      <c r="T39">
        <f>IFERROR(HYPERLINK("#'Technical Diagnostics'!A"&amp;MATCH(A39,'Technical Diagnostics'!A:A,0),"Open"),HYPERLINK("#'Technical Diagnostics'!A1","Open"))</f>
        <v/>
      </c>
    </row>
    <row r="40" ht="60" customHeight="1">
      <c r="A40" s="37" t="inlineStr">
        <is>
          <t>https://africanmarketingconfederation.org/smoke-archive/page-54</t>
        </is>
      </c>
      <c r="B40" s="30" t="inlineStr"/>
      <c r="C40" s="30" t="inlineStr"/>
      <c r="D40" s="30" t="inlineStr">
        <is>
          <t>Readability</t>
        </is>
      </c>
      <c r="E40" s="29" t="inlineStr">
        <is>
          <t>Warning</t>
        </is>
      </c>
      <c r="F40" s="30" t="inlineStr">
        <is>
          <t>Low image alt coverage</t>
        </is>
      </c>
      <c r="G40" s="30" t="n">
        <v>67</v>
      </c>
      <c r="H40" s="30" t="n">
        <v>60</v>
      </c>
      <c r="I40" s="30" t="inlineStr">
        <is>
          <t>&gt;=80%</t>
        </is>
      </c>
      <c r="J40" s="30" t="inlineStr">
        <is>
          <t>Add descriptive alt text to meaningful images in the page editor/media fields. (Taxonomy/Archive page: navigate via AIOSEO → Search Appearance → Taxonomies.)</t>
        </is>
      </c>
      <c r="K40" s="30" t="inlineStr">
        <is>
          <t>Media</t>
        </is>
      </c>
      <c r="L40" s="30" t="inlineStr">
        <is>
          <t>Image Alt Coverage (%)</t>
        </is>
      </c>
      <c r="M40" s="30" t="inlineStr">
        <is>
          <t>Yes</t>
        </is>
      </c>
      <c r="N40" s="30" t="inlineStr">
        <is>
          <t>Copy Writer</t>
        </is>
      </c>
      <c r="O40" s="36" t="inlineStr">
        <is>
          <t>Open</t>
        </is>
      </c>
      <c r="P40" s="30" t="n">
        <v>4</v>
      </c>
      <c r="Q40" s="30" t="inlineStr">
        <is>
          <t>https://africanmarketingconfederation.org/smoke-archive/page-54::aioseo_low_image_alt_coverage</t>
        </is>
      </c>
      <c r="R40" s="30" t="inlineStr">
        <is>
          <t>Missing alt text reduces accessibility and weakens image context signals.</t>
        </is>
      </c>
      <c r="S40" s="38">
        <f>IFERROR(HYPERLINK("#'Main'!B"&amp;MATCH(TRIM(A40),'Main'!B:B,0),"Open"),HYPERLINK("#'Main'!B1","Open"))</f>
        <v/>
      </c>
      <c r="T40" s="38">
        <f>IFERROR(HYPERLINK("#'Technical Diagnostics'!A"&amp;MATCH(A40,'Technical Diagnostics'!A:A,0),"Open"),HYPERLINK("#'Technical Diagnostics'!A1","Open"))</f>
        <v/>
      </c>
    </row>
    <row r="41" ht="60" customHeight="1">
      <c r="A41" s="35" t="inlineStr">
        <is>
          <t>https://africanmarketingconfederation.org/smoke-archive/page-6</t>
        </is>
      </c>
      <c r="B41" s="28" t="inlineStr"/>
      <c r="C41" s="28" t="inlineStr"/>
      <c r="D41" s="28" t="inlineStr">
        <is>
          <t>Readability</t>
        </is>
      </c>
      <c r="E41" s="29" t="inlineStr">
        <is>
          <t>Warning</t>
        </is>
      </c>
      <c r="F41" s="28" t="inlineStr">
        <is>
          <t>Low image alt coverage</t>
        </is>
      </c>
      <c r="G41" s="28" t="n">
        <v>67</v>
      </c>
      <c r="H41" s="28" t="n">
        <v>60</v>
      </c>
      <c r="I41" s="28" t="inlineStr">
        <is>
          <t>&gt;=80%</t>
        </is>
      </c>
      <c r="J41" s="28" t="inlineStr">
        <is>
          <t>Add descriptive alt text to meaningful images in the page editor/media fields. (Taxonomy/Archive page: navigate via AIOSEO → Search Appearance → Taxonomies.)</t>
        </is>
      </c>
      <c r="K41" s="28" t="inlineStr">
        <is>
          <t>Media</t>
        </is>
      </c>
      <c r="L41" s="28" t="inlineStr">
        <is>
          <t>Image Alt Coverage (%)</t>
        </is>
      </c>
      <c r="M41" s="28" t="inlineStr">
        <is>
          <t>Yes</t>
        </is>
      </c>
      <c r="N41" s="28" t="inlineStr">
        <is>
          <t>Copy Writer</t>
        </is>
      </c>
      <c r="O41" s="36" t="inlineStr">
        <is>
          <t>Open</t>
        </is>
      </c>
      <c r="P41" s="28" t="n">
        <v>4</v>
      </c>
      <c r="Q41" s="28" t="inlineStr">
        <is>
          <t>https://africanmarketingconfederation.org/smoke-archive/page-6::aioseo_low_image_alt_coverage</t>
        </is>
      </c>
      <c r="R41" s="28" t="inlineStr">
        <is>
          <t>Missing alt text reduces accessibility and weakens image context signals.</t>
        </is>
      </c>
      <c r="S41">
        <f>IFERROR(HYPERLINK("#'Main'!B"&amp;MATCH(TRIM(A41),'Main'!B:B,0),"Open"),HYPERLINK("#'Main'!B1","Open"))</f>
        <v/>
      </c>
      <c r="T41">
        <f>IFERROR(HYPERLINK("#'Technical Diagnostics'!A"&amp;MATCH(A41,'Technical Diagnostics'!A:A,0),"Open"),HYPERLINK("#'Technical Diagnostics'!A1","Open"))</f>
        <v/>
      </c>
    </row>
    <row r="42" ht="60" customHeight="1">
      <c r="A42" s="37" t="inlineStr">
        <is>
          <t>https://africanmarketingconfederation.org/smoke-archive/page-60</t>
        </is>
      </c>
      <c r="B42" s="30" t="inlineStr"/>
      <c r="C42" s="30" t="inlineStr"/>
      <c r="D42" s="30" t="inlineStr">
        <is>
          <t>Readability</t>
        </is>
      </c>
      <c r="E42" s="29" t="inlineStr">
        <is>
          <t>Warning</t>
        </is>
      </c>
      <c r="F42" s="30" t="inlineStr">
        <is>
          <t>Low image alt coverage</t>
        </is>
      </c>
      <c r="G42" s="30" t="n">
        <v>67</v>
      </c>
      <c r="H42" s="30" t="n">
        <v>60</v>
      </c>
      <c r="I42" s="30" t="inlineStr">
        <is>
          <t>&gt;=80%</t>
        </is>
      </c>
      <c r="J42" s="30" t="inlineStr">
        <is>
          <t>Add descriptive alt text to meaningful images in the page editor/media fields. (Taxonomy/Archive page: navigate via AIOSEO → Search Appearance → Taxonomies.)</t>
        </is>
      </c>
      <c r="K42" s="30" t="inlineStr">
        <is>
          <t>Media</t>
        </is>
      </c>
      <c r="L42" s="30" t="inlineStr">
        <is>
          <t>Image Alt Coverage (%)</t>
        </is>
      </c>
      <c r="M42" s="30" t="inlineStr">
        <is>
          <t>Yes</t>
        </is>
      </c>
      <c r="N42" s="30" t="inlineStr">
        <is>
          <t>Copy Writer</t>
        </is>
      </c>
      <c r="O42" s="36" t="inlineStr">
        <is>
          <t>Open</t>
        </is>
      </c>
      <c r="P42" s="30" t="n">
        <v>4</v>
      </c>
      <c r="Q42" s="30" t="inlineStr">
        <is>
          <t>https://africanmarketingconfederation.org/smoke-archive/page-60::aioseo_low_image_alt_coverage</t>
        </is>
      </c>
      <c r="R42" s="30" t="inlineStr">
        <is>
          <t>Missing alt text reduces accessibility and weakens image context signals.</t>
        </is>
      </c>
      <c r="S42" s="38">
        <f>IFERROR(HYPERLINK("#'Main'!B"&amp;MATCH(TRIM(A42),'Main'!B:B,0),"Open"),HYPERLINK("#'Main'!B1","Open"))</f>
        <v/>
      </c>
      <c r="T42" s="38">
        <f>IFERROR(HYPERLINK("#'Technical Diagnostics'!A"&amp;MATCH(A42,'Technical Diagnostics'!A:A,0),"Open"),HYPERLINK("#'Technical Diagnostics'!A1","Open"))</f>
        <v/>
      </c>
    </row>
    <row r="43" ht="60" customHeight="1">
      <c r="A43" s="35" t="inlineStr">
        <is>
          <t>https://africanmarketingconfederation.org/smoke-archive/page-66</t>
        </is>
      </c>
      <c r="B43" s="28" t="inlineStr"/>
      <c r="C43" s="28" t="inlineStr"/>
      <c r="D43" s="28" t="inlineStr">
        <is>
          <t>Readability</t>
        </is>
      </c>
      <c r="E43" s="29" t="inlineStr">
        <is>
          <t>Warning</t>
        </is>
      </c>
      <c r="F43" s="28" t="inlineStr">
        <is>
          <t>Low image alt coverage</t>
        </is>
      </c>
      <c r="G43" s="28" t="n">
        <v>67</v>
      </c>
      <c r="H43" s="28" t="n">
        <v>60</v>
      </c>
      <c r="I43" s="28" t="inlineStr">
        <is>
          <t>&gt;=80%</t>
        </is>
      </c>
      <c r="J43" s="28" t="inlineStr">
        <is>
          <t>Add descriptive alt text to meaningful images in the page editor/media fields. (Taxonomy/Archive page: navigate via AIOSEO → Search Appearance → Taxonomies.)</t>
        </is>
      </c>
      <c r="K43" s="28" t="inlineStr">
        <is>
          <t>Media</t>
        </is>
      </c>
      <c r="L43" s="28" t="inlineStr">
        <is>
          <t>Image Alt Coverage (%)</t>
        </is>
      </c>
      <c r="M43" s="28" t="inlineStr">
        <is>
          <t>Yes</t>
        </is>
      </c>
      <c r="N43" s="28" t="inlineStr">
        <is>
          <t>Copy Writer</t>
        </is>
      </c>
      <c r="O43" s="36" t="inlineStr">
        <is>
          <t>Open</t>
        </is>
      </c>
      <c r="P43" s="28" t="n">
        <v>4</v>
      </c>
      <c r="Q43" s="28" t="inlineStr">
        <is>
          <t>https://africanmarketingconfederation.org/smoke-archive/page-66::aioseo_low_image_alt_coverage</t>
        </is>
      </c>
      <c r="R43" s="28" t="inlineStr">
        <is>
          <t>Missing alt text reduces accessibility and weakens image context signals.</t>
        </is>
      </c>
      <c r="S43">
        <f>IFERROR(HYPERLINK("#'Main'!B"&amp;MATCH(TRIM(A43),'Main'!B:B,0),"Open"),HYPERLINK("#'Main'!B1","Open"))</f>
        <v/>
      </c>
      <c r="T43">
        <f>IFERROR(HYPERLINK("#'Technical Diagnostics'!A"&amp;MATCH(A43,'Technical Diagnostics'!A:A,0),"Open"),HYPERLINK("#'Technical Diagnostics'!A1","Open"))</f>
        <v/>
      </c>
    </row>
    <row r="44" ht="60" customHeight="1">
      <c r="A44" s="37" t="inlineStr">
        <is>
          <t>https://africanmarketingconfederation.org/smoke-archive/page-72</t>
        </is>
      </c>
      <c r="B44" s="30" t="inlineStr"/>
      <c r="C44" s="30" t="inlineStr"/>
      <c r="D44" s="30" t="inlineStr">
        <is>
          <t>Readability</t>
        </is>
      </c>
      <c r="E44" s="29" t="inlineStr">
        <is>
          <t>Warning</t>
        </is>
      </c>
      <c r="F44" s="30" t="inlineStr">
        <is>
          <t>Low image alt coverage</t>
        </is>
      </c>
      <c r="G44" s="30" t="n">
        <v>67</v>
      </c>
      <c r="H44" s="30" t="n">
        <v>60</v>
      </c>
      <c r="I44" s="30" t="inlineStr">
        <is>
          <t>&gt;=80%</t>
        </is>
      </c>
      <c r="J44" s="30" t="inlineStr">
        <is>
          <t>Add descriptive alt text to meaningful images in the page editor/media fields. (Taxonomy/Archive page: navigate via AIOSEO → Search Appearance → Taxonomies.)</t>
        </is>
      </c>
      <c r="K44" s="30" t="inlineStr">
        <is>
          <t>Media</t>
        </is>
      </c>
      <c r="L44" s="30" t="inlineStr">
        <is>
          <t>Image Alt Coverage (%)</t>
        </is>
      </c>
      <c r="M44" s="30" t="inlineStr">
        <is>
          <t>Yes</t>
        </is>
      </c>
      <c r="N44" s="30" t="inlineStr">
        <is>
          <t>Copy Writer</t>
        </is>
      </c>
      <c r="O44" s="36" t="inlineStr">
        <is>
          <t>Open</t>
        </is>
      </c>
      <c r="P44" s="30" t="n">
        <v>4</v>
      </c>
      <c r="Q44" s="30" t="inlineStr">
        <is>
          <t>https://africanmarketingconfederation.org/smoke-archive/page-72::aioseo_low_image_alt_coverage</t>
        </is>
      </c>
      <c r="R44" s="30" t="inlineStr">
        <is>
          <t>Missing alt text reduces accessibility and weakens image context signals.</t>
        </is>
      </c>
      <c r="S44" s="38">
        <f>IFERROR(HYPERLINK("#'Main'!B"&amp;MATCH(TRIM(A44),'Main'!B:B,0),"Open"),HYPERLINK("#'Main'!B1","Open"))</f>
        <v/>
      </c>
      <c r="T44" s="38">
        <f>IFERROR(HYPERLINK("#'Technical Diagnostics'!A"&amp;MATCH(A44,'Technical Diagnostics'!A:A,0),"Open"),HYPERLINK("#'Technical Diagnostics'!A1","Open"))</f>
        <v/>
      </c>
    </row>
    <row r="45" ht="60" customHeight="1">
      <c r="A45" s="35" t="inlineStr">
        <is>
          <t>https://africanmarketingconfederation.org/smoke-archive/page-78</t>
        </is>
      </c>
      <c r="B45" s="28" t="inlineStr"/>
      <c r="C45" s="28" t="inlineStr"/>
      <c r="D45" s="28" t="inlineStr">
        <is>
          <t>Readability</t>
        </is>
      </c>
      <c r="E45" s="29" t="inlineStr">
        <is>
          <t>Warning</t>
        </is>
      </c>
      <c r="F45" s="28" t="inlineStr">
        <is>
          <t>Low image alt coverage</t>
        </is>
      </c>
      <c r="G45" s="28" t="n">
        <v>67</v>
      </c>
      <c r="H45" s="28" t="n">
        <v>60</v>
      </c>
      <c r="I45" s="28" t="inlineStr">
        <is>
          <t>&gt;=80%</t>
        </is>
      </c>
      <c r="J45" s="28" t="inlineStr">
        <is>
          <t>Add descriptive alt text to meaningful images in the page editor/media fields. (Taxonomy/Archive page: navigate via AIOSEO → Search Appearance → Taxonomies.)</t>
        </is>
      </c>
      <c r="K45" s="28" t="inlineStr">
        <is>
          <t>Media</t>
        </is>
      </c>
      <c r="L45" s="28" t="inlineStr">
        <is>
          <t>Image Alt Coverage (%)</t>
        </is>
      </c>
      <c r="M45" s="28" t="inlineStr">
        <is>
          <t>Yes</t>
        </is>
      </c>
      <c r="N45" s="28" t="inlineStr">
        <is>
          <t>Copy Writer</t>
        </is>
      </c>
      <c r="O45" s="36" t="inlineStr">
        <is>
          <t>Open</t>
        </is>
      </c>
      <c r="P45" s="28" t="n">
        <v>4</v>
      </c>
      <c r="Q45" s="28" t="inlineStr">
        <is>
          <t>https://africanmarketingconfederation.org/smoke-archive/page-78::aioseo_low_image_alt_coverage</t>
        </is>
      </c>
      <c r="R45" s="28" t="inlineStr">
        <is>
          <t>Missing alt text reduces accessibility and weakens image context signals.</t>
        </is>
      </c>
      <c r="S45">
        <f>IFERROR(HYPERLINK("#'Main'!B"&amp;MATCH(TRIM(A45),'Main'!B:B,0),"Open"),HYPERLINK("#'Main'!B1","Open"))</f>
        <v/>
      </c>
      <c r="T45">
        <f>IFERROR(HYPERLINK("#'Technical Diagnostics'!A"&amp;MATCH(A45,'Technical Diagnostics'!A:A,0),"Open"),HYPERLINK("#'Technical Diagnostics'!A1","Open"))</f>
        <v/>
      </c>
    </row>
    <row r="46" ht="45" customHeight="1">
      <c r="A46" s="37" t="inlineStr">
        <is>
          <t>https://africanmarketingconfederation.org/</t>
        </is>
      </c>
      <c r="B46" s="30" t="inlineStr"/>
      <c r="C46" s="30" t="inlineStr"/>
      <c r="D46" s="30" t="inlineStr">
        <is>
          <t>Schema</t>
        </is>
      </c>
      <c r="E46" s="29" t="inlineStr">
        <is>
          <t>Warning</t>
        </is>
      </c>
      <c r="F46" s="30" t="inlineStr">
        <is>
          <t>No schema markup detected</t>
        </is>
      </c>
      <c r="G46" s="30" t="n">
        <v>67</v>
      </c>
      <c r="H46" s="30" t="n">
        <v>0</v>
      </c>
      <c r="I46" s="30" t="inlineStr">
        <is>
          <t>At least one relevant schema type</t>
        </is>
      </c>
      <c r="J46" s="30" t="inlineStr">
        <is>
          <t>In AIOSEO schema settings for the page, add the most relevant type (Article/FAQ/HowTo/Product, etc.).</t>
        </is>
      </c>
      <c r="K46" s="30" t="inlineStr">
        <is>
          <t>Schema &amp; Metadata</t>
        </is>
      </c>
      <c r="L46" s="30" t="inlineStr">
        <is>
          <t>Schema Types Count</t>
        </is>
      </c>
      <c r="M46" s="30" t="inlineStr">
        <is>
          <t>Yes</t>
        </is>
      </c>
      <c r="N46" s="30" t="inlineStr">
        <is>
          <t>Copy Writer</t>
        </is>
      </c>
      <c r="O46" s="36" t="inlineStr">
        <is>
          <t>Open</t>
        </is>
      </c>
      <c r="P46" s="30" t="n">
        <v>4</v>
      </c>
      <c r="Q46" s="30" t="inlineStr">
        <is>
          <t>https://africanmarketingconfederation.org/::aioseo_no_schema_markup_detected</t>
        </is>
      </c>
      <c r="R46" s="30" t="inlineStr">
        <is>
          <t>Schema improves understanding and rich result eligibility.</t>
        </is>
      </c>
      <c r="S46" s="38">
        <f>IFERROR(HYPERLINK("#'Main'!B"&amp;MATCH(TRIM(A46),'Main'!B:B,0),"Open"),HYPERLINK("#'Main'!B1","Open"))</f>
        <v/>
      </c>
      <c r="T46" s="38">
        <f>IFERROR(HYPERLINK("#'Technical Diagnostics'!A"&amp;MATCH(A46,'Technical Diagnostics'!A:A,0),"Open"),HYPERLINK("#'Technical Diagnostics'!A1","Open"))</f>
        <v/>
      </c>
    </row>
    <row r="47" ht="60" customHeight="1">
      <c r="A47" s="35" t="inlineStr">
        <is>
          <t>https://africanmarketingconfederation.org/discovered-via-bfs-1</t>
        </is>
      </c>
      <c r="B47" s="28" t="inlineStr"/>
      <c r="C47" s="28" t="inlineStr"/>
      <c r="D47" s="28" t="inlineStr">
        <is>
          <t>Schema</t>
        </is>
      </c>
      <c r="E47" s="29" t="inlineStr">
        <is>
          <t>Warning</t>
        </is>
      </c>
      <c r="F47" s="28" t="inlineStr">
        <is>
          <t>No schema markup detected</t>
        </is>
      </c>
      <c r="G47" s="28" t="n">
        <v>67</v>
      </c>
      <c r="H47" s="28" t="n">
        <v>0</v>
      </c>
      <c r="I47" s="28" t="inlineStr">
        <is>
          <t>At least one relevant schema type</t>
        </is>
      </c>
      <c r="J47" s="28" t="inlineStr">
        <is>
          <t>In AIOSEO schema settings for the page, add the most relevant type (Article/FAQ/HowTo/Product, etc.). (Taxonomy/Archive page: navigate via AIOSEO → Search Appearance → Taxonomies.)</t>
        </is>
      </c>
      <c r="K47" s="28" t="inlineStr">
        <is>
          <t>Schema &amp; Metadata</t>
        </is>
      </c>
      <c r="L47" s="28" t="inlineStr">
        <is>
          <t>Schema Types Count</t>
        </is>
      </c>
      <c r="M47" s="28" t="inlineStr">
        <is>
          <t>Yes</t>
        </is>
      </c>
      <c r="N47" s="28" t="inlineStr">
        <is>
          <t>Copy Writer</t>
        </is>
      </c>
      <c r="O47" s="36" t="inlineStr">
        <is>
          <t>Open</t>
        </is>
      </c>
      <c r="P47" s="28" t="n">
        <v>4</v>
      </c>
      <c r="Q47" s="28" t="inlineStr">
        <is>
          <t>https://africanmarketingconfederation.org/discovered-via-bfs-1::aioseo_no_schema_markup_detected</t>
        </is>
      </c>
      <c r="R47" s="28" t="inlineStr">
        <is>
          <t>Schema improves understanding and rich result eligibility.</t>
        </is>
      </c>
      <c r="S47">
        <f>IFERROR(HYPERLINK("#'Main'!B"&amp;MATCH(TRIM(A47),'Main'!B:B,0),"Open"),HYPERLINK("#'Main'!B1","Open"))</f>
        <v/>
      </c>
      <c r="T47">
        <f>IFERROR(HYPERLINK("#'Technical Diagnostics'!A"&amp;MATCH(A47,'Technical Diagnostics'!A:A,0),"Open"),HYPERLINK("#'Technical Diagnostics'!A1","Open"))</f>
        <v/>
      </c>
    </row>
    <row r="48" ht="60" customHeight="1">
      <c r="A48" s="37" t="inlineStr">
        <is>
          <t>https://africanmarketingconfederation.org/discovered-via-bfs-2</t>
        </is>
      </c>
      <c r="B48" s="30" t="inlineStr"/>
      <c r="C48" s="30" t="inlineStr"/>
      <c r="D48" s="30" t="inlineStr">
        <is>
          <t>Schema</t>
        </is>
      </c>
      <c r="E48" s="29" t="inlineStr">
        <is>
          <t>Warning</t>
        </is>
      </c>
      <c r="F48" s="30" t="inlineStr">
        <is>
          <t>No schema markup detected</t>
        </is>
      </c>
      <c r="G48" s="30" t="n">
        <v>67</v>
      </c>
      <c r="H48" s="30" t="n">
        <v>0</v>
      </c>
      <c r="I48" s="30" t="inlineStr">
        <is>
          <t>At least one relevant schema type</t>
        </is>
      </c>
      <c r="J48" s="30" t="inlineStr">
        <is>
          <t>In AIOSEO schema settings for the page, add the most relevant type (Article/FAQ/HowTo/Product, etc.). (Taxonomy/Archive page: navigate via AIOSEO → Search Appearance → Taxonomies.)</t>
        </is>
      </c>
      <c r="K48" s="30" t="inlineStr">
        <is>
          <t>Schema &amp; Metadata</t>
        </is>
      </c>
      <c r="L48" s="30" t="inlineStr">
        <is>
          <t>Schema Types Count</t>
        </is>
      </c>
      <c r="M48" s="30" t="inlineStr">
        <is>
          <t>Yes</t>
        </is>
      </c>
      <c r="N48" s="30" t="inlineStr">
        <is>
          <t>Copy Writer</t>
        </is>
      </c>
      <c r="O48" s="36" t="inlineStr">
        <is>
          <t>Open</t>
        </is>
      </c>
      <c r="P48" s="30" t="n">
        <v>4</v>
      </c>
      <c r="Q48" s="30" t="inlineStr">
        <is>
          <t>https://africanmarketingconfederation.org/discovered-via-bfs-2::aioseo_no_schema_markup_detected</t>
        </is>
      </c>
      <c r="R48" s="30" t="inlineStr">
        <is>
          <t>Schema improves understanding and rich result eligibility.</t>
        </is>
      </c>
      <c r="S48" s="38">
        <f>IFERROR(HYPERLINK("#'Main'!B"&amp;MATCH(TRIM(A48),'Main'!B:B,0),"Open"),HYPERLINK("#'Main'!B1","Open"))</f>
        <v/>
      </c>
      <c r="T48" s="38">
        <f>IFERROR(HYPERLINK("#'Technical Diagnostics'!A"&amp;MATCH(A48,'Technical Diagnostics'!A:A,0),"Open"),HYPERLINK("#'Technical Diagnostics'!A1","Open"))</f>
        <v/>
      </c>
    </row>
    <row r="49" ht="60" customHeight="1">
      <c r="A49" s="35" t="inlineStr">
        <is>
          <t>https://africanmarketingconfederation.org/discovered-via-bfs-3</t>
        </is>
      </c>
      <c r="B49" s="28" t="inlineStr"/>
      <c r="C49" s="28" t="inlineStr"/>
      <c r="D49" s="28" t="inlineStr">
        <is>
          <t>Schema</t>
        </is>
      </c>
      <c r="E49" s="29" t="inlineStr">
        <is>
          <t>Warning</t>
        </is>
      </c>
      <c r="F49" s="28" t="inlineStr">
        <is>
          <t>No schema markup detected</t>
        </is>
      </c>
      <c r="G49" s="28" t="n">
        <v>67</v>
      </c>
      <c r="H49" s="28" t="n">
        <v>0</v>
      </c>
      <c r="I49" s="28" t="inlineStr">
        <is>
          <t>At least one relevant schema type</t>
        </is>
      </c>
      <c r="J49" s="28" t="inlineStr">
        <is>
          <t>In AIOSEO schema settings for the page, add the most relevant type (Article/FAQ/HowTo/Product, etc.). (Taxonomy/Archive page: navigate via AIOSEO → Search Appearance → Taxonomies.)</t>
        </is>
      </c>
      <c r="K49" s="28" t="inlineStr">
        <is>
          <t>Schema &amp; Metadata</t>
        </is>
      </c>
      <c r="L49" s="28" t="inlineStr">
        <is>
          <t>Schema Types Count</t>
        </is>
      </c>
      <c r="M49" s="28" t="inlineStr">
        <is>
          <t>Yes</t>
        </is>
      </c>
      <c r="N49" s="28" t="inlineStr">
        <is>
          <t>Copy Writer</t>
        </is>
      </c>
      <c r="O49" s="36" t="inlineStr">
        <is>
          <t>Open</t>
        </is>
      </c>
      <c r="P49" s="28" t="n">
        <v>4</v>
      </c>
      <c r="Q49" s="28" t="inlineStr">
        <is>
          <t>https://africanmarketingconfederation.org/discovered-via-bfs-3::aioseo_no_schema_markup_detected</t>
        </is>
      </c>
      <c r="R49" s="28" t="inlineStr">
        <is>
          <t>Schema improves understanding and rich result eligibility.</t>
        </is>
      </c>
      <c r="S49">
        <f>IFERROR(HYPERLINK("#'Main'!B"&amp;MATCH(TRIM(A49),'Main'!B:B,0),"Open"),HYPERLINK("#'Main'!B1","Open"))</f>
        <v/>
      </c>
      <c r="T49">
        <f>IFERROR(HYPERLINK("#'Technical Diagnostics'!A"&amp;MATCH(A49,'Technical Diagnostics'!A:A,0),"Open"),HYPERLINK("#'Technical Diagnostics'!A1","Open"))</f>
        <v/>
      </c>
    </row>
    <row r="50" ht="60" customHeight="1">
      <c r="A50" s="37" t="inlineStr">
        <is>
          <t>https://africanmarketingconfederation.org/smoke-archive/page-1</t>
        </is>
      </c>
      <c r="B50" s="30" t="inlineStr"/>
      <c r="C50" s="30" t="inlineStr"/>
      <c r="D50" s="30" t="inlineStr">
        <is>
          <t>Schema</t>
        </is>
      </c>
      <c r="E50" s="29" t="inlineStr">
        <is>
          <t>Warning</t>
        </is>
      </c>
      <c r="F50" s="30" t="inlineStr">
        <is>
          <t>No schema markup detected</t>
        </is>
      </c>
      <c r="G50" s="30" t="n">
        <v>67</v>
      </c>
      <c r="H50" s="30" t="n">
        <v>0</v>
      </c>
      <c r="I50" s="30" t="inlineStr">
        <is>
          <t>At least one relevant schema type</t>
        </is>
      </c>
      <c r="J50" s="30" t="inlineStr">
        <is>
          <t>In AIOSEO schema settings for the page, add the most relevant type (Article/FAQ/HowTo/Product, etc.). (Taxonomy/Archive page: navigate via AIOSEO → Search Appearance → Taxonomies.)</t>
        </is>
      </c>
      <c r="K50" s="30" t="inlineStr">
        <is>
          <t>Schema &amp; Metadata</t>
        </is>
      </c>
      <c r="L50" s="30" t="inlineStr">
        <is>
          <t>Schema Types Count</t>
        </is>
      </c>
      <c r="M50" s="30" t="inlineStr">
        <is>
          <t>Yes</t>
        </is>
      </c>
      <c r="N50" s="30" t="inlineStr">
        <is>
          <t>Copy Writer</t>
        </is>
      </c>
      <c r="O50" s="36" t="inlineStr">
        <is>
          <t>Open</t>
        </is>
      </c>
      <c r="P50" s="30" t="n">
        <v>4</v>
      </c>
      <c r="Q50" s="30" t="inlineStr">
        <is>
          <t>https://africanmarketingconfederation.org/smoke-archive/page-1::aioseo_no_schema_markup_detected</t>
        </is>
      </c>
      <c r="R50" s="30" t="inlineStr">
        <is>
          <t>Schema improves understanding and rich result eligibility.</t>
        </is>
      </c>
      <c r="S50" s="38">
        <f>IFERROR(HYPERLINK("#'Main'!B"&amp;MATCH(TRIM(A50),'Main'!B:B,0),"Open"),HYPERLINK("#'Main'!B1","Open"))</f>
        <v/>
      </c>
      <c r="T50" s="38">
        <f>IFERROR(HYPERLINK("#'Technical Diagnostics'!A"&amp;MATCH(A50,'Technical Diagnostics'!A:A,0),"Open"),HYPERLINK("#'Technical Diagnostics'!A1","Open"))</f>
        <v/>
      </c>
    </row>
    <row r="51" ht="60" customHeight="1">
      <c r="A51" s="35" t="inlineStr">
        <is>
          <t>https://africanmarketingconfederation.org/smoke-archive/page-10</t>
        </is>
      </c>
      <c r="B51" s="28" t="inlineStr"/>
      <c r="C51" s="28" t="inlineStr"/>
      <c r="D51" s="28" t="inlineStr">
        <is>
          <t>Schema</t>
        </is>
      </c>
      <c r="E51" s="29" t="inlineStr">
        <is>
          <t>Warning</t>
        </is>
      </c>
      <c r="F51" s="28" t="inlineStr">
        <is>
          <t>No schema markup detected</t>
        </is>
      </c>
      <c r="G51" s="28" t="n">
        <v>67</v>
      </c>
      <c r="H51" s="28" t="n">
        <v>0</v>
      </c>
      <c r="I51" s="28" t="inlineStr">
        <is>
          <t>At least one relevant schema type</t>
        </is>
      </c>
      <c r="J51" s="28" t="inlineStr">
        <is>
          <t>In AIOSEO schema settings for the page, add the most relevant type (Article/FAQ/HowTo/Product, etc.). (Taxonomy/Archive page: navigate via AIOSEO → Search Appearance → Taxonomies.)</t>
        </is>
      </c>
      <c r="K51" s="28" t="inlineStr">
        <is>
          <t>Schema &amp; Metadata</t>
        </is>
      </c>
      <c r="L51" s="28" t="inlineStr">
        <is>
          <t>Schema Types Count</t>
        </is>
      </c>
      <c r="M51" s="28" t="inlineStr">
        <is>
          <t>Yes</t>
        </is>
      </c>
      <c r="N51" s="28" t="inlineStr">
        <is>
          <t>Copy Writer</t>
        </is>
      </c>
      <c r="O51" s="36" t="inlineStr">
        <is>
          <t>Open</t>
        </is>
      </c>
      <c r="P51" s="28" t="n">
        <v>4</v>
      </c>
      <c r="Q51" s="28" t="inlineStr">
        <is>
          <t>https://africanmarketingconfederation.org/smoke-archive/page-10::aioseo_no_schema_markup_detected</t>
        </is>
      </c>
      <c r="R51" s="28" t="inlineStr">
        <is>
          <t>Schema improves understanding and rich result eligibility.</t>
        </is>
      </c>
      <c r="S51">
        <f>IFERROR(HYPERLINK("#'Main'!B"&amp;MATCH(TRIM(A51),'Main'!B:B,0),"Open"),HYPERLINK("#'Main'!B1","Open"))</f>
        <v/>
      </c>
      <c r="T51">
        <f>IFERROR(HYPERLINK("#'Technical Diagnostics'!A"&amp;MATCH(A51,'Technical Diagnostics'!A:A,0),"Open"),HYPERLINK("#'Technical Diagnostics'!A1","Open"))</f>
        <v/>
      </c>
    </row>
    <row r="52" ht="60" customHeight="1">
      <c r="A52" s="37" t="inlineStr">
        <is>
          <t>https://africanmarketingconfederation.org/smoke-archive/page-11</t>
        </is>
      </c>
      <c r="B52" s="30" t="inlineStr"/>
      <c r="C52" s="30" t="inlineStr"/>
      <c r="D52" s="30" t="inlineStr">
        <is>
          <t>Schema</t>
        </is>
      </c>
      <c r="E52" s="29" t="inlineStr">
        <is>
          <t>Warning</t>
        </is>
      </c>
      <c r="F52" s="30" t="inlineStr">
        <is>
          <t>No schema markup detected</t>
        </is>
      </c>
      <c r="G52" s="30" t="n">
        <v>67</v>
      </c>
      <c r="H52" s="30" t="n">
        <v>0</v>
      </c>
      <c r="I52" s="30" t="inlineStr">
        <is>
          <t>At least one relevant schema type</t>
        </is>
      </c>
      <c r="J52" s="30" t="inlineStr">
        <is>
          <t>In AIOSEO schema settings for the page, add the most relevant type (Article/FAQ/HowTo/Product, etc.). (Taxonomy/Archive page: navigate via AIOSEO → Search Appearance → Taxonomies.)</t>
        </is>
      </c>
      <c r="K52" s="30" t="inlineStr">
        <is>
          <t>Schema &amp; Metadata</t>
        </is>
      </c>
      <c r="L52" s="30" t="inlineStr">
        <is>
          <t>Schema Types Count</t>
        </is>
      </c>
      <c r="M52" s="30" t="inlineStr">
        <is>
          <t>Yes</t>
        </is>
      </c>
      <c r="N52" s="30" t="inlineStr">
        <is>
          <t>Copy Writer</t>
        </is>
      </c>
      <c r="O52" s="36" t="inlineStr">
        <is>
          <t>Open</t>
        </is>
      </c>
      <c r="P52" s="30" t="n">
        <v>4</v>
      </c>
      <c r="Q52" s="30" t="inlineStr">
        <is>
          <t>https://africanmarketingconfederation.org/smoke-archive/page-11::aioseo_no_schema_markup_detected</t>
        </is>
      </c>
      <c r="R52" s="30" t="inlineStr">
        <is>
          <t>Schema improves understanding and rich result eligibility.</t>
        </is>
      </c>
      <c r="S52" s="38">
        <f>IFERROR(HYPERLINK("#'Main'!B"&amp;MATCH(TRIM(A52),'Main'!B:B,0),"Open"),HYPERLINK("#'Main'!B1","Open"))</f>
        <v/>
      </c>
      <c r="T52" s="38">
        <f>IFERROR(HYPERLINK("#'Technical Diagnostics'!A"&amp;MATCH(A52,'Technical Diagnostics'!A:A,0),"Open"),HYPERLINK("#'Technical Diagnostics'!A1","Open"))</f>
        <v/>
      </c>
    </row>
    <row r="53" ht="60" customHeight="1">
      <c r="A53" s="35" t="inlineStr">
        <is>
          <t>https://africanmarketingconfederation.org/smoke-archive/page-12</t>
        </is>
      </c>
      <c r="B53" s="28" t="inlineStr"/>
      <c r="C53" s="28" t="inlineStr"/>
      <c r="D53" s="28" t="inlineStr">
        <is>
          <t>Schema</t>
        </is>
      </c>
      <c r="E53" s="29" t="inlineStr">
        <is>
          <t>Warning</t>
        </is>
      </c>
      <c r="F53" s="28" t="inlineStr">
        <is>
          <t>No schema markup detected</t>
        </is>
      </c>
      <c r="G53" s="28" t="n">
        <v>67</v>
      </c>
      <c r="H53" s="28" t="n">
        <v>0</v>
      </c>
      <c r="I53" s="28" t="inlineStr">
        <is>
          <t>At least one relevant schema type</t>
        </is>
      </c>
      <c r="J53" s="28" t="inlineStr">
        <is>
          <t>In AIOSEO schema settings for the page, add the most relevant type (Article/FAQ/HowTo/Product, etc.). (Taxonomy/Archive page: navigate via AIOSEO → Search Appearance → Taxonomies.)</t>
        </is>
      </c>
      <c r="K53" s="28" t="inlineStr">
        <is>
          <t>Schema &amp; Metadata</t>
        </is>
      </c>
      <c r="L53" s="28" t="inlineStr">
        <is>
          <t>Schema Types Count</t>
        </is>
      </c>
      <c r="M53" s="28" t="inlineStr">
        <is>
          <t>Yes</t>
        </is>
      </c>
      <c r="N53" s="28" t="inlineStr">
        <is>
          <t>Copy Writer</t>
        </is>
      </c>
      <c r="O53" s="36" t="inlineStr">
        <is>
          <t>Open</t>
        </is>
      </c>
      <c r="P53" s="28" t="n">
        <v>4</v>
      </c>
      <c r="Q53" s="28" t="inlineStr">
        <is>
          <t>https://africanmarketingconfederation.org/smoke-archive/page-12::aioseo_no_schema_markup_detected</t>
        </is>
      </c>
      <c r="R53" s="28" t="inlineStr">
        <is>
          <t>Schema improves understanding and rich result eligibility.</t>
        </is>
      </c>
      <c r="S53">
        <f>IFERROR(HYPERLINK("#'Main'!B"&amp;MATCH(TRIM(A53),'Main'!B:B,0),"Open"),HYPERLINK("#'Main'!B1","Open"))</f>
        <v/>
      </c>
      <c r="T53">
        <f>IFERROR(HYPERLINK("#'Technical Diagnostics'!A"&amp;MATCH(A53,'Technical Diagnostics'!A:A,0),"Open"),HYPERLINK("#'Technical Diagnostics'!A1","Open"))</f>
        <v/>
      </c>
    </row>
    <row r="54" ht="60" customHeight="1">
      <c r="A54" s="37" t="inlineStr">
        <is>
          <t>https://africanmarketingconfederation.org/smoke-archive/page-13</t>
        </is>
      </c>
      <c r="B54" s="30" t="inlineStr"/>
      <c r="C54" s="30" t="inlineStr"/>
      <c r="D54" s="30" t="inlineStr">
        <is>
          <t>Schema</t>
        </is>
      </c>
      <c r="E54" s="29" t="inlineStr">
        <is>
          <t>Warning</t>
        </is>
      </c>
      <c r="F54" s="30" t="inlineStr">
        <is>
          <t>No schema markup detected</t>
        </is>
      </c>
      <c r="G54" s="30" t="n">
        <v>67</v>
      </c>
      <c r="H54" s="30" t="n">
        <v>0</v>
      </c>
      <c r="I54" s="30" t="inlineStr">
        <is>
          <t>At least one relevant schema type</t>
        </is>
      </c>
      <c r="J54" s="30" t="inlineStr">
        <is>
          <t>In AIOSEO schema settings for the page, add the most relevant type (Article/FAQ/HowTo/Product, etc.). (Taxonomy/Archive page: navigate via AIOSEO → Search Appearance → Taxonomies.)</t>
        </is>
      </c>
      <c r="K54" s="30" t="inlineStr">
        <is>
          <t>Schema &amp; Metadata</t>
        </is>
      </c>
      <c r="L54" s="30" t="inlineStr">
        <is>
          <t>Schema Types Count</t>
        </is>
      </c>
      <c r="M54" s="30" t="inlineStr">
        <is>
          <t>Yes</t>
        </is>
      </c>
      <c r="N54" s="30" t="inlineStr">
        <is>
          <t>Copy Writer</t>
        </is>
      </c>
      <c r="O54" s="36" t="inlineStr">
        <is>
          <t>Open</t>
        </is>
      </c>
      <c r="P54" s="30" t="n">
        <v>4</v>
      </c>
      <c r="Q54" s="30" t="inlineStr">
        <is>
          <t>https://africanmarketingconfederation.org/smoke-archive/page-13::aioseo_no_schema_markup_detected</t>
        </is>
      </c>
      <c r="R54" s="30" t="inlineStr">
        <is>
          <t>Schema improves understanding and rich result eligibility.</t>
        </is>
      </c>
      <c r="S54" s="38">
        <f>IFERROR(HYPERLINK("#'Main'!B"&amp;MATCH(TRIM(A54),'Main'!B:B,0),"Open"),HYPERLINK("#'Main'!B1","Open"))</f>
        <v/>
      </c>
      <c r="T54" s="38">
        <f>IFERROR(HYPERLINK("#'Technical Diagnostics'!A"&amp;MATCH(A54,'Technical Diagnostics'!A:A,0),"Open"),HYPERLINK("#'Technical Diagnostics'!A1","Open"))</f>
        <v/>
      </c>
    </row>
    <row r="55" ht="60" customHeight="1">
      <c r="A55" s="35" t="inlineStr">
        <is>
          <t>https://africanmarketingconfederation.org/smoke-archive/page-14</t>
        </is>
      </c>
      <c r="B55" s="28" t="inlineStr"/>
      <c r="C55" s="28" t="inlineStr"/>
      <c r="D55" s="28" t="inlineStr">
        <is>
          <t>Schema</t>
        </is>
      </c>
      <c r="E55" s="29" t="inlineStr">
        <is>
          <t>Warning</t>
        </is>
      </c>
      <c r="F55" s="28" t="inlineStr">
        <is>
          <t>No schema markup detected</t>
        </is>
      </c>
      <c r="G55" s="28" t="n">
        <v>67</v>
      </c>
      <c r="H55" s="28" t="n">
        <v>0</v>
      </c>
      <c r="I55" s="28" t="inlineStr">
        <is>
          <t>At least one relevant schema type</t>
        </is>
      </c>
      <c r="J55" s="28" t="inlineStr">
        <is>
          <t>In AIOSEO schema settings for the page, add the most relevant type (Article/FAQ/HowTo/Product, etc.). (Taxonomy/Archive page: navigate via AIOSEO → Search Appearance → Taxonomies.)</t>
        </is>
      </c>
      <c r="K55" s="28" t="inlineStr">
        <is>
          <t>Schema &amp; Metadata</t>
        </is>
      </c>
      <c r="L55" s="28" t="inlineStr">
        <is>
          <t>Schema Types Count</t>
        </is>
      </c>
      <c r="M55" s="28" t="inlineStr">
        <is>
          <t>Yes</t>
        </is>
      </c>
      <c r="N55" s="28" t="inlineStr">
        <is>
          <t>Copy Writer</t>
        </is>
      </c>
      <c r="O55" s="36" t="inlineStr">
        <is>
          <t>Open</t>
        </is>
      </c>
      <c r="P55" s="28" t="n">
        <v>4</v>
      </c>
      <c r="Q55" s="28" t="inlineStr">
        <is>
          <t>https://africanmarketingconfederation.org/smoke-archive/page-14::aioseo_no_schema_markup_detected</t>
        </is>
      </c>
      <c r="R55" s="28" t="inlineStr">
        <is>
          <t>Schema improves understanding and rich result eligibility.</t>
        </is>
      </c>
      <c r="S55">
        <f>IFERROR(HYPERLINK("#'Main'!B"&amp;MATCH(TRIM(A55),'Main'!B:B,0),"Open"),HYPERLINK("#'Main'!B1","Open"))</f>
        <v/>
      </c>
      <c r="T55">
        <f>IFERROR(HYPERLINK("#'Technical Diagnostics'!A"&amp;MATCH(A55,'Technical Diagnostics'!A:A,0),"Open"),HYPERLINK("#'Technical Diagnostics'!A1","Open"))</f>
        <v/>
      </c>
    </row>
    <row r="56" ht="60" customHeight="1">
      <c r="A56" s="37" t="inlineStr">
        <is>
          <t>https://africanmarketingconfederation.org/smoke-archive/page-15</t>
        </is>
      </c>
      <c r="B56" s="30" t="inlineStr"/>
      <c r="C56" s="30" t="inlineStr"/>
      <c r="D56" s="30" t="inlineStr">
        <is>
          <t>Schema</t>
        </is>
      </c>
      <c r="E56" s="29" t="inlineStr">
        <is>
          <t>Warning</t>
        </is>
      </c>
      <c r="F56" s="30" t="inlineStr">
        <is>
          <t>No schema markup detected</t>
        </is>
      </c>
      <c r="G56" s="30" t="n">
        <v>67</v>
      </c>
      <c r="H56" s="30" t="n">
        <v>0</v>
      </c>
      <c r="I56" s="30" t="inlineStr">
        <is>
          <t>At least one relevant schema type</t>
        </is>
      </c>
      <c r="J56" s="30" t="inlineStr">
        <is>
          <t>In AIOSEO schema settings for the page, add the most relevant type (Article/FAQ/HowTo/Product, etc.). (Taxonomy/Archive page: navigate via AIOSEO → Search Appearance → Taxonomies.)</t>
        </is>
      </c>
      <c r="K56" s="30" t="inlineStr">
        <is>
          <t>Schema &amp; Metadata</t>
        </is>
      </c>
      <c r="L56" s="30" t="inlineStr">
        <is>
          <t>Schema Types Count</t>
        </is>
      </c>
      <c r="M56" s="30" t="inlineStr">
        <is>
          <t>Yes</t>
        </is>
      </c>
      <c r="N56" s="30" t="inlineStr">
        <is>
          <t>Copy Writer</t>
        </is>
      </c>
      <c r="O56" s="36" t="inlineStr">
        <is>
          <t>Open</t>
        </is>
      </c>
      <c r="P56" s="30" t="n">
        <v>4</v>
      </c>
      <c r="Q56" s="30" t="inlineStr">
        <is>
          <t>https://africanmarketingconfederation.org/smoke-archive/page-15::aioseo_no_schema_markup_detected</t>
        </is>
      </c>
      <c r="R56" s="30" t="inlineStr">
        <is>
          <t>Schema improves understanding and rich result eligibility.</t>
        </is>
      </c>
      <c r="S56" s="38">
        <f>IFERROR(HYPERLINK("#'Main'!B"&amp;MATCH(TRIM(A56),'Main'!B:B,0),"Open"),HYPERLINK("#'Main'!B1","Open"))</f>
        <v/>
      </c>
      <c r="T56" s="38">
        <f>IFERROR(HYPERLINK("#'Technical Diagnostics'!A"&amp;MATCH(A56,'Technical Diagnostics'!A:A,0),"Open"),HYPERLINK("#'Technical Diagnostics'!A1","Open"))</f>
        <v/>
      </c>
    </row>
    <row r="57" ht="60" customHeight="1">
      <c r="A57" s="35" t="inlineStr">
        <is>
          <t>https://africanmarketingconfederation.org/smoke-archive/page-16</t>
        </is>
      </c>
      <c r="B57" s="28" t="inlineStr"/>
      <c r="C57" s="28" t="inlineStr"/>
      <c r="D57" s="28" t="inlineStr">
        <is>
          <t>Schema</t>
        </is>
      </c>
      <c r="E57" s="29" t="inlineStr">
        <is>
          <t>Warning</t>
        </is>
      </c>
      <c r="F57" s="28" t="inlineStr">
        <is>
          <t>No schema markup detected</t>
        </is>
      </c>
      <c r="G57" s="28" t="n">
        <v>67</v>
      </c>
      <c r="H57" s="28" t="n">
        <v>0</v>
      </c>
      <c r="I57" s="28" t="inlineStr">
        <is>
          <t>At least one relevant schema type</t>
        </is>
      </c>
      <c r="J57" s="28" t="inlineStr">
        <is>
          <t>In AIOSEO schema settings for the page, add the most relevant type (Article/FAQ/HowTo/Product, etc.). (Taxonomy/Archive page: navigate via AIOSEO → Search Appearance → Taxonomies.)</t>
        </is>
      </c>
      <c r="K57" s="28" t="inlineStr">
        <is>
          <t>Schema &amp; Metadata</t>
        </is>
      </c>
      <c r="L57" s="28" t="inlineStr">
        <is>
          <t>Schema Types Count</t>
        </is>
      </c>
      <c r="M57" s="28" t="inlineStr">
        <is>
          <t>Yes</t>
        </is>
      </c>
      <c r="N57" s="28" t="inlineStr">
        <is>
          <t>Copy Writer</t>
        </is>
      </c>
      <c r="O57" s="36" t="inlineStr">
        <is>
          <t>Open</t>
        </is>
      </c>
      <c r="P57" s="28" t="n">
        <v>4</v>
      </c>
      <c r="Q57" s="28" t="inlineStr">
        <is>
          <t>https://africanmarketingconfederation.org/smoke-archive/page-16::aioseo_no_schema_markup_detected</t>
        </is>
      </c>
      <c r="R57" s="28" t="inlineStr">
        <is>
          <t>Schema improves understanding and rich result eligibility.</t>
        </is>
      </c>
      <c r="S57">
        <f>IFERROR(HYPERLINK("#'Main'!B"&amp;MATCH(TRIM(A57),'Main'!B:B,0),"Open"),HYPERLINK("#'Main'!B1","Open"))</f>
        <v/>
      </c>
      <c r="T57">
        <f>IFERROR(HYPERLINK("#'Technical Diagnostics'!A"&amp;MATCH(A57,'Technical Diagnostics'!A:A,0),"Open"),HYPERLINK("#'Technical Diagnostics'!A1","Open"))</f>
        <v/>
      </c>
    </row>
    <row r="58" ht="60" customHeight="1">
      <c r="A58" s="37" t="inlineStr">
        <is>
          <t>https://africanmarketingconfederation.org/smoke-archive/page-17</t>
        </is>
      </c>
      <c r="B58" s="30" t="inlineStr"/>
      <c r="C58" s="30" t="inlineStr"/>
      <c r="D58" s="30" t="inlineStr">
        <is>
          <t>Schema</t>
        </is>
      </c>
      <c r="E58" s="29" t="inlineStr">
        <is>
          <t>Warning</t>
        </is>
      </c>
      <c r="F58" s="30" t="inlineStr">
        <is>
          <t>No schema markup detected</t>
        </is>
      </c>
      <c r="G58" s="30" t="n">
        <v>67</v>
      </c>
      <c r="H58" s="30" t="n">
        <v>0</v>
      </c>
      <c r="I58" s="30" t="inlineStr">
        <is>
          <t>At least one relevant schema type</t>
        </is>
      </c>
      <c r="J58" s="30" t="inlineStr">
        <is>
          <t>In AIOSEO schema settings for the page, add the most relevant type (Article/FAQ/HowTo/Product, etc.). (Taxonomy/Archive page: navigate via AIOSEO → Search Appearance → Taxonomies.)</t>
        </is>
      </c>
      <c r="K58" s="30" t="inlineStr">
        <is>
          <t>Schema &amp; Metadata</t>
        </is>
      </c>
      <c r="L58" s="30" t="inlineStr">
        <is>
          <t>Schema Types Count</t>
        </is>
      </c>
      <c r="M58" s="30" t="inlineStr">
        <is>
          <t>Yes</t>
        </is>
      </c>
      <c r="N58" s="30" t="inlineStr">
        <is>
          <t>Copy Writer</t>
        </is>
      </c>
      <c r="O58" s="36" t="inlineStr">
        <is>
          <t>Open</t>
        </is>
      </c>
      <c r="P58" s="30" t="n">
        <v>4</v>
      </c>
      <c r="Q58" s="30" t="inlineStr">
        <is>
          <t>https://africanmarketingconfederation.org/smoke-archive/page-17::aioseo_no_schema_markup_detected</t>
        </is>
      </c>
      <c r="R58" s="30" t="inlineStr">
        <is>
          <t>Schema improves understanding and rich result eligibility.</t>
        </is>
      </c>
      <c r="S58" s="38">
        <f>IFERROR(HYPERLINK("#'Main'!B"&amp;MATCH(TRIM(A58),'Main'!B:B,0),"Open"),HYPERLINK("#'Main'!B1","Open"))</f>
        <v/>
      </c>
      <c r="T58" s="38">
        <f>IFERROR(HYPERLINK("#'Technical Diagnostics'!A"&amp;MATCH(A58,'Technical Diagnostics'!A:A,0),"Open"),HYPERLINK("#'Technical Diagnostics'!A1","Open"))</f>
        <v/>
      </c>
    </row>
    <row r="59" ht="60" customHeight="1">
      <c r="A59" s="35" t="inlineStr">
        <is>
          <t>https://africanmarketingconfederation.org/smoke-archive/page-18</t>
        </is>
      </c>
      <c r="B59" s="28" t="inlineStr"/>
      <c r="C59" s="28" t="inlineStr"/>
      <c r="D59" s="28" t="inlineStr">
        <is>
          <t>Schema</t>
        </is>
      </c>
      <c r="E59" s="29" t="inlineStr">
        <is>
          <t>Warning</t>
        </is>
      </c>
      <c r="F59" s="28" t="inlineStr">
        <is>
          <t>No schema markup detected</t>
        </is>
      </c>
      <c r="G59" s="28" t="n">
        <v>67</v>
      </c>
      <c r="H59" s="28" t="n">
        <v>0</v>
      </c>
      <c r="I59" s="28" t="inlineStr">
        <is>
          <t>At least one relevant schema type</t>
        </is>
      </c>
      <c r="J59" s="28" t="inlineStr">
        <is>
          <t>In AIOSEO schema settings for the page, add the most relevant type (Article/FAQ/HowTo/Product, etc.). (Taxonomy/Archive page: navigate via AIOSEO → Search Appearance → Taxonomies.)</t>
        </is>
      </c>
      <c r="K59" s="28" t="inlineStr">
        <is>
          <t>Schema &amp; Metadata</t>
        </is>
      </c>
      <c r="L59" s="28" t="inlineStr">
        <is>
          <t>Schema Types Count</t>
        </is>
      </c>
      <c r="M59" s="28" t="inlineStr">
        <is>
          <t>Yes</t>
        </is>
      </c>
      <c r="N59" s="28" t="inlineStr">
        <is>
          <t>Copy Writer</t>
        </is>
      </c>
      <c r="O59" s="36" t="inlineStr">
        <is>
          <t>Open</t>
        </is>
      </c>
      <c r="P59" s="28" t="n">
        <v>4</v>
      </c>
      <c r="Q59" s="28" t="inlineStr">
        <is>
          <t>https://africanmarketingconfederation.org/smoke-archive/page-18::aioseo_no_schema_markup_detected</t>
        </is>
      </c>
      <c r="R59" s="28" t="inlineStr">
        <is>
          <t>Schema improves understanding and rich result eligibility.</t>
        </is>
      </c>
      <c r="S59">
        <f>IFERROR(HYPERLINK("#'Main'!B"&amp;MATCH(TRIM(A59),'Main'!B:B,0),"Open"),HYPERLINK("#'Main'!B1","Open"))</f>
        <v/>
      </c>
      <c r="T59">
        <f>IFERROR(HYPERLINK("#'Technical Diagnostics'!A"&amp;MATCH(A59,'Technical Diagnostics'!A:A,0),"Open"),HYPERLINK("#'Technical Diagnostics'!A1","Open"))</f>
        <v/>
      </c>
    </row>
    <row r="60" ht="60" customHeight="1">
      <c r="A60" s="37" t="inlineStr">
        <is>
          <t>https://africanmarketingconfederation.org/smoke-archive/page-19</t>
        </is>
      </c>
      <c r="B60" s="30" t="inlineStr"/>
      <c r="C60" s="30" t="inlineStr"/>
      <c r="D60" s="30" t="inlineStr">
        <is>
          <t>Schema</t>
        </is>
      </c>
      <c r="E60" s="29" t="inlineStr">
        <is>
          <t>Warning</t>
        </is>
      </c>
      <c r="F60" s="30" t="inlineStr">
        <is>
          <t>No schema markup detected</t>
        </is>
      </c>
      <c r="G60" s="30" t="n">
        <v>67</v>
      </c>
      <c r="H60" s="30" t="n">
        <v>0</v>
      </c>
      <c r="I60" s="30" t="inlineStr">
        <is>
          <t>At least one relevant schema type</t>
        </is>
      </c>
      <c r="J60" s="30" t="inlineStr">
        <is>
          <t>In AIOSEO schema settings for the page, add the most relevant type (Article/FAQ/HowTo/Product, etc.). (Taxonomy/Archive page: navigate via AIOSEO → Search Appearance → Taxonomies.)</t>
        </is>
      </c>
      <c r="K60" s="30" t="inlineStr">
        <is>
          <t>Schema &amp; Metadata</t>
        </is>
      </c>
      <c r="L60" s="30" t="inlineStr">
        <is>
          <t>Schema Types Count</t>
        </is>
      </c>
      <c r="M60" s="30" t="inlineStr">
        <is>
          <t>Yes</t>
        </is>
      </c>
      <c r="N60" s="30" t="inlineStr">
        <is>
          <t>Copy Writer</t>
        </is>
      </c>
      <c r="O60" s="36" t="inlineStr">
        <is>
          <t>Open</t>
        </is>
      </c>
      <c r="P60" s="30" t="n">
        <v>4</v>
      </c>
      <c r="Q60" s="30" t="inlineStr">
        <is>
          <t>https://africanmarketingconfederation.org/smoke-archive/page-19::aioseo_no_schema_markup_detected</t>
        </is>
      </c>
      <c r="R60" s="30" t="inlineStr">
        <is>
          <t>Schema improves understanding and rich result eligibility.</t>
        </is>
      </c>
      <c r="S60" s="38">
        <f>IFERROR(HYPERLINK("#'Main'!B"&amp;MATCH(TRIM(A60),'Main'!B:B,0),"Open"),HYPERLINK("#'Main'!B1","Open"))</f>
        <v/>
      </c>
      <c r="T60" s="38">
        <f>IFERROR(HYPERLINK("#'Technical Diagnostics'!A"&amp;MATCH(A60,'Technical Diagnostics'!A:A,0),"Open"),HYPERLINK("#'Technical Diagnostics'!A1","Open"))</f>
        <v/>
      </c>
    </row>
    <row r="61" ht="60" customHeight="1">
      <c r="A61" s="35" t="inlineStr">
        <is>
          <t>https://africanmarketingconfederation.org/smoke-archive/page-2</t>
        </is>
      </c>
      <c r="B61" s="28" t="inlineStr"/>
      <c r="C61" s="28" t="inlineStr"/>
      <c r="D61" s="28" t="inlineStr">
        <is>
          <t>Schema</t>
        </is>
      </c>
      <c r="E61" s="29" t="inlineStr">
        <is>
          <t>Warning</t>
        </is>
      </c>
      <c r="F61" s="28" t="inlineStr">
        <is>
          <t>No schema markup detected</t>
        </is>
      </c>
      <c r="G61" s="28" t="n">
        <v>67</v>
      </c>
      <c r="H61" s="28" t="n">
        <v>0</v>
      </c>
      <c r="I61" s="28" t="inlineStr">
        <is>
          <t>At least one relevant schema type</t>
        </is>
      </c>
      <c r="J61" s="28" t="inlineStr">
        <is>
          <t>In AIOSEO schema settings for the page, add the most relevant type (Article/FAQ/HowTo/Product, etc.). (Taxonomy/Archive page: navigate via AIOSEO → Search Appearance → Taxonomies.)</t>
        </is>
      </c>
      <c r="K61" s="28" t="inlineStr">
        <is>
          <t>Schema &amp; Metadata</t>
        </is>
      </c>
      <c r="L61" s="28" t="inlineStr">
        <is>
          <t>Schema Types Count</t>
        </is>
      </c>
      <c r="M61" s="28" t="inlineStr">
        <is>
          <t>Yes</t>
        </is>
      </c>
      <c r="N61" s="28" t="inlineStr">
        <is>
          <t>Copy Writer</t>
        </is>
      </c>
      <c r="O61" s="36" t="inlineStr">
        <is>
          <t>Open</t>
        </is>
      </c>
      <c r="P61" s="28" t="n">
        <v>4</v>
      </c>
      <c r="Q61" s="28" t="inlineStr">
        <is>
          <t>https://africanmarketingconfederation.org/smoke-archive/page-2::aioseo_no_schema_markup_detected</t>
        </is>
      </c>
      <c r="R61" s="28" t="inlineStr">
        <is>
          <t>Schema improves understanding and rich result eligibility.</t>
        </is>
      </c>
      <c r="S61">
        <f>IFERROR(HYPERLINK("#'Main'!B"&amp;MATCH(TRIM(A61),'Main'!B:B,0),"Open"),HYPERLINK("#'Main'!B1","Open"))</f>
        <v/>
      </c>
      <c r="T61">
        <f>IFERROR(HYPERLINK("#'Technical Diagnostics'!A"&amp;MATCH(A61,'Technical Diagnostics'!A:A,0),"Open"),HYPERLINK("#'Technical Diagnostics'!A1","Open"))</f>
        <v/>
      </c>
    </row>
    <row r="62" ht="60" customHeight="1">
      <c r="A62" s="37" t="inlineStr">
        <is>
          <t>https://africanmarketingconfederation.org/smoke-archive/page-20</t>
        </is>
      </c>
      <c r="B62" s="30" t="inlineStr"/>
      <c r="C62" s="30" t="inlineStr"/>
      <c r="D62" s="30" t="inlineStr">
        <is>
          <t>Schema</t>
        </is>
      </c>
      <c r="E62" s="29" t="inlineStr">
        <is>
          <t>Warning</t>
        </is>
      </c>
      <c r="F62" s="30" t="inlineStr">
        <is>
          <t>No schema markup detected</t>
        </is>
      </c>
      <c r="G62" s="30" t="n">
        <v>67</v>
      </c>
      <c r="H62" s="30" t="n">
        <v>0</v>
      </c>
      <c r="I62" s="30" t="inlineStr">
        <is>
          <t>At least one relevant schema type</t>
        </is>
      </c>
      <c r="J62" s="30" t="inlineStr">
        <is>
          <t>In AIOSEO schema settings for the page, add the most relevant type (Article/FAQ/HowTo/Product, etc.). (Taxonomy/Archive page: navigate via AIOSEO → Search Appearance → Taxonomies.)</t>
        </is>
      </c>
      <c r="K62" s="30" t="inlineStr">
        <is>
          <t>Schema &amp; Metadata</t>
        </is>
      </c>
      <c r="L62" s="30" t="inlineStr">
        <is>
          <t>Schema Types Count</t>
        </is>
      </c>
      <c r="M62" s="30" t="inlineStr">
        <is>
          <t>Yes</t>
        </is>
      </c>
      <c r="N62" s="30" t="inlineStr">
        <is>
          <t>Copy Writer</t>
        </is>
      </c>
      <c r="O62" s="36" t="inlineStr">
        <is>
          <t>Open</t>
        </is>
      </c>
      <c r="P62" s="30" t="n">
        <v>4</v>
      </c>
      <c r="Q62" s="30" t="inlineStr">
        <is>
          <t>https://africanmarketingconfederation.org/smoke-archive/page-20::aioseo_no_schema_markup_detected</t>
        </is>
      </c>
      <c r="R62" s="30" t="inlineStr">
        <is>
          <t>Schema improves understanding and rich result eligibility.</t>
        </is>
      </c>
      <c r="S62" s="38">
        <f>IFERROR(HYPERLINK("#'Main'!B"&amp;MATCH(TRIM(A62),'Main'!B:B,0),"Open"),HYPERLINK("#'Main'!B1","Open"))</f>
        <v/>
      </c>
      <c r="T62" s="38">
        <f>IFERROR(HYPERLINK("#'Technical Diagnostics'!A"&amp;MATCH(A62,'Technical Diagnostics'!A:A,0),"Open"),HYPERLINK("#'Technical Diagnostics'!A1","Open"))</f>
        <v/>
      </c>
    </row>
    <row r="63" ht="60" customHeight="1">
      <c r="A63" s="35" t="inlineStr">
        <is>
          <t>https://africanmarketingconfederation.org/smoke-archive/page-21</t>
        </is>
      </c>
      <c r="B63" s="28" t="inlineStr"/>
      <c r="C63" s="28" t="inlineStr"/>
      <c r="D63" s="28" t="inlineStr">
        <is>
          <t>Schema</t>
        </is>
      </c>
      <c r="E63" s="29" t="inlineStr">
        <is>
          <t>Warning</t>
        </is>
      </c>
      <c r="F63" s="28" t="inlineStr">
        <is>
          <t>No schema markup detected</t>
        </is>
      </c>
      <c r="G63" s="28" t="n">
        <v>67</v>
      </c>
      <c r="H63" s="28" t="n">
        <v>0</v>
      </c>
      <c r="I63" s="28" t="inlineStr">
        <is>
          <t>At least one relevant schema type</t>
        </is>
      </c>
      <c r="J63" s="28" t="inlineStr">
        <is>
          <t>In AIOSEO schema settings for the page, add the most relevant type (Article/FAQ/HowTo/Product, etc.). (Taxonomy/Archive page: navigate via AIOSEO → Search Appearance → Taxonomies.)</t>
        </is>
      </c>
      <c r="K63" s="28" t="inlineStr">
        <is>
          <t>Schema &amp; Metadata</t>
        </is>
      </c>
      <c r="L63" s="28" t="inlineStr">
        <is>
          <t>Schema Types Count</t>
        </is>
      </c>
      <c r="M63" s="28" t="inlineStr">
        <is>
          <t>Yes</t>
        </is>
      </c>
      <c r="N63" s="28" t="inlineStr">
        <is>
          <t>Copy Writer</t>
        </is>
      </c>
      <c r="O63" s="36" t="inlineStr">
        <is>
          <t>Open</t>
        </is>
      </c>
      <c r="P63" s="28" t="n">
        <v>4</v>
      </c>
      <c r="Q63" s="28" t="inlineStr">
        <is>
          <t>https://africanmarketingconfederation.org/smoke-archive/page-21::aioseo_no_schema_markup_detected</t>
        </is>
      </c>
      <c r="R63" s="28" t="inlineStr">
        <is>
          <t>Schema improves understanding and rich result eligibility.</t>
        </is>
      </c>
      <c r="S63">
        <f>IFERROR(HYPERLINK("#'Main'!B"&amp;MATCH(TRIM(A63),'Main'!B:B,0),"Open"),HYPERLINK("#'Main'!B1","Open"))</f>
        <v/>
      </c>
      <c r="T63">
        <f>IFERROR(HYPERLINK("#'Technical Diagnostics'!A"&amp;MATCH(A63,'Technical Diagnostics'!A:A,0),"Open"),HYPERLINK("#'Technical Diagnostics'!A1","Open"))</f>
        <v/>
      </c>
    </row>
    <row r="64" ht="60" customHeight="1">
      <c r="A64" s="37" t="inlineStr">
        <is>
          <t>https://africanmarketingconfederation.org/smoke-archive/page-22</t>
        </is>
      </c>
      <c r="B64" s="30" t="inlineStr"/>
      <c r="C64" s="30" t="inlineStr"/>
      <c r="D64" s="30" t="inlineStr">
        <is>
          <t>Schema</t>
        </is>
      </c>
      <c r="E64" s="29" t="inlineStr">
        <is>
          <t>Warning</t>
        </is>
      </c>
      <c r="F64" s="30" t="inlineStr">
        <is>
          <t>No schema markup detected</t>
        </is>
      </c>
      <c r="G64" s="30" t="n">
        <v>67</v>
      </c>
      <c r="H64" s="30" t="n">
        <v>0</v>
      </c>
      <c r="I64" s="30" t="inlineStr">
        <is>
          <t>At least one relevant schema type</t>
        </is>
      </c>
      <c r="J64" s="30" t="inlineStr">
        <is>
          <t>In AIOSEO schema settings for the page, add the most relevant type (Article/FAQ/HowTo/Product, etc.). (Taxonomy/Archive page: navigate via AIOSEO → Search Appearance → Taxonomies.)</t>
        </is>
      </c>
      <c r="K64" s="30" t="inlineStr">
        <is>
          <t>Schema &amp; Metadata</t>
        </is>
      </c>
      <c r="L64" s="30" t="inlineStr">
        <is>
          <t>Schema Types Count</t>
        </is>
      </c>
      <c r="M64" s="30" t="inlineStr">
        <is>
          <t>Yes</t>
        </is>
      </c>
      <c r="N64" s="30" t="inlineStr">
        <is>
          <t>Copy Writer</t>
        </is>
      </c>
      <c r="O64" s="36" t="inlineStr">
        <is>
          <t>Open</t>
        </is>
      </c>
      <c r="P64" s="30" t="n">
        <v>4</v>
      </c>
      <c r="Q64" s="30" t="inlineStr">
        <is>
          <t>https://africanmarketingconfederation.org/smoke-archive/page-22::aioseo_no_schema_markup_detected</t>
        </is>
      </c>
      <c r="R64" s="30" t="inlineStr">
        <is>
          <t>Schema improves understanding and rich result eligibility.</t>
        </is>
      </c>
      <c r="S64" s="38">
        <f>IFERROR(HYPERLINK("#'Main'!B"&amp;MATCH(TRIM(A64),'Main'!B:B,0),"Open"),HYPERLINK("#'Main'!B1","Open"))</f>
        <v/>
      </c>
      <c r="T64" s="38">
        <f>IFERROR(HYPERLINK("#'Technical Diagnostics'!A"&amp;MATCH(A64,'Technical Diagnostics'!A:A,0),"Open"),HYPERLINK("#'Technical Diagnostics'!A1","Open"))</f>
        <v/>
      </c>
    </row>
    <row r="65" ht="60" customHeight="1">
      <c r="A65" s="35" t="inlineStr">
        <is>
          <t>https://africanmarketingconfederation.org/smoke-archive/page-23</t>
        </is>
      </c>
      <c r="B65" s="28" t="inlineStr"/>
      <c r="C65" s="28" t="inlineStr"/>
      <c r="D65" s="28" t="inlineStr">
        <is>
          <t>Schema</t>
        </is>
      </c>
      <c r="E65" s="29" t="inlineStr">
        <is>
          <t>Warning</t>
        </is>
      </c>
      <c r="F65" s="28" t="inlineStr">
        <is>
          <t>No schema markup detected</t>
        </is>
      </c>
      <c r="G65" s="28" t="n">
        <v>67</v>
      </c>
      <c r="H65" s="28" t="n">
        <v>0</v>
      </c>
      <c r="I65" s="28" t="inlineStr">
        <is>
          <t>At least one relevant schema type</t>
        </is>
      </c>
      <c r="J65" s="28" t="inlineStr">
        <is>
          <t>In AIOSEO schema settings for the page, add the most relevant type (Article/FAQ/HowTo/Product, etc.). (Taxonomy/Archive page: navigate via AIOSEO → Search Appearance → Taxonomies.)</t>
        </is>
      </c>
      <c r="K65" s="28" t="inlineStr">
        <is>
          <t>Schema &amp; Metadata</t>
        </is>
      </c>
      <c r="L65" s="28" t="inlineStr">
        <is>
          <t>Schema Types Count</t>
        </is>
      </c>
      <c r="M65" s="28" t="inlineStr">
        <is>
          <t>Yes</t>
        </is>
      </c>
      <c r="N65" s="28" t="inlineStr">
        <is>
          <t>Copy Writer</t>
        </is>
      </c>
      <c r="O65" s="36" t="inlineStr">
        <is>
          <t>Open</t>
        </is>
      </c>
      <c r="P65" s="28" t="n">
        <v>4</v>
      </c>
      <c r="Q65" s="28" t="inlineStr">
        <is>
          <t>https://africanmarketingconfederation.org/smoke-archive/page-23::aioseo_no_schema_markup_detected</t>
        </is>
      </c>
      <c r="R65" s="28" t="inlineStr">
        <is>
          <t>Schema improves understanding and rich result eligibility.</t>
        </is>
      </c>
      <c r="S65">
        <f>IFERROR(HYPERLINK("#'Main'!B"&amp;MATCH(TRIM(A65),'Main'!B:B,0),"Open"),HYPERLINK("#'Main'!B1","Open"))</f>
        <v/>
      </c>
      <c r="T65">
        <f>IFERROR(HYPERLINK("#'Technical Diagnostics'!A"&amp;MATCH(A65,'Technical Diagnostics'!A:A,0),"Open"),HYPERLINK("#'Technical Diagnostics'!A1","Open"))</f>
        <v/>
      </c>
    </row>
    <row r="66" ht="60" customHeight="1">
      <c r="A66" s="37" t="inlineStr">
        <is>
          <t>https://africanmarketingconfederation.org/smoke-archive/page-24</t>
        </is>
      </c>
      <c r="B66" s="30" t="inlineStr"/>
      <c r="C66" s="30" t="inlineStr"/>
      <c r="D66" s="30" t="inlineStr">
        <is>
          <t>Schema</t>
        </is>
      </c>
      <c r="E66" s="29" t="inlineStr">
        <is>
          <t>Warning</t>
        </is>
      </c>
      <c r="F66" s="30" t="inlineStr">
        <is>
          <t>No schema markup detected</t>
        </is>
      </c>
      <c r="G66" s="30" t="n">
        <v>67</v>
      </c>
      <c r="H66" s="30" t="n">
        <v>0</v>
      </c>
      <c r="I66" s="30" t="inlineStr">
        <is>
          <t>At least one relevant schema type</t>
        </is>
      </c>
      <c r="J66" s="30" t="inlineStr">
        <is>
          <t>In AIOSEO schema settings for the page, add the most relevant type (Article/FAQ/HowTo/Product, etc.). (Taxonomy/Archive page: navigate via AIOSEO → Search Appearance → Taxonomies.)</t>
        </is>
      </c>
      <c r="K66" s="30" t="inlineStr">
        <is>
          <t>Schema &amp; Metadata</t>
        </is>
      </c>
      <c r="L66" s="30" t="inlineStr">
        <is>
          <t>Schema Types Count</t>
        </is>
      </c>
      <c r="M66" s="30" t="inlineStr">
        <is>
          <t>Yes</t>
        </is>
      </c>
      <c r="N66" s="30" t="inlineStr">
        <is>
          <t>Copy Writer</t>
        </is>
      </c>
      <c r="O66" s="36" t="inlineStr">
        <is>
          <t>Open</t>
        </is>
      </c>
      <c r="P66" s="30" t="n">
        <v>4</v>
      </c>
      <c r="Q66" s="30" t="inlineStr">
        <is>
          <t>https://africanmarketingconfederation.org/smoke-archive/page-24::aioseo_no_schema_markup_detected</t>
        </is>
      </c>
      <c r="R66" s="30" t="inlineStr">
        <is>
          <t>Schema improves understanding and rich result eligibility.</t>
        </is>
      </c>
      <c r="S66" s="38">
        <f>IFERROR(HYPERLINK("#'Main'!B"&amp;MATCH(TRIM(A66),'Main'!B:B,0),"Open"),HYPERLINK("#'Main'!B1","Open"))</f>
        <v/>
      </c>
      <c r="T66" s="38">
        <f>IFERROR(HYPERLINK("#'Technical Diagnostics'!A"&amp;MATCH(A66,'Technical Diagnostics'!A:A,0),"Open"),HYPERLINK("#'Technical Diagnostics'!A1","Open"))</f>
        <v/>
      </c>
    </row>
    <row r="67" ht="60" customHeight="1">
      <c r="A67" s="35" t="inlineStr">
        <is>
          <t>https://africanmarketingconfederation.org/smoke-archive/page-25</t>
        </is>
      </c>
      <c r="B67" s="28" t="inlineStr"/>
      <c r="C67" s="28" t="inlineStr"/>
      <c r="D67" s="28" t="inlineStr">
        <is>
          <t>Schema</t>
        </is>
      </c>
      <c r="E67" s="29" t="inlineStr">
        <is>
          <t>Warning</t>
        </is>
      </c>
      <c r="F67" s="28" t="inlineStr">
        <is>
          <t>No schema markup detected</t>
        </is>
      </c>
      <c r="G67" s="28" t="n">
        <v>67</v>
      </c>
      <c r="H67" s="28" t="n">
        <v>0</v>
      </c>
      <c r="I67" s="28" t="inlineStr">
        <is>
          <t>At least one relevant schema type</t>
        </is>
      </c>
      <c r="J67" s="28" t="inlineStr">
        <is>
          <t>In AIOSEO schema settings for the page, add the most relevant type (Article/FAQ/HowTo/Product, etc.). (Taxonomy/Archive page: navigate via AIOSEO → Search Appearance → Taxonomies.)</t>
        </is>
      </c>
      <c r="K67" s="28" t="inlineStr">
        <is>
          <t>Schema &amp; Metadata</t>
        </is>
      </c>
      <c r="L67" s="28" t="inlineStr">
        <is>
          <t>Schema Types Count</t>
        </is>
      </c>
      <c r="M67" s="28" t="inlineStr">
        <is>
          <t>Yes</t>
        </is>
      </c>
      <c r="N67" s="28" t="inlineStr">
        <is>
          <t>Copy Writer</t>
        </is>
      </c>
      <c r="O67" s="36" t="inlineStr">
        <is>
          <t>Open</t>
        </is>
      </c>
      <c r="P67" s="28" t="n">
        <v>4</v>
      </c>
      <c r="Q67" s="28" t="inlineStr">
        <is>
          <t>https://africanmarketingconfederation.org/smoke-archive/page-25::aioseo_no_schema_markup_detected</t>
        </is>
      </c>
      <c r="R67" s="28" t="inlineStr">
        <is>
          <t>Schema improves understanding and rich result eligibility.</t>
        </is>
      </c>
      <c r="S67">
        <f>IFERROR(HYPERLINK("#'Main'!B"&amp;MATCH(TRIM(A67),'Main'!B:B,0),"Open"),HYPERLINK("#'Main'!B1","Open"))</f>
        <v/>
      </c>
      <c r="T67">
        <f>IFERROR(HYPERLINK("#'Technical Diagnostics'!A"&amp;MATCH(A67,'Technical Diagnostics'!A:A,0),"Open"),HYPERLINK("#'Technical Diagnostics'!A1","Open"))</f>
        <v/>
      </c>
    </row>
    <row r="68" ht="60" customHeight="1">
      <c r="A68" s="37" t="inlineStr">
        <is>
          <t>https://africanmarketingconfederation.org/smoke-archive/page-26</t>
        </is>
      </c>
      <c r="B68" s="30" t="inlineStr"/>
      <c r="C68" s="30" t="inlineStr"/>
      <c r="D68" s="30" t="inlineStr">
        <is>
          <t>Schema</t>
        </is>
      </c>
      <c r="E68" s="29" t="inlineStr">
        <is>
          <t>Warning</t>
        </is>
      </c>
      <c r="F68" s="30" t="inlineStr">
        <is>
          <t>No schema markup detected</t>
        </is>
      </c>
      <c r="G68" s="30" t="n">
        <v>67</v>
      </c>
      <c r="H68" s="30" t="n">
        <v>0</v>
      </c>
      <c r="I68" s="30" t="inlineStr">
        <is>
          <t>At least one relevant schema type</t>
        </is>
      </c>
      <c r="J68" s="30" t="inlineStr">
        <is>
          <t>In AIOSEO schema settings for the page, add the most relevant type (Article/FAQ/HowTo/Product, etc.). (Taxonomy/Archive page: navigate via AIOSEO → Search Appearance → Taxonomies.)</t>
        </is>
      </c>
      <c r="K68" s="30" t="inlineStr">
        <is>
          <t>Schema &amp; Metadata</t>
        </is>
      </c>
      <c r="L68" s="30" t="inlineStr">
        <is>
          <t>Schema Types Count</t>
        </is>
      </c>
      <c r="M68" s="30" t="inlineStr">
        <is>
          <t>Yes</t>
        </is>
      </c>
      <c r="N68" s="30" t="inlineStr">
        <is>
          <t>Copy Writer</t>
        </is>
      </c>
      <c r="O68" s="36" t="inlineStr">
        <is>
          <t>Open</t>
        </is>
      </c>
      <c r="P68" s="30" t="n">
        <v>4</v>
      </c>
      <c r="Q68" s="30" t="inlineStr">
        <is>
          <t>https://africanmarketingconfederation.org/smoke-archive/page-26::aioseo_no_schema_markup_detected</t>
        </is>
      </c>
      <c r="R68" s="30" t="inlineStr">
        <is>
          <t>Schema improves understanding and rich result eligibility.</t>
        </is>
      </c>
      <c r="S68" s="38">
        <f>IFERROR(HYPERLINK("#'Main'!B"&amp;MATCH(TRIM(A68),'Main'!B:B,0),"Open"),HYPERLINK("#'Main'!B1","Open"))</f>
        <v/>
      </c>
      <c r="T68" s="38">
        <f>IFERROR(HYPERLINK("#'Technical Diagnostics'!A"&amp;MATCH(A68,'Technical Diagnostics'!A:A,0),"Open"),HYPERLINK("#'Technical Diagnostics'!A1","Open"))</f>
        <v/>
      </c>
    </row>
    <row r="69" ht="60" customHeight="1">
      <c r="A69" s="35" t="inlineStr">
        <is>
          <t>https://africanmarketingconfederation.org/smoke-archive/page-27</t>
        </is>
      </c>
      <c r="B69" s="28" t="inlineStr"/>
      <c r="C69" s="28" t="inlineStr"/>
      <c r="D69" s="28" t="inlineStr">
        <is>
          <t>Schema</t>
        </is>
      </c>
      <c r="E69" s="29" t="inlineStr">
        <is>
          <t>Warning</t>
        </is>
      </c>
      <c r="F69" s="28" t="inlineStr">
        <is>
          <t>No schema markup detected</t>
        </is>
      </c>
      <c r="G69" s="28" t="n">
        <v>67</v>
      </c>
      <c r="H69" s="28" t="n">
        <v>0</v>
      </c>
      <c r="I69" s="28" t="inlineStr">
        <is>
          <t>At least one relevant schema type</t>
        </is>
      </c>
      <c r="J69" s="28" t="inlineStr">
        <is>
          <t>In AIOSEO schema settings for the page, add the most relevant type (Article/FAQ/HowTo/Product, etc.). (Taxonomy/Archive page: navigate via AIOSEO → Search Appearance → Taxonomies.)</t>
        </is>
      </c>
      <c r="K69" s="28" t="inlineStr">
        <is>
          <t>Schema &amp; Metadata</t>
        </is>
      </c>
      <c r="L69" s="28" t="inlineStr">
        <is>
          <t>Schema Types Count</t>
        </is>
      </c>
      <c r="M69" s="28" t="inlineStr">
        <is>
          <t>Yes</t>
        </is>
      </c>
      <c r="N69" s="28" t="inlineStr">
        <is>
          <t>Copy Writer</t>
        </is>
      </c>
      <c r="O69" s="36" t="inlineStr">
        <is>
          <t>Open</t>
        </is>
      </c>
      <c r="P69" s="28" t="n">
        <v>4</v>
      </c>
      <c r="Q69" s="28" t="inlineStr">
        <is>
          <t>https://africanmarketingconfederation.org/smoke-archive/page-27::aioseo_no_schema_markup_detected</t>
        </is>
      </c>
      <c r="R69" s="28" t="inlineStr">
        <is>
          <t>Schema improves understanding and rich result eligibility.</t>
        </is>
      </c>
      <c r="S69">
        <f>IFERROR(HYPERLINK("#'Main'!B"&amp;MATCH(TRIM(A69),'Main'!B:B,0),"Open"),HYPERLINK("#'Main'!B1","Open"))</f>
        <v/>
      </c>
      <c r="T69">
        <f>IFERROR(HYPERLINK("#'Technical Diagnostics'!A"&amp;MATCH(A69,'Technical Diagnostics'!A:A,0),"Open"),HYPERLINK("#'Technical Diagnostics'!A1","Open"))</f>
        <v/>
      </c>
    </row>
    <row r="70" ht="60" customHeight="1">
      <c r="A70" s="37" t="inlineStr">
        <is>
          <t>https://africanmarketingconfederation.org/smoke-archive/page-28</t>
        </is>
      </c>
      <c r="B70" s="30" t="inlineStr"/>
      <c r="C70" s="30" t="inlineStr"/>
      <c r="D70" s="30" t="inlineStr">
        <is>
          <t>Schema</t>
        </is>
      </c>
      <c r="E70" s="29" t="inlineStr">
        <is>
          <t>Warning</t>
        </is>
      </c>
      <c r="F70" s="30" t="inlineStr">
        <is>
          <t>No schema markup detected</t>
        </is>
      </c>
      <c r="G70" s="30" t="n">
        <v>67</v>
      </c>
      <c r="H70" s="30" t="n">
        <v>0</v>
      </c>
      <c r="I70" s="30" t="inlineStr">
        <is>
          <t>At least one relevant schema type</t>
        </is>
      </c>
      <c r="J70" s="30" t="inlineStr">
        <is>
          <t>In AIOSEO schema settings for the page, add the most relevant type (Article/FAQ/HowTo/Product, etc.). (Taxonomy/Archive page: navigate via AIOSEO → Search Appearance → Taxonomies.)</t>
        </is>
      </c>
      <c r="K70" s="30" t="inlineStr">
        <is>
          <t>Schema &amp; Metadata</t>
        </is>
      </c>
      <c r="L70" s="30" t="inlineStr">
        <is>
          <t>Schema Types Count</t>
        </is>
      </c>
      <c r="M70" s="30" t="inlineStr">
        <is>
          <t>Yes</t>
        </is>
      </c>
      <c r="N70" s="30" t="inlineStr">
        <is>
          <t>Copy Writer</t>
        </is>
      </c>
      <c r="O70" s="36" t="inlineStr">
        <is>
          <t>Open</t>
        </is>
      </c>
      <c r="P70" s="30" t="n">
        <v>4</v>
      </c>
      <c r="Q70" s="30" t="inlineStr">
        <is>
          <t>https://africanmarketingconfederation.org/smoke-archive/page-28::aioseo_no_schema_markup_detected</t>
        </is>
      </c>
      <c r="R70" s="30" t="inlineStr">
        <is>
          <t>Schema improves understanding and rich result eligibility.</t>
        </is>
      </c>
      <c r="S70" s="38">
        <f>IFERROR(HYPERLINK("#'Main'!B"&amp;MATCH(TRIM(A70),'Main'!B:B,0),"Open"),HYPERLINK("#'Main'!B1","Open"))</f>
        <v/>
      </c>
      <c r="T70" s="38">
        <f>IFERROR(HYPERLINK("#'Technical Diagnostics'!A"&amp;MATCH(A70,'Technical Diagnostics'!A:A,0),"Open"),HYPERLINK("#'Technical Diagnostics'!A1","Open"))</f>
        <v/>
      </c>
    </row>
    <row r="71" ht="60" customHeight="1">
      <c r="A71" s="35" t="inlineStr">
        <is>
          <t>https://africanmarketingconfederation.org/smoke-archive/page-29</t>
        </is>
      </c>
      <c r="B71" s="28" t="inlineStr"/>
      <c r="C71" s="28" t="inlineStr"/>
      <c r="D71" s="28" t="inlineStr">
        <is>
          <t>Schema</t>
        </is>
      </c>
      <c r="E71" s="29" t="inlineStr">
        <is>
          <t>Warning</t>
        </is>
      </c>
      <c r="F71" s="28" t="inlineStr">
        <is>
          <t>No schema markup detected</t>
        </is>
      </c>
      <c r="G71" s="28" t="n">
        <v>67</v>
      </c>
      <c r="H71" s="28" t="n">
        <v>0</v>
      </c>
      <c r="I71" s="28" t="inlineStr">
        <is>
          <t>At least one relevant schema type</t>
        </is>
      </c>
      <c r="J71" s="28" t="inlineStr">
        <is>
          <t>In AIOSEO schema settings for the page, add the most relevant type (Article/FAQ/HowTo/Product, etc.). (Taxonomy/Archive page: navigate via AIOSEO → Search Appearance → Taxonomies.)</t>
        </is>
      </c>
      <c r="K71" s="28" t="inlineStr">
        <is>
          <t>Schema &amp; Metadata</t>
        </is>
      </c>
      <c r="L71" s="28" t="inlineStr">
        <is>
          <t>Schema Types Count</t>
        </is>
      </c>
      <c r="M71" s="28" t="inlineStr">
        <is>
          <t>Yes</t>
        </is>
      </c>
      <c r="N71" s="28" t="inlineStr">
        <is>
          <t>Copy Writer</t>
        </is>
      </c>
      <c r="O71" s="36" t="inlineStr">
        <is>
          <t>Open</t>
        </is>
      </c>
      <c r="P71" s="28" t="n">
        <v>4</v>
      </c>
      <c r="Q71" s="28" t="inlineStr">
        <is>
          <t>https://africanmarketingconfederation.org/smoke-archive/page-29::aioseo_no_schema_markup_detected</t>
        </is>
      </c>
      <c r="R71" s="28" t="inlineStr">
        <is>
          <t>Schema improves understanding and rich result eligibility.</t>
        </is>
      </c>
      <c r="S71">
        <f>IFERROR(HYPERLINK("#'Main'!B"&amp;MATCH(TRIM(A71),'Main'!B:B,0),"Open"),HYPERLINK("#'Main'!B1","Open"))</f>
        <v/>
      </c>
      <c r="T71">
        <f>IFERROR(HYPERLINK("#'Technical Diagnostics'!A"&amp;MATCH(A71,'Technical Diagnostics'!A:A,0),"Open"),HYPERLINK("#'Technical Diagnostics'!A1","Open"))</f>
        <v/>
      </c>
    </row>
    <row r="72" ht="60" customHeight="1">
      <c r="A72" s="37" t="inlineStr">
        <is>
          <t>https://africanmarketingconfederation.org/smoke-archive/page-3</t>
        </is>
      </c>
      <c r="B72" s="30" t="inlineStr"/>
      <c r="C72" s="30" t="inlineStr"/>
      <c r="D72" s="30" t="inlineStr">
        <is>
          <t>Schema</t>
        </is>
      </c>
      <c r="E72" s="29" t="inlineStr">
        <is>
          <t>Warning</t>
        </is>
      </c>
      <c r="F72" s="30" t="inlineStr">
        <is>
          <t>No schema markup detected</t>
        </is>
      </c>
      <c r="G72" s="30" t="n">
        <v>67</v>
      </c>
      <c r="H72" s="30" t="n">
        <v>0</v>
      </c>
      <c r="I72" s="30" t="inlineStr">
        <is>
          <t>At least one relevant schema type</t>
        </is>
      </c>
      <c r="J72" s="30" t="inlineStr">
        <is>
          <t>In AIOSEO schema settings for the page, add the most relevant type (Article/FAQ/HowTo/Product, etc.). (Taxonomy/Archive page: navigate via AIOSEO → Search Appearance → Taxonomies.)</t>
        </is>
      </c>
      <c r="K72" s="30" t="inlineStr">
        <is>
          <t>Schema &amp; Metadata</t>
        </is>
      </c>
      <c r="L72" s="30" t="inlineStr">
        <is>
          <t>Schema Types Count</t>
        </is>
      </c>
      <c r="M72" s="30" t="inlineStr">
        <is>
          <t>Yes</t>
        </is>
      </c>
      <c r="N72" s="30" t="inlineStr">
        <is>
          <t>Copy Writer</t>
        </is>
      </c>
      <c r="O72" s="36" t="inlineStr">
        <is>
          <t>Open</t>
        </is>
      </c>
      <c r="P72" s="30" t="n">
        <v>4</v>
      </c>
      <c r="Q72" s="30" t="inlineStr">
        <is>
          <t>https://africanmarketingconfederation.org/smoke-archive/page-3::aioseo_no_schema_markup_detected</t>
        </is>
      </c>
      <c r="R72" s="30" t="inlineStr">
        <is>
          <t>Schema improves understanding and rich result eligibility.</t>
        </is>
      </c>
      <c r="S72" s="38">
        <f>IFERROR(HYPERLINK("#'Main'!B"&amp;MATCH(TRIM(A72),'Main'!B:B,0),"Open"),HYPERLINK("#'Main'!B1","Open"))</f>
        <v/>
      </c>
      <c r="T72" s="38">
        <f>IFERROR(HYPERLINK("#'Technical Diagnostics'!A"&amp;MATCH(A72,'Technical Diagnostics'!A:A,0),"Open"),HYPERLINK("#'Technical Diagnostics'!A1","Open"))</f>
        <v/>
      </c>
    </row>
    <row r="73" ht="60" customHeight="1">
      <c r="A73" s="35" t="inlineStr">
        <is>
          <t>https://africanmarketingconfederation.org/smoke-archive/page-30</t>
        </is>
      </c>
      <c r="B73" s="28" t="inlineStr"/>
      <c r="C73" s="28" t="inlineStr"/>
      <c r="D73" s="28" t="inlineStr">
        <is>
          <t>Schema</t>
        </is>
      </c>
      <c r="E73" s="29" t="inlineStr">
        <is>
          <t>Warning</t>
        </is>
      </c>
      <c r="F73" s="28" t="inlineStr">
        <is>
          <t>No schema markup detected</t>
        </is>
      </c>
      <c r="G73" s="28" t="n">
        <v>67</v>
      </c>
      <c r="H73" s="28" t="n">
        <v>0</v>
      </c>
      <c r="I73" s="28" t="inlineStr">
        <is>
          <t>At least one relevant schema type</t>
        </is>
      </c>
      <c r="J73" s="28" t="inlineStr">
        <is>
          <t>In AIOSEO schema settings for the page, add the most relevant type (Article/FAQ/HowTo/Product, etc.). (Taxonomy/Archive page: navigate via AIOSEO → Search Appearance → Taxonomies.)</t>
        </is>
      </c>
      <c r="K73" s="28" t="inlineStr">
        <is>
          <t>Schema &amp; Metadata</t>
        </is>
      </c>
      <c r="L73" s="28" t="inlineStr">
        <is>
          <t>Schema Types Count</t>
        </is>
      </c>
      <c r="M73" s="28" t="inlineStr">
        <is>
          <t>Yes</t>
        </is>
      </c>
      <c r="N73" s="28" t="inlineStr">
        <is>
          <t>Copy Writer</t>
        </is>
      </c>
      <c r="O73" s="36" t="inlineStr">
        <is>
          <t>Open</t>
        </is>
      </c>
      <c r="P73" s="28" t="n">
        <v>4</v>
      </c>
      <c r="Q73" s="28" t="inlineStr">
        <is>
          <t>https://africanmarketingconfederation.org/smoke-archive/page-30::aioseo_no_schema_markup_detected</t>
        </is>
      </c>
      <c r="R73" s="28" t="inlineStr">
        <is>
          <t>Schema improves understanding and rich result eligibility.</t>
        </is>
      </c>
      <c r="S73">
        <f>IFERROR(HYPERLINK("#'Main'!B"&amp;MATCH(TRIM(A73),'Main'!B:B,0),"Open"),HYPERLINK("#'Main'!B1","Open"))</f>
        <v/>
      </c>
      <c r="T73">
        <f>IFERROR(HYPERLINK("#'Technical Diagnostics'!A"&amp;MATCH(A73,'Technical Diagnostics'!A:A,0),"Open"),HYPERLINK("#'Technical Diagnostics'!A1","Open"))</f>
        <v/>
      </c>
    </row>
    <row r="74" ht="60" customHeight="1">
      <c r="A74" s="37" t="inlineStr">
        <is>
          <t>https://africanmarketingconfederation.org/smoke-archive/page-31</t>
        </is>
      </c>
      <c r="B74" s="30" t="inlineStr"/>
      <c r="C74" s="30" t="inlineStr"/>
      <c r="D74" s="30" t="inlineStr">
        <is>
          <t>Schema</t>
        </is>
      </c>
      <c r="E74" s="29" t="inlineStr">
        <is>
          <t>Warning</t>
        </is>
      </c>
      <c r="F74" s="30" t="inlineStr">
        <is>
          <t>No schema markup detected</t>
        </is>
      </c>
      <c r="G74" s="30" t="n">
        <v>67</v>
      </c>
      <c r="H74" s="30" t="n">
        <v>0</v>
      </c>
      <c r="I74" s="30" t="inlineStr">
        <is>
          <t>At least one relevant schema type</t>
        </is>
      </c>
      <c r="J74" s="30" t="inlineStr">
        <is>
          <t>In AIOSEO schema settings for the page, add the most relevant type (Article/FAQ/HowTo/Product, etc.). (Taxonomy/Archive page: navigate via AIOSEO → Search Appearance → Taxonomies.)</t>
        </is>
      </c>
      <c r="K74" s="30" t="inlineStr">
        <is>
          <t>Schema &amp; Metadata</t>
        </is>
      </c>
      <c r="L74" s="30" t="inlineStr">
        <is>
          <t>Schema Types Count</t>
        </is>
      </c>
      <c r="M74" s="30" t="inlineStr">
        <is>
          <t>Yes</t>
        </is>
      </c>
      <c r="N74" s="30" t="inlineStr">
        <is>
          <t>Copy Writer</t>
        </is>
      </c>
      <c r="O74" s="36" t="inlineStr">
        <is>
          <t>Open</t>
        </is>
      </c>
      <c r="P74" s="30" t="n">
        <v>4</v>
      </c>
      <c r="Q74" s="30" t="inlineStr">
        <is>
          <t>https://africanmarketingconfederation.org/smoke-archive/page-31::aioseo_no_schema_markup_detected</t>
        </is>
      </c>
      <c r="R74" s="30" t="inlineStr">
        <is>
          <t>Schema improves understanding and rich result eligibility.</t>
        </is>
      </c>
      <c r="S74" s="38">
        <f>IFERROR(HYPERLINK("#'Main'!B"&amp;MATCH(TRIM(A74),'Main'!B:B,0),"Open"),HYPERLINK("#'Main'!B1","Open"))</f>
        <v/>
      </c>
      <c r="T74" s="38">
        <f>IFERROR(HYPERLINK("#'Technical Diagnostics'!A"&amp;MATCH(A74,'Technical Diagnostics'!A:A,0),"Open"),HYPERLINK("#'Technical Diagnostics'!A1","Open"))</f>
        <v/>
      </c>
    </row>
    <row r="75" ht="60" customHeight="1">
      <c r="A75" s="35" t="inlineStr">
        <is>
          <t>https://africanmarketingconfederation.org/smoke-archive/page-32</t>
        </is>
      </c>
      <c r="B75" s="28" t="inlineStr"/>
      <c r="C75" s="28" t="inlineStr"/>
      <c r="D75" s="28" t="inlineStr">
        <is>
          <t>Schema</t>
        </is>
      </c>
      <c r="E75" s="29" t="inlineStr">
        <is>
          <t>Warning</t>
        </is>
      </c>
      <c r="F75" s="28" t="inlineStr">
        <is>
          <t>No schema markup detected</t>
        </is>
      </c>
      <c r="G75" s="28" t="n">
        <v>67</v>
      </c>
      <c r="H75" s="28" t="n">
        <v>0</v>
      </c>
      <c r="I75" s="28" t="inlineStr">
        <is>
          <t>At least one relevant schema type</t>
        </is>
      </c>
      <c r="J75" s="28" t="inlineStr">
        <is>
          <t>In AIOSEO schema settings for the page, add the most relevant type (Article/FAQ/HowTo/Product, etc.). (Taxonomy/Archive page: navigate via AIOSEO → Search Appearance → Taxonomies.)</t>
        </is>
      </c>
      <c r="K75" s="28" t="inlineStr">
        <is>
          <t>Schema &amp; Metadata</t>
        </is>
      </c>
      <c r="L75" s="28" t="inlineStr">
        <is>
          <t>Schema Types Count</t>
        </is>
      </c>
      <c r="M75" s="28" t="inlineStr">
        <is>
          <t>Yes</t>
        </is>
      </c>
      <c r="N75" s="28" t="inlineStr">
        <is>
          <t>Copy Writer</t>
        </is>
      </c>
      <c r="O75" s="36" t="inlineStr">
        <is>
          <t>Open</t>
        </is>
      </c>
      <c r="P75" s="28" t="n">
        <v>4</v>
      </c>
      <c r="Q75" s="28" t="inlineStr">
        <is>
          <t>https://africanmarketingconfederation.org/smoke-archive/page-32::aioseo_no_schema_markup_detected</t>
        </is>
      </c>
      <c r="R75" s="28" t="inlineStr">
        <is>
          <t>Schema improves understanding and rich result eligibility.</t>
        </is>
      </c>
      <c r="S75">
        <f>IFERROR(HYPERLINK("#'Main'!B"&amp;MATCH(TRIM(A75),'Main'!B:B,0),"Open"),HYPERLINK("#'Main'!B1","Open"))</f>
        <v/>
      </c>
      <c r="T75">
        <f>IFERROR(HYPERLINK("#'Technical Diagnostics'!A"&amp;MATCH(A75,'Technical Diagnostics'!A:A,0),"Open"),HYPERLINK("#'Technical Diagnostics'!A1","Open"))</f>
        <v/>
      </c>
    </row>
    <row r="76" ht="60" customHeight="1">
      <c r="A76" s="37" t="inlineStr">
        <is>
          <t>https://africanmarketingconfederation.org/smoke-archive/page-33</t>
        </is>
      </c>
      <c r="B76" s="30" t="inlineStr"/>
      <c r="C76" s="30" t="inlineStr"/>
      <c r="D76" s="30" t="inlineStr">
        <is>
          <t>Schema</t>
        </is>
      </c>
      <c r="E76" s="29" t="inlineStr">
        <is>
          <t>Warning</t>
        </is>
      </c>
      <c r="F76" s="30" t="inlineStr">
        <is>
          <t>No schema markup detected</t>
        </is>
      </c>
      <c r="G76" s="30" t="n">
        <v>67</v>
      </c>
      <c r="H76" s="30" t="n">
        <v>0</v>
      </c>
      <c r="I76" s="30" t="inlineStr">
        <is>
          <t>At least one relevant schema type</t>
        </is>
      </c>
      <c r="J76" s="30" t="inlineStr">
        <is>
          <t>In AIOSEO schema settings for the page, add the most relevant type (Article/FAQ/HowTo/Product, etc.). (Taxonomy/Archive page: navigate via AIOSEO → Search Appearance → Taxonomies.)</t>
        </is>
      </c>
      <c r="K76" s="30" t="inlineStr">
        <is>
          <t>Schema &amp; Metadata</t>
        </is>
      </c>
      <c r="L76" s="30" t="inlineStr">
        <is>
          <t>Schema Types Count</t>
        </is>
      </c>
      <c r="M76" s="30" t="inlineStr">
        <is>
          <t>Yes</t>
        </is>
      </c>
      <c r="N76" s="30" t="inlineStr">
        <is>
          <t>Copy Writer</t>
        </is>
      </c>
      <c r="O76" s="36" t="inlineStr">
        <is>
          <t>Open</t>
        </is>
      </c>
      <c r="P76" s="30" t="n">
        <v>4</v>
      </c>
      <c r="Q76" s="30" t="inlineStr">
        <is>
          <t>https://africanmarketingconfederation.org/smoke-archive/page-33::aioseo_no_schema_markup_detected</t>
        </is>
      </c>
      <c r="R76" s="30" t="inlineStr">
        <is>
          <t>Schema improves understanding and rich result eligibility.</t>
        </is>
      </c>
      <c r="S76" s="38">
        <f>IFERROR(HYPERLINK("#'Main'!B"&amp;MATCH(TRIM(A76),'Main'!B:B,0),"Open"),HYPERLINK("#'Main'!B1","Open"))</f>
        <v/>
      </c>
      <c r="T76" s="38">
        <f>IFERROR(HYPERLINK("#'Technical Diagnostics'!A"&amp;MATCH(A76,'Technical Diagnostics'!A:A,0),"Open"),HYPERLINK("#'Technical Diagnostics'!A1","Open"))</f>
        <v/>
      </c>
    </row>
    <row r="77" ht="60" customHeight="1">
      <c r="A77" s="35" t="inlineStr">
        <is>
          <t>https://africanmarketingconfederation.org/smoke-archive/page-34</t>
        </is>
      </c>
      <c r="B77" s="28" t="inlineStr"/>
      <c r="C77" s="28" t="inlineStr"/>
      <c r="D77" s="28" t="inlineStr">
        <is>
          <t>Schema</t>
        </is>
      </c>
      <c r="E77" s="29" t="inlineStr">
        <is>
          <t>Warning</t>
        </is>
      </c>
      <c r="F77" s="28" t="inlineStr">
        <is>
          <t>No schema markup detected</t>
        </is>
      </c>
      <c r="G77" s="28" t="n">
        <v>67</v>
      </c>
      <c r="H77" s="28" t="n">
        <v>0</v>
      </c>
      <c r="I77" s="28" t="inlineStr">
        <is>
          <t>At least one relevant schema type</t>
        </is>
      </c>
      <c r="J77" s="28" t="inlineStr">
        <is>
          <t>In AIOSEO schema settings for the page, add the most relevant type (Article/FAQ/HowTo/Product, etc.). (Taxonomy/Archive page: navigate via AIOSEO → Search Appearance → Taxonomies.)</t>
        </is>
      </c>
      <c r="K77" s="28" t="inlineStr">
        <is>
          <t>Schema &amp; Metadata</t>
        </is>
      </c>
      <c r="L77" s="28" t="inlineStr">
        <is>
          <t>Schema Types Count</t>
        </is>
      </c>
      <c r="M77" s="28" t="inlineStr">
        <is>
          <t>Yes</t>
        </is>
      </c>
      <c r="N77" s="28" t="inlineStr">
        <is>
          <t>Copy Writer</t>
        </is>
      </c>
      <c r="O77" s="36" t="inlineStr">
        <is>
          <t>Open</t>
        </is>
      </c>
      <c r="P77" s="28" t="n">
        <v>4</v>
      </c>
      <c r="Q77" s="28" t="inlineStr">
        <is>
          <t>https://africanmarketingconfederation.org/smoke-archive/page-34::aioseo_no_schema_markup_detected</t>
        </is>
      </c>
      <c r="R77" s="28" t="inlineStr">
        <is>
          <t>Schema improves understanding and rich result eligibility.</t>
        </is>
      </c>
      <c r="S77">
        <f>IFERROR(HYPERLINK("#'Main'!B"&amp;MATCH(TRIM(A77),'Main'!B:B,0),"Open"),HYPERLINK("#'Main'!B1","Open"))</f>
        <v/>
      </c>
      <c r="T77">
        <f>IFERROR(HYPERLINK("#'Technical Diagnostics'!A"&amp;MATCH(A77,'Technical Diagnostics'!A:A,0),"Open"),HYPERLINK("#'Technical Diagnostics'!A1","Open"))</f>
        <v/>
      </c>
    </row>
    <row r="78" ht="60" customHeight="1">
      <c r="A78" s="37" t="inlineStr">
        <is>
          <t>https://africanmarketingconfederation.org/smoke-archive/page-35</t>
        </is>
      </c>
      <c r="B78" s="30" t="inlineStr"/>
      <c r="C78" s="30" t="inlineStr"/>
      <c r="D78" s="30" t="inlineStr">
        <is>
          <t>Schema</t>
        </is>
      </c>
      <c r="E78" s="29" t="inlineStr">
        <is>
          <t>Warning</t>
        </is>
      </c>
      <c r="F78" s="30" t="inlineStr">
        <is>
          <t>No schema markup detected</t>
        </is>
      </c>
      <c r="G78" s="30" t="n">
        <v>67</v>
      </c>
      <c r="H78" s="30" t="n">
        <v>0</v>
      </c>
      <c r="I78" s="30" t="inlineStr">
        <is>
          <t>At least one relevant schema type</t>
        </is>
      </c>
      <c r="J78" s="30" t="inlineStr">
        <is>
          <t>In AIOSEO schema settings for the page, add the most relevant type (Article/FAQ/HowTo/Product, etc.). (Taxonomy/Archive page: navigate via AIOSEO → Search Appearance → Taxonomies.)</t>
        </is>
      </c>
      <c r="K78" s="30" t="inlineStr">
        <is>
          <t>Schema &amp; Metadata</t>
        </is>
      </c>
      <c r="L78" s="30" t="inlineStr">
        <is>
          <t>Schema Types Count</t>
        </is>
      </c>
      <c r="M78" s="30" t="inlineStr">
        <is>
          <t>Yes</t>
        </is>
      </c>
      <c r="N78" s="30" t="inlineStr">
        <is>
          <t>Copy Writer</t>
        </is>
      </c>
      <c r="O78" s="36" t="inlineStr">
        <is>
          <t>Open</t>
        </is>
      </c>
      <c r="P78" s="30" t="n">
        <v>4</v>
      </c>
      <c r="Q78" s="30" t="inlineStr">
        <is>
          <t>https://africanmarketingconfederation.org/smoke-archive/page-35::aioseo_no_schema_markup_detected</t>
        </is>
      </c>
      <c r="R78" s="30" t="inlineStr">
        <is>
          <t>Schema improves understanding and rich result eligibility.</t>
        </is>
      </c>
      <c r="S78" s="38">
        <f>IFERROR(HYPERLINK("#'Main'!B"&amp;MATCH(TRIM(A78),'Main'!B:B,0),"Open"),HYPERLINK("#'Main'!B1","Open"))</f>
        <v/>
      </c>
      <c r="T78" s="38">
        <f>IFERROR(HYPERLINK("#'Technical Diagnostics'!A"&amp;MATCH(A78,'Technical Diagnostics'!A:A,0),"Open"),HYPERLINK("#'Technical Diagnostics'!A1","Open"))</f>
        <v/>
      </c>
    </row>
    <row r="79" ht="60" customHeight="1">
      <c r="A79" s="35" t="inlineStr">
        <is>
          <t>https://africanmarketingconfederation.org/smoke-archive/page-36</t>
        </is>
      </c>
      <c r="B79" s="28" t="inlineStr"/>
      <c r="C79" s="28" t="inlineStr"/>
      <c r="D79" s="28" t="inlineStr">
        <is>
          <t>Schema</t>
        </is>
      </c>
      <c r="E79" s="29" t="inlineStr">
        <is>
          <t>Warning</t>
        </is>
      </c>
      <c r="F79" s="28" t="inlineStr">
        <is>
          <t>No schema markup detected</t>
        </is>
      </c>
      <c r="G79" s="28" t="n">
        <v>67</v>
      </c>
      <c r="H79" s="28" t="n">
        <v>0</v>
      </c>
      <c r="I79" s="28" t="inlineStr">
        <is>
          <t>At least one relevant schema type</t>
        </is>
      </c>
      <c r="J79" s="28" t="inlineStr">
        <is>
          <t>In AIOSEO schema settings for the page, add the most relevant type (Article/FAQ/HowTo/Product, etc.). (Taxonomy/Archive page: navigate via AIOSEO → Search Appearance → Taxonomies.)</t>
        </is>
      </c>
      <c r="K79" s="28" t="inlineStr">
        <is>
          <t>Schema &amp; Metadata</t>
        </is>
      </c>
      <c r="L79" s="28" t="inlineStr">
        <is>
          <t>Schema Types Count</t>
        </is>
      </c>
      <c r="M79" s="28" t="inlineStr">
        <is>
          <t>Yes</t>
        </is>
      </c>
      <c r="N79" s="28" t="inlineStr">
        <is>
          <t>Copy Writer</t>
        </is>
      </c>
      <c r="O79" s="36" t="inlineStr">
        <is>
          <t>Open</t>
        </is>
      </c>
      <c r="P79" s="28" t="n">
        <v>4</v>
      </c>
      <c r="Q79" s="28" t="inlineStr">
        <is>
          <t>https://africanmarketingconfederation.org/smoke-archive/page-36::aioseo_no_schema_markup_detected</t>
        </is>
      </c>
      <c r="R79" s="28" t="inlineStr">
        <is>
          <t>Schema improves understanding and rich result eligibility.</t>
        </is>
      </c>
      <c r="S79">
        <f>IFERROR(HYPERLINK("#'Main'!B"&amp;MATCH(TRIM(A79),'Main'!B:B,0),"Open"),HYPERLINK("#'Main'!B1","Open"))</f>
        <v/>
      </c>
      <c r="T79">
        <f>IFERROR(HYPERLINK("#'Technical Diagnostics'!A"&amp;MATCH(A79,'Technical Diagnostics'!A:A,0),"Open"),HYPERLINK("#'Technical Diagnostics'!A1","Open"))</f>
        <v/>
      </c>
    </row>
    <row r="80" ht="60" customHeight="1">
      <c r="A80" s="37" t="inlineStr">
        <is>
          <t>https://africanmarketingconfederation.org/smoke-archive/page-37</t>
        </is>
      </c>
      <c r="B80" s="30" t="inlineStr"/>
      <c r="C80" s="30" t="inlineStr"/>
      <c r="D80" s="30" t="inlineStr">
        <is>
          <t>Schema</t>
        </is>
      </c>
      <c r="E80" s="29" t="inlineStr">
        <is>
          <t>Warning</t>
        </is>
      </c>
      <c r="F80" s="30" t="inlineStr">
        <is>
          <t>No schema markup detected</t>
        </is>
      </c>
      <c r="G80" s="30" t="n">
        <v>67</v>
      </c>
      <c r="H80" s="30" t="n">
        <v>0</v>
      </c>
      <c r="I80" s="30" t="inlineStr">
        <is>
          <t>At least one relevant schema type</t>
        </is>
      </c>
      <c r="J80" s="30" t="inlineStr">
        <is>
          <t>In AIOSEO schema settings for the page, add the most relevant type (Article/FAQ/HowTo/Product, etc.). (Taxonomy/Archive page: navigate via AIOSEO → Search Appearance → Taxonomies.)</t>
        </is>
      </c>
      <c r="K80" s="30" t="inlineStr">
        <is>
          <t>Schema &amp; Metadata</t>
        </is>
      </c>
      <c r="L80" s="30" t="inlineStr">
        <is>
          <t>Schema Types Count</t>
        </is>
      </c>
      <c r="M80" s="30" t="inlineStr">
        <is>
          <t>Yes</t>
        </is>
      </c>
      <c r="N80" s="30" t="inlineStr">
        <is>
          <t>Copy Writer</t>
        </is>
      </c>
      <c r="O80" s="36" t="inlineStr">
        <is>
          <t>Open</t>
        </is>
      </c>
      <c r="P80" s="30" t="n">
        <v>4</v>
      </c>
      <c r="Q80" s="30" t="inlineStr">
        <is>
          <t>https://africanmarketingconfederation.org/smoke-archive/page-37::aioseo_no_schema_markup_detected</t>
        </is>
      </c>
      <c r="R80" s="30" t="inlineStr">
        <is>
          <t>Schema improves understanding and rich result eligibility.</t>
        </is>
      </c>
      <c r="S80" s="38">
        <f>IFERROR(HYPERLINK("#'Main'!B"&amp;MATCH(TRIM(A80),'Main'!B:B,0),"Open"),HYPERLINK("#'Main'!B1","Open"))</f>
        <v/>
      </c>
      <c r="T80" s="38">
        <f>IFERROR(HYPERLINK("#'Technical Diagnostics'!A"&amp;MATCH(A80,'Technical Diagnostics'!A:A,0),"Open"),HYPERLINK("#'Technical Diagnostics'!A1","Open"))</f>
        <v/>
      </c>
    </row>
    <row r="81" ht="60" customHeight="1">
      <c r="A81" s="35" t="inlineStr">
        <is>
          <t>https://africanmarketingconfederation.org/smoke-archive/page-38</t>
        </is>
      </c>
      <c r="B81" s="28" t="inlineStr"/>
      <c r="C81" s="28" t="inlineStr"/>
      <c r="D81" s="28" t="inlineStr">
        <is>
          <t>Schema</t>
        </is>
      </c>
      <c r="E81" s="29" t="inlineStr">
        <is>
          <t>Warning</t>
        </is>
      </c>
      <c r="F81" s="28" t="inlineStr">
        <is>
          <t>No schema markup detected</t>
        </is>
      </c>
      <c r="G81" s="28" t="n">
        <v>67</v>
      </c>
      <c r="H81" s="28" t="n">
        <v>0</v>
      </c>
      <c r="I81" s="28" t="inlineStr">
        <is>
          <t>At least one relevant schema type</t>
        </is>
      </c>
      <c r="J81" s="28" t="inlineStr">
        <is>
          <t>In AIOSEO schema settings for the page, add the most relevant type (Article/FAQ/HowTo/Product, etc.). (Taxonomy/Archive page: navigate via AIOSEO → Search Appearance → Taxonomies.)</t>
        </is>
      </c>
      <c r="K81" s="28" t="inlineStr">
        <is>
          <t>Schema &amp; Metadata</t>
        </is>
      </c>
      <c r="L81" s="28" t="inlineStr">
        <is>
          <t>Schema Types Count</t>
        </is>
      </c>
      <c r="M81" s="28" t="inlineStr">
        <is>
          <t>Yes</t>
        </is>
      </c>
      <c r="N81" s="28" t="inlineStr">
        <is>
          <t>Copy Writer</t>
        </is>
      </c>
      <c r="O81" s="36" t="inlineStr">
        <is>
          <t>Open</t>
        </is>
      </c>
      <c r="P81" s="28" t="n">
        <v>4</v>
      </c>
      <c r="Q81" s="28" t="inlineStr">
        <is>
          <t>https://africanmarketingconfederation.org/smoke-archive/page-38::aioseo_no_schema_markup_detected</t>
        </is>
      </c>
      <c r="R81" s="28" t="inlineStr">
        <is>
          <t>Schema improves understanding and rich result eligibility.</t>
        </is>
      </c>
      <c r="S81">
        <f>IFERROR(HYPERLINK("#'Main'!B"&amp;MATCH(TRIM(A81),'Main'!B:B,0),"Open"),HYPERLINK("#'Main'!B1","Open"))</f>
        <v/>
      </c>
      <c r="T81">
        <f>IFERROR(HYPERLINK("#'Technical Diagnostics'!A"&amp;MATCH(A81,'Technical Diagnostics'!A:A,0),"Open"),HYPERLINK("#'Technical Diagnostics'!A1","Open"))</f>
        <v/>
      </c>
    </row>
    <row r="82" ht="60" customHeight="1">
      <c r="A82" s="37" t="inlineStr">
        <is>
          <t>https://africanmarketingconfederation.org/smoke-archive/page-39</t>
        </is>
      </c>
      <c r="B82" s="30" t="inlineStr"/>
      <c r="C82" s="30" t="inlineStr"/>
      <c r="D82" s="30" t="inlineStr">
        <is>
          <t>Schema</t>
        </is>
      </c>
      <c r="E82" s="29" t="inlineStr">
        <is>
          <t>Warning</t>
        </is>
      </c>
      <c r="F82" s="30" t="inlineStr">
        <is>
          <t>No schema markup detected</t>
        </is>
      </c>
      <c r="G82" s="30" t="n">
        <v>67</v>
      </c>
      <c r="H82" s="30" t="n">
        <v>0</v>
      </c>
      <c r="I82" s="30" t="inlineStr">
        <is>
          <t>At least one relevant schema type</t>
        </is>
      </c>
      <c r="J82" s="30" t="inlineStr">
        <is>
          <t>In AIOSEO schema settings for the page, add the most relevant type (Article/FAQ/HowTo/Product, etc.). (Taxonomy/Archive page: navigate via AIOSEO → Search Appearance → Taxonomies.)</t>
        </is>
      </c>
      <c r="K82" s="30" t="inlineStr">
        <is>
          <t>Schema &amp; Metadata</t>
        </is>
      </c>
      <c r="L82" s="30" t="inlineStr">
        <is>
          <t>Schema Types Count</t>
        </is>
      </c>
      <c r="M82" s="30" t="inlineStr">
        <is>
          <t>Yes</t>
        </is>
      </c>
      <c r="N82" s="30" t="inlineStr">
        <is>
          <t>Copy Writer</t>
        </is>
      </c>
      <c r="O82" s="36" t="inlineStr">
        <is>
          <t>Open</t>
        </is>
      </c>
      <c r="P82" s="30" t="n">
        <v>4</v>
      </c>
      <c r="Q82" s="30" t="inlineStr">
        <is>
          <t>https://africanmarketingconfederation.org/smoke-archive/page-39::aioseo_no_schema_markup_detected</t>
        </is>
      </c>
      <c r="R82" s="30" t="inlineStr">
        <is>
          <t>Schema improves understanding and rich result eligibility.</t>
        </is>
      </c>
      <c r="S82" s="38">
        <f>IFERROR(HYPERLINK("#'Main'!B"&amp;MATCH(TRIM(A82),'Main'!B:B,0),"Open"),HYPERLINK("#'Main'!B1","Open"))</f>
        <v/>
      </c>
      <c r="T82" s="38">
        <f>IFERROR(HYPERLINK("#'Technical Diagnostics'!A"&amp;MATCH(A82,'Technical Diagnostics'!A:A,0),"Open"),HYPERLINK("#'Technical Diagnostics'!A1","Open"))</f>
        <v/>
      </c>
    </row>
    <row r="83" ht="60" customHeight="1">
      <c r="A83" s="35" t="inlineStr">
        <is>
          <t>https://africanmarketingconfederation.org/smoke-archive/page-4</t>
        </is>
      </c>
      <c r="B83" s="28" t="inlineStr"/>
      <c r="C83" s="28" t="inlineStr"/>
      <c r="D83" s="28" t="inlineStr">
        <is>
          <t>Schema</t>
        </is>
      </c>
      <c r="E83" s="29" t="inlineStr">
        <is>
          <t>Warning</t>
        </is>
      </c>
      <c r="F83" s="28" t="inlineStr">
        <is>
          <t>No schema markup detected</t>
        </is>
      </c>
      <c r="G83" s="28" t="n">
        <v>67</v>
      </c>
      <c r="H83" s="28" t="n">
        <v>0</v>
      </c>
      <c r="I83" s="28" t="inlineStr">
        <is>
          <t>At least one relevant schema type</t>
        </is>
      </c>
      <c r="J83" s="28" t="inlineStr">
        <is>
          <t>In AIOSEO schema settings for the page, add the most relevant type (Article/FAQ/HowTo/Product, etc.). (Taxonomy/Archive page: navigate via AIOSEO → Search Appearance → Taxonomies.)</t>
        </is>
      </c>
      <c r="K83" s="28" t="inlineStr">
        <is>
          <t>Schema &amp; Metadata</t>
        </is>
      </c>
      <c r="L83" s="28" t="inlineStr">
        <is>
          <t>Schema Types Count</t>
        </is>
      </c>
      <c r="M83" s="28" t="inlineStr">
        <is>
          <t>Yes</t>
        </is>
      </c>
      <c r="N83" s="28" t="inlineStr">
        <is>
          <t>Copy Writer</t>
        </is>
      </c>
      <c r="O83" s="36" t="inlineStr">
        <is>
          <t>Open</t>
        </is>
      </c>
      <c r="P83" s="28" t="n">
        <v>4</v>
      </c>
      <c r="Q83" s="28" t="inlineStr">
        <is>
          <t>https://africanmarketingconfederation.org/smoke-archive/page-4::aioseo_no_schema_markup_detected</t>
        </is>
      </c>
      <c r="R83" s="28" t="inlineStr">
        <is>
          <t>Schema improves understanding and rich result eligibility.</t>
        </is>
      </c>
      <c r="S83">
        <f>IFERROR(HYPERLINK("#'Main'!B"&amp;MATCH(TRIM(A83),'Main'!B:B,0),"Open"),HYPERLINK("#'Main'!B1","Open"))</f>
        <v/>
      </c>
      <c r="T83">
        <f>IFERROR(HYPERLINK("#'Technical Diagnostics'!A"&amp;MATCH(A83,'Technical Diagnostics'!A:A,0),"Open"),HYPERLINK("#'Technical Diagnostics'!A1","Open"))</f>
        <v/>
      </c>
    </row>
    <row r="84" ht="60" customHeight="1">
      <c r="A84" s="37" t="inlineStr">
        <is>
          <t>https://africanmarketingconfederation.org/smoke-archive/page-40</t>
        </is>
      </c>
      <c r="B84" s="30" t="inlineStr"/>
      <c r="C84" s="30" t="inlineStr"/>
      <c r="D84" s="30" t="inlineStr">
        <is>
          <t>Schema</t>
        </is>
      </c>
      <c r="E84" s="29" t="inlineStr">
        <is>
          <t>Warning</t>
        </is>
      </c>
      <c r="F84" s="30" t="inlineStr">
        <is>
          <t>No schema markup detected</t>
        </is>
      </c>
      <c r="G84" s="30" t="n">
        <v>67</v>
      </c>
      <c r="H84" s="30" t="n">
        <v>0</v>
      </c>
      <c r="I84" s="30" t="inlineStr">
        <is>
          <t>At least one relevant schema type</t>
        </is>
      </c>
      <c r="J84" s="30" t="inlineStr">
        <is>
          <t>In AIOSEO schema settings for the page, add the most relevant type (Article/FAQ/HowTo/Product, etc.). (Taxonomy/Archive page: navigate via AIOSEO → Search Appearance → Taxonomies.)</t>
        </is>
      </c>
      <c r="K84" s="30" t="inlineStr">
        <is>
          <t>Schema &amp; Metadata</t>
        </is>
      </c>
      <c r="L84" s="30" t="inlineStr">
        <is>
          <t>Schema Types Count</t>
        </is>
      </c>
      <c r="M84" s="30" t="inlineStr">
        <is>
          <t>Yes</t>
        </is>
      </c>
      <c r="N84" s="30" t="inlineStr">
        <is>
          <t>Copy Writer</t>
        </is>
      </c>
      <c r="O84" s="36" t="inlineStr">
        <is>
          <t>Open</t>
        </is>
      </c>
      <c r="P84" s="30" t="n">
        <v>4</v>
      </c>
      <c r="Q84" s="30" t="inlineStr">
        <is>
          <t>https://africanmarketingconfederation.org/smoke-archive/page-40::aioseo_no_schema_markup_detected</t>
        </is>
      </c>
      <c r="R84" s="30" t="inlineStr">
        <is>
          <t>Schema improves understanding and rich result eligibility.</t>
        </is>
      </c>
      <c r="S84" s="38">
        <f>IFERROR(HYPERLINK("#'Main'!B"&amp;MATCH(TRIM(A84),'Main'!B:B,0),"Open"),HYPERLINK("#'Main'!B1","Open"))</f>
        <v/>
      </c>
      <c r="T84" s="38">
        <f>IFERROR(HYPERLINK("#'Technical Diagnostics'!A"&amp;MATCH(A84,'Technical Diagnostics'!A:A,0),"Open"),HYPERLINK("#'Technical Diagnostics'!A1","Open"))</f>
        <v/>
      </c>
    </row>
    <row r="85" ht="60" customHeight="1">
      <c r="A85" s="35" t="inlineStr">
        <is>
          <t>https://africanmarketingconfederation.org/smoke-archive/page-41</t>
        </is>
      </c>
      <c r="B85" s="28" t="inlineStr"/>
      <c r="C85" s="28" t="inlineStr"/>
      <c r="D85" s="28" t="inlineStr">
        <is>
          <t>Schema</t>
        </is>
      </c>
      <c r="E85" s="29" t="inlineStr">
        <is>
          <t>Warning</t>
        </is>
      </c>
      <c r="F85" s="28" t="inlineStr">
        <is>
          <t>No schema markup detected</t>
        </is>
      </c>
      <c r="G85" s="28" t="n">
        <v>67</v>
      </c>
      <c r="H85" s="28" t="n">
        <v>0</v>
      </c>
      <c r="I85" s="28" t="inlineStr">
        <is>
          <t>At least one relevant schema type</t>
        </is>
      </c>
      <c r="J85" s="28" t="inlineStr">
        <is>
          <t>In AIOSEO schema settings for the page, add the most relevant type (Article/FAQ/HowTo/Product, etc.). (Taxonomy/Archive page: navigate via AIOSEO → Search Appearance → Taxonomies.)</t>
        </is>
      </c>
      <c r="K85" s="28" t="inlineStr">
        <is>
          <t>Schema &amp; Metadata</t>
        </is>
      </c>
      <c r="L85" s="28" t="inlineStr">
        <is>
          <t>Schema Types Count</t>
        </is>
      </c>
      <c r="M85" s="28" t="inlineStr">
        <is>
          <t>Yes</t>
        </is>
      </c>
      <c r="N85" s="28" t="inlineStr">
        <is>
          <t>Copy Writer</t>
        </is>
      </c>
      <c r="O85" s="36" t="inlineStr">
        <is>
          <t>Open</t>
        </is>
      </c>
      <c r="P85" s="28" t="n">
        <v>4</v>
      </c>
      <c r="Q85" s="28" t="inlineStr">
        <is>
          <t>https://africanmarketingconfederation.org/smoke-archive/page-41::aioseo_no_schema_markup_detected</t>
        </is>
      </c>
      <c r="R85" s="28" t="inlineStr">
        <is>
          <t>Schema improves understanding and rich result eligibility.</t>
        </is>
      </c>
      <c r="S85">
        <f>IFERROR(HYPERLINK("#'Main'!B"&amp;MATCH(TRIM(A85),'Main'!B:B,0),"Open"),HYPERLINK("#'Main'!B1","Open"))</f>
        <v/>
      </c>
      <c r="T85">
        <f>IFERROR(HYPERLINK("#'Technical Diagnostics'!A"&amp;MATCH(A85,'Technical Diagnostics'!A:A,0),"Open"),HYPERLINK("#'Technical Diagnostics'!A1","Open"))</f>
        <v/>
      </c>
    </row>
    <row r="86" ht="60" customHeight="1">
      <c r="A86" s="37" t="inlineStr">
        <is>
          <t>https://africanmarketingconfederation.org/smoke-archive/page-42</t>
        </is>
      </c>
      <c r="B86" s="30" t="inlineStr"/>
      <c r="C86" s="30" t="inlineStr"/>
      <c r="D86" s="30" t="inlineStr">
        <is>
          <t>Schema</t>
        </is>
      </c>
      <c r="E86" s="29" t="inlineStr">
        <is>
          <t>Warning</t>
        </is>
      </c>
      <c r="F86" s="30" t="inlineStr">
        <is>
          <t>No schema markup detected</t>
        </is>
      </c>
      <c r="G86" s="30" t="n">
        <v>67</v>
      </c>
      <c r="H86" s="30" t="n">
        <v>0</v>
      </c>
      <c r="I86" s="30" t="inlineStr">
        <is>
          <t>At least one relevant schema type</t>
        </is>
      </c>
      <c r="J86" s="30" t="inlineStr">
        <is>
          <t>In AIOSEO schema settings for the page, add the most relevant type (Article/FAQ/HowTo/Product, etc.). (Taxonomy/Archive page: navigate via AIOSEO → Search Appearance → Taxonomies.)</t>
        </is>
      </c>
      <c r="K86" s="30" t="inlineStr">
        <is>
          <t>Schema &amp; Metadata</t>
        </is>
      </c>
      <c r="L86" s="30" t="inlineStr">
        <is>
          <t>Schema Types Count</t>
        </is>
      </c>
      <c r="M86" s="30" t="inlineStr">
        <is>
          <t>Yes</t>
        </is>
      </c>
      <c r="N86" s="30" t="inlineStr">
        <is>
          <t>Copy Writer</t>
        </is>
      </c>
      <c r="O86" s="36" t="inlineStr">
        <is>
          <t>Open</t>
        </is>
      </c>
      <c r="P86" s="30" t="n">
        <v>4</v>
      </c>
      <c r="Q86" s="30" t="inlineStr">
        <is>
          <t>https://africanmarketingconfederation.org/smoke-archive/page-42::aioseo_no_schema_markup_detected</t>
        </is>
      </c>
      <c r="R86" s="30" t="inlineStr">
        <is>
          <t>Schema improves understanding and rich result eligibility.</t>
        </is>
      </c>
      <c r="S86" s="38">
        <f>IFERROR(HYPERLINK("#'Main'!B"&amp;MATCH(TRIM(A86),'Main'!B:B,0),"Open"),HYPERLINK("#'Main'!B1","Open"))</f>
        <v/>
      </c>
      <c r="T86" s="38">
        <f>IFERROR(HYPERLINK("#'Technical Diagnostics'!A"&amp;MATCH(A86,'Technical Diagnostics'!A:A,0),"Open"),HYPERLINK("#'Technical Diagnostics'!A1","Open"))</f>
        <v/>
      </c>
    </row>
    <row r="87" ht="60" customHeight="1">
      <c r="A87" s="35" t="inlineStr">
        <is>
          <t>https://africanmarketingconfederation.org/smoke-archive/page-43</t>
        </is>
      </c>
      <c r="B87" s="28" t="inlineStr"/>
      <c r="C87" s="28" t="inlineStr"/>
      <c r="D87" s="28" t="inlineStr">
        <is>
          <t>Schema</t>
        </is>
      </c>
      <c r="E87" s="29" t="inlineStr">
        <is>
          <t>Warning</t>
        </is>
      </c>
      <c r="F87" s="28" t="inlineStr">
        <is>
          <t>No schema markup detected</t>
        </is>
      </c>
      <c r="G87" s="28" t="n">
        <v>67</v>
      </c>
      <c r="H87" s="28" t="n">
        <v>0</v>
      </c>
      <c r="I87" s="28" t="inlineStr">
        <is>
          <t>At least one relevant schema type</t>
        </is>
      </c>
      <c r="J87" s="28" t="inlineStr">
        <is>
          <t>In AIOSEO schema settings for the page, add the most relevant type (Article/FAQ/HowTo/Product, etc.). (Taxonomy/Archive page: navigate via AIOSEO → Search Appearance → Taxonomies.)</t>
        </is>
      </c>
      <c r="K87" s="28" t="inlineStr">
        <is>
          <t>Schema &amp; Metadata</t>
        </is>
      </c>
      <c r="L87" s="28" t="inlineStr">
        <is>
          <t>Schema Types Count</t>
        </is>
      </c>
      <c r="M87" s="28" t="inlineStr">
        <is>
          <t>Yes</t>
        </is>
      </c>
      <c r="N87" s="28" t="inlineStr">
        <is>
          <t>Copy Writer</t>
        </is>
      </c>
      <c r="O87" s="36" t="inlineStr">
        <is>
          <t>Open</t>
        </is>
      </c>
      <c r="P87" s="28" t="n">
        <v>4</v>
      </c>
      <c r="Q87" s="28" t="inlineStr">
        <is>
          <t>https://africanmarketingconfederation.org/smoke-archive/page-43::aioseo_no_schema_markup_detected</t>
        </is>
      </c>
      <c r="R87" s="28" t="inlineStr">
        <is>
          <t>Schema improves understanding and rich result eligibility.</t>
        </is>
      </c>
      <c r="S87">
        <f>IFERROR(HYPERLINK("#'Main'!B"&amp;MATCH(TRIM(A87),'Main'!B:B,0),"Open"),HYPERLINK("#'Main'!B1","Open"))</f>
        <v/>
      </c>
      <c r="T87">
        <f>IFERROR(HYPERLINK("#'Technical Diagnostics'!A"&amp;MATCH(A87,'Technical Diagnostics'!A:A,0),"Open"),HYPERLINK("#'Technical Diagnostics'!A1","Open"))</f>
        <v/>
      </c>
    </row>
    <row r="88" ht="60" customHeight="1">
      <c r="A88" s="37" t="inlineStr">
        <is>
          <t>https://africanmarketingconfederation.org/smoke-archive/page-44</t>
        </is>
      </c>
      <c r="B88" s="30" t="inlineStr"/>
      <c r="C88" s="30" t="inlineStr"/>
      <c r="D88" s="30" t="inlineStr">
        <is>
          <t>Schema</t>
        </is>
      </c>
      <c r="E88" s="29" t="inlineStr">
        <is>
          <t>Warning</t>
        </is>
      </c>
      <c r="F88" s="30" t="inlineStr">
        <is>
          <t>No schema markup detected</t>
        </is>
      </c>
      <c r="G88" s="30" t="n">
        <v>67</v>
      </c>
      <c r="H88" s="30" t="n">
        <v>0</v>
      </c>
      <c r="I88" s="30" t="inlineStr">
        <is>
          <t>At least one relevant schema type</t>
        </is>
      </c>
      <c r="J88" s="30" t="inlineStr">
        <is>
          <t>In AIOSEO schema settings for the page, add the most relevant type (Article/FAQ/HowTo/Product, etc.). (Taxonomy/Archive page: navigate via AIOSEO → Search Appearance → Taxonomies.)</t>
        </is>
      </c>
      <c r="K88" s="30" t="inlineStr">
        <is>
          <t>Schema &amp; Metadata</t>
        </is>
      </c>
      <c r="L88" s="30" t="inlineStr">
        <is>
          <t>Schema Types Count</t>
        </is>
      </c>
      <c r="M88" s="30" t="inlineStr">
        <is>
          <t>Yes</t>
        </is>
      </c>
      <c r="N88" s="30" t="inlineStr">
        <is>
          <t>Copy Writer</t>
        </is>
      </c>
      <c r="O88" s="36" t="inlineStr">
        <is>
          <t>Open</t>
        </is>
      </c>
      <c r="P88" s="30" t="n">
        <v>4</v>
      </c>
      <c r="Q88" s="30" t="inlineStr">
        <is>
          <t>https://africanmarketingconfederation.org/smoke-archive/page-44::aioseo_no_schema_markup_detected</t>
        </is>
      </c>
      <c r="R88" s="30" t="inlineStr">
        <is>
          <t>Schema improves understanding and rich result eligibility.</t>
        </is>
      </c>
      <c r="S88" s="38">
        <f>IFERROR(HYPERLINK("#'Main'!B"&amp;MATCH(TRIM(A88),'Main'!B:B,0),"Open"),HYPERLINK("#'Main'!B1","Open"))</f>
        <v/>
      </c>
      <c r="T88" s="38">
        <f>IFERROR(HYPERLINK("#'Technical Diagnostics'!A"&amp;MATCH(A88,'Technical Diagnostics'!A:A,0),"Open"),HYPERLINK("#'Technical Diagnostics'!A1","Open"))</f>
        <v/>
      </c>
    </row>
    <row r="89" ht="60" customHeight="1">
      <c r="A89" s="35" t="inlineStr">
        <is>
          <t>https://africanmarketingconfederation.org/smoke-archive/page-45</t>
        </is>
      </c>
      <c r="B89" s="28" t="inlineStr"/>
      <c r="C89" s="28" t="inlineStr"/>
      <c r="D89" s="28" t="inlineStr">
        <is>
          <t>Schema</t>
        </is>
      </c>
      <c r="E89" s="29" t="inlineStr">
        <is>
          <t>Warning</t>
        </is>
      </c>
      <c r="F89" s="28" t="inlineStr">
        <is>
          <t>No schema markup detected</t>
        </is>
      </c>
      <c r="G89" s="28" t="n">
        <v>67</v>
      </c>
      <c r="H89" s="28" t="n">
        <v>0</v>
      </c>
      <c r="I89" s="28" t="inlineStr">
        <is>
          <t>At least one relevant schema type</t>
        </is>
      </c>
      <c r="J89" s="28" t="inlineStr">
        <is>
          <t>In AIOSEO schema settings for the page, add the most relevant type (Article/FAQ/HowTo/Product, etc.). (Taxonomy/Archive page: navigate via AIOSEO → Search Appearance → Taxonomies.)</t>
        </is>
      </c>
      <c r="K89" s="28" t="inlineStr">
        <is>
          <t>Schema &amp; Metadata</t>
        </is>
      </c>
      <c r="L89" s="28" t="inlineStr">
        <is>
          <t>Schema Types Count</t>
        </is>
      </c>
      <c r="M89" s="28" t="inlineStr">
        <is>
          <t>Yes</t>
        </is>
      </c>
      <c r="N89" s="28" t="inlineStr">
        <is>
          <t>Copy Writer</t>
        </is>
      </c>
      <c r="O89" s="36" t="inlineStr">
        <is>
          <t>Open</t>
        </is>
      </c>
      <c r="P89" s="28" t="n">
        <v>4</v>
      </c>
      <c r="Q89" s="28" t="inlineStr">
        <is>
          <t>https://africanmarketingconfederation.org/smoke-archive/page-45::aioseo_no_schema_markup_detected</t>
        </is>
      </c>
      <c r="R89" s="28" t="inlineStr">
        <is>
          <t>Schema improves understanding and rich result eligibility.</t>
        </is>
      </c>
      <c r="S89">
        <f>IFERROR(HYPERLINK("#'Main'!B"&amp;MATCH(TRIM(A89),'Main'!B:B,0),"Open"),HYPERLINK("#'Main'!B1","Open"))</f>
        <v/>
      </c>
      <c r="T89">
        <f>IFERROR(HYPERLINK("#'Technical Diagnostics'!A"&amp;MATCH(A89,'Technical Diagnostics'!A:A,0),"Open"),HYPERLINK("#'Technical Diagnostics'!A1","Open"))</f>
        <v/>
      </c>
    </row>
    <row r="90" ht="60" customHeight="1">
      <c r="A90" s="37" t="inlineStr">
        <is>
          <t>https://africanmarketingconfederation.org/smoke-archive/page-46</t>
        </is>
      </c>
      <c r="B90" s="30" t="inlineStr"/>
      <c r="C90" s="30" t="inlineStr"/>
      <c r="D90" s="30" t="inlineStr">
        <is>
          <t>Schema</t>
        </is>
      </c>
      <c r="E90" s="29" t="inlineStr">
        <is>
          <t>Warning</t>
        </is>
      </c>
      <c r="F90" s="30" t="inlineStr">
        <is>
          <t>No schema markup detected</t>
        </is>
      </c>
      <c r="G90" s="30" t="n">
        <v>67</v>
      </c>
      <c r="H90" s="30" t="n">
        <v>0</v>
      </c>
      <c r="I90" s="30" t="inlineStr">
        <is>
          <t>At least one relevant schema type</t>
        </is>
      </c>
      <c r="J90" s="30" t="inlineStr">
        <is>
          <t>In AIOSEO schema settings for the page, add the most relevant type (Article/FAQ/HowTo/Product, etc.). (Taxonomy/Archive page: navigate via AIOSEO → Search Appearance → Taxonomies.)</t>
        </is>
      </c>
      <c r="K90" s="30" t="inlineStr">
        <is>
          <t>Schema &amp; Metadata</t>
        </is>
      </c>
      <c r="L90" s="30" t="inlineStr">
        <is>
          <t>Schema Types Count</t>
        </is>
      </c>
      <c r="M90" s="30" t="inlineStr">
        <is>
          <t>Yes</t>
        </is>
      </c>
      <c r="N90" s="30" t="inlineStr">
        <is>
          <t>Copy Writer</t>
        </is>
      </c>
      <c r="O90" s="36" t="inlineStr">
        <is>
          <t>Open</t>
        </is>
      </c>
      <c r="P90" s="30" t="n">
        <v>4</v>
      </c>
      <c r="Q90" s="30" t="inlineStr">
        <is>
          <t>https://africanmarketingconfederation.org/smoke-archive/page-46::aioseo_no_schema_markup_detected</t>
        </is>
      </c>
      <c r="R90" s="30" t="inlineStr">
        <is>
          <t>Schema improves understanding and rich result eligibility.</t>
        </is>
      </c>
      <c r="S90" s="38">
        <f>IFERROR(HYPERLINK("#'Main'!B"&amp;MATCH(TRIM(A90),'Main'!B:B,0),"Open"),HYPERLINK("#'Main'!B1","Open"))</f>
        <v/>
      </c>
      <c r="T90" s="38">
        <f>IFERROR(HYPERLINK("#'Technical Diagnostics'!A"&amp;MATCH(A90,'Technical Diagnostics'!A:A,0),"Open"),HYPERLINK("#'Technical Diagnostics'!A1","Open"))</f>
        <v/>
      </c>
    </row>
    <row r="91" ht="60" customHeight="1">
      <c r="A91" s="35" t="inlineStr">
        <is>
          <t>https://africanmarketingconfederation.org/smoke-archive/page-47</t>
        </is>
      </c>
      <c r="B91" s="28" t="inlineStr"/>
      <c r="C91" s="28" t="inlineStr"/>
      <c r="D91" s="28" t="inlineStr">
        <is>
          <t>Schema</t>
        </is>
      </c>
      <c r="E91" s="29" t="inlineStr">
        <is>
          <t>Warning</t>
        </is>
      </c>
      <c r="F91" s="28" t="inlineStr">
        <is>
          <t>No schema markup detected</t>
        </is>
      </c>
      <c r="G91" s="28" t="n">
        <v>67</v>
      </c>
      <c r="H91" s="28" t="n">
        <v>0</v>
      </c>
      <c r="I91" s="28" t="inlineStr">
        <is>
          <t>At least one relevant schema type</t>
        </is>
      </c>
      <c r="J91" s="28" t="inlineStr">
        <is>
          <t>In AIOSEO schema settings for the page, add the most relevant type (Article/FAQ/HowTo/Product, etc.). (Taxonomy/Archive page: navigate via AIOSEO → Search Appearance → Taxonomies.)</t>
        </is>
      </c>
      <c r="K91" s="28" t="inlineStr">
        <is>
          <t>Schema &amp; Metadata</t>
        </is>
      </c>
      <c r="L91" s="28" t="inlineStr">
        <is>
          <t>Schema Types Count</t>
        </is>
      </c>
      <c r="M91" s="28" t="inlineStr">
        <is>
          <t>Yes</t>
        </is>
      </c>
      <c r="N91" s="28" t="inlineStr">
        <is>
          <t>Copy Writer</t>
        </is>
      </c>
      <c r="O91" s="36" t="inlineStr">
        <is>
          <t>Open</t>
        </is>
      </c>
      <c r="P91" s="28" t="n">
        <v>4</v>
      </c>
      <c r="Q91" s="28" t="inlineStr">
        <is>
          <t>https://africanmarketingconfederation.org/smoke-archive/page-47::aioseo_no_schema_markup_detected</t>
        </is>
      </c>
      <c r="R91" s="28" t="inlineStr">
        <is>
          <t>Schema improves understanding and rich result eligibility.</t>
        </is>
      </c>
      <c r="S91">
        <f>IFERROR(HYPERLINK("#'Main'!B"&amp;MATCH(TRIM(A91),'Main'!B:B,0),"Open"),HYPERLINK("#'Main'!B1","Open"))</f>
        <v/>
      </c>
      <c r="T91">
        <f>IFERROR(HYPERLINK("#'Technical Diagnostics'!A"&amp;MATCH(A91,'Technical Diagnostics'!A:A,0),"Open"),HYPERLINK("#'Technical Diagnostics'!A1","Open"))</f>
        <v/>
      </c>
    </row>
    <row r="92" ht="60" customHeight="1">
      <c r="A92" s="37" t="inlineStr">
        <is>
          <t>https://africanmarketingconfederation.org/smoke-archive/page-48</t>
        </is>
      </c>
      <c r="B92" s="30" t="inlineStr"/>
      <c r="C92" s="30" t="inlineStr"/>
      <c r="D92" s="30" t="inlineStr">
        <is>
          <t>Schema</t>
        </is>
      </c>
      <c r="E92" s="29" t="inlineStr">
        <is>
          <t>Warning</t>
        </is>
      </c>
      <c r="F92" s="30" t="inlineStr">
        <is>
          <t>No schema markup detected</t>
        </is>
      </c>
      <c r="G92" s="30" t="n">
        <v>67</v>
      </c>
      <c r="H92" s="30" t="n">
        <v>0</v>
      </c>
      <c r="I92" s="30" t="inlineStr">
        <is>
          <t>At least one relevant schema type</t>
        </is>
      </c>
      <c r="J92" s="30" t="inlineStr">
        <is>
          <t>In AIOSEO schema settings for the page, add the most relevant type (Article/FAQ/HowTo/Product, etc.). (Taxonomy/Archive page: navigate via AIOSEO → Search Appearance → Taxonomies.)</t>
        </is>
      </c>
      <c r="K92" s="30" t="inlineStr">
        <is>
          <t>Schema &amp; Metadata</t>
        </is>
      </c>
      <c r="L92" s="30" t="inlineStr">
        <is>
          <t>Schema Types Count</t>
        </is>
      </c>
      <c r="M92" s="30" t="inlineStr">
        <is>
          <t>Yes</t>
        </is>
      </c>
      <c r="N92" s="30" t="inlineStr">
        <is>
          <t>Copy Writer</t>
        </is>
      </c>
      <c r="O92" s="36" t="inlineStr">
        <is>
          <t>Open</t>
        </is>
      </c>
      <c r="P92" s="30" t="n">
        <v>4</v>
      </c>
      <c r="Q92" s="30" t="inlineStr">
        <is>
          <t>https://africanmarketingconfederation.org/smoke-archive/page-48::aioseo_no_schema_markup_detected</t>
        </is>
      </c>
      <c r="R92" s="30" t="inlineStr">
        <is>
          <t>Schema improves understanding and rich result eligibility.</t>
        </is>
      </c>
      <c r="S92" s="38">
        <f>IFERROR(HYPERLINK("#'Main'!B"&amp;MATCH(TRIM(A92),'Main'!B:B,0),"Open"),HYPERLINK("#'Main'!B1","Open"))</f>
        <v/>
      </c>
      <c r="T92" s="38">
        <f>IFERROR(HYPERLINK("#'Technical Diagnostics'!A"&amp;MATCH(A92,'Technical Diagnostics'!A:A,0),"Open"),HYPERLINK("#'Technical Diagnostics'!A1","Open"))</f>
        <v/>
      </c>
    </row>
    <row r="93" ht="60" customHeight="1">
      <c r="A93" s="35" t="inlineStr">
        <is>
          <t>https://africanmarketingconfederation.org/smoke-archive/page-49</t>
        </is>
      </c>
      <c r="B93" s="28" t="inlineStr"/>
      <c r="C93" s="28" t="inlineStr"/>
      <c r="D93" s="28" t="inlineStr">
        <is>
          <t>Schema</t>
        </is>
      </c>
      <c r="E93" s="29" t="inlineStr">
        <is>
          <t>Warning</t>
        </is>
      </c>
      <c r="F93" s="28" t="inlineStr">
        <is>
          <t>No schema markup detected</t>
        </is>
      </c>
      <c r="G93" s="28" t="n">
        <v>67</v>
      </c>
      <c r="H93" s="28" t="n">
        <v>0</v>
      </c>
      <c r="I93" s="28" t="inlineStr">
        <is>
          <t>At least one relevant schema type</t>
        </is>
      </c>
      <c r="J93" s="28" t="inlineStr">
        <is>
          <t>In AIOSEO schema settings for the page, add the most relevant type (Article/FAQ/HowTo/Product, etc.). (Taxonomy/Archive page: navigate via AIOSEO → Search Appearance → Taxonomies.)</t>
        </is>
      </c>
      <c r="K93" s="28" t="inlineStr">
        <is>
          <t>Schema &amp; Metadata</t>
        </is>
      </c>
      <c r="L93" s="28" t="inlineStr">
        <is>
          <t>Schema Types Count</t>
        </is>
      </c>
      <c r="M93" s="28" t="inlineStr">
        <is>
          <t>Yes</t>
        </is>
      </c>
      <c r="N93" s="28" t="inlineStr">
        <is>
          <t>Copy Writer</t>
        </is>
      </c>
      <c r="O93" s="36" t="inlineStr">
        <is>
          <t>Open</t>
        </is>
      </c>
      <c r="P93" s="28" t="n">
        <v>4</v>
      </c>
      <c r="Q93" s="28" t="inlineStr">
        <is>
          <t>https://africanmarketingconfederation.org/smoke-archive/page-49::aioseo_no_schema_markup_detected</t>
        </is>
      </c>
      <c r="R93" s="28" t="inlineStr">
        <is>
          <t>Schema improves understanding and rich result eligibility.</t>
        </is>
      </c>
      <c r="S93">
        <f>IFERROR(HYPERLINK("#'Main'!B"&amp;MATCH(TRIM(A93),'Main'!B:B,0),"Open"),HYPERLINK("#'Main'!B1","Open"))</f>
        <v/>
      </c>
      <c r="T93">
        <f>IFERROR(HYPERLINK("#'Technical Diagnostics'!A"&amp;MATCH(A93,'Technical Diagnostics'!A:A,0),"Open"),HYPERLINK("#'Technical Diagnostics'!A1","Open"))</f>
        <v/>
      </c>
    </row>
    <row r="94" ht="60" customHeight="1">
      <c r="A94" s="37" t="inlineStr">
        <is>
          <t>https://africanmarketingconfederation.org/smoke-archive/page-5</t>
        </is>
      </c>
      <c r="B94" s="30" t="inlineStr"/>
      <c r="C94" s="30" t="inlineStr"/>
      <c r="D94" s="30" t="inlineStr">
        <is>
          <t>Schema</t>
        </is>
      </c>
      <c r="E94" s="29" t="inlineStr">
        <is>
          <t>Warning</t>
        </is>
      </c>
      <c r="F94" s="30" t="inlineStr">
        <is>
          <t>No schema markup detected</t>
        </is>
      </c>
      <c r="G94" s="30" t="n">
        <v>67</v>
      </c>
      <c r="H94" s="30" t="n">
        <v>0</v>
      </c>
      <c r="I94" s="30" t="inlineStr">
        <is>
          <t>At least one relevant schema type</t>
        </is>
      </c>
      <c r="J94" s="30" t="inlineStr">
        <is>
          <t>In AIOSEO schema settings for the page, add the most relevant type (Article/FAQ/HowTo/Product, etc.). (Taxonomy/Archive page: navigate via AIOSEO → Search Appearance → Taxonomies.)</t>
        </is>
      </c>
      <c r="K94" s="30" t="inlineStr">
        <is>
          <t>Schema &amp; Metadata</t>
        </is>
      </c>
      <c r="L94" s="30" t="inlineStr">
        <is>
          <t>Schema Types Count</t>
        </is>
      </c>
      <c r="M94" s="30" t="inlineStr">
        <is>
          <t>Yes</t>
        </is>
      </c>
      <c r="N94" s="30" t="inlineStr">
        <is>
          <t>Copy Writer</t>
        </is>
      </c>
      <c r="O94" s="36" t="inlineStr">
        <is>
          <t>Open</t>
        </is>
      </c>
      <c r="P94" s="30" t="n">
        <v>4</v>
      </c>
      <c r="Q94" s="30" t="inlineStr">
        <is>
          <t>https://africanmarketingconfederation.org/smoke-archive/page-5::aioseo_no_schema_markup_detected</t>
        </is>
      </c>
      <c r="R94" s="30" t="inlineStr">
        <is>
          <t>Schema improves understanding and rich result eligibility.</t>
        </is>
      </c>
      <c r="S94" s="38">
        <f>IFERROR(HYPERLINK("#'Main'!B"&amp;MATCH(TRIM(A94),'Main'!B:B,0),"Open"),HYPERLINK("#'Main'!B1","Open"))</f>
        <v/>
      </c>
      <c r="T94" s="38">
        <f>IFERROR(HYPERLINK("#'Technical Diagnostics'!A"&amp;MATCH(A94,'Technical Diagnostics'!A:A,0),"Open"),HYPERLINK("#'Technical Diagnostics'!A1","Open"))</f>
        <v/>
      </c>
    </row>
    <row r="95" ht="60" customHeight="1">
      <c r="A95" s="35" t="inlineStr">
        <is>
          <t>https://africanmarketingconfederation.org/smoke-archive/page-50</t>
        </is>
      </c>
      <c r="B95" s="28" t="inlineStr"/>
      <c r="C95" s="28" t="inlineStr"/>
      <c r="D95" s="28" t="inlineStr">
        <is>
          <t>Schema</t>
        </is>
      </c>
      <c r="E95" s="29" t="inlineStr">
        <is>
          <t>Warning</t>
        </is>
      </c>
      <c r="F95" s="28" t="inlineStr">
        <is>
          <t>No schema markup detected</t>
        </is>
      </c>
      <c r="G95" s="28" t="n">
        <v>67</v>
      </c>
      <c r="H95" s="28" t="n">
        <v>0</v>
      </c>
      <c r="I95" s="28" t="inlineStr">
        <is>
          <t>At least one relevant schema type</t>
        </is>
      </c>
      <c r="J95" s="28" t="inlineStr">
        <is>
          <t>In AIOSEO schema settings for the page, add the most relevant type (Article/FAQ/HowTo/Product, etc.). (Taxonomy/Archive page: navigate via AIOSEO → Search Appearance → Taxonomies.)</t>
        </is>
      </c>
      <c r="K95" s="28" t="inlineStr">
        <is>
          <t>Schema &amp; Metadata</t>
        </is>
      </c>
      <c r="L95" s="28" t="inlineStr">
        <is>
          <t>Schema Types Count</t>
        </is>
      </c>
      <c r="M95" s="28" t="inlineStr">
        <is>
          <t>Yes</t>
        </is>
      </c>
      <c r="N95" s="28" t="inlineStr">
        <is>
          <t>Copy Writer</t>
        </is>
      </c>
      <c r="O95" s="36" t="inlineStr">
        <is>
          <t>Open</t>
        </is>
      </c>
      <c r="P95" s="28" t="n">
        <v>4</v>
      </c>
      <c r="Q95" s="28" t="inlineStr">
        <is>
          <t>https://africanmarketingconfederation.org/smoke-archive/page-50::aioseo_no_schema_markup_detected</t>
        </is>
      </c>
      <c r="R95" s="28" t="inlineStr">
        <is>
          <t>Schema improves understanding and rich result eligibility.</t>
        </is>
      </c>
      <c r="S95">
        <f>IFERROR(HYPERLINK("#'Main'!B"&amp;MATCH(TRIM(A95),'Main'!B:B,0),"Open"),HYPERLINK("#'Main'!B1","Open"))</f>
        <v/>
      </c>
      <c r="T95">
        <f>IFERROR(HYPERLINK("#'Technical Diagnostics'!A"&amp;MATCH(A95,'Technical Diagnostics'!A:A,0),"Open"),HYPERLINK("#'Technical Diagnostics'!A1","Open"))</f>
        <v/>
      </c>
    </row>
    <row r="96" ht="60" customHeight="1">
      <c r="A96" s="37" t="inlineStr">
        <is>
          <t>https://africanmarketingconfederation.org/smoke-archive/page-51</t>
        </is>
      </c>
      <c r="B96" s="30" t="inlineStr"/>
      <c r="C96" s="30" t="inlineStr"/>
      <c r="D96" s="30" t="inlineStr">
        <is>
          <t>Schema</t>
        </is>
      </c>
      <c r="E96" s="29" t="inlineStr">
        <is>
          <t>Warning</t>
        </is>
      </c>
      <c r="F96" s="30" t="inlineStr">
        <is>
          <t>No schema markup detected</t>
        </is>
      </c>
      <c r="G96" s="30" t="n">
        <v>67</v>
      </c>
      <c r="H96" s="30" t="n">
        <v>0</v>
      </c>
      <c r="I96" s="30" t="inlineStr">
        <is>
          <t>At least one relevant schema type</t>
        </is>
      </c>
      <c r="J96" s="30" t="inlineStr">
        <is>
          <t>In AIOSEO schema settings for the page, add the most relevant type (Article/FAQ/HowTo/Product, etc.). (Taxonomy/Archive page: navigate via AIOSEO → Search Appearance → Taxonomies.)</t>
        </is>
      </c>
      <c r="K96" s="30" t="inlineStr">
        <is>
          <t>Schema &amp; Metadata</t>
        </is>
      </c>
      <c r="L96" s="30" t="inlineStr">
        <is>
          <t>Schema Types Count</t>
        </is>
      </c>
      <c r="M96" s="30" t="inlineStr">
        <is>
          <t>Yes</t>
        </is>
      </c>
      <c r="N96" s="30" t="inlineStr">
        <is>
          <t>Copy Writer</t>
        </is>
      </c>
      <c r="O96" s="36" t="inlineStr">
        <is>
          <t>Open</t>
        </is>
      </c>
      <c r="P96" s="30" t="n">
        <v>4</v>
      </c>
      <c r="Q96" s="30" t="inlineStr">
        <is>
          <t>https://africanmarketingconfederation.org/smoke-archive/page-51::aioseo_no_schema_markup_detected</t>
        </is>
      </c>
      <c r="R96" s="30" t="inlineStr">
        <is>
          <t>Schema improves understanding and rich result eligibility.</t>
        </is>
      </c>
      <c r="S96" s="38">
        <f>IFERROR(HYPERLINK("#'Main'!B"&amp;MATCH(TRIM(A96),'Main'!B:B,0),"Open"),HYPERLINK("#'Main'!B1","Open"))</f>
        <v/>
      </c>
      <c r="T96" s="38">
        <f>IFERROR(HYPERLINK("#'Technical Diagnostics'!A"&amp;MATCH(A96,'Technical Diagnostics'!A:A,0),"Open"),HYPERLINK("#'Technical Diagnostics'!A1","Open"))</f>
        <v/>
      </c>
    </row>
    <row r="97" ht="60" customHeight="1">
      <c r="A97" s="35" t="inlineStr">
        <is>
          <t>https://africanmarketingconfederation.org/smoke-archive/page-52</t>
        </is>
      </c>
      <c r="B97" s="28" t="inlineStr"/>
      <c r="C97" s="28" t="inlineStr"/>
      <c r="D97" s="28" t="inlineStr">
        <is>
          <t>Schema</t>
        </is>
      </c>
      <c r="E97" s="29" t="inlineStr">
        <is>
          <t>Warning</t>
        </is>
      </c>
      <c r="F97" s="28" t="inlineStr">
        <is>
          <t>No schema markup detected</t>
        </is>
      </c>
      <c r="G97" s="28" t="n">
        <v>67</v>
      </c>
      <c r="H97" s="28" t="n">
        <v>0</v>
      </c>
      <c r="I97" s="28" t="inlineStr">
        <is>
          <t>At least one relevant schema type</t>
        </is>
      </c>
      <c r="J97" s="28" t="inlineStr">
        <is>
          <t>In AIOSEO schema settings for the page, add the most relevant type (Article/FAQ/HowTo/Product, etc.). (Taxonomy/Archive page: navigate via AIOSEO → Search Appearance → Taxonomies.)</t>
        </is>
      </c>
      <c r="K97" s="28" t="inlineStr">
        <is>
          <t>Schema &amp; Metadata</t>
        </is>
      </c>
      <c r="L97" s="28" t="inlineStr">
        <is>
          <t>Schema Types Count</t>
        </is>
      </c>
      <c r="M97" s="28" t="inlineStr">
        <is>
          <t>Yes</t>
        </is>
      </c>
      <c r="N97" s="28" t="inlineStr">
        <is>
          <t>Copy Writer</t>
        </is>
      </c>
      <c r="O97" s="36" t="inlineStr">
        <is>
          <t>Open</t>
        </is>
      </c>
      <c r="P97" s="28" t="n">
        <v>4</v>
      </c>
      <c r="Q97" s="28" t="inlineStr">
        <is>
          <t>https://africanmarketingconfederation.org/smoke-archive/page-52::aioseo_no_schema_markup_detected</t>
        </is>
      </c>
      <c r="R97" s="28" t="inlineStr">
        <is>
          <t>Schema improves understanding and rich result eligibility.</t>
        </is>
      </c>
      <c r="S97">
        <f>IFERROR(HYPERLINK("#'Main'!B"&amp;MATCH(TRIM(A97),'Main'!B:B,0),"Open"),HYPERLINK("#'Main'!B1","Open"))</f>
        <v/>
      </c>
      <c r="T97">
        <f>IFERROR(HYPERLINK("#'Technical Diagnostics'!A"&amp;MATCH(A97,'Technical Diagnostics'!A:A,0),"Open"),HYPERLINK("#'Technical Diagnostics'!A1","Open"))</f>
        <v/>
      </c>
    </row>
    <row r="98" ht="60" customHeight="1">
      <c r="A98" s="37" t="inlineStr">
        <is>
          <t>https://africanmarketingconfederation.org/smoke-archive/page-53</t>
        </is>
      </c>
      <c r="B98" s="30" t="inlineStr"/>
      <c r="C98" s="30" t="inlineStr"/>
      <c r="D98" s="30" t="inlineStr">
        <is>
          <t>Schema</t>
        </is>
      </c>
      <c r="E98" s="29" t="inlineStr">
        <is>
          <t>Warning</t>
        </is>
      </c>
      <c r="F98" s="30" t="inlineStr">
        <is>
          <t>No schema markup detected</t>
        </is>
      </c>
      <c r="G98" s="30" t="n">
        <v>67</v>
      </c>
      <c r="H98" s="30" t="n">
        <v>0</v>
      </c>
      <c r="I98" s="30" t="inlineStr">
        <is>
          <t>At least one relevant schema type</t>
        </is>
      </c>
      <c r="J98" s="30" t="inlineStr">
        <is>
          <t>In AIOSEO schema settings for the page, add the most relevant type (Article/FAQ/HowTo/Product, etc.). (Taxonomy/Archive page: navigate via AIOSEO → Search Appearance → Taxonomies.)</t>
        </is>
      </c>
      <c r="K98" s="30" t="inlineStr">
        <is>
          <t>Schema &amp; Metadata</t>
        </is>
      </c>
      <c r="L98" s="30" t="inlineStr">
        <is>
          <t>Schema Types Count</t>
        </is>
      </c>
      <c r="M98" s="30" t="inlineStr">
        <is>
          <t>Yes</t>
        </is>
      </c>
      <c r="N98" s="30" t="inlineStr">
        <is>
          <t>Copy Writer</t>
        </is>
      </c>
      <c r="O98" s="36" t="inlineStr">
        <is>
          <t>Open</t>
        </is>
      </c>
      <c r="P98" s="30" t="n">
        <v>4</v>
      </c>
      <c r="Q98" s="30" t="inlineStr">
        <is>
          <t>https://africanmarketingconfederation.org/smoke-archive/page-53::aioseo_no_schema_markup_detected</t>
        </is>
      </c>
      <c r="R98" s="30" t="inlineStr">
        <is>
          <t>Schema improves understanding and rich result eligibility.</t>
        </is>
      </c>
      <c r="S98" s="38">
        <f>IFERROR(HYPERLINK("#'Main'!B"&amp;MATCH(TRIM(A98),'Main'!B:B,0),"Open"),HYPERLINK("#'Main'!B1","Open"))</f>
        <v/>
      </c>
      <c r="T98" s="38">
        <f>IFERROR(HYPERLINK("#'Technical Diagnostics'!A"&amp;MATCH(A98,'Technical Diagnostics'!A:A,0),"Open"),HYPERLINK("#'Technical Diagnostics'!A1","Open"))</f>
        <v/>
      </c>
    </row>
    <row r="99" ht="60" customHeight="1">
      <c r="A99" s="35" t="inlineStr">
        <is>
          <t>https://africanmarketingconfederation.org/smoke-archive/page-54</t>
        </is>
      </c>
      <c r="B99" s="28" t="inlineStr"/>
      <c r="C99" s="28" t="inlineStr"/>
      <c r="D99" s="28" t="inlineStr">
        <is>
          <t>Schema</t>
        </is>
      </c>
      <c r="E99" s="29" t="inlineStr">
        <is>
          <t>Warning</t>
        </is>
      </c>
      <c r="F99" s="28" t="inlineStr">
        <is>
          <t>No schema markup detected</t>
        </is>
      </c>
      <c r="G99" s="28" t="n">
        <v>67</v>
      </c>
      <c r="H99" s="28" t="n">
        <v>0</v>
      </c>
      <c r="I99" s="28" t="inlineStr">
        <is>
          <t>At least one relevant schema type</t>
        </is>
      </c>
      <c r="J99" s="28" t="inlineStr">
        <is>
          <t>In AIOSEO schema settings for the page, add the most relevant type (Article/FAQ/HowTo/Product, etc.). (Taxonomy/Archive page: navigate via AIOSEO → Search Appearance → Taxonomies.)</t>
        </is>
      </c>
      <c r="K99" s="28" t="inlineStr">
        <is>
          <t>Schema &amp; Metadata</t>
        </is>
      </c>
      <c r="L99" s="28" t="inlineStr">
        <is>
          <t>Schema Types Count</t>
        </is>
      </c>
      <c r="M99" s="28" t="inlineStr">
        <is>
          <t>Yes</t>
        </is>
      </c>
      <c r="N99" s="28" t="inlineStr">
        <is>
          <t>Copy Writer</t>
        </is>
      </c>
      <c r="O99" s="36" t="inlineStr">
        <is>
          <t>Open</t>
        </is>
      </c>
      <c r="P99" s="28" t="n">
        <v>4</v>
      </c>
      <c r="Q99" s="28" t="inlineStr">
        <is>
          <t>https://africanmarketingconfederation.org/smoke-archive/page-54::aioseo_no_schema_markup_detected</t>
        </is>
      </c>
      <c r="R99" s="28" t="inlineStr">
        <is>
          <t>Schema improves understanding and rich result eligibility.</t>
        </is>
      </c>
      <c r="S99">
        <f>IFERROR(HYPERLINK("#'Main'!B"&amp;MATCH(TRIM(A99),'Main'!B:B,0),"Open"),HYPERLINK("#'Main'!B1","Open"))</f>
        <v/>
      </c>
      <c r="T99">
        <f>IFERROR(HYPERLINK("#'Technical Diagnostics'!A"&amp;MATCH(A99,'Technical Diagnostics'!A:A,0),"Open"),HYPERLINK("#'Technical Diagnostics'!A1","Open"))</f>
        <v/>
      </c>
    </row>
    <row r="100" ht="60" customHeight="1">
      <c r="A100" s="37" t="inlineStr">
        <is>
          <t>https://africanmarketingconfederation.org/smoke-archive/page-55</t>
        </is>
      </c>
      <c r="B100" s="30" t="inlineStr"/>
      <c r="C100" s="30" t="inlineStr"/>
      <c r="D100" s="30" t="inlineStr">
        <is>
          <t>Schema</t>
        </is>
      </c>
      <c r="E100" s="29" t="inlineStr">
        <is>
          <t>Warning</t>
        </is>
      </c>
      <c r="F100" s="30" t="inlineStr">
        <is>
          <t>No schema markup detected</t>
        </is>
      </c>
      <c r="G100" s="30" t="n">
        <v>67</v>
      </c>
      <c r="H100" s="30" t="n">
        <v>0</v>
      </c>
      <c r="I100" s="30" t="inlineStr">
        <is>
          <t>At least one relevant schema type</t>
        </is>
      </c>
      <c r="J100" s="30" t="inlineStr">
        <is>
          <t>In AIOSEO schema settings for the page, add the most relevant type (Article/FAQ/HowTo/Product, etc.). (Taxonomy/Archive page: navigate via AIOSEO → Search Appearance → Taxonomies.)</t>
        </is>
      </c>
      <c r="K100" s="30" t="inlineStr">
        <is>
          <t>Schema &amp; Metadata</t>
        </is>
      </c>
      <c r="L100" s="30" t="inlineStr">
        <is>
          <t>Schema Types Count</t>
        </is>
      </c>
      <c r="M100" s="30" t="inlineStr">
        <is>
          <t>Yes</t>
        </is>
      </c>
      <c r="N100" s="30" t="inlineStr">
        <is>
          <t>Copy Writer</t>
        </is>
      </c>
      <c r="O100" s="36" t="inlineStr">
        <is>
          <t>Open</t>
        </is>
      </c>
      <c r="P100" s="30" t="n">
        <v>4</v>
      </c>
      <c r="Q100" s="30" t="inlineStr">
        <is>
          <t>https://africanmarketingconfederation.org/smoke-archive/page-55::aioseo_no_schema_markup_detected</t>
        </is>
      </c>
      <c r="R100" s="30" t="inlineStr">
        <is>
          <t>Schema improves understanding and rich result eligibility.</t>
        </is>
      </c>
      <c r="S100" s="38">
        <f>IFERROR(HYPERLINK("#'Main'!B"&amp;MATCH(TRIM(A100),'Main'!B:B,0),"Open"),HYPERLINK("#'Main'!B1","Open"))</f>
        <v/>
      </c>
      <c r="T100" s="38">
        <f>IFERROR(HYPERLINK("#'Technical Diagnostics'!A"&amp;MATCH(A100,'Technical Diagnostics'!A:A,0),"Open"),HYPERLINK("#'Technical Diagnostics'!A1","Open"))</f>
        <v/>
      </c>
    </row>
    <row r="101" ht="60" customHeight="1">
      <c r="A101" s="35" t="inlineStr">
        <is>
          <t>https://africanmarketingconfederation.org/smoke-archive/page-56</t>
        </is>
      </c>
      <c r="B101" s="28" t="inlineStr"/>
      <c r="C101" s="28" t="inlineStr"/>
      <c r="D101" s="28" t="inlineStr">
        <is>
          <t>Schema</t>
        </is>
      </c>
      <c r="E101" s="29" t="inlineStr">
        <is>
          <t>Warning</t>
        </is>
      </c>
      <c r="F101" s="28" t="inlineStr">
        <is>
          <t>No schema markup detected</t>
        </is>
      </c>
      <c r="G101" s="28" t="n">
        <v>67</v>
      </c>
      <c r="H101" s="28" t="n">
        <v>0</v>
      </c>
      <c r="I101" s="28" t="inlineStr">
        <is>
          <t>At least one relevant schema type</t>
        </is>
      </c>
      <c r="J101" s="28" t="inlineStr">
        <is>
          <t>In AIOSEO schema settings for the page, add the most relevant type (Article/FAQ/HowTo/Product, etc.). (Taxonomy/Archive page: navigate via AIOSEO → Search Appearance → Taxonomies.)</t>
        </is>
      </c>
      <c r="K101" s="28" t="inlineStr">
        <is>
          <t>Schema &amp; Metadata</t>
        </is>
      </c>
      <c r="L101" s="28" t="inlineStr">
        <is>
          <t>Schema Types Count</t>
        </is>
      </c>
      <c r="M101" s="28" t="inlineStr">
        <is>
          <t>Yes</t>
        </is>
      </c>
      <c r="N101" s="28" t="inlineStr">
        <is>
          <t>Copy Writer</t>
        </is>
      </c>
      <c r="O101" s="36" t="inlineStr">
        <is>
          <t>Open</t>
        </is>
      </c>
      <c r="P101" s="28" t="n">
        <v>4</v>
      </c>
      <c r="Q101" s="28" t="inlineStr">
        <is>
          <t>https://africanmarketingconfederation.org/smoke-archive/page-56::aioseo_no_schema_markup_detected</t>
        </is>
      </c>
      <c r="R101" s="28" t="inlineStr">
        <is>
          <t>Schema improves understanding and rich result eligibility.</t>
        </is>
      </c>
      <c r="S101">
        <f>IFERROR(HYPERLINK("#'Main'!B"&amp;MATCH(TRIM(A101),'Main'!B:B,0),"Open"),HYPERLINK("#'Main'!B1","Open"))</f>
        <v/>
      </c>
      <c r="T101">
        <f>IFERROR(HYPERLINK("#'Technical Diagnostics'!A"&amp;MATCH(A101,'Technical Diagnostics'!A:A,0),"Open"),HYPERLINK("#'Technical Diagnostics'!A1","Open"))</f>
        <v/>
      </c>
    </row>
    <row r="102" ht="60" customHeight="1">
      <c r="A102" s="37" t="inlineStr">
        <is>
          <t>https://africanmarketingconfederation.org/smoke-archive/page-57</t>
        </is>
      </c>
      <c r="B102" s="30" t="inlineStr"/>
      <c r="C102" s="30" t="inlineStr"/>
      <c r="D102" s="30" t="inlineStr">
        <is>
          <t>Schema</t>
        </is>
      </c>
      <c r="E102" s="29" t="inlineStr">
        <is>
          <t>Warning</t>
        </is>
      </c>
      <c r="F102" s="30" t="inlineStr">
        <is>
          <t>No schema markup detected</t>
        </is>
      </c>
      <c r="G102" s="30" t="n">
        <v>67</v>
      </c>
      <c r="H102" s="30" t="n">
        <v>0</v>
      </c>
      <c r="I102" s="30" t="inlineStr">
        <is>
          <t>At least one relevant schema type</t>
        </is>
      </c>
      <c r="J102" s="30" t="inlineStr">
        <is>
          <t>In AIOSEO schema settings for the page, add the most relevant type (Article/FAQ/HowTo/Product, etc.). (Taxonomy/Archive page: navigate via AIOSEO → Search Appearance → Taxonomies.)</t>
        </is>
      </c>
      <c r="K102" s="30" t="inlineStr">
        <is>
          <t>Schema &amp; Metadata</t>
        </is>
      </c>
      <c r="L102" s="30" t="inlineStr">
        <is>
          <t>Schema Types Count</t>
        </is>
      </c>
      <c r="M102" s="30" t="inlineStr">
        <is>
          <t>Yes</t>
        </is>
      </c>
      <c r="N102" s="30" t="inlineStr">
        <is>
          <t>Copy Writer</t>
        </is>
      </c>
      <c r="O102" s="36" t="inlineStr">
        <is>
          <t>Open</t>
        </is>
      </c>
      <c r="P102" s="30" t="n">
        <v>4</v>
      </c>
      <c r="Q102" s="30" t="inlineStr">
        <is>
          <t>https://africanmarketingconfederation.org/smoke-archive/page-57::aioseo_no_schema_markup_detected</t>
        </is>
      </c>
      <c r="R102" s="30" t="inlineStr">
        <is>
          <t>Schema improves understanding and rich result eligibility.</t>
        </is>
      </c>
      <c r="S102" s="38">
        <f>IFERROR(HYPERLINK("#'Main'!B"&amp;MATCH(TRIM(A102),'Main'!B:B,0),"Open"),HYPERLINK("#'Main'!B1","Open"))</f>
        <v/>
      </c>
      <c r="T102" s="38">
        <f>IFERROR(HYPERLINK("#'Technical Diagnostics'!A"&amp;MATCH(A102,'Technical Diagnostics'!A:A,0),"Open"),HYPERLINK("#'Technical Diagnostics'!A1","Open"))</f>
        <v/>
      </c>
    </row>
    <row r="103" ht="60" customHeight="1">
      <c r="A103" s="35" t="inlineStr">
        <is>
          <t>https://africanmarketingconfederation.org/smoke-archive/page-58</t>
        </is>
      </c>
      <c r="B103" s="28" t="inlineStr"/>
      <c r="C103" s="28" t="inlineStr"/>
      <c r="D103" s="28" t="inlineStr">
        <is>
          <t>Schema</t>
        </is>
      </c>
      <c r="E103" s="29" t="inlineStr">
        <is>
          <t>Warning</t>
        </is>
      </c>
      <c r="F103" s="28" t="inlineStr">
        <is>
          <t>No schema markup detected</t>
        </is>
      </c>
      <c r="G103" s="28" t="n">
        <v>67</v>
      </c>
      <c r="H103" s="28" t="n">
        <v>0</v>
      </c>
      <c r="I103" s="28" t="inlineStr">
        <is>
          <t>At least one relevant schema type</t>
        </is>
      </c>
      <c r="J103" s="28" t="inlineStr">
        <is>
          <t>In AIOSEO schema settings for the page, add the most relevant type (Article/FAQ/HowTo/Product, etc.). (Taxonomy/Archive page: navigate via AIOSEO → Search Appearance → Taxonomies.)</t>
        </is>
      </c>
      <c r="K103" s="28" t="inlineStr">
        <is>
          <t>Schema &amp; Metadata</t>
        </is>
      </c>
      <c r="L103" s="28" t="inlineStr">
        <is>
          <t>Schema Types Count</t>
        </is>
      </c>
      <c r="M103" s="28" t="inlineStr">
        <is>
          <t>Yes</t>
        </is>
      </c>
      <c r="N103" s="28" t="inlineStr">
        <is>
          <t>Copy Writer</t>
        </is>
      </c>
      <c r="O103" s="36" t="inlineStr">
        <is>
          <t>Open</t>
        </is>
      </c>
      <c r="P103" s="28" t="n">
        <v>4</v>
      </c>
      <c r="Q103" s="28" t="inlineStr">
        <is>
          <t>https://africanmarketingconfederation.org/smoke-archive/page-58::aioseo_no_schema_markup_detected</t>
        </is>
      </c>
      <c r="R103" s="28" t="inlineStr">
        <is>
          <t>Schema improves understanding and rich result eligibility.</t>
        </is>
      </c>
      <c r="S103">
        <f>IFERROR(HYPERLINK("#'Main'!B"&amp;MATCH(TRIM(A103),'Main'!B:B,0),"Open"),HYPERLINK("#'Main'!B1","Open"))</f>
        <v/>
      </c>
      <c r="T103">
        <f>IFERROR(HYPERLINK("#'Technical Diagnostics'!A"&amp;MATCH(A103,'Technical Diagnostics'!A:A,0),"Open"),HYPERLINK("#'Technical Diagnostics'!A1","Open"))</f>
        <v/>
      </c>
    </row>
    <row r="104" ht="60" customHeight="1">
      <c r="A104" s="37" t="inlineStr">
        <is>
          <t>https://africanmarketingconfederation.org/smoke-archive/page-59</t>
        </is>
      </c>
      <c r="B104" s="30" t="inlineStr"/>
      <c r="C104" s="30" t="inlineStr"/>
      <c r="D104" s="30" t="inlineStr">
        <is>
          <t>Schema</t>
        </is>
      </c>
      <c r="E104" s="29" t="inlineStr">
        <is>
          <t>Warning</t>
        </is>
      </c>
      <c r="F104" s="30" t="inlineStr">
        <is>
          <t>No schema markup detected</t>
        </is>
      </c>
      <c r="G104" s="30" t="n">
        <v>67</v>
      </c>
      <c r="H104" s="30" t="n">
        <v>0</v>
      </c>
      <c r="I104" s="30" t="inlineStr">
        <is>
          <t>At least one relevant schema type</t>
        </is>
      </c>
      <c r="J104" s="30" t="inlineStr">
        <is>
          <t>In AIOSEO schema settings for the page, add the most relevant type (Article/FAQ/HowTo/Product, etc.). (Taxonomy/Archive page: navigate via AIOSEO → Search Appearance → Taxonomies.)</t>
        </is>
      </c>
      <c r="K104" s="30" t="inlineStr">
        <is>
          <t>Schema &amp; Metadata</t>
        </is>
      </c>
      <c r="L104" s="30" t="inlineStr">
        <is>
          <t>Schema Types Count</t>
        </is>
      </c>
      <c r="M104" s="30" t="inlineStr">
        <is>
          <t>Yes</t>
        </is>
      </c>
      <c r="N104" s="30" t="inlineStr">
        <is>
          <t>Copy Writer</t>
        </is>
      </c>
      <c r="O104" s="36" t="inlineStr">
        <is>
          <t>Open</t>
        </is>
      </c>
      <c r="P104" s="30" t="n">
        <v>4</v>
      </c>
      <c r="Q104" s="30" t="inlineStr">
        <is>
          <t>https://africanmarketingconfederation.org/smoke-archive/page-59::aioseo_no_schema_markup_detected</t>
        </is>
      </c>
      <c r="R104" s="30" t="inlineStr">
        <is>
          <t>Schema improves understanding and rich result eligibility.</t>
        </is>
      </c>
      <c r="S104" s="38">
        <f>IFERROR(HYPERLINK("#'Main'!B"&amp;MATCH(TRIM(A104),'Main'!B:B,0),"Open"),HYPERLINK("#'Main'!B1","Open"))</f>
        <v/>
      </c>
      <c r="T104" s="38">
        <f>IFERROR(HYPERLINK("#'Technical Diagnostics'!A"&amp;MATCH(A104,'Technical Diagnostics'!A:A,0),"Open"),HYPERLINK("#'Technical Diagnostics'!A1","Open"))</f>
        <v/>
      </c>
    </row>
    <row r="105" ht="60" customHeight="1">
      <c r="A105" s="35" t="inlineStr">
        <is>
          <t>https://africanmarketingconfederation.org/smoke-archive/page-6</t>
        </is>
      </c>
      <c r="B105" s="28" t="inlineStr"/>
      <c r="C105" s="28" t="inlineStr"/>
      <c r="D105" s="28" t="inlineStr">
        <is>
          <t>Schema</t>
        </is>
      </c>
      <c r="E105" s="29" t="inlineStr">
        <is>
          <t>Warning</t>
        </is>
      </c>
      <c r="F105" s="28" t="inlineStr">
        <is>
          <t>No schema markup detected</t>
        </is>
      </c>
      <c r="G105" s="28" t="n">
        <v>67</v>
      </c>
      <c r="H105" s="28" t="n">
        <v>0</v>
      </c>
      <c r="I105" s="28" t="inlineStr">
        <is>
          <t>At least one relevant schema type</t>
        </is>
      </c>
      <c r="J105" s="28" t="inlineStr">
        <is>
          <t>In AIOSEO schema settings for the page, add the most relevant type (Article/FAQ/HowTo/Product, etc.). (Taxonomy/Archive page: navigate via AIOSEO → Search Appearance → Taxonomies.)</t>
        </is>
      </c>
      <c r="K105" s="28" t="inlineStr">
        <is>
          <t>Schema &amp; Metadata</t>
        </is>
      </c>
      <c r="L105" s="28" t="inlineStr">
        <is>
          <t>Schema Types Count</t>
        </is>
      </c>
      <c r="M105" s="28" t="inlineStr">
        <is>
          <t>Yes</t>
        </is>
      </c>
      <c r="N105" s="28" t="inlineStr">
        <is>
          <t>Copy Writer</t>
        </is>
      </c>
      <c r="O105" s="36" t="inlineStr">
        <is>
          <t>Open</t>
        </is>
      </c>
      <c r="P105" s="28" t="n">
        <v>4</v>
      </c>
      <c r="Q105" s="28" t="inlineStr">
        <is>
          <t>https://africanmarketingconfederation.org/smoke-archive/page-6::aioseo_no_schema_markup_detected</t>
        </is>
      </c>
      <c r="R105" s="28" t="inlineStr">
        <is>
          <t>Schema improves understanding and rich result eligibility.</t>
        </is>
      </c>
      <c r="S105">
        <f>IFERROR(HYPERLINK("#'Main'!B"&amp;MATCH(TRIM(A105),'Main'!B:B,0),"Open"),HYPERLINK("#'Main'!B1","Open"))</f>
        <v/>
      </c>
      <c r="T105">
        <f>IFERROR(HYPERLINK("#'Technical Diagnostics'!A"&amp;MATCH(A105,'Technical Diagnostics'!A:A,0),"Open"),HYPERLINK("#'Technical Diagnostics'!A1","Open"))</f>
        <v/>
      </c>
    </row>
    <row r="106" ht="60" customHeight="1">
      <c r="A106" s="37" t="inlineStr">
        <is>
          <t>https://africanmarketingconfederation.org/smoke-archive/page-60</t>
        </is>
      </c>
      <c r="B106" s="30" t="inlineStr"/>
      <c r="C106" s="30" t="inlineStr"/>
      <c r="D106" s="30" t="inlineStr">
        <is>
          <t>Schema</t>
        </is>
      </c>
      <c r="E106" s="29" t="inlineStr">
        <is>
          <t>Warning</t>
        </is>
      </c>
      <c r="F106" s="30" t="inlineStr">
        <is>
          <t>No schema markup detected</t>
        </is>
      </c>
      <c r="G106" s="30" t="n">
        <v>67</v>
      </c>
      <c r="H106" s="30" t="n">
        <v>0</v>
      </c>
      <c r="I106" s="30" t="inlineStr">
        <is>
          <t>At least one relevant schema type</t>
        </is>
      </c>
      <c r="J106" s="30" t="inlineStr">
        <is>
          <t>In AIOSEO schema settings for the page, add the most relevant type (Article/FAQ/HowTo/Product, etc.). (Taxonomy/Archive page: navigate via AIOSEO → Search Appearance → Taxonomies.)</t>
        </is>
      </c>
      <c r="K106" s="30" t="inlineStr">
        <is>
          <t>Schema &amp; Metadata</t>
        </is>
      </c>
      <c r="L106" s="30" t="inlineStr">
        <is>
          <t>Schema Types Count</t>
        </is>
      </c>
      <c r="M106" s="30" t="inlineStr">
        <is>
          <t>Yes</t>
        </is>
      </c>
      <c r="N106" s="30" t="inlineStr">
        <is>
          <t>Copy Writer</t>
        </is>
      </c>
      <c r="O106" s="36" t="inlineStr">
        <is>
          <t>Open</t>
        </is>
      </c>
      <c r="P106" s="30" t="n">
        <v>4</v>
      </c>
      <c r="Q106" s="30" t="inlineStr">
        <is>
          <t>https://africanmarketingconfederation.org/smoke-archive/page-60::aioseo_no_schema_markup_detected</t>
        </is>
      </c>
      <c r="R106" s="30" t="inlineStr">
        <is>
          <t>Schema improves understanding and rich result eligibility.</t>
        </is>
      </c>
      <c r="S106" s="38">
        <f>IFERROR(HYPERLINK("#'Main'!B"&amp;MATCH(TRIM(A106),'Main'!B:B,0),"Open"),HYPERLINK("#'Main'!B1","Open"))</f>
        <v/>
      </c>
      <c r="T106" s="38">
        <f>IFERROR(HYPERLINK("#'Technical Diagnostics'!A"&amp;MATCH(A106,'Technical Diagnostics'!A:A,0),"Open"),HYPERLINK("#'Technical Diagnostics'!A1","Open"))</f>
        <v/>
      </c>
    </row>
    <row r="107" ht="60" customHeight="1">
      <c r="A107" s="35" t="inlineStr">
        <is>
          <t>https://africanmarketingconfederation.org/smoke-archive/page-61</t>
        </is>
      </c>
      <c r="B107" s="28" t="inlineStr"/>
      <c r="C107" s="28" t="inlineStr"/>
      <c r="D107" s="28" t="inlineStr">
        <is>
          <t>Schema</t>
        </is>
      </c>
      <c r="E107" s="29" t="inlineStr">
        <is>
          <t>Warning</t>
        </is>
      </c>
      <c r="F107" s="28" t="inlineStr">
        <is>
          <t>No schema markup detected</t>
        </is>
      </c>
      <c r="G107" s="28" t="n">
        <v>67</v>
      </c>
      <c r="H107" s="28" t="n">
        <v>0</v>
      </c>
      <c r="I107" s="28" t="inlineStr">
        <is>
          <t>At least one relevant schema type</t>
        </is>
      </c>
      <c r="J107" s="28" t="inlineStr">
        <is>
          <t>In AIOSEO schema settings for the page, add the most relevant type (Article/FAQ/HowTo/Product, etc.). (Taxonomy/Archive page: navigate via AIOSEO → Search Appearance → Taxonomies.)</t>
        </is>
      </c>
      <c r="K107" s="28" t="inlineStr">
        <is>
          <t>Schema &amp; Metadata</t>
        </is>
      </c>
      <c r="L107" s="28" t="inlineStr">
        <is>
          <t>Schema Types Count</t>
        </is>
      </c>
      <c r="M107" s="28" t="inlineStr">
        <is>
          <t>Yes</t>
        </is>
      </c>
      <c r="N107" s="28" t="inlineStr">
        <is>
          <t>Copy Writer</t>
        </is>
      </c>
      <c r="O107" s="36" t="inlineStr">
        <is>
          <t>Open</t>
        </is>
      </c>
      <c r="P107" s="28" t="n">
        <v>4</v>
      </c>
      <c r="Q107" s="28" t="inlineStr">
        <is>
          <t>https://africanmarketingconfederation.org/smoke-archive/page-61::aioseo_no_schema_markup_detected</t>
        </is>
      </c>
      <c r="R107" s="28" t="inlineStr">
        <is>
          <t>Schema improves understanding and rich result eligibility.</t>
        </is>
      </c>
      <c r="S107">
        <f>IFERROR(HYPERLINK("#'Main'!B"&amp;MATCH(TRIM(A107),'Main'!B:B,0),"Open"),HYPERLINK("#'Main'!B1","Open"))</f>
        <v/>
      </c>
      <c r="T107">
        <f>IFERROR(HYPERLINK("#'Technical Diagnostics'!A"&amp;MATCH(A107,'Technical Diagnostics'!A:A,0),"Open"),HYPERLINK("#'Technical Diagnostics'!A1","Open"))</f>
        <v/>
      </c>
    </row>
    <row r="108" ht="60" customHeight="1">
      <c r="A108" s="37" t="inlineStr">
        <is>
          <t>https://africanmarketingconfederation.org/smoke-archive/page-62</t>
        </is>
      </c>
      <c r="B108" s="30" t="inlineStr"/>
      <c r="C108" s="30" t="inlineStr"/>
      <c r="D108" s="30" t="inlineStr">
        <is>
          <t>Schema</t>
        </is>
      </c>
      <c r="E108" s="29" t="inlineStr">
        <is>
          <t>Warning</t>
        </is>
      </c>
      <c r="F108" s="30" t="inlineStr">
        <is>
          <t>No schema markup detected</t>
        </is>
      </c>
      <c r="G108" s="30" t="n">
        <v>67</v>
      </c>
      <c r="H108" s="30" t="n">
        <v>0</v>
      </c>
      <c r="I108" s="30" t="inlineStr">
        <is>
          <t>At least one relevant schema type</t>
        </is>
      </c>
      <c r="J108" s="30" t="inlineStr">
        <is>
          <t>In AIOSEO schema settings for the page, add the most relevant type (Article/FAQ/HowTo/Product, etc.). (Taxonomy/Archive page: navigate via AIOSEO → Search Appearance → Taxonomies.)</t>
        </is>
      </c>
      <c r="K108" s="30" t="inlineStr">
        <is>
          <t>Schema &amp; Metadata</t>
        </is>
      </c>
      <c r="L108" s="30" t="inlineStr">
        <is>
          <t>Schema Types Count</t>
        </is>
      </c>
      <c r="M108" s="30" t="inlineStr">
        <is>
          <t>Yes</t>
        </is>
      </c>
      <c r="N108" s="30" t="inlineStr">
        <is>
          <t>Copy Writer</t>
        </is>
      </c>
      <c r="O108" s="36" t="inlineStr">
        <is>
          <t>Open</t>
        </is>
      </c>
      <c r="P108" s="30" t="n">
        <v>4</v>
      </c>
      <c r="Q108" s="30" t="inlineStr">
        <is>
          <t>https://africanmarketingconfederation.org/smoke-archive/page-62::aioseo_no_schema_markup_detected</t>
        </is>
      </c>
      <c r="R108" s="30" t="inlineStr">
        <is>
          <t>Schema improves understanding and rich result eligibility.</t>
        </is>
      </c>
      <c r="S108" s="38">
        <f>IFERROR(HYPERLINK("#'Main'!B"&amp;MATCH(TRIM(A108),'Main'!B:B,0),"Open"),HYPERLINK("#'Main'!B1","Open"))</f>
        <v/>
      </c>
      <c r="T108" s="38">
        <f>IFERROR(HYPERLINK("#'Technical Diagnostics'!A"&amp;MATCH(A108,'Technical Diagnostics'!A:A,0),"Open"),HYPERLINK("#'Technical Diagnostics'!A1","Open"))</f>
        <v/>
      </c>
    </row>
    <row r="109" ht="60" customHeight="1">
      <c r="A109" s="35" t="inlineStr">
        <is>
          <t>https://africanmarketingconfederation.org/smoke-archive/page-63</t>
        </is>
      </c>
      <c r="B109" s="28" t="inlineStr"/>
      <c r="C109" s="28" t="inlineStr"/>
      <c r="D109" s="28" t="inlineStr">
        <is>
          <t>Schema</t>
        </is>
      </c>
      <c r="E109" s="29" t="inlineStr">
        <is>
          <t>Warning</t>
        </is>
      </c>
      <c r="F109" s="28" t="inlineStr">
        <is>
          <t>No schema markup detected</t>
        </is>
      </c>
      <c r="G109" s="28" t="n">
        <v>67</v>
      </c>
      <c r="H109" s="28" t="n">
        <v>0</v>
      </c>
      <c r="I109" s="28" t="inlineStr">
        <is>
          <t>At least one relevant schema type</t>
        </is>
      </c>
      <c r="J109" s="28" t="inlineStr">
        <is>
          <t>In AIOSEO schema settings for the page, add the most relevant type (Article/FAQ/HowTo/Product, etc.). (Taxonomy/Archive page: navigate via AIOSEO → Search Appearance → Taxonomies.)</t>
        </is>
      </c>
      <c r="K109" s="28" t="inlineStr">
        <is>
          <t>Schema &amp; Metadata</t>
        </is>
      </c>
      <c r="L109" s="28" t="inlineStr">
        <is>
          <t>Schema Types Count</t>
        </is>
      </c>
      <c r="M109" s="28" t="inlineStr">
        <is>
          <t>Yes</t>
        </is>
      </c>
      <c r="N109" s="28" t="inlineStr">
        <is>
          <t>Copy Writer</t>
        </is>
      </c>
      <c r="O109" s="36" t="inlineStr">
        <is>
          <t>Open</t>
        </is>
      </c>
      <c r="P109" s="28" t="n">
        <v>4</v>
      </c>
      <c r="Q109" s="28" t="inlineStr">
        <is>
          <t>https://africanmarketingconfederation.org/smoke-archive/page-63::aioseo_no_schema_markup_detected</t>
        </is>
      </c>
      <c r="R109" s="28" t="inlineStr">
        <is>
          <t>Schema improves understanding and rich result eligibility.</t>
        </is>
      </c>
      <c r="S109">
        <f>IFERROR(HYPERLINK("#'Main'!B"&amp;MATCH(TRIM(A109),'Main'!B:B,0),"Open"),HYPERLINK("#'Main'!B1","Open"))</f>
        <v/>
      </c>
      <c r="T109">
        <f>IFERROR(HYPERLINK("#'Technical Diagnostics'!A"&amp;MATCH(A109,'Technical Diagnostics'!A:A,0),"Open"),HYPERLINK("#'Technical Diagnostics'!A1","Open"))</f>
        <v/>
      </c>
    </row>
    <row r="110" ht="60" customHeight="1">
      <c r="A110" s="37" t="inlineStr">
        <is>
          <t>https://africanmarketingconfederation.org/smoke-archive/page-64</t>
        </is>
      </c>
      <c r="B110" s="30" t="inlineStr"/>
      <c r="C110" s="30" t="inlineStr"/>
      <c r="D110" s="30" t="inlineStr">
        <is>
          <t>Schema</t>
        </is>
      </c>
      <c r="E110" s="29" t="inlineStr">
        <is>
          <t>Warning</t>
        </is>
      </c>
      <c r="F110" s="30" t="inlineStr">
        <is>
          <t>No schema markup detected</t>
        </is>
      </c>
      <c r="G110" s="30" t="n">
        <v>67</v>
      </c>
      <c r="H110" s="30" t="n">
        <v>0</v>
      </c>
      <c r="I110" s="30" t="inlineStr">
        <is>
          <t>At least one relevant schema type</t>
        </is>
      </c>
      <c r="J110" s="30" t="inlineStr">
        <is>
          <t>In AIOSEO schema settings for the page, add the most relevant type (Article/FAQ/HowTo/Product, etc.). (Taxonomy/Archive page: navigate via AIOSEO → Search Appearance → Taxonomies.)</t>
        </is>
      </c>
      <c r="K110" s="30" t="inlineStr">
        <is>
          <t>Schema &amp; Metadata</t>
        </is>
      </c>
      <c r="L110" s="30" t="inlineStr">
        <is>
          <t>Schema Types Count</t>
        </is>
      </c>
      <c r="M110" s="30" t="inlineStr">
        <is>
          <t>Yes</t>
        </is>
      </c>
      <c r="N110" s="30" t="inlineStr">
        <is>
          <t>Copy Writer</t>
        </is>
      </c>
      <c r="O110" s="36" t="inlineStr">
        <is>
          <t>Open</t>
        </is>
      </c>
      <c r="P110" s="30" t="n">
        <v>4</v>
      </c>
      <c r="Q110" s="30" t="inlineStr">
        <is>
          <t>https://africanmarketingconfederation.org/smoke-archive/page-64::aioseo_no_schema_markup_detected</t>
        </is>
      </c>
      <c r="R110" s="30" t="inlineStr">
        <is>
          <t>Schema improves understanding and rich result eligibility.</t>
        </is>
      </c>
      <c r="S110" s="38">
        <f>IFERROR(HYPERLINK("#'Main'!B"&amp;MATCH(TRIM(A110),'Main'!B:B,0),"Open"),HYPERLINK("#'Main'!B1","Open"))</f>
        <v/>
      </c>
      <c r="T110" s="38">
        <f>IFERROR(HYPERLINK("#'Technical Diagnostics'!A"&amp;MATCH(A110,'Technical Diagnostics'!A:A,0),"Open"),HYPERLINK("#'Technical Diagnostics'!A1","Open"))</f>
        <v/>
      </c>
    </row>
    <row r="111" ht="60" customHeight="1">
      <c r="A111" s="35" t="inlineStr">
        <is>
          <t>https://africanmarketingconfederation.org/smoke-archive/page-65</t>
        </is>
      </c>
      <c r="B111" s="28" t="inlineStr"/>
      <c r="C111" s="28" t="inlineStr"/>
      <c r="D111" s="28" t="inlineStr">
        <is>
          <t>Schema</t>
        </is>
      </c>
      <c r="E111" s="29" t="inlineStr">
        <is>
          <t>Warning</t>
        </is>
      </c>
      <c r="F111" s="28" t="inlineStr">
        <is>
          <t>No schema markup detected</t>
        </is>
      </c>
      <c r="G111" s="28" t="n">
        <v>67</v>
      </c>
      <c r="H111" s="28" t="n">
        <v>0</v>
      </c>
      <c r="I111" s="28" t="inlineStr">
        <is>
          <t>At least one relevant schema type</t>
        </is>
      </c>
      <c r="J111" s="28" t="inlineStr">
        <is>
          <t>In AIOSEO schema settings for the page, add the most relevant type (Article/FAQ/HowTo/Product, etc.). (Taxonomy/Archive page: navigate via AIOSEO → Search Appearance → Taxonomies.)</t>
        </is>
      </c>
      <c r="K111" s="28" t="inlineStr">
        <is>
          <t>Schema &amp; Metadata</t>
        </is>
      </c>
      <c r="L111" s="28" t="inlineStr">
        <is>
          <t>Schema Types Count</t>
        </is>
      </c>
      <c r="M111" s="28" t="inlineStr">
        <is>
          <t>Yes</t>
        </is>
      </c>
      <c r="N111" s="28" t="inlineStr">
        <is>
          <t>Copy Writer</t>
        </is>
      </c>
      <c r="O111" s="36" t="inlineStr">
        <is>
          <t>Open</t>
        </is>
      </c>
      <c r="P111" s="28" t="n">
        <v>4</v>
      </c>
      <c r="Q111" s="28" t="inlineStr">
        <is>
          <t>https://africanmarketingconfederation.org/smoke-archive/page-65::aioseo_no_schema_markup_detected</t>
        </is>
      </c>
      <c r="R111" s="28" t="inlineStr">
        <is>
          <t>Schema improves understanding and rich result eligibility.</t>
        </is>
      </c>
      <c r="S111">
        <f>IFERROR(HYPERLINK("#'Main'!B"&amp;MATCH(TRIM(A111),'Main'!B:B,0),"Open"),HYPERLINK("#'Main'!B1","Open"))</f>
        <v/>
      </c>
      <c r="T111">
        <f>IFERROR(HYPERLINK("#'Technical Diagnostics'!A"&amp;MATCH(A111,'Technical Diagnostics'!A:A,0),"Open"),HYPERLINK("#'Technical Diagnostics'!A1","Open"))</f>
        <v/>
      </c>
    </row>
    <row r="112" ht="60" customHeight="1">
      <c r="A112" s="37" t="inlineStr">
        <is>
          <t>https://africanmarketingconfederation.org/smoke-archive/page-66</t>
        </is>
      </c>
      <c r="B112" s="30" t="inlineStr"/>
      <c r="C112" s="30" t="inlineStr"/>
      <c r="D112" s="30" t="inlineStr">
        <is>
          <t>Schema</t>
        </is>
      </c>
      <c r="E112" s="29" t="inlineStr">
        <is>
          <t>Warning</t>
        </is>
      </c>
      <c r="F112" s="30" t="inlineStr">
        <is>
          <t>No schema markup detected</t>
        </is>
      </c>
      <c r="G112" s="30" t="n">
        <v>67</v>
      </c>
      <c r="H112" s="30" t="n">
        <v>0</v>
      </c>
      <c r="I112" s="30" t="inlineStr">
        <is>
          <t>At least one relevant schema type</t>
        </is>
      </c>
      <c r="J112" s="30" t="inlineStr">
        <is>
          <t>In AIOSEO schema settings for the page, add the most relevant type (Article/FAQ/HowTo/Product, etc.). (Taxonomy/Archive page: navigate via AIOSEO → Search Appearance → Taxonomies.)</t>
        </is>
      </c>
      <c r="K112" s="30" t="inlineStr">
        <is>
          <t>Schema &amp; Metadata</t>
        </is>
      </c>
      <c r="L112" s="30" t="inlineStr">
        <is>
          <t>Schema Types Count</t>
        </is>
      </c>
      <c r="M112" s="30" t="inlineStr">
        <is>
          <t>Yes</t>
        </is>
      </c>
      <c r="N112" s="30" t="inlineStr">
        <is>
          <t>Copy Writer</t>
        </is>
      </c>
      <c r="O112" s="36" t="inlineStr">
        <is>
          <t>Open</t>
        </is>
      </c>
      <c r="P112" s="30" t="n">
        <v>4</v>
      </c>
      <c r="Q112" s="30" t="inlineStr">
        <is>
          <t>https://africanmarketingconfederation.org/smoke-archive/page-66::aioseo_no_schema_markup_detected</t>
        </is>
      </c>
      <c r="R112" s="30" t="inlineStr">
        <is>
          <t>Schema improves understanding and rich result eligibility.</t>
        </is>
      </c>
      <c r="S112" s="38">
        <f>IFERROR(HYPERLINK("#'Main'!B"&amp;MATCH(TRIM(A112),'Main'!B:B,0),"Open"),HYPERLINK("#'Main'!B1","Open"))</f>
        <v/>
      </c>
      <c r="T112" s="38">
        <f>IFERROR(HYPERLINK("#'Technical Diagnostics'!A"&amp;MATCH(A112,'Technical Diagnostics'!A:A,0),"Open"),HYPERLINK("#'Technical Diagnostics'!A1","Open"))</f>
        <v/>
      </c>
    </row>
    <row r="113" ht="60" customHeight="1">
      <c r="A113" s="35" t="inlineStr">
        <is>
          <t>https://africanmarketingconfederation.org/smoke-archive/page-67</t>
        </is>
      </c>
      <c r="B113" s="28" t="inlineStr"/>
      <c r="C113" s="28" t="inlineStr"/>
      <c r="D113" s="28" t="inlineStr">
        <is>
          <t>Schema</t>
        </is>
      </c>
      <c r="E113" s="29" t="inlineStr">
        <is>
          <t>Warning</t>
        </is>
      </c>
      <c r="F113" s="28" t="inlineStr">
        <is>
          <t>No schema markup detected</t>
        </is>
      </c>
      <c r="G113" s="28" t="n">
        <v>67</v>
      </c>
      <c r="H113" s="28" t="n">
        <v>0</v>
      </c>
      <c r="I113" s="28" t="inlineStr">
        <is>
          <t>At least one relevant schema type</t>
        </is>
      </c>
      <c r="J113" s="28" t="inlineStr">
        <is>
          <t>In AIOSEO schema settings for the page, add the most relevant type (Article/FAQ/HowTo/Product, etc.). (Taxonomy/Archive page: navigate via AIOSEO → Search Appearance → Taxonomies.)</t>
        </is>
      </c>
      <c r="K113" s="28" t="inlineStr">
        <is>
          <t>Schema &amp; Metadata</t>
        </is>
      </c>
      <c r="L113" s="28" t="inlineStr">
        <is>
          <t>Schema Types Count</t>
        </is>
      </c>
      <c r="M113" s="28" t="inlineStr">
        <is>
          <t>Yes</t>
        </is>
      </c>
      <c r="N113" s="28" t="inlineStr">
        <is>
          <t>Copy Writer</t>
        </is>
      </c>
      <c r="O113" s="36" t="inlineStr">
        <is>
          <t>Open</t>
        </is>
      </c>
      <c r="P113" s="28" t="n">
        <v>4</v>
      </c>
      <c r="Q113" s="28" t="inlineStr">
        <is>
          <t>https://africanmarketingconfederation.org/smoke-archive/page-67::aioseo_no_schema_markup_detected</t>
        </is>
      </c>
      <c r="R113" s="28" t="inlineStr">
        <is>
          <t>Schema improves understanding and rich result eligibility.</t>
        </is>
      </c>
      <c r="S113">
        <f>IFERROR(HYPERLINK("#'Main'!B"&amp;MATCH(TRIM(A113),'Main'!B:B,0),"Open"),HYPERLINK("#'Main'!B1","Open"))</f>
        <v/>
      </c>
      <c r="T113">
        <f>IFERROR(HYPERLINK("#'Technical Diagnostics'!A"&amp;MATCH(A113,'Technical Diagnostics'!A:A,0),"Open"),HYPERLINK("#'Technical Diagnostics'!A1","Open"))</f>
        <v/>
      </c>
    </row>
    <row r="114" ht="60" customHeight="1">
      <c r="A114" s="37" t="inlineStr">
        <is>
          <t>https://africanmarketingconfederation.org/smoke-archive/page-68</t>
        </is>
      </c>
      <c r="B114" s="30" t="inlineStr"/>
      <c r="C114" s="30" t="inlineStr"/>
      <c r="D114" s="30" t="inlineStr">
        <is>
          <t>Schema</t>
        </is>
      </c>
      <c r="E114" s="29" t="inlineStr">
        <is>
          <t>Warning</t>
        </is>
      </c>
      <c r="F114" s="30" t="inlineStr">
        <is>
          <t>No schema markup detected</t>
        </is>
      </c>
      <c r="G114" s="30" t="n">
        <v>67</v>
      </c>
      <c r="H114" s="30" t="n">
        <v>0</v>
      </c>
      <c r="I114" s="30" t="inlineStr">
        <is>
          <t>At least one relevant schema type</t>
        </is>
      </c>
      <c r="J114" s="30" t="inlineStr">
        <is>
          <t>In AIOSEO schema settings for the page, add the most relevant type (Article/FAQ/HowTo/Product, etc.). (Taxonomy/Archive page: navigate via AIOSEO → Search Appearance → Taxonomies.)</t>
        </is>
      </c>
      <c r="K114" s="30" t="inlineStr">
        <is>
          <t>Schema &amp; Metadata</t>
        </is>
      </c>
      <c r="L114" s="30" t="inlineStr">
        <is>
          <t>Schema Types Count</t>
        </is>
      </c>
      <c r="M114" s="30" t="inlineStr">
        <is>
          <t>Yes</t>
        </is>
      </c>
      <c r="N114" s="30" t="inlineStr">
        <is>
          <t>Copy Writer</t>
        </is>
      </c>
      <c r="O114" s="36" t="inlineStr">
        <is>
          <t>Open</t>
        </is>
      </c>
      <c r="P114" s="30" t="n">
        <v>4</v>
      </c>
      <c r="Q114" s="30" t="inlineStr">
        <is>
          <t>https://africanmarketingconfederation.org/smoke-archive/page-68::aioseo_no_schema_markup_detected</t>
        </is>
      </c>
      <c r="R114" s="30" t="inlineStr">
        <is>
          <t>Schema improves understanding and rich result eligibility.</t>
        </is>
      </c>
      <c r="S114" s="38">
        <f>IFERROR(HYPERLINK("#'Main'!B"&amp;MATCH(TRIM(A114),'Main'!B:B,0),"Open"),HYPERLINK("#'Main'!B1","Open"))</f>
        <v/>
      </c>
      <c r="T114" s="38">
        <f>IFERROR(HYPERLINK("#'Technical Diagnostics'!A"&amp;MATCH(A114,'Technical Diagnostics'!A:A,0),"Open"),HYPERLINK("#'Technical Diagnostics'!A1","Open"))</f>
        <v/>
      </c>
    </row>
    <row r="115" ht="60" customHeight="1">
      <c r="A115" s="35" t="inlineStr">
        <is>
          <t>https://africanmarketingconfederation.org/smoke-archive/page-69</t>
        </is>
      </c>
      <c r="B115" s="28" t="inlineStr"/>
      <c r="C115" s="28" t="inlineStr"/>
      <c r="D115" s="28" t="inlineStr">
        <is>
          <t>Schema</t>
        </is>
      </c>
      <c r="E115" s="29" t="inlineStr">
        <is>
          <t>Warning</t>
        </is>
      </c>
      <c r="F115" s="28" t="inlineStr">
        <is>
          <t>No schema markup detected</t>
        </is>
      </c>
      <c r="G115" s="28" t="n">
        <v>67</v>
      </c>
      <c r="H115" s="28" t="n">
        <v>0</v>
      </c>
      <c r="I115" s="28" t="inlineStr">
        <is>
          <t>At least one relevant schema type</t>
        </is>
      </c>
      <c r="J115" s="28" t="inlineStr">
        <is>
          <t>In AIOSEO schema settings for the page, add the most relevant type (Article/FAQ/HowTo/Product, etc.). (Taxonomy/Archive page: navigate via AIOSEO → Search Appearance → Taxonomies.)</t>
        </is>
      </c>
      <c r="K115" s="28" t="inlineStr">
        <is>
          <t>Schema &amp; Metadata</t>
        </is>
      </c>
      <c r="L115" s="28" t="inlineStr">
        <is>
          <t>Schema Types Count</t>
        </is>
      </c>
      <c r="M115" s="28" t="inlineStr">
        <is>
          <t>Yes</t>
        </is>
      </c>
      <c r="N115" s="28" t="inlineStr">
        <is>
          <t>Copy Writer</t>
        </is>
      </c>
      <c r="O115" s="36" t="inlineStr">
        <is>
          <t>Open</t>
        </is>
      </c>
      <c r="P115" s="28" t="n">
        <v>4</v>
      </c>
      <c r="Q115" s="28" t="inlineStr">
        <is>
          <t>https://africanmarketingconfederation.org/smoke-archive/page-69::aioseo_no_schema_markup_detected</t>
        </is>
      </c>
      <c r="R115" s="28" t="inlineStr">
        <is>
          <t>Schema improves understanding and rich result eligibility.</t>
        </is>
      </c>
      <c r="S115">
        <f>IFERROR(HYPERLINK("#'Main'!B"&amp;MATCH(TRIM(A115),'Main'!B:B,0),"Open"),HYPERLINK("#'Main'!B1","Open"))</f>
        <v/>
      </c>
      <c r="T115">
        <f>IFERROR(HYPERLINK("#'Technical Diagnostics'!A"&amp;MATCH(A115,'Technical Diagnostics'!A:A,0),"Open"),HYPERLINK("#'Technical Diagnostics'!A1","Open"))</f>
        <v/>
      </c>
    </row>
    <row r="116" ht="60" customHeight="1">
      <c r="A116" s="37" t="inlineStr">
        <is>
          <t>https://africanmarketingconfederation.org/smoke-archive/page-7</t>
        </is>
      </c>
      <c r="B116" s="30" t="inlineStr"/>
      <c r="C116" s="30" t="inlineStr"/>
      <c r="D116" s="30" t="inlineStr">
        <is>
          <t>Schema</t>
        </is>
      </c>
      <c r="E116" s="29" t="inlineStr">
        <is>
          <t>Warning</t>
        </is>
      </c>
      <c r="F116" s="30" t="inlineStr">
        <is>
          <t>No schema markup detected</t>
        </is>
      </c>
      <c r="G116" s="30" t="n">
        <v>67</v>
      </c>
      <c r="H116" s="30" t="n">
        <v>0</v>
      </c>
      <c r="I116" s="30" t="inlineStr">
        <is>
          <t>At least one relevant schema type</t>
        </is>
      </c>
      <c r="J116" s="30" t="inlineStr">
        <is>
          <t>In AIOSEO schema settings for the page, add the most relevant type (Article/FAQ/HowTo/Product, etc.). (Taxonomy/Archive page: navigate via AIOSEO → Search Appearance → Taxonomies.)</t>
        </is>
      </c>
      <c r="K116" s="30" t="inlineStr">
        <is>
          <t>Schema &amp; Metadata</t>
        </is>
      </c>
      <c r="L116" s="30" t="inlineStr">
        <is>
          <t>Schema Types Count</t>
        </is>
      </c>
      <c r="M116" s="30" t="inlineStr">
        <is>
          <t>Yes</t>
        </is>
      </c>
      <c r="N116" s="30" t="inlineStr">
        <is>
          <t>Copy Writer</t>
        </is>
      </c>
      <c r="O116" s="36" t="inlineStr">
        <is>
          <t>Open</t>
        </is>
      </c>
      <c r="P116" s="30" t="n">
        <v>4</v>
      </c>
      <c r="Q116" s="30" t="inlineStr">
        <is>
          <t>https://africanmarketingconfederation.org/smoke-archive/page-7::aioseo_no_schema_markup_detected</t>
        </is>
      </c>
      <c r="R116" s="30" t="inlineStr">
        <is>
          <t>Schema improves understanding and rich result eligibility.</t>
        </is>
      </c>
      <c r="S116" s="38">
        <f>IFERROR(HYPERLINK("#'Main'!B"&amp;MATCH(TRIM(A116),'Main'!B:B,0),"Open"),HYPERLINK("#'Main'!B1","Open"))</f>
        <v/>
      </c>
      <c r="T116" s="38">
        <f>IFERROR(HYPERLINK("#'Technical Diagnostics'!A"&amp;MATCH(A116,'Technical Diagnostics'!A:A,0),"Open"),HYPERLINK("#'Technical Diagnostics'!A1","Open"))</f>
        <v/>
      </c>
    </row>
    <row r="117" ht="60" customHeight="1">
      <c r="A117" s="35" t="inlineStr">
        <is>
          <t>https://africanmarketingconfederation.org/smoke-archive/page-70</t>
        </is>
      </c>
      <c r="B117" s="28" t="inlineStr"/>
      <c r="C117" s="28" t="inlineStr"/>
      <c r="D117" s="28" t="inlineStr">
        <is>
          <t>Schema</t>
        </is>
      </c>
      <c r="E117" s="29" t="inlineStr">
        <is>
          <t>Warning</t>
        </is>
      </c>
      <c r="F117" s="28" t="inlineStr">
        <is>
          <t>No schema markup detected</t>
        </is>
      </c>
      <c r="G117" s="28" t="n">
        <v>67</v>
      </c>
      <c r="H117" s="28" t="n">
        <v>0</v>
      </c>
      <c r="I117" s="28" t="inlineStr">
        <is>
          <t>At least one relevant schema type</t>
        </is>
      </c>
      <c r="J117" s="28" t="inlineStr">
        <is>
          <t>In AIOSEO schema settings for the page, add the most relevant type (Article/FAQ/HowTo/Product, etc.). (Taxonomy/Archive page: navigate via AIOSEO → Search Appearance → Taxonomies.)</t>
        </is>
      </c>
      <c r="K117" s="28" t="inlineStr">
        <is>
          <t>Schema &amp; Metadata</t>
        </is>
      </c>
      <c r="L117" s="28" t="inlineStr">
        <is>
          <t>Schema Types Count</t>
        </is>
      </c>
      <c r="M117" s="28" t="inlineStr">
        <is>
          <t>Yes</t>
        </is>
      </c>
      <c r="N117" s="28" t="inlineStr">
        <is>
          <t>Copy Writer</t>
        </is>
      </c>
      <c r="O117" s="36" t="inlineStr">
        <is>
          <t>Open</t>
        </is>
      </c>
      <c r="P117" s="28" t="n">
        <v>4</v>
      </c>
      <c r="Q117" s="28" t="inlineStr">
        <is>
          <t>https://africanmarketingconfederation.org/smoke-archive/page-70::aioseo_no_schema_markup_detected</t>
        </is>
      </c>
      <c r="R117" s="28" t="inlineStr">
        <is>
          <t>Schema improves understanding and rich result eligibility.</t>
        </is>
      </c>
      <c r="S117">
        <f>IFERROR(HYPERLINK("#'Main'!B"&amp;MATCH(TRIM(A117),'Main'!B:B,0),"Open"),HYPERLINK("#'Main'!B1","Open"))</f>
        <v/>
      </c>
      <c r="T117">
        <f>IFERROR(HYPERLINK("#'Technical Diagnostics'!A"&amp;MATCH(A117,'Technical Diagnostics'!A:A,0),"Open"),HYPERLINK("#'Technical Diagnostics'!A1","Open"))</f>
        <v/>
      </c>
    </row>
    <row r="118" ht="60" customHeight="1">
      <c r="A118" s="37" t="inlineStr">
        <is>
          <t>https://africanmarketingconfederation.org/smoke-archive/page-71</t>
        </is>
      </c>
      <c r="B118" s="30" t="inlineStr"/>
      <c r="C118" s="30" t="inlineStr"/>
      <c r="D118" s="30" t="inlineStr">
        <is>
          <t>Schema</t>
        </is>
      </c>
      <c r="E118" s="29" t="inlineStr">
        <is>
          <t>Warning</t>
        </is>
      </c>
      <c r="F118" s="30" t="inlineStr">
        <is>
          <t>No schema markup detected</t>
        </is>
      </c>
      <c r="G118" s="30" t="n">
        <v>67</v>
      </c>
      <c r="H118" s="30" t="n">
        <v>0</v>
      </c>
      <c r="I118" s="30" t="inlineStr">
        <is>
          <t>At least one relevant schema type</t>
        </is>
      </c>
      <c r="J118" s="30" t="inlineStr">
        <is>
          <t>In AIOSEO schema settings for the page, add the most relevant type (Article/FAQ/HowTo/Product, etc.). (Taxonomy/Archive page: navigate via AIOSEO → Search Appearance → Taxonomies.)</t>
        </is>
      </c>
      <c r="K118" s="30" t="inlineStr">
        <is>
          <t>Schema &amp; Metadata</t>
        </is>
      </c>
      <c r="L118" s="30" t="inlineStr">
        <is>
          <t>Schema Types Count</t>
        </is>
      </c>
      <c r="M118" s="30" t="inlineStr">
        <is>
          <t>Yes</t>
        </is>
      </c>
      <c r="N118" s="30" t="inlineStr">
        <is>
          <t>Copy Writer</t>
        </is>
      </c>
      <c r="O118" s="36" t="inlineStr">
        <is>
          <t>Open</t>
        </is>
      </c>
      <c r="P118" s="30" t="n">
        <v>4</v>
      </c>
      <c r="Q118" s="30" t="inlineStr">
        <is>
          <t>https://africanmarketingconfederation.org/smoke-archive/page-71::aioseo_no_schema_markup_detected</t>
        </is>
      </c>
      <c r="R118" s="30" t="inlineStr">
        <is>
          <t>Schema improves understanding and rich result eligibility.</t>
        </is>
      </c>
      <c r="S118" s="38">
        <f>IFERROR(HYPERLINK("#'Main'!B"&amp;MATCH(TRIM(A118),'Main'!B:B,0),"Open"),HYPERLINK("#'Main'!B1","Open"))</f>
        <v/>
      </c>
      <c r="T118" s="38">
        <f>IFERROR(HYPERLINK("#'Technical Diagnostics'!A"&amp;MATCH(A118,'Technical Diagnostics'!A:A,0),"Open"),HYPERLINK("#'Technical Diagnostics'!A1","Open"))</f>
        <v/>
      </c>
    </row>
    <row r="119" ht="60" customHeight="1">
      <c r="A119" s="35" t="inlineStr">
        <is>
          <t>https://africanmarketingconfederation.org/smoke-archive/page-72</t>
        </is>
      </c>
      <c r="B119" s="28" t="inlineStr"/>
      <c r="C119" s="28" t="inlineStr"/>
      <c r="D119" s="28" t="inlineStr">
        <is>
          <t>Schema</t>
        </is>
      </c>
      <c r="E119" s="29" t="inlineStr">
        <is>
          <t>Warning</t>
        </is>
      </c>
      <c r="F119" s="28" t="inlineStr">
        <is>
          <t>No schema markup detected</t>
        </is>
      </c>
      <c r="G119" s="28" t="n">
        <v>67</v>
      </c>
      <c r="H119" s="28" t="n">
        <v>0</v>
      </c>
      <c r="I119" s="28" t="inlineStr">
        <is>
          <t>At least one relevant schema type</t>
        </is>
      </c>
      <c r="J119" s="28" t="inlineStr">
        <is>
          <t>In AIOSEO schema settings for the page, add the most relevant type (Article/FAQ/HowTo/Product, etc.). (Taxonomy/Archive page: navigate via AIOSEO → Search Appearance → Taxonomies.)</t>
        </is>
      </c>
      <c r="K119" s="28" t="inlineStr">
        <is>
          <t>Schema &amp; Metadata</t>
        </is>
      </c>
      <c r="L119" s="28" t="inlineStr">
        <is>
          <t>Schema Types Count</t>
        </is>
      </c>
      <c r="M119" s="28" t="inlineStr">
        <is>
          <t>Yes</t>
        </is>
      </c>
      <c r="N119" s="28" t="inlineStr">
        <is>
          <t>Copy Writer</t>
        </is>
      </c>
      <c r="O119" s="36" t="inlineStr">
        <is>
          <t>Open</t>
        </is>
      </c>
      <c r="P119" s="28" t="n">
        <v>4</v>
      </c>
      <c r="Q119" s="28" t="inlineStr">
        <is>
          <t>https://africanmarketingconfederation.org/smoke-archive/page-72::aioseo_no_schema_markup_detected</t>
        </is>
      </c>
      <c r="R119" s="28" t="inlineStr">
        <is>
          <t>Schema improves understanding and rich result eligibility.</t>
        </is>
      </c>
      <c r="S119">
        <f>IFERROR(HYPERLINK("#'Main'!B"&amp;MATCH(TRIM(A119),'Main'!B:B,0),"Open"),HYPERLINK("#'Main'!B1","Open"))</f>
        <v/>
      </c>
      <c r="T119">
        <f>IFERROR(HYPERLINK("#'Technical Diagnostics'!A"&amp;MATCH(A119,'Technical Diagnostics'!A:A,0),"Open"),HYPERLINK("#'Technical Diagnostics'!A1","Open"))</f>
        <v/>
      </c>
    </row>
    <row r="120" ht="60" customHeight="1">
      <c r="A120" s="37" t="inlineStr">
        <is>
          <t>https://africanmarketingconfederation.org/smoke-archive/page-73</t>
        </is>
      </c>
      <c r="B120" s="30" t="inlineStr"/>
      <c r="C120" s="30" t="inlineStr"/>
      <c r="D120" s="30" t="inlineStr">
        <is>
          <t>Schema</t>
        </is>
      </c>
      <c r="E120" s="29" t="inlineStr">
        <is>
          <t>Warning</t>
        </is>
      </c>
      <c r="F120" s="30" t="inlineStr">
        <is>
          <t>No schema markup detected</t>
        </is>
      </c>
      <c r="G120" s="30" t="n">
        <v>67</v>
      </c>
      <c r="H120" s="30" t="n">
        <v>0</v>
      </c>
      <c r="I120" s="30" t="inlineStr">
        <is>
          <t>At least one relevant schema type</t>
        </is>
      </c>
      <c r="J120" s="30" t="inlineStr">
        <is>
          <t>In AIOSEO schema settings for the page, add the most relevant type (Article/FAQ/HowTo/Product, etc.). (Taxonomy/Archive page: navigate via AIOSEO → Search Appearance → Taxonomies.)</t>
        </is>
      </c>
      <c r="K120" s="30" t="inlineStr">
        <is>
          <t>Schema &amp; Metadata</t>
        </is>
      </c>
      <c r="L120" s="30" t="inlineStr">
        <is>
          <t>Schema Types Count</t>
        </is>
      </c>
      <c r="M120" s="30" t="inlineStr">
        <is>
          <t>Yes</t>
        </is>
      </c>
      <c r="N120" s="30" t="inlineStr">
        <is>
          <t>Copy Writer</t>
        </is>
      </c>
      <c r="O120" s="36" t="inlineStr">
        <is>
          <t>Open</t>
        </is>
      </c>
      <c r="P120" s="30" t="n">
        <v>4</v>
      </c>
      <c r="Q120" s="30" t="inlineStr">
        <is>
          <t>https://africanmarketingconfederation.org/smoke-archive/page-73::aioseo_no_schema_markup_detected</t>
        </is>
      </c>
      <c r="R120" s="30" t="inlineStr">
        <is>
          <t>Schema improves understanding and rich result eligibility.</t>
        </is>
      </c>
      <c r="S120" s="38">
        <f>IFERROR(HYPERLINK("#'Main'!B"&amp;MATCH(TRIM(A120),'Main'!B:B,0),"Open"),HYPERLINK("#'Main'!B1","Open"))</f>
        <v/>
      </c>
      <c r="T120" s="38">
        <f>IFERROR(HYPERLINK("#'Technical Diagnostics'!A"&amp;MATCH(A120,'Technical Diagnostics'!A:A,0),"Open"),HYPERLINK("#'Technical Diagnostics'!A1","Open"))</f>
        <v/>
      </c>
    </row>
    <row r="121" ht="60" customHeight="1">
      <c r="A121" s="35" t="inlineStr">
        <is>
          <t>https://africanmarketingconfederation.org/smoke-archive/page-74</t>
        </is>
      </c>
      <c r="B121" s="28" t="inlineStr"/>
      <c r="C121" s="28" t="inlineStr"/>
      <c r="D121" s="28" t="inlineStr">
        <is>
          <t>Schema</t>
        </is>
      </c>
      <c r="E121" s="29" t="inlineStr">
        <is>
          <t>Warning</t>
        </is>
      </c>
      <c r="F121" s="28" t="inlineStr">
        <is>
          <t>No schema markup detected</t>
        </is>
      </c>
      <c r="G121" s="28" t="n">
        <v>67</v>
      </c>
      <c r="H121" s="28" t="n">
        <v>0</v>
      </c>
      <c r="I121" s="28" t="inlineStr">
        <is>
          <t>At least one relevant schema type</t>
        </is>
      </c>
      <c r="J121" s="28" t="inlineStr">
        <is>
          <t>In AIOSEO schema settings for the page, add the most relevant type (Article/FAQ/HowTo/Product, etc.). (Taxonomy/Archive page: navigate via AIOSEO → Search Appearance → Taxonomies.)</t>
        </is>
      </c>
      <c r="K121" s="28" t="inlineStr">
        <is>
          <t>Schema &amp; Metadata</t>
        </is>
      </c>
      <c r="L121" s="28" t="inlineStr">
        <is>
          <t>Schema Types Count</t>
        </is>
      </c>
      <c r="M121" s="28" t="inlineStr">
        <is>
          <t>Yes</t>
        </is>
      </c>
      <c r="N121" s="28" t="inlineStr">
        <is>
          <t>Copy Writer</t>
        </is>
      </c>
      <c r="O121" s="36" t="inlineStr">
        <is>
          <t>Open</t>
        </is>
      </c>
      <c r="P121" s="28" t="n">
        <v>4</v>
      </c>
      <c r="Q121" s="28" t="inlineStr">
        <is>
          <t>https://africanmarketingconfederation.org/smoke-archive/page-74::aioseo_no_schema_markup_detected</t>
        </is>
      </c>
      <c r="R121" s="28" t="inlineStr">
        <is>
          <t>Schema improves understanding and rich result eligibility.</t>
        </is>
      </c>
      <c r="S121">
        <f>IFERROR(HYPERLINK("#'Main'!B"&amp;MATCH(TRIM(A121),'Main'!B:B,0),"Open"),HYPERLINK("#'Main'!B1","Open"))</f>
        <v/>
      </c>
      <c r="T121">
        <f>IFERROR(HYPERLINK("#'Technical Diagnostics'!A"&amp;MATCH(A121,'Technical Diagnostics'!A:A,0),"Open"),HYPERLINK("#'Technical Diagnostics'!A1","Open"))</f>
        <v/>
      </c>
    </row>
    <row r="122" ht="60" customHeight="1">
      <c r="A122" s="37" t="inlineStr">
        <is>
          <t>https://africanmarketingconfederation.org/smoke-archive/page-75</t>
        </is>
      </c>
      <c r="B122" s="30" t="inlineStr"/>
      <c r="C122" s="30" t="inlineStr"/>
      <c r="D122" s="30" t="inlineStr">
        <is>
          <t>Schema</t>
        </is>
      </c>
      <c r="E122" s="29" t="inlineStr">
        <is>
          <t>Warning</t>
        </is>
      </c>
      <c r="F122" s="30" t="inlineStr">
        <is>
          <t>No schema markup detected</t>
        </is>
      </c>
      <c r="G122" s="30" t="n">
        <v>67</v>
      </c>
      <c r="H122" s="30" t="n">
        <v>0</v>
      </c>
      <c r="I122" s="30" t="inlineStr">
        <is>
          <t>At least one relevant schema type</t>
        </is>
      </c>
      <c r="J122" s="30" t="inlineStr">
        <is>
          <t>In AIOSEO schema settings for the page, add the most relevant type (Article/FAQ/HowTo/Product, etc.). (Taxonomy/Archive page: navigate via AIOSEO → Search Appearance → Taxonomies.)</t>
        </is>
      </c>
      <c r="K122" s="30" t="inlineStr">
        <is>
          <t>Schema &amp; Metadata</t>
        </is>
      </c>
      <c r="L122" s="30" t="inlineStr">
        <is>
          <t>Schema Types Count</t>
        </is>
      </c>
      <c r="M122" s="30" t="inlineStr">
        <is>
          <t>Yes</t>
        </is>
      </c>
      <c r="N122" s="30" t="inlineStr">
        <is>
          <t>Copy Writer</t>
        </is>
      </c>
      <c r="O122" s="36" t="inlineStr">
        <is>
          <t>Open</t>
        </is>
      </c>
      <c r="P122" s="30" t="n">
        <v>4</v>
      </c>
      <c r="Q122" s="30" t="inlineStr">
        <is>
          <t>https://africanmarketingconfederation.org/smoke-archive/page-75::aioseo_no_schema_markup_detected</t>
        </is>
      </c>
      <c r="R122" s="30" t="inlineStr">
        <is>
          <t>Schema improves understanding and rich result eligibility.</t>
        </is>
      </c>
      <c r="S122" s="38">
        <f>IFERROR(HYPERLINK("#'Main'!B"&amp;MATCH(TRIM(A122),'Main'!B:B,0),"Open"),HYPERLINK("#'Main'!B1","Open"))</f>
        <v/>
      </c>
      <c r="T122" s="38">
        <f>IFERROR(HYPERLINK("#'Technical Diagnostics'!A"&amp;MATCH(A122,'Technical Diagnostics'!A:A,0),"Open"),HYPERLINK("#'Technical Diagnostics'!A1","Open"))</f>
        <v/>
      </c>
    </row>
    <row r="123" ht="60" customHeight="1">
      <c r="A123" s="35" t="inlineStr">
        <is>
          <t>https://africanmarketingconfederation.org/smoke-archive/page-76</t>
        </is>
      </c>
      <c r="B123" s="28" t="inlineStr"/>
      <c r="C123" s="28" t="inlineStr"/>
      <c r="D123" s="28" t="inlineStr">
        <is>
          <t>Schema</t>
        </is>
      </c>
      <c r="E123" s="29" t="inlineStr">
        <is>
          <t>Warning</t>
        </is>
      </c>
      <c r="F123" s="28" t="inlineStr">
        <is>
          <t>No schema markup detected</t>
        </is>
      </c>
      <c r="G123" s="28" t="n">
        <v>67</v>
      </c>
      <c r="H123" s="28" t="n">
        <v>0</v>
      </c>
      <c r="I123" s="28" t="inlineStr">
        <is>
          <t>At least one relevant schema type</t>
        </is>
      </c>
      <c r="J123" s="28" t="inlineStr">
        <is>
          <t>In AIOSEO schema settings for the page, add the most relevant type (Article/FAQ/HowTo/Product, etc.). (Taxonomy/Archive page: navigate via AIOSEO → Search Appearance → Taxonomies.)</t>
        </is>
      </c>
      <c r="K123" s="28" t="inlineStr">
        <is>
          <t>Schema &amp; Metadata</t>
        </is>
      </c>
      <c r="L123" s="28" t="inlineStr">
        <is>
          <t>Schema Types Count</t>
        </is>
      </c>
      <c r="M123" s="28" t="inlineStr">
        <is>
          <t>Yes</t>
        </is>
      </c>
      <c r="N123" s="28" t="inlineStr">
        <is>
          <t>Copy Writer</t>
        </is>
      </c>
      <c r="O123" s="36" t="inlineStr">
        <is>
          <t>Open</t>
        </is>
      </c>
      <c r="P123" s="28" t="n">
        <v>4</v>
      </c>
      <c r="Q123" s="28" t="inlineStr">
        <is>
          <t>https://africanmarketingconfederation.org/smoke-archive/page-76::aioseo_no_schema_markup_detected</t>
        </is>
      </c>
      <c r="R123" s="28" t="inlineStr">
        <is>
          <t>Schema improves understanding and rich result eligibility.</t>
        </is>
      </c>
      <c r="S123">
        <f>IFERROR(HYPERLINK("#'Main'!B"&amp;MATCH(TRIM(A123),'Main'!B:B,0),"Open"),HYPERLINK("#'Main'!B1","Open"))</f>
        <v/>
      </c>
      <c r="T123">
        <f>IFERROR(HYPERLINK("#'Technical Diagnostics'!A"&amp;MATCH(A123,'Technical Diagnostics'!A:A,0),"Open"),HYPERLINK("#'Technical Diagnostics'!A1","Open"))</f>
        <v/>
      </c>
    </row>
    <row r="124" ht="60" customHeight="1">
      <c r="A124" s="37" t="inlineStr">
        <is>
          <t>https://africanmarketingconfederation.org/smoke-archive/page-77</t>
        </is>
      </c>
      <c r="B124" s="30" t="inlineStr"/>
      <c r="C124" s="30" t="inlineStr"/>
      <c r="D124" s="30" t="inlineStr">
        <is>
          <t>Schema</t>
        </is>
      </c>
      <c r="E124" s="29" t="inlineStr">
        <is>
          <t>Warning</t>
        </is>
      </c>
      <c r="F124" s="30" t="inlineStr">
        <is>
          <t>No schema markup detected</t>
        </is>
      </c>
      <c r="G124" s="30" t="n">
        <v>67</v>
      </c>
      <c r="H124" s="30" t="n">
        <v>0</v>
      </c>
      <c r="I124" s="30" t="inlineStr">
        <is>
          <t>At least one relevant schema type</t>
        </is>
      </c>
      <c r="J124" s="30" t="inlineStr">
        <is>
          <t>In AIOSEO schema settings for the page, add the most relevant type (Article/FAQ/HowTo/Product, etc.). (Taxonomy/Archive page: navigate via AIOSEO → Search Appearance → Taxonomies.)</t>
        </is>
      </c>
      <c r="K124" s="30" t="inlineStr">
        <is>
          <t>Schema &amp; Metadata</t>
        </is>
      </c>
      <c r="L124" s="30" t="inlineStr">
        <is>
          <t>Schema Types Count</t>
        </is>
      </c>
      <c r="M124" s="30" t="inlineStr">
        <is>
          <t>Yes</t>
        </is>
      </c>
      <c r="N124" s="30" t="inlineStr">
        <is>
          <t>Copy Writer</t>
        </is>
      </c>
      <c r="O124" s="36" t="inlineStr">
        <is>
          <t>Open</t>
        </is>
      </c>
      <c r="P124" s="30" t="n">
        <v>4</v>
      </c>
      <c r="Q124" s="30" t="inlineStr">
        <is>
          <t>https://africanmarketingconfederation.org/smoke-archive/page-77::aioseo_no_schema_markup_detected</t>
        </is>
      </c>
      <c r="R124" s="30" t="inlineStr">
        <is>
          <t>Schema improves understanding and rich result eligibility.</t>
        </is>
      </c>
      <c r="S124" s="38">
        <f>IFERROR(HYPERLINK("#'Main'!B"&amp;MATCH(TRIM(A124),'Main'!B:B,0),"Open"),HYPERLINK("#'Main'!B1","Open"))</f>
        <v/>
      </c>
      <c r="T124" s="38">
        <f>IFERROR(HYPERLINK("#'Technical Diagnostics'!A"&amp;MATCH(A124,'Technical Diagnostics'!A:A,0),"Open"),HYPERLINK("#'Technical Diagnostics'!A1","Open"))</f>
        <v/>
      </c>
    </row>
    <row r="125" ht="60" customHeight="1">
      <c r="A125" s="35" t="inlineStr">
        <is>
          <t>https://africanmarketingconfederation.org/smoke-archive/page-78</t>
        </is>
      </c>
      <c r="B125" s="28" t="inlineStr"/>
      <c r="C125" s="28" t="inlineStr"/>
      <c r="D125" s="28" t="inlineStr">
        <is>
          <t>Schema</t>
        </is>
      </c>
      <c r="E125" s="29" t="inlineStr">
        <is>
          <t>Warning</t>
        </is>
      </c>
      <c r="F125" s="28" t="inlineStr">
        <is>
          <t>No schema markup detected</t>
        </is>
      </c>
      <c r="G125" s="28" t="n">
        <v>67</v>
      </c>
      <c r="H125" s="28" t="n">
        <v>0</v>
      </c>
      <c r="I125" s="28" t="inlineStr">
        <is>
          <t>At least one relevant schema type</t>
        </is>
      </c>
      <c r="J125" s="28" t="inlineStr">
        <is>
          <t>In AIOSEO schema settings for the page, add the most relevant type (Article/FAQ/HowTo/Product, etc.). (Taxonomy/Archive page: navigate via AIOSEO → Search Appearance → Taxonomies.)</t>
        </is>
      </c>
      <c r="K125" s="28" t="inlineStr">
        <is>
          <t>Schema &amp; Metadata</t>
        </is>
      </c>
      <c r="L125" s="28" t="inlineStr">
        <is>
          <t>Schema Types Count</t>
        </is>
      </c>
      <c r="M125" s="28" t="inlineStr">
        <is>
          <t>Yes</t>
        </is>
      </c>
      <c r="N125" s="28" t="inlineStr">
        <is>
          <t>Copy Writer</t>
        </is>
      </c>
      <c r="O125" s="36" t="inlineStr">
        <is>
          <t>Open</t>
        </is>
      </c>
      <c r="P125" s="28" t="n">
        <v>4</v>
      </c>
      <c r="Q125" s="28" t="inlineStr">
        <is>
          <t>https://africanmarketingconfederation.org/smoke-archive/page-78::aioseo_no_schema_markup_detected</t>
        </is>
      </c>
      <c r="R125" s="28" t="inlineStr">
        <is>
          <t>Schema improves understanding and rich result eligibility.</t>
        </is>
      </c>
      <c r="S125">
        <f>IFERROR(HYPERLINK("#'Main'!B"&amp;MATCH(TRIM(A125),'Main'!B:B,0),"Open"),HYPERLINK("#'Main'!B1","Open"))</f>
        <v/>
      </c>
      <c r="T125">
        <f>IFERROR(HYPERLINK("#'Technical Diagnostics'!A"&amp;MATCH(A125,'Technical Diagnostics'!A:A,0),"Open"),HYPERLINK("#'Technical Diagnostics'!A1","Open"))</f>
        <v/>
      </c>
    </row>
    <row r="126" ht="60" customHeight="1">
      <c r="A126" s="37" t="inlineStr">
        <is>
          <t>https://africanmarketingconfederation.org/smoke-archive/page-79</t>
        </is>
      </c>
      <c r="B126" s="30" t="inlineStr"/>
      <c r="C126" s="30" t="inlineStr"/>
      <c r="D126" s="30" t="inlineStr">
        <is>
          <t>Schema</t>
        </is>
      </c>
      <c r="E126" s="29" t="inlineStr">
        <is>
          <t>Warning</t>
        </is>
      </c>
      <c r="F126" s="30" t="inlineStr">
        <is>
          <t>No schema markup detected</t>
        </is>
      </c>
      <c r="G126" s="30" t="n">
        <v>67</v>
      </c>
      <c r="H126" s="30" t="n">
        <v>0</v>
      </c>
      <c r="I126" s="30" t="inlineStr">
        <is>
          <t>At least one relevant schema type</t>
        </is>
      </c>
      <c r="J126" s="30" t="inlineStr">
        <is>
          <t>In AIOSEO schema settings for the page, add the most relevant type (Article/FAQ/HowTo/Product, etc.). (Taxonomy/Archive page: navigate via AIOSEO → Search Appearance → Taxonomies.)</t>
        </is>
      </c>
      <c r="K126" s="30" t="inlineStr">
        <is>
          <t>Schema &amp; Metadata</t>
        </is>
      </c>
      <c r="L126" s="30" t="inlineStr">
        <is>
          <t>Schema Types Count</t>
        </is>
      </c>
      <c r="M126" s="30" t="inlineStr">
        <is>
          <t>Yes</t>
        </is>
      </c>
      <c r="N126" s="30" t="inlineStr">
        <is>
          <t>Copy Writer</t>
        </is>
      </c>
      <c r="O126" s="36" t="inlineStr">
        <is>
          <t>Open</t>
        </is>
      </c>
      <c r="P126" s="30" t="n">
        <v>4</v>
      </c>
      <c r="Q126" s="30" t="inlineStr">
        <is>
          <t>https://africanmarketingconfederation.org/smoke-archive/page-79::aioseo_no_schema_markup_detected</t>
        </is>
      </c>
      <c r="R126" s="30" t="inlineStr">
        <is>
          <t>Schema improves understanding and rich result eligibility.</t>
        </is>
      </c>
      <c r="S126" s="38">
        <f>IFERROR(HYPERLINK("#'Main'!B"&amp;MATCH(TRIM(A126),'Main'!B:B,0),"Open"),HYPERLINK("#'Main'!B1","Open"))</f>
        <v/>
      </c>
      <c r="T126" s="38">
        <f>IFERROR(HYPERLINK("#'Technical Diagnostics'!A"&amp;MATCH(A126,'Technical Diagnostics'!A:A,0),"Open"),HYPERLINK("#'Technical Diagnostics'!A1","Open"))</f>
        <v/>
      </c>
    </row>
    <row r="127" ht="60" customHeight="1">
      <c r="A127" s="35" t="inlineStr">
        <is>
          <t>https://africanmarketingconfederation.org/smoke-archive/page-8</t>
        </is>
      </c>
      <c r="B127" s="28" t="inlineStr"/>
      <c r="C127" s="28" t="inlineStr"/>
      <c r="D127" s="28" t="inlineStr">
        <is>
          <t>Schema</t>
        </is>
      </c>
      <c r="E127" s="29" t="inlineStr">
        <is>
          <t>Warning</t>
        </is>
      </c>
      <c r="F127" s="28" t="inlineStr">
        <is>
          <t>No schema markup detected</t>
        </is>
      </c>
      <c r="G127" s="28" t="n">
        <v>67</v>
      </c>
      <c r="H127" s="28" t="n">
        <v>0</v>
      </c>
      <c r="I127" s="28" t="inlineStr">
        <is>
          <t>At least one relevant schema type</t>
        </is>
      </c>
      <c r="J127" s="28" t="inlineStr">
        <is>
          <t>In AIOSEO schema settings for the page, add the most relevant type (Article/FAQ/HowTo/Product, etc.). (Taxonomy/Archive page: navigate via AIOSEO → Search Appearance → Taxonomies.)</t>
        </is>
      </c>
      <c r="K127" s="28" t="inlineStr">
        <is>
          <t>Schema &amp; Metadata</t>
        </is>
      </c>
      <c r="L127" s="28" t="inlineStr">
        <is>
          <t>Schema Types Count</t>
        </is>
      </c>
      <c r="M127" s="28" t="inlineStr">
        <is>
          <t>Yes</t>
        </is>
      </c>
      <c r="N127" s="28" t="inlineStr">
        <is>
          <t>Copy Writer</t>
        </is>
      </c>
      <c r="O127" s="36" t="inlineStr">
        <is>
          <t>Open</t>
        </is>
      </c>
      <c r="P127" s="28" t="n">
        <v>4</v>
      </c>
      <c r="Q127" s="28" t="inlineStr">
        <is>
          <t>https://africanmarketingconfederation.org/smoke-archive/page-8::aioseo_no_schema_markup_detected</t>
        </is>
      </c>
      <c r="R127" s="28" t="inlineStr">
        <is>
          <t>Schema improves understanding and rich result eligibility.</t>
        </is>
      </c>
      <c r="S127">
        <f>IFERROR(HYPERLINK("#'Main'!B"&amp;MATCH(TRIM(A127),'Main'!B:B,0),"Open"),HYPERLINK("#'Main'!B1","Open"))</f>
        <v/>
      </c>
      <c r="T127">
        <f>IFERROR(HYPERLINK("#'Technical Diagnostics'!A"&amp;MATCH(A127,'Technical Diagnostics'!A:A,0),"Open"),HYPERLINK("#'Technical Diagnostics'!A1","Open"))</f>
        <v/>
      </c>
    </row>
    <row r="128" ht="60" customHeight="1">
      <c r="A128" s="37" t="inlineStr">
        <is>
          <t>https://africanmarketingconfederation.org/smoke-archive/page-9</t>
        </is>
      </c>
      <c r="B128" s="30" t="inlineStr"/>
      <c r="C128" s="30" t="inlineStr"/>
      <c r="D128" s="30" t="inlineStr">
        <is>
          <t>Schema</t>
        </is>
      </c>
      <c r="E128" s="29" t="inlineStr">
        <is>
          <t>Warning</t>
        </is>
      </c>
      <c r="F128" s="30" t="inlineStr">
        <is>
          <t>No schema markup detected</t>
        </is>
      </c>
      <c r="G128" s="30" t="n">
        <v>67</v>
      </c>
      <c r="H128" s="30" t="n">
        <v>0</v>
      </c>
      <c r="I128" s="30" t="inlineStr">
        <is>
          <t>At least one relevant schema type</t>
        </is>
      </c>
      <c r="J128" s="30" t="inlineStr">
        <is>
          <t>In AIOSEO schema settings for the page, add the most relevant type (Article/FAQ/HowTo/Product, etc.). (Taxonomy/Archive page: navigate via AIOSEO → Search Appearance → Taxonomies.)</t>
        </is>
      </c>
      <c r="K128" s="30" t="inlineStr">
        <is>
          <t>Schema &amp; Metadata</t>
        </is>
      </c>
      <c r="L128" s="30" t="inlineStr">
        <is>
          <t>Schema Types Count</t>
        </is>
      </c>
      <c r="M128" s="30" t="inlineStr">
        <is>
          <t>Yes</t>
        </is>
      </c>
      <c r="N128" s="30" t="inlineStr">
        <is>
          <t>Copy Writer</t>
        </is>
      </c>
      <c r="O128" s="36" t="inlineStr">
        <is>
          <t>Open</t>
        </is>
      </c>
      <c r="P128" s="30" t="n">
        <v>4</v>
      </c>
      <c r="Q128" s="30" t="inlineStr">
        <is>
          <t>https://africanmarketingconfederation.org/smoke-archive/page-9::aioseo_no_schema_markup_detected</t>
        </is>
      </c>
      <c r="R128" s="30" t="inlineStr">
        <is>
          <t>Schema improves understanding and rich result eligibility.</t>
        </is>
      </c>
      <c r="S128" s="38">
        <f>IFERROR(HYPERLINK("#'Main'!B"&amp;MATCH(TRIM(A128),'Main'!B:B,0),"Open"),HYPERLINK("#'Main'!B1","Open"))</f>
        <v/>
      </c>
      <c r="T128" s="38">
        <f>IFERROR(HYPERLINK("#'Technical Diagnostics'!A"&amp;MATCH(A128,'Technical Diagnostics'!A:A,0),"Open"),HYPERLINK("#'Technical Diagnostics'!A1","Open"))</f>
        <v/>
      </c>
    </row>
    <row r="129" ht="30" customHeight="1">
      <c r="A129" s="35" t="inlineStr">
        <is>
          <t>https://africanmarketingconfederation.org/</t>
        </is>
      </c>
      <c r="B129" s="28" t="inlineStr"/>
      <c r="C129" s="28" t="inlineStr"/>
      <c r="D129" s="28" t="inlineStr">
        <is>
          <t>Basic SEO</t>
        </is>
      </c>
      <c r="E129" s="33" t="inlineStr">
        <is>
          <t>Observation</t>
        </is>
      </c>
      <c r="F129" s="28" t="inlineStr">
        <is>
          <t>Meta description too short</t>
        </is>
      </c>
      <c r="G129" s="28" t="n">
        <v>37</v>
      </c>
      <c r="H129" s="28" t="n">
        <v>34</v>
      </c>
      <c r="I129" s="28" t="inlineStr">
        <is>
          <t>120-160 characters</t>
        </is>
      </c>
      <c r="J129" s="28" t="inlineStr">
        <is>
          <t>Expand meta description in AIOSEO to include key value points and intent terms naturally.</t>
        </is>
      </c>
      <c r="K129" s="39" t="inlineStr">
        <is>
          <t>Main</t>
        </is>
      </c>
      <c r="L129" s="28" t="inlineStr">
        <is>
          <t>Meta Description</t>
        </is>
      </c>
      <c r="M129" s="28" t="inlineStr">
        <is>
          <t>No</t>
        </is>
      </c>
      <c r="N129" s="28" t="inlineStr">
        <is>
          <t>Copy Writer</t>
        </is>
      </c>
      <c r="O129" s="36" t="inlineStr">
        <is>
          <t>Open</t>
        </is>
      </c>
      <c r="P129" s="28" t="n">
        <v>4</v>
      </c>
      <c r="Q129" s="28" t="inlineStr">
        <is>
          <t>https://africanmarketingconfederation.org/::aioseo_meta_description_too_short</t>
        </is>
      </c>
      <c r="R129" s="28" t="inlineStr">
        <is>
          <t>Short descriptions can under-communicate relevance and value.</t>
        </is>
      </c>
      <c r="S129">
        <f>IFERROR(HYPERLINK("#'Main'!B"&amp;MATCH(TRIM(A129),'Main'!B:B,0),"Open"),HYPERLINK("#'Main'!B1","Open"))</f>
        <v/>
      </c>
      <c r="T129">
        <f>IFERROR(HYPERLINK("#'Technical Diagnostics'!A"&amp;MATCH(A129,'Technical Diagnostics'!A:A,0),"Open"),HYPERLINK("#'Technical Diagnostics'!A1","Open"))</f>
        <v/>
      </c>
    </row>
    <row r="130" ht="30" customHeight="1">
      <c r="A130" s="37" t="inlineStr">
        <is>
          <t>https://africanmarketingconfederation.org/</t>
        </is>
      </c>
      <c r="B130" s="30" t="inlineStr"/>
      <c r="C130" s="30" t="inlineStr"/>
      <c r="D130" s="30" t="inlineStr">
        <is>
          <t>Basic SEO</t>
        </is>
      </c>
      <c r="E130" s="33" t="inlineStr">
        <is>
          <t>Observation</t>
        </is>
      </c>
      <c r="F130" s="30" t="inlineStr">
        <is>
          <t>No internal links found</t>
        </is>
      </c>
      <c r="G130" s="30" t="n">
        <v>37</v>
      </c>
      <c r="H130" s="30" t="n">
        <v>0</v>
      </c>
      <c r="I130" s="30" t="inlineStr">
        <is>
          <t>&gt;=2 relevant internal links</t>
        </is>
      </c>
      <c r="J130" s="30" t="inlineStr">
        <is>
          <t>Add contextual internal links from and to related pages using descriptive anchor text.</t>
        </is>
      </c>
      <c r="K130" s="30" t="inlineStr">
        <is>
          <t>Links</t>
        </is>
      </c>
      <c r="L130" s="30" t="inlineStr">
        <is>
          <t>Internal Links Count</t>
        </is>
      </c>
      <c r="M130" s="30" t="inlineStr">
        <is>
          <t>No</t>
        </is>
      </c>
      <c r="N130" s="30" t="inlineStr">
        <is>
          <t>Copy Writer</t>
        </is>
      </c>
      <c r="O130" s="36" t="inlineStr">
        <is>
          <t>Open</t>
        </is>
      </c>
      <c r="P130" s="30" t="n">
        <v>4</v>
      </c>
      <c r="Q130" s="30" t="inlineStr">
        <is>
          <t>https://africanmarketingconfederation.org/::aioseo_no_internal_links_found</t>
        </is>
      </c>
      <c r="R130" s="30" t="inlineStr">
        <is>
          <t>Internal links help discovery, topical signals, and authority flow.</t>
        </is>
      </c>
      <c r="S130" s="38">
        <f>IFERROR(HYPERLINK("#'Main'!B"&amp;MATCH(TRIM(A130),'Main'!B:B,0),"Open"),HYPERLINK("#'Main'!B1","Open"))</f>
        <v/>
      </c>
      <c r="T130" s="38">
        <f>IFERROR(HYPERLINK("#'Technical Diagnostics'!A"&amp;MATCH(A130,'Technical Diagnostics'!A:A,0),"Open"),HYPERLINK("#'Technical Diagnostics'!A1","Open"))</f>
        <v/>
      </c>
    </row>
    <row r="131" ht="60" customHeight="1">
      <c r="A131" s="35" t="inlineStr">
        <is>
          <t>https://africanmarketingconfederation.org/discovered-via-bfs-1</t>
        </is>
      </c>
      <c r="B131" s="28" t="inlineStr"/>
      <c r="C131" s="28" t="inlineStr"/>
      <c r="D131" s="28" t="inlineStr">
        <is>
          <t>Basic SEO</t>
        </is>
      </c>
      <c r="E131" s="33" t="inlineStr">
        <is>
          <t>Observation</t>
        </is>
      </c>
      <c r="F131" s="28" t="inlineStr">
        <is>
          <t>Meta description too short</t>
        </is>
      </c>
      <c r="G131" s="28" t="n">
        <v>37</v>
      </c>
      <c r="H131" s="28" t="n">
        <v>35</v>
      </c>
      <c r="I131" s="28" t="inlineStr">
        <is>
          <t>120-160 characters</t>
        </is>
      </c>
      <c r="J131" s="28" t="inlineStr">
        <is>
          <t>Expand meta description in AIOSEO to include key value points and intent terms naturally. (Taxonomy/Archive page: navigate via AIOSEO → Search Appearance → Taxonomies.)</t>
        </is>
      </c>
      <c r="K131" s="39" t="inlineStr">
        <is>
          <t>Main</t>
        </is>
      </c>
      <c r="L131" s="28" t="inlineStr">
        <is>
          <t>Meta Description</t>
        </is>
      </c>
      <c r="M131" s="28" t="inlineStr">
        <is>
          <t>No</t>
        </is>
      </c>
      <c r="N131" s="28" t="inlineStr">
        <is>
          <t>Copy Writer</t>
        </is>
      </c>
      <c r="O131" s="36" t="inlineStr">
        <is>
          <t>Open</t>
        </is>
      </c>
      <c r="P131" s="28" t="n">
        <v>4</v>
      </c>
      <c r="Q131" s="28" t="inlineStr">
        <is>
          <t>https://africanmarketingconfederation.org/discovered-via-bfs-1::aioseo_meta_description_too_short</t>
        </is>
      </c>
      <c r="R131" s="28" t="inlineStr">
        <is>
          <t>Short descriptions can under-communicate relevance and value.</t>
        </is>
      </c>
      <c r="S131">
        <f>IFERROR(HYPERLINK("#'Main'!B"&amp;MATCH(TRIM(A131),'Main'!B:B,0),"Open"),HYPERLINK("#'Main'!B1","Open"))</f>
        <v/>
      </c>
      <c r="T131">
        <f>IFERROR(HYPERLINK("#'Technical Diagnostics'!A"&amp;MATCH(A131,'Technical Diagnostics'!A:A,0),"Open"),HYPERLINK("#'Technical Diagnostics'!A1","Open"))</f>
        <v/>
      </c>
    </row>
    <row r="132" ht="60" customHeight="1">
      <c r="A132" s="37" t="inlineStr">
        <is>
          <t>https://africanmarketingconfederation.org/discovered-via-bfs-1</t>
        </is>
      </c>
      <c r="B132" s="30" t="inlineStr"/>
      <c r="C132" s="30" t="inlineStr"/>
      <c r="D132" s="30" t="inlineStr">
        <is>
          <t>Basic SEO</t>
        </is>
      </c>
      <c r="E132" s="33" t="inlineStr">
        <is>
          <t>Observation</t>
        </is>
      </c>
      <c r="F132" s="30" t="inlineStr">
        <is>
          <t>No internal links found</t>
        </is>
      </c>
      <c r="G132" s="30" t="n">
        <v>37</v>
      </c>
      <c r="H132" s="30" t="n">
        <v>0</v>
      </c>
      <c r="I132" s="30" t="inlineStr">
        <is>
          <t>&gt;=2 relevant internal links</t>
        </is>
      </c>
      <c r="J132" s="30" t="inlineStr">
        <is>
          <t>Add contextual internal links from and to related pages using descriptive anchor text. (Taxonomy/Archive page: navigate via AIOSEO → Search Appearance → Taxonomies.)</t>
        </is>
      </c>
      <c r="K132" s="30" t="inlineStr">
        <is>
          <t>Links</t>
        </is>
      </c>
      <c r="L132" s="30" t="inlineStr">
        <is>
          <t>Internal Links Count</t>
        </is>
      </c>
      <c r="M132" s="30" t="inlineStr">
        <is>
          <t>No</t>
        </is>
      </c>
      <c r="N132" s="30" t="inlineStr">
        <is>
          <t>Copy Writer</t>
        </is>
      </c>
      <c r="O132" s="36" t="inlineStr">
        <is>
          <t>Open</t>
        </is>
      </c>
      <c r="P132" s="30" t="n">
        <v>4</v>
      </c>
      <c r="Q132" s="30" t="inlineStr">
        <is>
          <t>https://africanmarketingconfederation.org/discovered-via-bfs-1::aioseo_no_internal_links_found</t>
        </is>
      </c>
      <c r="R132" s="30" t="inlineStr">
        <is>
          <t>Internal links help discovery, topical signals, and authority flow.</t>
        </is>
      </c>
      <c r="S132" s="38">
        <f>IFERROR(HYPERLINK("#'Main'!B"&amp;MATCH(TRIM(A132),'Main'!B:B,0),"Open"),HYPERLINK("#'Main'!B1","Open"))</f>
        <v/>
      </c>
      <c r="T132" s="38">
        <f>IFERROR(HYPERLINK("#'Technical Diagnostics'!A"&amp;MATCH(A132,'Technical Diagnostics'!A:A,0),"Open"),HYPERLINK("#'Technical Diagnostics'!A1","Open"))</f>
        <v/>
      </c>
    </row>
    <row r="133" ht="60" customHeight="1">
      <c r="A133" s="35" t="inlineStr">
        <is>
          <t>https://africanmarketingconfederation.org/discovered-via-bfs-2</t>
        </is>
      </c>
      <c r="B133" s="28" t="inlineStr"/>
      <c r="C133" s="28" t="inlineStr"/>
      <c r="D133" s="28" t="inlineStr">
        <is>
          <t>Basic SEO</t>
        </is>
      </c>
      <c r="E133" s="33" t="inlineStr">
        <is>
          <t>Observation</t>
        </is>
      </c>
      <c r="F133" s="28" t="inlineStr">
        <is>
          <t>Meta description too short</t>
        </is>
      </c>
      <c r="G133" s="28" t="n">
        <v>37</v>
      </c>
      <c r="H133" s="28" t="n">
        <v>35</v>
      </c>
      <c r="I133" s="28" t="inlineStr">
        <is>
          <t>120-160 characters</t>
        </is>
      </c>
      <c r="J133" s="28" t="inlineStr">
        <is>
          <t>Expand meta description in AIOSEO to include key value points and intent terms naturally. (Taxonomy/Archive page: navigate via AIOSEO → Search Appearance → Taxonomies.)</t>
        </is>
      </c>
      <c r="K133" s="39" t="inlineStr">
        <is>
          <t>Main</t>
        </is>
      </c>
      <c r="L133" s="28" t="inlineStr">
        <is>
          <t>Meta Description</t>
        </is>
      </c>
      <c r="M133" s="28" t="inlineStr">
        <is>
          <t>No</t>
        </is>
      </c>
      <c r="N133" s="28" t="inlineStr">
        <is>
          <t>Copy Writer</t>
        </is>
      </c>
      <c r="O133" s="36" t="inlineStr">
        <is>
          <t>Open</t>
        </is>
      </c>
      <c r="P133" s="28" t="n">
        <v>4</v>
      </c>
      <c r="Q133" s="28" t="inlineStr">
        <is>
          <t>https://africanmarketingconfederation.org/discovered-via-bfs-2::aioseo_meta_description_too_short</t>
        </is>
      </c>
      <c r="R133" s="28" t="inlineStr">
        <is>
          <t>Short descriptions can under-communicate relevance and value.</t>
        </is>
      </c>
      <c r="S133">
        <f>IFERROR(HYPERLINK("#'Main'!B"&amp;MATCH(TRIM(A133),'Main'!B:B,0),"Open"),HYPERLINK("#'Main'!B1","Open"))</f>
        <v/>
      </c>
      <c r="T133">
        <f>IFERROR(HYPERLINK("#'Technical Diagnostics'!A"&amp;MATCH(A133,'Technical Diagnostics'!A:A,0),"Open"),HYPERLINK("#'Technical Diagnostics'!A1","Open"))</f>
        <v/>
      </c>
    </row>
    <row r="134" ht="60" customHeight="1">
      <c r="A134" s="37" t="inlineStr">
        <is>
          <t>https://africanmarketingconfederation.org/discovered-via-bfs-2</t>
        </is>
      </c>
      <c r="B134" s="30" t="inlineStr"/>
      <c r="C134" s="30" t="inlineStr"/>
      <c r="D134" s="30" t="inlineStr">
        <is>
          <t>Basic SEO</t>
        </is>
      </c>
      <c r="E134" s="33" t="inlineStr">
        <is>
          <t>Observation</t>
        </is>
      </c>
      <c r="F134" s="30" t="inlineStr">
        <is>
          <t>No internal links found</t>
        </is>
      </c>
      <c r="G134" s="30" t="n">
        <v>37</v>
      </c>
      <c r="H134" s="30" t="n">
        <v>0</v>
      </c>
      <c r="I134" s="30" t="inlineStr">
        <is>
          <t>&gt;=2 relevant internal links</t>
        </is>
      </c>
      <c r="J134" s="30" t="inlineStr">
        <is>
          <t>Add contextual internal links from and to related pages using descriptive anchor text. (Taxonomy/Archive page: navigate via AIOSEO → Search Appearance → Taxonomies.)</t>
        </is>
      </c>
      <c r="K134" s="30" t="inlineStr">
        <is>
          <t>Links</t>
        </is>
      </c>
      <c r="L134" s="30" t="inlineStr">
        <is>
          <t>Internal Links Count</t>
        </is>
      </c>
      <c r="M134" s="30" t="inlineStr">
        <is>
          <t>No</t>
        </is>
      </c>
      <c r="N134" s="30" t="inlineStr">
        <is>
          <t>Copy Writer</t>
        </is>
      </c>
      <c r="O134" s="36" t="inlineStr">
        <is>
          <t>Open</t>
        </is>
      </c>
      <c r="P134" s="30" t="n">
        <v>4</v>
      </c>
      <c r="Q134" s="30" t="inlineStr">
        <is>
          <t>https://africanmarketingconfederation.org/discovered-via-bfs-2::aioseo_no_internal_links_found</t>
        </is>
      </c>
      <c r="R134" s="30" t="inlineStr">
        <is>
          <t>Internal links help discovery, topical signals, and authority flow.</t>
        </is>
      </c>
      <c r="S134" s="38">
        <f>IFERROR(HYPERLINK("#'Main'!B"&amp;MATCH(TRIM(A134),'Main'!B:B,0),"Open"),HYPERLINK("#'Main'!B1","Open"))</f>
        <v/>
      </c>
      <c r="T134" s="38">
        <f>IFERROR(HYPERLINK("#'Technical Diagnostics'!A"&amp;MATCH(A134,'Technical Diagnostics'!A:A,0),"Open"),HYPERLINK("#'Technical Diagnostics'!A1","Open"))</f>
        <v/>
      </c>
    </row>
    <row r="135" ht="60" customHeight="1">
      <c r="A135" s="35" t="inlineStr">
        <is>
          <t>https://africanmarketingconfederation.org/discovered-via-bfs-3</t>
        </is>
      </c>
      <c r="B135" s="28" t="inlineStr"/>
      <c r="C135" s="28" t="inlineStr"/>
      <c r="D135" s="28" t="inlineStr">
        <is>
          <t>Basic SEO</t>
        </is>
      </c>
      <c r="E135" s="33" t="inlineStr">
        <is>
          <t>Observation</t>
        </is>
      </c>
      <c r="F135" s="28" t="inlineStr">
        <is>
          <t>Meta description too short</t>
        </is>
      </c>
      <c r="G135" s="28" t="n">
        <v>37</v>
      </c>
      <c r="H135" s="28" t="n">
        <v>35</v>
      </c>
      <c r="I135" s="28" t="inlineStr">
        <is>
          <t>120-160 characters</t>
        </is>
      </c>
      <c r="J135" s="28" t="inlineStr">
        <is>
          <t>Expand meta description in AIOSEO to include key value points and intent terms naturally. (Taxonomy/Archive page: navigate via AIOSEO → Search Appearance → Taxonomies.)</t>
        </is>
      </c>
      <c r="K135" s="39" t="inlineStr">
        <is>
          <t>Main</t>
        </is>
      </c>
      <c r="L135" s="28" t="inlineStr">
        <is>
          <t>Meta Description</t>
        </is>
      </c>
      <c r="M135" s="28" t="inlineStr">
        <is>
          <t>No</t>
        </is>
      </c>
      <c r="N135" s="28" t="inlineStr">
        <is>
          <t>Copy Writer</t>
        </is>
      </c>
      <c r="O135" s="36" t="inlineStr">
        <is>
          <t>Open</t>
        </is>
      </c>
      <c r="P135" s="28" t="n">
        <v>4</v>
      </c>
      <c r="Q135" s="28" t="inlineStr">
        <is>
          <t>https://africanmarketingconfederation.org/discovered-via-bfs-3::aioseo_meta_description_too_short</t>
        </is>
      </c>
      <c r="R135" s="28" t="inlineStr">
        <is>
          <t>Short descriptions can under-communicate relevance and value.</t>
        </is>
      </c>
      <c r="S135">
        <f>IFERROR(HYPERLINK("#'Main'!B"&amp;MATCH(TRIM(A135),'Main'!B:B,0),"Open"),HYPERLINK("#'Main'!B1","Open"))</f>
        <v/>
      </c>
      <c r="T135">
        <f>IFERROR(HYPERLINK("#'Technical Diagnostics'!A"&amp;MATCH(A135,'Technical Diagnostics'!A:A,0),"Open"),HYPERLINK("#'Technical Diagnostics'!A1","Open"))</f>
        <v/>
      </c>
    </row>
    <row r="136" ht="60" customHeight="1">
      <c r="A136" s="37" t="inlineStr">
        <is>
          <t>https://africanmarketingconfederation.org/discovered-via-bfs-3</t>
        </is>
      </c>
      <c r="B136" s="30" t="inlineStr"/>
      <c r="C136" s="30" t="inlineStr"/>
      <c r="D136" s="30" t="inlineStr">
        <is>
          <t>Basic SEO</t>
        </is>
      </c>
      <c r="E136" s="33" t="inlineStr">
        <is>
          <t>Observation</t>
        </is>
      </c>
      <c r="F136" s="30" t="inlineStr">
        <is>
          <t>No internal links found</t>
        </is>
      </c>
      <c r="G136" s="30" t="n">
        <v>37</v>
      </c>
      <c r="H136" s="30" t="n">
        <v>0</v>
      </c>
      <c r="I136" s="30" t="inlineStr">
        <is>
          <t>&gt;=2 relevant internal links</t>
        </is>
      </c>
      <c r="J136" s="30" t="inlineStr">
        <is>
          <t>Add contextual internal links from and to related pages using descriptive anchor text. (Taxonomy/Archive page: navigate via AIOSEO → Search Appearance → Taxonomies.)</t>
        </is>
      </c>
      <c r="K136" s="30" t="inlineStr">
        <is>
          <t>Links</t>
        </is>
      </c>
      <c r="L136" s="30" t="inlineStr">
        <is>
          <t>Internal Links Count</t>
        </is>
      </c>
      <c r="M136" s="30" t="inlineStr">
        <is>
          <t>No</t>
        </is>
      </c>
      <c r="N136" s="30" t="inlineStr">
        <is>
          <t>Copy Writer</t>
        </is>
      </c>
      <c r="O136" s="36" t="inlineStr">
        <is>
          <t>Open</t>
        </is>
      </c>
      <c r="P136" s="30" t="n">
        <v>4</v>
      </c>
      <c r="Q136" s="30" t="inlineStr">
        <is>
          <t>https://africanmarketingconfederation.org/discovered-via-bfs-3::aioseo_no_internal_links_found</t>
        </is>
      </c>
      <c r="R136" s="30" t="inlineStr">
        <is>
          <t>Internal links help discovery, topical signals, and authority flow.</t>
        </is>
      </c>
      <c r="S136" s="38">
        <f>IFERROR(HYPERLINK("#'Main'!B"&amp;MATCH(TRIM(A136),'Main'!B:B,0),"Open"),HYPERLINK("#'Main'!B1","Open"))</f>
        <v/>
      </c>
      <c r="T136" s="38">
        <f>IFERROR(HYPERLINK("#'Technical Diagnostics'!A"&amp;MATCH(A136,'Technical Diagnostics'!A:A,0),"Open"),HYPERLINK("#'Technical Diagnostics'!A1","Open"))</f>
        <v/>
      </c>
    </row>
    <row r="137" ht="60" customHeight="1">
      <c r="A137" s="35" t="inlineStr">
        <is>
          <t>https://africanmarketingconfederation.org/smoke-archive/page-1</t>
        </is>
      </c>
      <c r="B137" s="28" t="inlineStr"/>
      <c r="C137" s="28" t="inlineStr"/>
      <c r="D137" s="28" t="inlineStr">
        <is>
          <t>Basic SEO</t>
        </is>
      </c>
      <c r="E137" s="33" t="inlineStr">
        <is>
          <t>Observation</t>
        </is>
      </c>
      <c r="F137" s="28" t="inlineStr">
        <is>
          <t>Meta description too short</t>
        </is>
      </c>
      <c r="G137" s="28" t="n">
        <v>37</v>
      </c>
      <c r="H137" s="28" t="n">
        <v>34</v>
      </c>
      <c r="I137" s="28" t="inlineStr">
        <is>
          <t>120-160 characters</t>
        </is>
      </c>
      <c r="J137" s="28" t="inlineStr">
        <is>
          <t>Expand meta description in AIOSEO to include key value points and intent terms naturally. (Taxonomy/Archive page: navigate via AIOSEO → Search Appearance → Taxonomies.)</t>
        </is>
      </c>
      <c r="K137" s="39" t="inlineStr">
        <is>
          <t>Main</t>
        </is>
      </c>
      <c r="L137" s="28" t="inlineStr">
        <is>
          <t>Meta Description</t>
        </is>
      </c>
      <c r="M137" s="28" t="inlineStr">
        <is>
          <t>No</t>
        </is>
      </c>
      <c r="N137" s="28" t="inlineStr">
        <is>
          <t>Copy Writer</t>
        </is>
      </c>
      <c r="O137" s="36" t="inlineStr">
        <is>
          <t>Open</t>
        </is>
      </c>
      <c r="P137" s="28" t="n">
        <v>4</v>
      </c>
      <c r="Q137" s="28" t="inlineStr">
        <is>
          <t>https://africanmarketingconfederation.org/smoke-archive/page-1::aioseo_meta_description_too_short</t>
        </is>
      </c>
      <c r="R137" s="28" t="inlineStr">
        <is>
          <t>Short descriptions can under-communicate relevance and value.</t>
        </is>
      </c>
      <c r="S137">
        <f>IFERROR(HYPERLINK("#'Main'!B"&amp;MATCH(TRIM(A137),'Main'!B:B,0),"Open"),HYPERLINK("#'Main'!B1","Open"))</f>
        <v/>
      </c>
      <c r="T137">
        <f>IFERROR(HYPERLINK("#'Technical Diagnostics'!A"&amp;MATCH(A137,'Technical Diagnostics'!A:A,0),"Open"),HYPERLINK("#'Technical Diagnostics'!A1","Open"))</f>
        <v/>
      </c>
    </row>
    <row r="138" ht="60" customHeight="1">
      <c r="A138" s="37" t="inlineStr">
        <is>
          <t>https://africanmarketingconfederation.org/smoke-archive/page-1</t>
        </is>
      </c>
      <c r="B138" s="30" t="inlineStr"/>
      <c r="C138" s="30" t="inlineStr"/>
      <c r="D138" s="30" t="inlineStr">
        <is>
          <t>Basic SEO</t>
        </is>
      </c>
      <c r="E138" s="33" t="inlineStr">
        <is>
          <t>Observation</t>
        </is>
      </c>
      <c r="F138" s="30" t="inlineStr">
        <is>
          <t>No internal links found</t>
        </is>
      </c>
      <c r="G138" s="30" t="n">
        <v>37</v>
      </c>
      <c r="H138" s="30" t="n">
        <v>0</v>
      </c>
      <c r="I138" s="30" t="inlineStr">
        <is>
          <t>&gt;=2 relevant internal links</t>
        </is>
      </c>
      <c r="J138" s="30" t="inlineStr">
        <is>
          <t>Add contextual internal links from and to related pages using descriptive anchor text. (Taxonomy/Archive page: navigate via AIOSEO → Search Appearance → Taxonomies.)</t>
        </is>
      </c>
      <c r="K138" s="30" t="inlineStr">
        <is>
          <t>Links</t>
        </is>
      </c>
      <c r="L138" s="30" t="inlineStr">
        <is>
          <t>Internal Links Count</t>
        </is>
      </c>
      <c r="M138" s="30" t="inlineStr">
        <is>
          <t>No</t>
        </is>
      </c>
      <c r="N138" s="30" t="inlineStr">
        <is>
          <t>Copy Writer</t>
        </is>
      </c>
      <c r="O138" s="36" t="inlineStr">
        <is>
          <t>Open</t>
        </is>
      </c>
      <c r="P138" s="30" t="n">
        <v>4</v>
      </c>
      <c r="Q138" s="30" t="inlineStr">
        <is>
          <t>https://africanmarketingconfederation.org/smoke-archive/page-1::aioseo_no_internal_links_found</t>
        </is>
      </c>
      <c r="R138" s="30" t="inlineStr">
        <is>
          <t>Internal links help discovery, topical signals, and authority flow.</t>
        </is>
      </c>
      <c r="S138" s="38">
        <f>IFERROR(HYPERLINK("#'Main'!B"&amp;MATCH(TRIM(A138),'Main'!B:B,0),"Open"),HYPERLINK("#'Main'!B1","Open"))</f>
        <v/>
      </c>
      <c r="T138" s="38">
        <f>IFERROR(HYPERLINK("#'Technical Diagnostics'!A"&amp;MATCH(A138,'Technical Diagnostics'!A:A,0),"Open"),HYPERLINK("#'Technical Diagnostics'!A1","Open"))</f>
        <v/>
      </c>
    </row>
    <row r="139" ht="60" customHeight="1">
      <c r="A139" s="35" t="inlineStr">
        <is>
          <t>https://africanmarketingconfederation.org/smoke-archive/page-10</t>
        </is>
      </c>
      <c r="B139" s="28" t="inlineStr"/>
      <c r="C139" s="28" t="inlineStr"/>
      <c r="D139" s="28" t="inlineStr">
        <is>
          <t>Basic SEO</t>
        </is>
      </c>
      <c r="E139" s="33" t="inlineStr">
        <is>
          <t>Observation</t>
        </is>
      </c>
      <c r="F139" s="28" t="inlineStr">
        <is>
          <t>No internal links found</t>
        </is>
      </c>
      <c r="G139" s="28" t="n">
        <v>37</v>
      </c>
      <c r="H139" s="28" t="n">
        <v>0</v>
      </c>
      <c r="I139" s="28" t="inlineStr">
        <is>
          <t>&gt;=2 relevant internal links</t>
        </is>
      </c>
      <c r="J139" s="28" t="inlineStr">
        <is>
          <t>Add contextual internal links from and to related pages using descriptive anchor text. (Taxonomy/Archive page: navigate via AIOSEO → Search Appearance → Taxonomies.)</t>
        </is>
      </c>
      <c r="K139" s="28" t="inlineStr">
        <is>
          <t>Links</t>
        </is>
      </c>
      <c r="L139" s="28" t="inlineStr">
        <is>
          <t>Internal Links Count</t>
        </is>
      </c>
      <c r="M139" s="28" t="inlineStr">
        <is>
          <t>No</t>
        </is>
      </c>
      <c r="N139" s="28" t="inlineStr">
        <is>
          <t>Copy Writer</t>
        </is>
      </c>
      <c r="O139" s="36" t="inlineStr">
        <is>
          <t>Open</t>
        </is>
      </c>
      <c r="P139" s="28" t="n">
        <v>4</v>
      </c>
      <c r="Q139" s="28" t="inlineStr">
        <is>
          <t>https://africanmarketingconfederation.org/smoke-archive/page-10::aioseo_no_internal_links_found</t>
        </is>
      </c>
      <c r="R139" s="28" t="inlineStr">
        <is>
          <t>Internal links help discovery, topical signals, and authority flow.</t>
        </is>
      </c>
      <c r="S139">
        <f>IFERROR(HYPERLINK("#'Main'!B"&amp;MATCH(TRIM(A139),'Main'!B:B,0),"Open"),HYPERLINK("#'Main'!B1","Open"))</f>
        <v/>
      </c>
      <c r="T139">
        <f>IFERROR(HYPERLINK("#'Technical Diagnostics'!A"&amp;MATCH(A139,'Technical Diagnostics'!A:A,0),"Open"),HYPERLINK("#'Technical Diagnostics'!A1","Open"))</f>
        <v/>
      </c>
    </row>
    <row r="140" ht="60" customHeight="1">
      <c r="A140" s="37" t="inlineStr">
        <is>
          <t>https://africanmarketingconfederation.org/smoke-archive/page-11</t>
        </is>
      </c>
      <c r="B140" s="30" t="inlineStr"/>
      <c r="C140" s="30" t="inlineStr"/>
      <c r="D140" s="30" t="inlineStr">
        <is>
          <t>Basic SEO</t>
        </is>
      </c>
      <c r="E140" s="33" t="inlineStr">
        <is>
          <t>Observation</t>
        </is>
      </c>
      <c r="F140" s="30" t="inlineStr">
        <is>
          <t>Meta description too short</t>
        </is>
      </c>
      <c r="G140" s="30" t="n">
        <v>37</v>
      </c>
      <c r="H140" s="30" t="n">
        <v>35</v>
      </c>
      <c r="I140" s="30" t="inlineStr">
        <is>
          <t>120-160 characters</t>
        </is>
      </c>
      <c r="J140" s="30" t="inlineStr">
        <is>
          <t>Expand meta description in AIOSEO to include key value points and intent terms naturally. (Taxonomy/Archive page: navigate via AIOSEO → Search Appearance → Taxonomies.)</t>
        </is>
      </c>
      <c r="K140" s="41" t="inlineStr">
        <is>
          <t>Main</t>
        </is>
      </c>
      <c r="L140" s="30" t="inlineStr">
        <is>
          <t>Meta Description</t>
        </is>
      </c>
      <c r="M140" s="30" t="inlineStr">
        <is>
          <t>No</t>
        </is>
      </c>
      <c r="N140" s="30" t="inlineStr">
        <is>
          <t>Copy Writer</t>
        </is>
      </c>
      <c r="O140" s="36" t="inlineStr">
        <is>
          <t>Open</t>
        </is>
      </c>
      <c r="P140" s="30" t="n">
        <v>4</v>
      </c>
      <c r="Q140" s="30" t="inlineStr">
        <is>
          <t>https://africanmarketingconfederation.org/smoke-archive/page-11::aioseo_meta_description_too_short</t>
        </is>
      </c>
      <c r="R140" s="30" t="inlineStr">
        <is>
          <t>Short descriptions can under-communicate relevance and value.</t>
        </is>
      </c>
      <c r="S140" s="38">
        <f>IFERROR(HYPERLINK("#'Main'!B"&amp;MATCH(TRIM(A140),'Main'!B:B,0),"Open"),HYPERLINK("#'Main'!B1","Open"))</f>
        <v/>
      </c>
      <c r="T140" s="38">
        <f>IFERROR(HYPERLINK("#'Technical Diagnostics'!A"&amp;MATCH(A140,'Technical Diagnostics'!A:A,0),"Open"),HYPERLINK("#'Technical Diagnostics'!A1","Open"))</f>
        <v/>
      </c>
    </row>
    <row r="141" ht="60" customHeight="1">
      <c r="A141" s="35" t="inlineStr">
        <is>
          <t>https://africanmarketingconfederation.org/smoke-archive/page-11</t>
        </is>
      </c>
      <c r="B141" s="28" t="inlineStr"/>
      <c r="C141" s="28" t="inlineStr"/>
      <c r="D141" s="28" t="inlineStr">
        <is>
          <t>Basic SEO</t>
        </is>
      </c>
      <c r="E141" s="33" t="inlineStr">
        <is>
          <t>Observation</t>
        </is>
      </c>
      <c r="F141" s="28" t="inlineStr">
        <is>
          <t>No internal links found</t>
        </is>
      </c>
      <c r="G141" s="28" t="n">
        <v>37</v>
      </c>
      <c r="H141" s="28" t="n">
        <v>0</v>
      </c>
      <c r="I141" s="28" t="inlineStr">
        <is>
          <t>&gt;=2 relevant internal links</t>
        </is>
      </c>
      <c r="J141" s="28" t="inlineStr">
        <is>
          <t>Add contextual internal links from and to related pages using descriptive anchor text. (Taxonomy/Archive page: navigate via AIOSEO → Search Appearance → Taxonomies.)</t>
        </is>
      </c>
      <c r="K141" s="28" t="inlineStr">
        <is>
          <t>Links</t>
        </is>
      </c>
      <c r="L141" s="28" t="inlineStr">
        <is>
          <t>Internal Links Count</t>
        </is>
      </c>
      <c r="M141" s="28" t="inlineStr">
        <is>
          <t>No</t>
        </is>
      </c>
      <c r="N141" s="28" t="inlineStr">
        <is>
          <t>Copy Writer</t>
        </is>
      </c>
      <c r="O141" s="36" t="inlineStr">
        <is>
          <t>Open</t>
        </is>
      </c>
      <c r="P141" s="28" t="n">
        <v>4</v>
      </c>
      <c r="Q141" s="28" t="inlineStr">
        <is>
          <t>https://africanmarketingconfederation.org/smoke-archive/page-11::aioseo_no_internal_links_found</t>
        </is>
      </c>
      <c r="R141" s="28" t="inlineStr">
        <is>
          <t>Internal links help discovery, topical signals, and authority flow.</t>
        </is>
      </c>
      <c r="S141">
        <f>IFERROR(HYPERLINK("#'Main'!B"&amp;MATCH(TRIM(A141),'Main'!B:B,0),"Open"),HYPERLINK("#'Main'!B1","Open"))</f>
        <v/>
      </c>
      <c r="T141">
        <f>IFERROR(HYPERLINK("#'Technical Diagnostics'!A"&amp;MATCH(A141,'Technical Diagnostics'!A:A,0),"Open"),HYPERLINK("#'Technical Diagnostics'!A1","Open"))</f>
        <v/>
      </c>
    </row>
    <row r="142" ht="60" customHeight="1">
      <c r="A142" s="37" t="inlineStr">
        <is>
          <t>https://africanmarketingconfederation.org/smoke-archive/page-12</t>
        </is>
      </c>
      <c r="B142" s="30" t="inlineStr"/>
      <c r="C142" s="30" t="inlineStr"/>
      <c r="D142" s="30" t="inlineStr">
        <is>
          <t>Basic SEO</t>
        </is>
      </c>
      <c r="E142" s="33" t="inlineStr">
        <is>
          <t>Observation</t>
        </is>
      </c>
      <c r="F142" s="30" t="inlineStr">
        <is>
          <t>Meta description too short</t>
        </is>
      </c>
      <c r="G142" s="30" t="n">
        <v>37</v>
      </c>
      <c r="H142" s="30" t="n">
        <v>35</v>
      </c>
      <c r="I142" s="30" t="inlineStr">
        <is>
          <t>120-160 characters</t>
        </is>
      </c>
      <c r="J142" s="30" t="inlineStr">
        <is>
          <t>Expand meta description in AIOSEO to include key value points and intent terms naturally. (Taxonomy/Archive page: navigate via AIOSEO → Search Appearance → Taxonomies.)</t>
        </is>
      </c>
      <c r="K142" s="41" t="inlineStr">
        <is>
          <t>Main</t>
        </is>
      </c>
      <c r="L142" s="30" t="inlineStr">
        <is>
          <t>Meta Description</t>
        </is>
      </c>
      <c r="M142" s="30" t="inlineStr">
        <is>
          <t>No</t>
        </is>
      </c>
      <c r="N142" s="30" t="inlineStr">
        <is>
          <t>Copy Writer</t>
        </is>
      </c>
      <c r="O142" s="36" t="inlineStr">
        <is>
          <t>Open</t>
        </is>
      </c>
      <c r="P142" s="30" t="n">
        <v>4</v>
      </c>
      <c r="Q142" s="30" t="inlineStr">
        <is>
          <t>https://africanmarketingconfederation.org/smoke-archive/page-12::aioseo_meta_description_too_short</t>
        </is>
      </c>
      <c r="R142" s="30" t="inlineStr">
        <is>
          <t>Short descriptions can under-communicate relevance and value.</t>
        </is>
      </c>
      <c r="S142" s="38">
        <f>IFERROR(HYPERLINK("#'Main'!B"&amp;MATCH(TRIM(A142),'Main'!B:B,0),"Open"),HYPERLINK("#'Main'!B1","Open"))</f>
        <v/>
      </c>
      <c r="T142" s="38">
        <f>IFERROR(HYPERLINK("#'Technical Diagnostics'!A"&amp;MATCH(A142,'Technical Diagnostics'!A:A,0),"Open"),HYPERLINK("#'Technical Diagnostics'!A1","Open"))</f>
        <v/>
      </c>
    </row>
    <row r="143" ht="60" customHeight="1">
      <c r="A143" s="35" t="inlineStr">
        <is>
          <t>https://africanmarketingconfederation.org/smoke-archive/page-12</t>
        </is>
      </c>
      <c r="B143" s="28" t="inlineStr"/>
      <c r="C143" s="28" t="inlineStr"/>
      <c r="D143" s="28" t="inlineStr">
        <is>
          <t>Basic SEO</t>
        </is>
      </c>
      <c r="E143" s="33" t="inlineStr">
        <is>
          <t>Observation</t>
        </is>
      </c>
      <c r="F143" s="28" t="inlineStr">
        <is>
          <t>No internal links found</t>
        </is>
      </c>
      <c r="G143" s="28" t="n">
        <v>37</v>
      </c>
      <c r="H143" s="28" t="n">
        <v>0</v>
      </c>
      <c r="I143" s="28" t="inlineStr">
        <is>
          <t>&gt;=2 relevant internal links</t>
        </is>
      </c>
      <c r="J143" s="28" t="inlineStr">
        <is>
          <t>Add contextual internal links from and to related pages using descriptive anchor text. (Taxonomy/Archive page: navigate via AIOSEO → Search Appearance → Taxonomies.)</t>
        </is>
      </c>
      <c r="K143" s="28" t="inlineStr">
        <is>
          <t>Links</t>
        </is>
      </c>
      <c r="L143" s="28" t="inlineStr">
        <is>
          <t>Internal Links Count</t>
        </is>
      </c>
      <c r="M143" s="28" t="inlineStr">
        <is>
          <t>No</t>
        </is>
      </c>
      <c r="N143" s="28" t="inlineStr">
        <is>
          <t>Copy Writer</t>
        </is>
      </c>
      <c r="O143" s="36" t="inlineStr">
        <is>
          <t>Open</t>
        </is>
      </c>
      <c r="P143" s="28" t="n">
        <v>4</v>
      </c>
      <c r="Q143" s="28" t="inlineStr">
        <is>
          <t>https://africanmarketingconfederation.org/smoke-archive/page-12::aioseo_no_internal_links_found</t>
        </is>
      </c>
      <c r="R143" s="28" t="inlineStr">
        <is>
          <t>Internal links help discovery, topical signals, and authority flow.</t>
        </is>
      </c>
      <c r="S143">
        <f>IFERROR(HYPERLINK("#'Main'!B"&amp;MATCH(TRIM(A143),'Main'!B:B,0),"Open"),HYPERLINK("#'Main'!B1","Open"))</f>
        <v/>
      </c>
      <c r="T143">
        <f>IFERROR(HYPERLINK("#'Technical Diagnostics'!A"&amp;MATCH(A143,'Technical Diagnostics'!A:A,0),"Open"),HYPERLINK("#'Technical Diagnostics'!A1","Open"))</f>
        <v/>
      </c>
    </row>
    <row r="144" ht="60" customHeight="1">
      <c r="A144" s="37" t="inlineStr">
        <is>
          <t>https://africanmarketingconfederation.org/smoke-archive/page-13</t>
        </is>
      </c>
      <c r="B144" s="30" t="inlineStr"/>
      <c r="C144" s="30" t="inlineStr"/>
      <c r="D144" s="30" t="inlineStr">
        <is>
          <t>Basic SEO</t>
        </is>
      </c>
      <c r="E144" s="33" t="inlineStr">
        <is>
          <t>Observation</t>
        </is>
      </c>
      <c r="F144" s="30" t="inlineStr">
        <is>
          <t>Meta description too short</t>
        </is>
      </c>
      <c r="G144" s="30" t="n">
        <v>37</v>
      </c>
      <c r="H144" s="30" t="n">
        <v>35</v>
      </c>
      <c r="I144" s="30" t="inlineStr">
        <is>
          <t>120-160 characters</t>
        </is>
      </c>
      <c r="J144" s="30" t="inlineStr">
        <is>
          <t>Expand meta description in AIOSEO to include key value points and intent terms naturally. (Taxonomy/Archive page: navigate via AIOSEO → Search Appearance → Taxonomies.)</t>
        </is>
      </c>
      <c r="K144" s="41" t="inlineStr">
        <is>
          <t>Main</t>
        </is>
      </c>
      <c r="L144" s="30" t="inlineStr">
        <is>
          <t>Meta Description</t>
        </is>
      </c>
      <c r="M144" s="30" t="inlineStr">
        <is>
          <t>No</t>
        </is>
      </c>
      <c r="N144" s="30" t="inlineStr">
        <is>
          <t>Copy Writer</t>
        </is>
      </c>
      <c r="O144" s="36" t="inlineStr">
        <is>
          <t>Open</t>
        </is>
      </c>
      <c r="P144" s="30" t="n">
        <v>4</v>
      </c>
      <c r="Q144" s="30" t="inlineStr">
        <is>
          <t>https://africanmarketingconfederation.org/smoke-archive/page-13::aioseo_meta_description_too_short</t>
        </is>
      </c>
      <c r="R144" s="30" t="inlineStr">
        <is>
          <t>Short descriptions can under-communicate relevance and value.</t>
        </is>
      </c>
      <c r="S144" s="38">
        <f>IFERROR(HYPERLINK("#'Main'!B"&amp;MATCH(TRIM(A144),'Main'!B:B,0),"Open"),HYPERLINK("#'Main'!B1","Open"))</f>
        <v/>
      </c>
      <c r="T144" s="38">
        <f>IFERROR(HYPERLINK("#'Technical Diagnostics'!A"&amp;MATCH(A144,'Technical Diagnostics'!A:A,0),"Open"),HYPERLINK("#'Technical Diagnostics'!A1","Open"))</f>
        <v/>
      </c>
    </row>
    <row r="145" ht="60" customHeight="1">
      <c r="A145" s="35" t="inlineStr">
        <is>
          <t>https://africanmarketingconfederation.org/smoke-archive/page-13</t>
        </is>
      </c>
      <c r="B145" s="28" t="inlineStr"/>
      <c r="C145" s="28" t="inlineStr"/>
      <c r="D145" s="28" t="inlineStr">
        <is>
          <t>Basic SEO</t>
        </is>
      </c>
      <c r="E145" s="33" t="inlineStr">
        <is>
          <t>Observation</t>
        </is>
      </c>
      <c r="F145" s="28" t="inlineStr">
        <is>
          <t>No internal links found</t>
        </is>
      </c>
      <c r="G145" s="28" t="n">
        <v>37</v>
      </c>
      <c r="H145" s="28" t="n">
        <v>0</v>
      </c>
      <c r="I145" s="28" t="inlineStr">
        <is>
          <t>&gt;=2 relevant internal links</t>
        </is>
      </c>
      <c r="J145" s="28" t="inlineStr">
        <is>
          <t>Add contextual internal links from and to related pages using descriptive anchor text. (Taxonomy/Archive page: navigate via AIOSEO → Search Appearance → Taxonomies.)</t>
        </is>
      </c>
      <c r="K145" s="28" t="inlineStr">
        <is>
          <t>Links</t>
        </is>
      </c>
      <c r="L145" s="28" t="inlineStr">
        <is>
          <t>Internal Links Count</t>
        </is>
      </c>
      <c r="M145" s="28" t="inlineStr">
        <is>
          <t>No</t>
        </is>
      </c>
      <c r="N145" s="28" t="inlineStr">
        <is>
          <t>Copy Writer</t>
        </is>
      </c>
      <c r="O145" s="36" t="inlineStr">
        <is>
          <t>Open</t>
        </is>
      </c>
      <c r="P145" s="28" t="n">
        <v>4</v>
      </c>
      <c r="Q145" s="28" t="inlineStr">
        <is>
          <t>https://africanmarketingconfederation.org/smoke-archive/page-13::aioseo_no_internal_links_found</t>
        </is>
      </c>
      <c r="R145" s="28" t="inlineStr">
        <is>
          <t>Internal links help discovery, topical signals, and authority flow.</t>
        </is>
      </c>
      <c r="S145">
        <f>IFERROR(HYPERLINK("#'Main'!B"&amp;MATCH(TRIM(A145),'Main'!B:B,0),"Open"),HYPERLINK("#'Main'!B1","Open"))</f>
        <v/>
      </c>
      <c r="T145">
        <f>IFERROR(HYPERLINK("#'Technical Diagnostics'!A"&amp;MATCH(A145,'Technical Diagnostics'!A:A,0),"Open"),HYPERLINK("#'Technical Diagnostics'!A1","Open"))</f>
        <v/>
      </c>
    </row>
    <row r="146" ht="60" customHeight="1">
      <c r="A146" s="37" t="inlineStr">
        <is>
          <t>https://africanmarketingconfederation.org/smoke-archive/page-14</t>
        </is>
      </c>
      <c r="B146" s="30" t="inlineStr"/>
      <c r="C146" s="30" t="inlineStr"/>
      <c r="D146" s="30" t="inlineStr">
        <is>
          <t>Basic SEO</t>
        </is>
      </c>
      <c r="E146" s="33" t="inlineStr">
        <is>
          <t>Observation</t>
        </is>
      </c>
      <c r="F146" s="30" t="inlineStr">
        <is>
          <t>Meta description too short</t>
        </is>
      </c>
      <c r="G146" s="30" t="n">
        <v>37</v>
      </c>
      <c r="H146" s="30" t="n">
        <v>35</v>
      </c>
      <c r="I146" s="30" t="inlineStr">
        <is>
          <t>120-160 characters</t>
        </is>
      </c>
      <c r="J146" s="30" t="inlineStr">
        <is>
          <t>Expand meta description in AIOSEO to include key value points and intent terms naturally. (Taxonomy/Archive page: navigate via AIOSEO → Search Appearance → Taxonomies.)</t>
        </is>
      </c>
      <c r="K146" s="41" t="inlineStr">
        <is>
          <t>Main</t>
        </is>
      </c>
      <c r="L146" s="30" t="inlineStr">
        <is>
          <t>Meta Description</t>
        </is>
      </c>
      <c r="M146" s="30" t="inlineStr">
        <is>
          <t>No</t>
        </is>
      </c>
      <c r="N146" s="30" t="inlineStr">
        <is>
          <t>Copy Writer</t>
        </is>
      </c>
      <c r="O146" s="36" t="inlineStr">
        <is>
          <t>Open</t>
        </is>
      </c>
      <c r="P146" s="30" t="n">
        <v>4</v>
      </c>
      <c r="Q146" s="30" t="inlineStr">
        <is>
          <t>https://africanmarketingconfederation.org/smoke-archive/page-14::aioseo_meta_description_too_short</t>
        </is>
      </c>
      <c r="R146" s="30" t="inlineStr">
        <is>
          <t>Short descriptions can under-communicate relevance and value.</t>
        </is>
      </c>
      <c r="S146" s="38">
        <f>IFERROR(HYPERLINK("#'Main'!B"&amp;MATCH(TRIM(A146),'Main'!B:B,0),"Open"),HYPERLINK("#'Main'!B1","Open"))</f>
        <v/>
      </c>
      <c r="T146" s="38">
        <f>IFERROR(HYPERLINK("#'Technical Diagnostics'!A"&amp;MATCH(A146,'Technical Diagnostics'!A:A,0),"Open"),HYPERLINK("#'Technical Diagnostics'!A1","Open"))</f>
        <v/>
      </c>
    </row>
    <row r="147" ht="60" customHeight="1">
      <c r="A147" s="35" t="inlineStr">
        <is>
          <t>https://africanmarketingconfederation.org/smoke-archive/page-14</t>
        </is>
      </c>
      <c r="B147" s="28" t="inlineStr"/>
      <c r="C147" s="28" t="inlineStr"/>
      <c r="D147" s="28" t="inlineStr">
        <is>
          <t>Basic SEO</t>
        </is>
      </c>
      <c r="E147" s="33" t="inlineStr">
        <is>
          <t>Observation</t>
        </is>
      </c>
      <c r="F147" s="28" t="inlineStr">
        <is>
          <t>No internal links found</t>
        </is>
      </c>
      <c r="G147" s="28" t="n">
        <v>37</v>
      </c>
      <c r="H147" s="28" t="n">
        <v>0</v>
      </c>
      <c r="I147" s="28" t="inlineStr">
        <is>
          <t>&gt;=2 relevant internal links</t>
        </is>
      </c>
      <c r="J147" s="28" t="inlineStr">
        <is>
          <t>Add contextual internal links from and to related pages using descriptive anchor text. (Taxonomy/Archive page: navigate via AIOSEO → Search Appearance → Taxonomies.)</t>
        </is>
      </c>
      <c r="K147" s="28" t="inlineStr">
        <is>
          <t>Links</t>
        </is>
      </c>
      <c r="L147" s="28" t="inlineStr">
        <is>
          <t>Internal Links Count</t>
        </is>
      </c>
      <c r="M147" s="28" t="inlineStr">
        <is>
          <t>No</t>
        </is>
      </c>
      <c r="N147" s="28" t="inlineStr">
        <is>
          <t>Copy Writer</t>
        </is>
      </c>
      <c r="O147" s="36" t="inlineStr">
        <is>
          <t>Open</t>
        </is>
      </c>
      <c r="P147" s="28" t="n">
        <v>4</v>
      </c>
      <c r="Q147" s="28" t="inlineStr">
        <is>
          <t>https://africanmarketingconfederation.org/smoke-archive/page-14::aioseo_no_internal_links_found</t>
        </is>
      </c>
      <c r="R147" s="28" t="inlineStr">
        <is>
          <t>Internal links help discovery, topical signals, and authority flow.</t>
        </is>
      </c>
      <c r="S147">
        <f>IFERROR(HYPERLINK("#'Main'!B"&amp;MATCH(TRIM(A147),'Main'!B:B,0),"Open"),HYPERLINK("#'Main'!B1","Open"))</f>
        <v/>
      </c>
      <c r="T147">
        <f>IFERROR(HYPERLINK("#'Technical Diagnostics'!A"&amp;MATCH(A147,'Technical Diagnostics'!A:A,0),"Open"),HYPERLINK("#'Technical Diagnostics'!A1","Open"))</f>
        <v/>
      </c>
    </row>
    <row r="148" ht="60" customHeight="1">
      <c r="A148" s="37" t="inlineStr">
        <is>
          <t>https://africanmarketingconfederation.org/smoke-archive/page-15</t>
        </is>
      </c>
      <c r="B148" s="30" t="inlineStr"/>
      <c r="C148" s="30" t="inlineStr"/>
      <c r="D148" s="30" t="inlineStr">
        <is>
          <t>Basic SEO</t>
        </is>
      </c>
      <c r="E148" s="33" t="inlineStr">
        <is>
          <t>Observation</t>
        </is>
      </c>
      <c r="F148" s="30" t="inlineStr">
        <is>
          <t>No internal links found</t>
        </is>
      </c>
      <c r="G148" s="30" t="n">
        <v>37</v>
      </c>
      <c r="H148" s="30" t="n">
        <v>0</v>
      </c>
      <c r="I148" s="30" t="inlineStr">
        <is>
          <t>&gt;=2 relevant internal links</t>
        </is>
      </c>
      <c r="J148" s="30" t="inlineStr">
        <is>
          <t>Add contextual internal links from and to related pages using descriptive anchor text. (Taxonomy/Archive page: navigate via AIOSEO → Search Appearance → Taxonomies.)</t>
        </is>
      </c>
      <c r="K148" s="30" t="inlineStr">
        <is>
          <t>Links</t>
        </is>
      </c>
      <c r="L148" s="30" t="inlineStr">
        <is>
          <t>Internal Links Count</t>
        </is>
      </c>
      <c r="M148" s="30" t="inlineStr">
        <is>
          <t>No</t>
        </is>
      </c>
      <c r="N148" s="30" t="inlineStr">
        <is>
          <t>Copy Writer</t>
        </is>
      </c>
      <c r="O148" s="36" t="inlineStr">
        <is>
          <t>Open</t>
        </is>
      </c>
      <c r="P148" s="30" t="n">
        <v>4</v>
      </c>
      <c r="Q148" s="30" t="inlineStr">
        <is>
          <t>https://africanmarketingconfederation.org/smoke-archive/page-15::aioseo_no_internal_links_found</t>
        </is>
      </c>
      <c r="R148" s="30" t="inlineStr">
        <is>
          <t>Internal links help discovery, topical signals, and authority flow.</t>
        </is>
      </c>
      <c r="S148" s="38">
        <f>IFERROR(HYPERLINK("#'Main'!B"&amp;MATCH(TRIM(A148),'Main'!B:B,0),"Open"),HYPERLINK("#'Main'!B1","Open"))</f>
        <v/>
      </c>
      <c r="T148" s="38">
        <f>IFERROR(HYPERLINK("#'Technical Diagnostics'!A"&amp;MATCH(A148,'Technical Diagnostics'!A:A,0),"Open"),HYPERLINK("#'Technical Diagnostics'!A1","Open"))</f>
        <v/>
      </c>
    </row>
    <row r="149" ht="60" customHeight="1">
      <c r="A149" s="35" t="inlineStr">
        <is>
          <t>https://africanmarketingconfederation.org/smoke-archive/page-16</t>
        </is>
      </c>
      <c r="B149" s="28" t="inlineStr"/>
      <c r="C149" s="28" t="inlineStr"/>
      <c r="D149" s="28" t="inlineStr">
        <is>
          <t>Basic SEO</t>
        </is>
      </c>
      <c r="E149" s="33" t="inlineStr">
        <is>
          <t>Observation</t>
        </is>
      </c>
      <c r="F149" s="28" t="inlineStr">
        <is>
          <t>Meta description too short</t>
        </is>
      </c>
      <c r="G149" s="28" t="n">
        <v>37</v>
      </c>
      <c r="H149" s="28" t="n">
        <v>35</v>
      </c>
      <c r="I149" s="28" t="inlineStr">
        <is>
          <t>120-160 characters</t>
        </is>
      </c>
      <c r="J149" s="28" t="inlineStr">
        <is>
          <t>Expand meta description in AIOSEO to include key value points and intent terms naturally. (Taxonomy/Archive page: navigate via AIOSEO → Search Appearance → Taxonomies.)</t>
        </is>
      </c>
      <c r="K149" s="39" t="inlineStr">
        <is>
          <t>Main</t>
        </is>
      </c>
      <c r="L149" s="28" t="inlineStr">
        <is>
          <t>Meta Description</t>
        </is>
      </c>
      <c r="M149" s="28" t="inlineStr">
        <is>
          <t>No</t>
        </is>
      </c>
      <c r="N149" s="28" t="inlineStr">
        <is>
          <t>Copy Writer</t>
        </is>
      </c>
      <c r="O149" s="36" t="inlineStr">
        <is>
          <t>Open</t>
        </is>
      </c>
      <c r="P149" s="28" t="n">
        <v>4</v>
      </c>
      <c r="Q149" s="28" t="inlineStr">
        <is>
          <t>https://africanmarketingconfederation.org/smoke-archive/page-16::aioseo_meta_description_too_short</t>
        </is>
      </c>
      <c r="R149" s="28" t="inlineStr">
        <is>
          <t>Short descriptions can under-communicate relevance and value.</t>
        </is>
      </c>
      <c r="S149">
        <f>IFERROR(HYPERLINK("#'Main'!B"&amp;MATCH(TRIM(A149),'Main'!B:B,0),"Open"),HYPERLINK("#'Main'!B1","Open"))</f>
        <v/>
      </c>
      <c r="T149">
        <f>IFERROR(HYPERLINK("#'Technical Diagnostics'!A"&amp;MATCH(A149,'Technical Diagnostics'!A:A,0),"Open"),HYPERLINK("#'Technical Diagnostics'!A1","Open"))</f>
        <v/>
      </c>
    </row>
    <row r="150" ht="60" customHeight="1">
      <c r="A150" s="37" t="inlineStr">
        <is>
          <t>https://africanmarketingconfederation.org/smoke-archive/page-16</t>
        </is>
      </c>
      <c r="B150" s="30" t="inlineStr"/>
      <c r="C150" s="30" t="inlineStr"/>
      <c r="D150" s="30" t="inlineStr">
        <is>
          <t>Basic SEO</t>
        </is>
      </c>
      <c r="E150" s="33" t="inlineStr">
        <is>
          <t>Observation</t>
        </is>
      </c>
      <c r="F150" s="30" t="inlineStr">
        <is>
          <t>No internal links found</t>
        </is>
      </c>
      <c r="G150" s="30" t="n">
        <v>37</v>
      </c>
      <c r="H150" s="30" t="n">
        <v>0</v>
      </c>
      <c r="I150" s="30" t="inlineStr">
        <is>
          <t>&gt;=2 relevant internal links</t>
        </is>
      </c>
      <c r="J150" s="30" t="inlineStr">
        <is>
          <t>Add contextual internal links from and to related pages using descriptive anchor text. (Taxonomy/Archive page: navigate via AIOSEO → Search Appearance → Taxonomies.)</t>
        </is>
      </c>
      <c r="K150" s="30" t="inlineStr">
        <is>
          <t>Links</t>
        </is>
      </c>
      <c r="L150" s="30" t="inlineStr">
        <is>
          <t>Internal Links Count</t>
        </is>
      </c>
      <c r="M150" s="30" t="inlineStr">
        <is>
          <t>No</t>
        </is>
      </c>
      <c r="N150" s="30" t="inlineStr">
        <is>
          <t>Copy Writer</t>
        </is>
      </c>
      <c r="O150" s="36" t="inlineStr">
        <is>
          <t>Open</t>
        </is>
      </c>
      <c r="P150" s="30" t="n">
        <v>4</v>
      </c>
      <c r="Q150" s="30" t="inlineStr">
        <is>
          <t>https://africanmarketingconfederation.org/smoke-archive/page-16::aioseo_no_internal_links_found</t>
        </is>
      </c>
      <c r="R150" s="30" t="inlineStr">
        <is>
          <t>Internal links help discovery, topical signals, and authority flow.</t>
        </is>
      </c>
      <c r="S150" s="38">
        <f>IFERROR(HYPERLINK("#'Main'!B"&amp;MATCH(TRIM(A150),'Main'!B:B,0),"Open"),HYPERLINK("#'Main'!B1","Open"))</f>
        <v/>
      </c>
      <c r="T150" s="38">
        <f>IFERROR(HYPERLINK("#'Technical Diagnostics'!A"&amp;MATCH(A150,'Technical Diagnostics'!A:A,0),"Open"),HYPERLINK("#'Technical Diagnostics'!A1","Open"))</f>
        <v/>
      </c>
    </row>
    <row r="151" ht="60" customHeight="1">
      <c r="A151" s="35" t="inlineStr">
        <is>
          <t>https://africanmarketingconfederation.org/smoke-archive/page-17</t>
        </is>
      </c>
      <c r="B151" s="28" t="inlineStr"/>
      <c r="C151" s="28" t="inlineStr"/>
      <c r="D151" s="28" t="inlineStr">
        <is>
          <t>Basic SEO</t>
        </is>
      </c>
      <c r="E151" s="33" t="inlineStr">
        <is>
          <t>Observation</t>
        </is>
      </c>
      <c r="F151" s="28" t="inlineStr">
        <is>
          <t>Meta description too short</t>
        </is>
      </c>
      <c r="G151" s="28" t="n">
        <v>37</v>
      </c>
      <c r="H151" s="28" t="n">
        <v>35</v>
      </c>
      <c r="I151" s="28" t="inlineStr">
        <is>
          <t>120-160 characters</t>
        </is>
      </c>
      <c r="J151" s="28" t="inlineStr">
        <is>
          <t>Expand meta description in AIOSEO to include key value points and intent terms naturally. (Taxonomy/Archive page: navigate via AIOSEO → Search Appearance → Taxonomies.)</t>
        </is>
      </c>
      <c r="K151" s="39" t="inlineStr">
        <is>
          <t>Main</t>
        </is>
      </c>
      <c r="L151" s="28" t="inlineStr">
        <is>
          <t>Meta Description</t>
        </is>
      </c>
      <c r="M151" s="28" t="inlineStr">
        <is>
          <t>No</t>
        </is>
      </c>
      <c r="N151" s="28" t="inlineStr">
        <is>
          <t>Copy Writer</t>
        </is>
      </c>
      <c r="O151" s="36" t="inlineStr">
        <is>
          <t>Open</t>
        </is>
      </c>
      <c r="P151" s="28" t="n">
        <v>4</v>
      </c>
      <c r="Q151" s="28" t="inlineStr">
        <is>
          <t>https://africanmarketingconfederation.org/smoke-archive/page-17::aioseo_meta_description_too_short</t>
        </is>
      </c>
      <c r="R151" s="28" t="inlineStr">
        <is>
          <t>Short descriptions can under-communicate relevance and value.</t>
        </is>
      </c>
      <c r="S151">
        <f>IFERROR(HYPERLINK("#'Main'!B"&amp;MATCH(TRIM(A151),'Main'!B:B,0),"Open"),HYPERLINK("#'Main'!B1","Open"))</f>
        <v/>
      </c>
      <c r="T151">
        <f>IFERROR(HYPERLINK("#'Technical Diagnostics'!A"&amp;MATCH(A151,'Technical Diagnostics'!A:A,0),"Open"),HYPERLINK("#'Technical Diagnostics'!A1","Open"))</f>
        <v/>
      </c>
    </row>
    <row r="152" ht="60" customHeight="1">
      <c r="A152" s="37" t="inlineStr">
        <is>
          <t>https://africanmarketingconfederation.org/smoke-archive/page-17</t>
        </is>
      </c>
      <c r="B152" s="30" t="inlineStr"/>
      <c r="C152" s="30" t="inlineStr"/>
      <c r="D152" s="30" t="inlineStr">
        <is>
          <t>Basic SEO</t>
        </is>
      </c>
      <c r="E152" s="33" t="inlineStr">
        <is>
          <t>Observation</t>
        </is>
      </c>
      <c r="F152" s="30" t="inlineStr">
        <is>
          <t>No internal links found</t>
        </is>
      </c>
      <c r="G152" s="30" t="n">
        <v>37</v>
      </c>
      <c r="H152" s="30" t="n">
        <v>0</v>
      </c>
      <c r="I152" s="30" t="inlineStr">
        <is>
          <t>&gt;=2 relevant internal links</t>
        </is>
      </c>
      <c r="J152" s="30" t="inlineStr">
        <is>
          <t>Add contextual internal links from and to related pages using descriptive anchor text. (Taxonomy/Archive page: navigate via AIOSEO → Search Appearance → Taxonomies.)</t>
        </is>
      </c>
      <c r="K152" s="30" t="inlineStr">
        <is>
          <t>Links</t>
        </is>
      </c>
      <c r="L152" s="30" t="inlineStr">
        <is>
          <t>Internal Links Count</t>
        </is>
      </c>
      <c r="M152" s="30" t="inlineStr">
        <is>
          <t>No</t>
        </is>
      </c>
      <c r="N152" s="30" t="inlineStr">
        <is>
          <t>Copy Writer</t>
        </is>
      </c>
      <c r="O152" s="36" t="inlineStr">
        <is>
          <t>Open</t>
        </is>
      </c>
      <c r="P152" s="30" t="n">
        <v>4</v>
      </c>
      <c r="Q152" s="30" t="inlineStr">
        <is>
          <t>https://africanmarketingconfederation.org/smoke-archive/page-17::aioseo_no_internal_links_found</t>
        </is>
      </c>
      <c r="R152" s="30" t="inlineStr">
        <is>
          <t>Internal links help discovery, topical signals, and authority flow.</t>
        </is>
      </c>
      <c r="S152" s="38">
        <f>IFERROR(HYPERLINK("#'Main'!B"&amp;MATCH(TRIM(A152),'Main'!B:B,0),"Open"),HYPERLINK("#'Main'!B1","Open"))</f>
        <v/>
      </c>
      <c r="T152" s="38">
        <f>IFERROR(HYPERLINK("#'Technical Diagnostics'!A"&amp;MATCH(A152,'Technical Diagnostics'!A:A,0),"Open"),HYPERLINK("#'Technical Diagnostics'!A1","Open"))</f>
        <v/>
      </c>
    </row>
    <row r="153" ht="60" customHeight="1">
      <c r="A153" s="35" t="inlineStr">
        <is>
          <t>https://africanmarketingconfederation.org/smoke-archive/page-18</t>
        </is>
      </c>
      <c r="B153" s="28" t="inlineStr"/>
      <c r="C153" s="28" t="inlineStr"/>
      <c r="D153" s="28" t="inlineStr">
        <is>
          <t>Basic SEO</t>
        </is>
      </c>
      <c r="E153" s="33" t="inlineStr">
        <is>
          <t>Observation</t>
        </is>
      </c>
      <c r="F153" s="28" t="inlineStr">
        <is>
          <t>Meta description too short</t>
        </is>
      </c>
      <c r="G153" s="28" t="n">
        <v>37</v>
      </c>
      <c r="H153" s="28" t="n">
        <v>35</v>
      </c>
      <c r="I153" s="28" t="inlineStr">
        <is>
          <t>120-160 characters</t>
        </is>
      </c>
      <c r="J153" s="28" t="inlineStr">
        <is>
          <t>Expand meta description in AIOSEO to include key value points and intent terms naturally. (Taxonomy/Archive page: navigate via AIOSEO → Search Appearance → Taxonomies.)</t>
        </is>
      </c>
      <c r="K153" s="39" t="inlineStr">
        <is>
          <t>Main</t>
        </is>
      </c>
      <c r="L153" s="28" t="inlineStr">
        <is>
          <t>Meta Description</t>
        </is>
      </c>
      <c r="M153" s="28" t="inlineStr">
        <is>
          <t>No</t>
        </is>
      </c>
      <c r="N153" s="28" t="inlineStr">
        <is>
          <t>Copy Writer</t>
        </is>
      </c>
      <c r="O153" s="36" t="inlineStr">
        <is>
          <t>Open</t>
        </is>
      </c>
      <c r="P153" s="28" t="n">
        <v>4</v>
      </c>
      <c r="Q153" s="28" t="inlineStr">
        <is>
          <t>https://africanmarketingconfederation.org/smoke-archive/page-18::aioseo_meta_description_too_short</t>
        </is>
      </c>
      <c r="R153" s="28" t="inlineStr">
        <is>
          <t>Short descriptions can under-communicate relevance and value.</t>
        </is>
      </c>
      <c r="S153">
        <f>IFERROR(HYPERLINK("#'Main'!B"&amp;MATCH(TRIM(A153),'Main'!B:B,0),"Open"),HYPERLINK("#'Main'!B1","Open"))</f>
        <v/>
      </c>
      <c r="T153">
        <f>IFERROR(HYPERLINK("#'Technical Diagnostics'!A"&amp;MATCH(A153,'Technical Diagnostics'!A:A,0),"Open"),HYPERLINK("#'Technical Diagnostics'!A1","Open"))</f>
        <v/>
      </c>
    </row>
    <row r="154" ht="60" customHeight="1">
      <c r="A154" s="37" t="inlineStr">
        <is>
          <t>https://africanmarketingconfederation.org/smoke-archive/page-18</t>
        </is>
      </c>
      <c r="B154" s="30" t="inlineStr"/>
      <c r="C154" s="30" t="inlineStr"/>
      <c r="D154" s="30" t="inlineStr">
        <is>
          <t>Basic SEO</t>
        </is>
      </c>
      <c r="E154" s="33" t="inlineStr">
        <is>
          <t>Observation</t>
        </is>
      </c>
      <c r="F154" s="30" t="inlineStr">
        <is>
          <t>No internal links found</t>
        </is>
      </c>
      <c r="G154" s="30" t="n">
        <v>37</v>
      </c>
      <c r="H154" s="30" t="n">
        <v>0</v>
      </c>
      <c r="I154" s="30" t="inlineStr">
        <is>
          <t>&gt;=2 relevant internal links</t>
        </is>
      </c>
      <c r="J154" s="30" t="inlineStr">
        <is>
          <t>Add contextual internal links from and to related pages using descriptive anchor text. (Taxonomy/Archive page: navigate via AIOSEO → Search Appearance → Taxonomies.)</t>
        </is>
      </c>
      <c r="K154" s="30" t="inlineStr">
        <is>
          <t>Links</t>
        </is>
      </c>
      <c r="L154" s="30" t="inlineStr">
        <is>
          <t>Internal Links Count</t>
        </is>
      </c>
      <c r="M154" s="30" t="inlineStr">
        <is>
          <t>No</t>
        </is>
      </c>
      <c r="N154" s="30" t="inlineStr">
        <is>
          <t>Copy Writer</t>
        </is>
      </c>
      <c r="O154" s="36" t="inlineStr">
        <is>
          <t>Open</t>
        </is>
      </c>
      <c r="P154" s="30" t="n">
        <v>4</v>
      </c>
      <c r="Q154" s="30" t="inlineStr">
        <is>
          <t>https://africanmarketingconfederation.org/smoke-archive/page-18::aioseo_no_internal_links_found</t>
        </is>
      </c>
      <c r="R154" s="30" t="inlineStr">
        <is>
          <t>Internal links help discovery, topical signals, and authority flow.</t>
        </is>
      </c>
      <c r="S154" s="38">
        <f>IFERROR(HYPERLINK("#'Main'!B"&amp;MATCH(TRIM(A154),'Main'!B:B,0),"Open"),HYPERLINK("#'Main'!B1","Open"))</f>
        <v/>
      </c>
      <c r="T154" s="38">
        <f>IFERROR(HYPERLINK("#'Technical Diagnostics'!A"&amp;MATCH(A154,'Technical Diagnostics'!A:A,0),"Open"),HYPERLINK("#'Technical Diagnostics'!A1","Open"))</f>
        <v/>
      </c>
    </row>
    <row r="155" ht="60" customHeight="1">
      <c r="A155" s="35" t="inlineStr">
        <is>
          <t>https://africanmarketingconfederation.org/smoke-archive/page-19</t>
        </is>
      </c>
      <c r="B155" s="28" t="inlineStr"/>
      <c r="C155" s="28" t="inlineStr"/>
      <c r="D155" s="28" t="inlineStr">
        <is>
          <t>Basic SEO</t>
        </is>
      </c>
      <c r="E155" s="33" t="inlineStr">
        <is>
          <t>Observation</t>
        </is>
      </c>
      <c r="F155" s="28" t="inlineStr">
        <is>
          <t>Meta description too short</t>
        </is>
      </c>
      <c r="G155" s="28" t="n">
        <v>37</v>
      </c>
      <c r="H155" s="28" t="n">
        <v>35</v>
      </c>
      <c r="I155" s="28" t="inlineStr">
        <is>
          <t>120-160 characters</t>
        </is>
      </c>
      <c r="J155" s="28" t="inlineStr">
        <is>
          <t>Expand meta description in AIOSEO to include key value points and intent terms naturally. (Taxonomy/Archive page: navigate via AIOSEO → Search Appearance → Taxonomies.)</t>
        </is>
      </c>
      <c r="K155" s="39" t="inlineStr">
        <is>
          <t>Main</t>
        </is>
      </c>
      <c r="L155" s="28" t="inlineStr">
        <is>
          <t>Meta Description</t>
        </is>
      </c>
      <c r="M155" s="28" t="inlineStr">
        <is>
          <t>No</t>
        </is>
      </c>
      <c r="N155" s="28" t="inlineStr">
        <is>
          <t>Copy Writer</t>
        </is>
      </c>
      <c r="O155" s="36" t="inlineStr">
        <is>
          <t>Open</t>
        </is>
      </c>
      <c r="P155" s="28" t="n">
        <v>4</v>
      </c>
      <c r="Q155" s="28" t="inlineStr">
        <is>
          <t>https://africanmarketingconfederation.org/smoke-archive/page-19::aioseo_meta_description_too_short</t>
        </is>
      </c>
      <c r="R155" s="28" t="inlineStr">
        <is>
          <t>Short descriptions can under-communicate relevance and value.</t>
        </is>
      </c>
      <c r="S155">
        <f>IFERROR(HYPERLINK("#'Main'!B"&amp;MATCH(TRIM(A155),'Main'!B:B,0),"Open"),HYPERLINK("#'Main'!B1","Open"))</f>
        <v/>
      </c>
      <c r="T155">
        <f>IFERROR(HYPERLINK("#'Technical Diagnostics'!A"&amp;MATCH(A155,'Technical Diagnostics'!A:A,0),"Open"),HYPERLINK("#'Technical Diagnostics'!A1","Open"))</f>
        <v/>
      </c>
    </row>
    <row r="156" ht="60" customHeight="1">
      <c r="A156" s="37" t="inlineStr">
        <is>
          <t>https://africanmarketingconfederation.org/smoke-archive/page-19</t>
        </is>
      </c>
      <c r="B156" s="30" t="inlineStr"/>
      <c r="C156" s="30" t="inlineStr"/>
      <c r="D156" s="30" t="inlineStr">
        <is>
          <t>Basic SEO</t>
        </is>
      </c>
      <c r="E156" s="33" t="inlineStr">
        <is>
          <t>Observation</t>
        </is>
      </c>
      <c r="F156" s="30" t="inlineStr">
        <is>
          <t>No internal links found</t>
        </is>
      </c>
      <c r="G156" s="30" t="n">
        <v>37</v>
      </c>
      <c r="H156" s="30" t="n">
        <v>0</v>
      </c>
      <c r="I156" s="30" t="inlineStr">
        <is>
          <t>&gt;=2 relevant internal links</t>
        </is>
      </c>
      <c r="J156" s="30" t="inlineStr">
        <is>
          <t>Add contextual internal links from and to related pages using descriptive anchor text. (Taxonomy/Archive page: navigate via AIOSEO → Search Appearance → Taxonomies.)</t>
        </is>
      </c>
      <c r="K156" s="30" t="inlineStr">
        <is>
          <t>Links</t>
        </is>
      </c>
      <c r="L156" s="30" t="inlineStr">
        <is>
          <t>Internal Links Count</t>
        </is>
      </c>
      <c r="M156" s="30" t="inlineStr">
        <is>
          <t>No</t>
        </is>
      </c>
      <c r="N156" s="30" t="inlineStr">
        <is>
          <t>Copy Writer</t>
        </is>
      </c>
      <c r="O156" s="36" t="inlineStr">
        <is>
          <t>Open</t>
        </is>
      </c>
      <c r="P156" s="30" t="n">
        <v>4</v>
      </c>
      <c r="Q156" s="30" t="inlineStr">
        <is>
          <t>https://africanmarketingconfederation.org/smoke-archive/page-19::aioseo_no_internal_links_found</t>
        </is>
      </c>
      <c r="R156" s="30" t="inlineStr">
        <is>
          <t>Internal links help discovery, topical signals, and authority flow.</t>
        </is>
      </c>
      <c r="S156" s="38">
        <f>IFERROR(HYPERLINK("#'Main'!B"&amp;MATCH(TRIM(A156),'Main'!B:B,0),"Open"),HYPERLINK("#'Main'!B1","Open"))</f>
        <v/>
      </c>
      <c r="T156" s="38">
        <f>IFERROR(HYPERLINK("#'Technical Diagnostics'!A"&amp;MATCH(A156,'Technical Diagnostics'!A:A,0),"Open"),HYPERLINK("#'Technical Diagnostics'!A1","Open"))</f>
        <v/>
      </c>
    </row>
    <row r="157" ht="60" customHeight="1">
      <c r="A157" s="35" t="inlineStr">
        <is>
          <t>https://africanmarketingconfederation.org/smoke-archive/page-2</t>
        </is>
      </c>
      <c r="B157" s="28" t="inlineStr"/>
      <c r="C157" s="28" t="inlineStr"/>
      <c r="D157" s="28" t="inlineStr">
        <is>
          <t>Basic SEO</t>
        </is>
      </c>
      <c r="E157" s="33" t="inlineStr">
        <is>
          <t>Observation</t>
        </is>
      </c>
      <c r="F157" s="28" t="inlineStr">
        <is>
          <t>Meta description too short</t>
        </is>
      </c>
      <c r="G157" s="28" t="n">
        <v>37</v>
      </c>
      <c r="H157" s="28" t="n">
        <v>34</v>
      </c>
      <c r="I157" s="28" t="inlineStr">
        <is>
          <t>120-160 characters</t>
        </is>
      </c>
      <c r="J157" s="28" t="inlineStr">
        <is>
          <t>Expand meta description in AIOSEO to include key value points and intent terms naturally. (Taxonomy/Archive page: navigate via AIOSEO → Search Appearance → Taxonomies.)</t>
        </is>
      </c>
      <c r="K157" s="39" t="inlineStr">
        <is>
          <t>Main</t>
        </is>
      </c>
      <c r="L157" s="28" t="inlineStr">
        <is>
          <t>Meta Description</t>
        </is>
      </c>
      <c r="M157" s="28" t="inlineStr">
        <is>
          <t>No</t>
        </is>
      </c>
      <c r="N157" s="28" t="inlineStr">
        <is>
          <t>Copy Writer</t>
        </is>
      </c>
      <c r="O157" s="36" t="inlineStr">
        <is>
          <t>Open</t>
        </is>
      </c>
      <c r="P157" s="28" t="n">
        <v>4</v>
      </c>
      <c r="Q157" s="28" t="inlineStr">
        <is>
          <t>https://africanmarketingconfederation.org/smoke-archive/page-2::aioseo_meta_description_too_short</t>
        </is>
      </c>
      <c r="R157" s="28" t="inlineStr">
        <is>
          <t>Short descriptions can under-communicate relevance and value.</t>
        </is>
      </c>
      <c r="S157">
        <f>IFERROR(HYPERLINK("#'Main'!B"&amp;MATCH(TRIM(A157),'Main'!B:B,0),"Open"),HYPERLINK("#'Main'!B1","Open"))</f>
        <v/>
      </c>
      <c r="T157">
        <f>IFERROR(HYPERLINK("#'Technical Diagnostics'!A"&amp;MATCH(A157,'Technical Diagnostics'!A:A,0),"Open"),HYPERLINK("#'Technical Diagnostics'!A1","Open"))</f>
        <v/>
      </c>
    </row>
    <row r="158" ht="60" customHeight="1">
      <c r="A158" s="37" t="inlineStr">
        <is>
          <t>https://africanmarketingconfederation.org/smoke-archive/page-2</t>
        </is>
      </c>
      <c r="B158" s="30" t="inlineStr"/>
      <c r="C158" s="30" t="inlineStr"/>
      <c r="D158" s="30" t="inlineStr">
        <is>
          <t>Basic SEO</t>
        </is>
      </c>
      <c r="E158" s="33" t="inlineStr">
        <is>
          <t>Observation</t>
        </is>
      </c>
      <c r="F158" s="30" t="inlineStr">
        <is>
          <t>No internal links found</t>
        </is>
      </c>
      <c r="G158" s="30" t="n">
        <v>37</v>
      </c>
      <c r="H158" s="30" t="n">
        <v>0</v>
      </c>
      <c r="I158" s="30" t="inlineStr">
        <is>
          <t>&gt;=2 relevant internal links</t>
        </is>
      </c>
      <c r="J158" s="30" t="inlineStr">
        <is>
          <t>Add contextual internal links from and to related pages using descriptive anchor text. (Taxonomy/Archive page: navigate via AIOSEO → Search Appearance → Taxonomies.)</t>
        </is>
      </c>
      <c r="K158" s="30" t="inlineStr">
        <is>
          <t>Links</t>
        </is>
      </c>
      <c r="L158" s="30" t="inlineStr">
        <is>
          <t>Internal Links Count</t>
        </is>
      </c>
      <c r="M158" s="30" t="inlineStr">
        <is>
          <t>No</t>
        </is>
      </c>
      <c r="N158" s="30" t="inlineStr">
        <is>
          <t>Copy Writer</t>
        </is>
      </c>
      <c r="O158" s="36" t="inlineStr">
        <is>
          <t>Open</t>
        </is>
      </c>
      <c r="P158" s="30" t="n">
        <v>4</v>
      </c>
      <c r="Q158" s="30" t="inlineStr">
        <is>
          <t>https://africanmarketingconfederation.org/smoke-archive/page-2::aioseo_no_internal_links_found</t>
        </is>
      </c>
      <c r="R158" s="30" t="inlineStr">
        <is>
          <t>Internal links help discovery, topical signals, and authority flow.</t>
        </is>
      </c>
      <c r="S158" s="38">
        <f>IFERROR(HYPERLINK("#'Main'!B"&amp;MATCH(TRIM(A158),'Main'!B:B,0),"Open"),HYPERLINK("#'Main'!B1","Open"))</f>
        <v/>
      </c>
      <c r="T158" s="38">
        <f>IFERROR(HYPERLINK("#'Technical Diagnostics'!A"&amp;MATCH(A158,'Technical Diagnostics'!A:A,0),"Open"),HYPERLINK("#'Technical Diagnostics'!A1","Open"))</f>
        <v/>
      </c>
    </row>
    <row r="159" ht="60" customHeight="1">
      <c r="A159" s="35" t="inlineStr">
        <is>
          <t>https://africanmarketingconfederation.org/smoke-archive/page-20</t>
        </is>
      </c>
      <c r="B159" s="28" t="inlineStr"/>
      <c r="C159" s="28" t="inlineStr"/>
      <c r="D159" s="28" t="inlineStr">
        <is>
          <t>Basic SEO</t>
        </is>
      </c>
      <c r="E159" s="33" t="inlineStr">
        <is>
          <t>Observation</t>
        </is>
      </c>
      <c r="F159" s="28" t="inlineStr">
        <is>
          <t>No internal links found</t>
        </is>
      </c>
      <c r="G159" s="28" t="n">
        <v>37</v>
      </c>
      <c r="H159" s="28" t="n">
        <v>0</v>
      </c>
      <c r="I159" s="28" t="inlineStr">
        <is>
          <t>&gt;=2 relevant internal links</t>
        </is>
      </c>
      <c r="J159" s="28" t="inlineStr">
        <is>
          <t>Add contextual internal links from and to related pages using descriptive anchor text. (Taxonomy/Archive page: navigate via AIOSEO → Search Appearance → Taxonomies.)</t>
        </is>
      </c>
      <c r="K159" s="28" t="inlineStr">
        <is>
          <t>Links</t>
        </is>
      </c>
      <c r="L159" s="28" t="inlineStr">
        <is>
          <t>Internal Links Count</t>
        </is>
      </c>
      <c r="M159" s="28" t="inlineStr">
        <is>
          <t>No</t>
        </is>
      </c>
      <c r="N159" s="28" t="inlineStr">
        <is>
          <t>Copy Writer</t>
        </is>
      </c>
      <c r="O159" s="36" t="inlineStr">
        <is>
          <t>Open</t>
        </is>
      </c>
      <c r="P159" s="28" t="n">
        <v>4</v>
      </c>
      <c r="Q159" s="28" t="inlineStr">
        <is>
          <t>https://africanmarketingconfederation.org/smoke-archive/page-20::aioseo_no_internal_links_found</t>
        </is>
      </c>
      <c r="R159" s="28" t="inlineStr">
        <is>
          <t>Internal links help discovery, topical signals, and authority flow.</t>
        </is>
      </c>
      <c r="S159">
        <f>IFERROR(HYPERLINK("#'Main'!B"&amp;MATCH(TRIM(A159),'Main'!B:B,0),"Open"),HYPERLINK("#'Main'!B1","Open"))</f>
        <v/>
      </c>
      <c r="T159">
        <f>IFERROR(HYPERLINK("#'Technical Diagnostics'!A"&amp;MATCH(A159,'Technical Diagnostics'!A:A,0),"Open"),HYPERLINK("#'Technical Diagnostics'!A1","Open"))</f>
        <v/>
      </c>
    </row>
    <row r="160" ht="60" customHeight="1">
      <c r="A160" s="37" t="inlineStr">
        <is>
          <t>https://africanmarketingconfederation.org/smoke-archive/page-21</t>
        </is>
      </c>
      <c r="B160" s="30" t="inlineStr"/>
      <c r="C160" s="30" t="inlineStr"/>
      <c r="D160" s="30" t="inlineStr">
        <is>
          <t>Basic SEO</t>
        </is>
      </c>
      <c r="E160" s="33" t="inlineStr">
        <is>
          <t>Observation</t>
        </is>
      </c>
      <c r="F160" s="30" t="inlineStr">
        <is>
          <t>Meta description too short</t>
        </is>
      </c>
      <c r="G160" s="30" t="n">
        <v>37</v>
      </c>
      <c r="H160" s="30" t="n">
        <v>35</v>
      </c>
      <c r="I160" s="30" t="inlineStr">
        <is>
          <t>120-160 characters</t>
        </is>
      </c>
      <c r="J160" s="30" t="inlineStr">
        <is>
          <t>Expand meta description in AIOSEO to include key value points and intent terms naturally. (Taxonomy/Archive page: navigate via AIOSEO → Search Appearance → Taxonomies.)</t>
        </is>
      </c>
      <c r="K160" s="41" t="inlineStr">
        <is>
          <t>Main</t>
        </is>
      </c>
      <c r="L160" s="30" t="inlineStr">
        <is>
          <t>Meta Description</t>
        </is>
      </c>
      <c r="M160" s="30" t="inlineStr">
        <is>
          <t>No</t>
        </is>
      </c>
      <c r="N160" s="30" t="inlineStr">
        <is>
          <t>Copy Writer</t>
        </is>
      </c>
      <c r="O160" s="36" t="inlineStr">
        <is>
          <t>Open</t>
        </is>
      </c>
      <c r="P160" s="30" t="n">
        <v>4</v>
      </c>
      <c r="Q160" s="30" t="inlineStr">
        <is>
          <t>https://africanmarketingconfederation.org/smoke-archive/page-21::aioseo_meta_description_too_short</t>
        </is>
      </c>
      <c r="R160" s="30" t="inlineStr">
        <is>
          <t>Short descriptions can under-communicate relevance and value.</t>
        </is>
      </c>
      <c r="S160" s="38">
        <f>IFERROR(HYPERLINK("#'Main'!B"&amp;MATCH(TRIM(A160),'Main'!B:B,0),"Open"),HYPERLINK("#'Main'!B1","Open"))</f>
        <v/>
      </c>
      <c r="T160" s="38">
        <f>IFERROR(HYPERLINK("#'Technical Diagnostics'!A"&amp;MATCH(A160,'Technical Diagnostics'!A:A,0),"Open"),HYPERLINK("#'Technical Diagnostics'!A1","Open"))</f>
        <v/>
      </c>
    </row>
    <row r="161" ht="60" customHeight="1">
      <c r="A161" s="35" t="inlineStr">
        <is>
          <t>https://africanmarketingconfederation.org/smoke-archive/page-21</t>
        </is>
      </c>
      <c r="B161" s="28" t="inlineStr"/>
      <c r="C161" s="28" t="inlineStr"/>
      <c r="D161" s="28" t="inlineStr">
        <is>
          <t>Basic SEO</t>
        </is>
      </c>
      <c r="E161" s="33" t="inlineStr">
        <is>
          <t>Observation</t>
        </is>
      </c>
      <c r="F161" s="28" t="inlineStr">
        <is>
          <t>No internal links found</t>
        </is>
      </c>
      <c r="G161" s="28" t="n">
        <v>37</v>
      </c>
      <c r="H161" s="28" t="n">
        <v>0</v>
      </c>
      <c r="I161" s="28" t="inlineStr">
        <is>
          <t>&gt;=2 relevant internal links</t>
        </is>
      </c>
      <c r="J161" s="28" t="inlineStr">
        <is>
          <t>Add contextual internal links from and to related pages using descriptive anchor text. (Taxonomy/Archive page: navigate via AIOSEO → Search Appearance → Taxonomies.)</t>
        </is>
      </c>
      <c r="K161" s="28" t="inlineStr">
        <is>
          <t>Links</t>
        </is>
      </c>
      <c r="L161" s="28" t="inlineStr">
        <is>
          <t>Internal Links Count</t>
        </is>
      </c>
      <c r="M161" s="28" t="inlineStr">
        <is>
          <t>No</t>
        </is>
      </c>
      <c r="N161" s="28" t="inlineStr">
        <is>
          <t>Copy Writer</t>
        </is>
      </c>
      <c r="O161" s="36" t="inlineStr">
        <is>
          <t>Open</t>
        </is>
      </c>
      <c r="P161" s="28" t="n">
        <v>4</v>
      </c>
      <c r="Q161" s="28" t="inlineStr">
        <is>
          <t>https://africanmarketingconfederation.org/smoke-archive/page-21::aioseo_no_internal_links_found</t>
        </is>
      </c>
      <c r="R161" s="28" t="inlineStr">
        <is>
          <t>Internal links help discovery, topical signals, and authority flow.</t>
        </is>
      </c>
      <c r="S161">
        <f>IFERROR(HYPERLINK("#'Main'!B"&amp;MATCH(TRIM(A161),'Main'!B:B,0),"Open"),HYPERLINK("#'Main'!B1","Open"))</f>
        <v/>
      </c>
      <c r="T161">
        <f>IFERROR(HYPERLINK("#'Technical Diagnostics'!A"&amp;MATCH(A161,'Technical Diagnostics'!A:A,0),"Open"),HYPERLINK("#'Technical Diagnostics'!A1","Open"))</f>
        <v/>
      </c>
    </row>
    <row r="162" ht="60" customHeight="1">
      <c r="A162" s="37" t="inlineStr">
        <is>
          <t>https://africanmarketingconfederation.org/smoke-archive/page-22</t>
        </is>
      </c>
      <c r="B162" s="30" t="inlineStr"/>
      <c r="C162" s="30" t="inlineStr"/>
      <c r="D162" s="30" t="inlineStr">
        <is>
          <t>Basic SEO</t>
        </is>
      </c>
      <c r="E162" s="33" t="inlineStr">
        <is>
          <t>Observation</t>
        </is>
      </c>
      <c r="F162" s="30" t="inlineStr">
        <is>
          <t>Meta description too short</t>
        </is>
      </c>
      <c r="G162" s="30" t="n">
        <v>37</v>
      </c>
      <c r="H162" s="30" t="n">
        <v>35</v>
      </c>
      <c r="I162" s="30" t="inlineStr">
        <is>
          <t>120-160 characters</t>
        </is>
      </c>
      <c r="J162" s="30" t="inlineStr">
        <is>
          <t>Expand meta description in AIOSEO to include key value points and intent terms naturally. (Taxonomy/Archive page: navigate via AIOSEO → Search Appearance → Taxonomies.)</t>
        </is>
      </c>
      <c r="K162" s="41" t="inlineStr">
        <is>
          <t>Main</t>
        </is>
      </c>
      <c r="L162" s="30" t="inlineStr">
        <is>
          <t>Meta Description</t>
        </is>
      </c>
      <c r="M162" s="30" t="inlineStr">
        <is>
          <t>No</t>
        </is>
      </c>
      <c r="N162" s="30" t="inlineStr">
        <is>
          <t>Copy Writer</t>
        </is>
      </c>
      <c r="O162" s="36" t="inlineStr">
        <is>
          <t>Open</t>
        </is>
      </c>
      <c r="P162" s="30" t="n">
        <v>4</v>
      </c>
      <c r="Q162" s="30" t="inlineStr">
        <is>
          <t>https://africanmarketingconfederation.org/smoke-archive/page-22::aioseo_meta_description_too_short</t>
        </is>
      </c>
      <c r="R162" s="30" t="inlineStr">
        <is>
          <t>Short descriptions can under-communicate relevance and value.</t>
        </is>
      </c>
      <c r="S162" s="38">
        <f>IFERROR(HYPERLINK("#'Main'!B"&amp;MATCH(TRIM(A162),'Main'!B:B,0),"Open"),HYPERLINK("#'Main'!B1","Open"))</f>
        <v/>
      </c>
      <c r="T162" s="38">
        <f>IFERROR(HYPERLINK("#'Technical Diagnostics'!A"&amp;MATCH(A162,'Technical Diagnostics'!A:A,0),"Open"),HYPERLINK("#'Technical Diagnostics'!A1","Open"))</f>
        <v/>
      </c>
    </row>
    <row r="163" ht="60" customHeight="1">
      <c r="A163" s="35" t="inlineStr">
        <is>
          <t>https://africanmarketingconfederation.org/smoke-archive/page-22</t>
        </is>
      </c>
      <c r="B163" s="28" t="inlineStr"/>
      <c r="C163" s="28" t="inlineStr"/>
      <c r="D163" s="28" t="inlineStr">
        <is>
          <t>Basic SEO</t>
        </is>
      </c>
      <c r="E163" s="33" t="inlineStr">
        <is>
          <t>Observation</t>
        </is>
      </c>
      <c r="F163" s="28" t="inlineStr">
        <is>
          <t>No internal links found</t>
        </is>
      </c>
      <c r="G163" s="28" t="n">
        <v>37</v>
      </c>
      <c r="H163" s="28" t="n">
        <v>0</v>
      </c>
      <c r="I163" s="28" t="inlineStr">
        <is>
          <t>&gt;=2 relevant internal links</t>
        </is>
      </c>
      <c r="J163" s="28" t="inlineStr">
        <is>
          <t>Add contextual internal links from and to related pages using descriptive anchor text. (Taxonomy/Archive page: navigate via AIOSEO → Search Appearance → Taxonomies.)</t>
        </is>
      </c>
      <c r="K163" s="28" t="inlineStr">
        <is>
          <t>Links</t>
        </is>
      </c>
      <c r="L163" s="28" t="inlineStr">
        <is>
          <t>Internal Links Count</t>
        </is>
      </c>
      <c r="M163" s="28" t="inlineStr">
        <is>
          <t>No</t>
        </is>
      </c>
      <c r="N163" s="28" t="inlineStr">
        <is>
          <t>Copy Writer</t>
        </is>
      </c>
      <c r="O163" s="36" t="inlineStr">
        <is>
          <t>Open</t>
        </is>
      </c>
      <c r="P163" s="28" t="n">
        <v>4</v>
      </c>
      <c r="Q163" s="28" t="inlineStr">
        <is>
          <t>https://africanmarketingconfederation.org/smoke-archive/page-22::aioseo_no_internal_links_found</t>
        </is>
      </c>
      <c r="R163" s="28" t="inlineStr">
        <is>
          <t>Internal links help discovery, topical signals, and authority flow.</t>
        </is>
      </c>
      <c r="S163">
        <f>IFERROR(HYPERLINK("#'Main'!B"&amp;MATCH(TRIM(A163),'Main'!B:B,0),"Open"),HYPERLINK("#'Main'!B1","Open"))</f>
        <v/>
      </c>
      <c r="T163">
        <f>IFERROR(HYPERLINK("#'Technical Diagnostics'!A"&amp;MATCH(A163,'Technical Diagnostics'!A:A,0),"Open"),HYPERLINK("#'Technical Diagnostics'!A1","Open"))</f>
        <v/>
      </c>
    </row>
    <row r="164" ht="60" customHeight="1">
      <c r="A164" s="37" t="inlineStr">
        <is>
          <t>https://africanmarketingconfederation.org/smoke-archive/page-23</t>
        </is>
      </c>
      <c r="B164" s="30" t="inlineStr"/>
      <c r="C164" s="30" t="inlineStr"/>
      <c r="D164" s="30" t="inlineStr">
        <is>
          <t>Basic SEO</t>
        </is>
      </c>
      <c r="E164" s="33" t="inlineStr">
        <is>
          <t>Observation</t>
        </is>
      </c>
      <c r="F164" s="30" t="inlineStr">
        <is>
          <t>Meta description too short</t>
        </is>
      </c>
      <c r="G164" s="30" t="n">
        <v>37</v>
      </c>
      <c r="H164" s="30" t="n">
        <v>35</v>
      </c>
      <c r="I164" s="30" t="inlineStr">
        <is>
          <t>120-160 characters</t>
        </is>
      </c>
      <c r="J164" s="30" t="inlineStr">
        <is>
          <t>Expand meta description in AIOSEO to include key value points and intent terms naturally. (Taxonomy/Archive page: navigate via AIOSEO → Search Appearance → Taxonomies.)</t>
        </is>
      </c>
      <c r="K164" s="41" t="inlineStr">
        <is>
          <t>Main</t>
        </is>
      </c>
      <c r="L164" s="30" t="inlineStr">
        <is>
          <t>Meta Description</t>
        </is>
      </c>
      <c r="M164" s="30" t="inlineStr">
        <is>
          <t>No</t>
        </is>
      </c>
      <c r="N164" s="30" t="inlineStr">
        <is>
          <t>Copy Writer</t>
        </is>
      </c>
      <c r="O164" s="36" t="inlineStr">
        <is>
          <t>Open</t>
        </is>
      </c>
      <c r="P164" s="30" t="n">
        <v>4</v>
      </c>
      <c r="Q164" s="30" t="inlineStr">
        <is>
          <t>https://africanmarketingconfederation.org/smoke-archive/page-23::aioseo_meta_description_too_short</t>
        </is>
      </c>
      <c r="R164" s="30" t="inlineStr">
        <is>
          <t>Short descriptions can under-communicate relevance and value.</t>
        </is>
      </c>
      <c r="S164" s="38">
        <f>IFERROR(HYPERLINK("#'Main'!B"&amp;MATCH(TRIM(A164),'Main'!B:B,0),"Open"),HYPERLINK("#'Main'!B1","Open"))</f>
        <v/>
      </c>
      <c r="T164" s="38">
        <f>IFERROR(HYPERLINK("#'Technical Diagnostics'!A"&amp;MATCH(A164,'Technical Diagnostics'!A:A,0),"Open"),HYPERLINK("#'Technical Diagnostics'!A1","Open"))</f>
        <v/>
      </c>
    </row>
    <row r="165" ht="60" customHeight="1">
      <c r="A165" s="35" t="inlineStr">
        <is>
          <t>https://africanmarketingconfederation.org/smoke-archive/page-23</t>
        </is>
      </c>
      <c r="B165" s="28" t="inlineStr"/>
      <c r="C165" s="28" t="inlineStr"/>
      <c r="D165" s="28" t="inlineStr">
        <is>
          <t>Basic SEO</t>
        </is>
      </c>
      <c r="E165" s="33" t="inlineStr">
        <is>
          <t>Observation</t>
        </is>
      </c>
      <c r="F165" s="28" t="inlineStr">
        <is>
          <t>No internal links found</t>
        </is>
      </c>
      <c r="G165" s="28" t="n">
        <v>37</v>
      </c>
      <c r="H165" s="28" t="n">
        <v>0</v>
      </c>
      <c r="I165" s="28" t="inlineStr">
        <is>
          <t>&gt;=2 relevant internal links</t>
        </is>
      </c>
      <c r="J165" s="28" t="inlineStr">
        <is>
          <t>Add contextual internal links from and to related pages using descriptive anchor text. (Taxonomy/Archive page: navigate via AIOSEO → Search Appearance → Taxonomies.)</t>
        </is>
      </c>
      <c r="K165" s="28" t="inlineStr">
        <is>
          <t>Links</t>
        </is>
      </c>
      <c r="L165" s="28" t="inlineStr">
        <is>
          <t>Internal Links Count</t>
        </is>
      </c>
      <c r="M165" s="28" t="inlineStr">
        <is>
          <t>No</t>
        </is>
      </c>
      <c r="N165" s="28" t="inlineStr">
        <is>
          <t>Copy Writer</t>
        </is>
      </c>
      <c r="O165" s="36" t="inlineStr">
        <is>
          <t>Open</t>
        </is>
      </c>
      <c r="P165" s="28" t="n">
        <v>4</v>
      </c>
      <c r="Q165" s="28" t="inlineStr">
        <is>
          <t>https://africanmarketingconfederation.org/smoke-archive/page-23::aioseo_no_internal_links_found</t>
        </is>
      </c>
      <c r="R165" s="28" t="inlineStr">
        <is>
          <t>Internal links help discovery, topical signals, and authority flow.</t>
        </is>
      </c>
      <c r="S165">
        <f>IFERROR(HYPERLINK("#'Main'!B"&amp;MATCH(TRIM(A165),'Main'!B:B,0),"Open"),HYPERLINK("#'Main'!B1","Open"))</f>
        <v/>
      </c>
      <c r="T165">
        <f>IFERROR(HYPERLINK("#'Technical Diagnostics'!A"&amp;MATCH(A165,'Technical Diagnostics'!A:A,0),"Open"),HYPERLINK("#'Technical Diagnostics'!A1","Open"))</f>
        <v/>
      </c>
    </row>
    <row r="166" ht="60" customHeight="1">
      <c r="A166" s="37" t="inlineStr">
        <is>
          <t>https://africanmarketingconfederation.org/smoke-archive/page-24</t>
        </is>
      </c>
      <c r="B166" s="30" t="inlineStr"/>
      <c r="C166" s="30" t="inlineStr"/>
      <c r="D166" s="30" t="inlineStr">
        <is>
          <t>Basic SEO</t>
        </is>
      </c>
      <c r="E166" s="33" t="inlineStr">
        <is>
          <t>Observation</t>
        </is>
      </c>
      <c r="F166" s="30" t="inlineStr">
        <is>
          <t>Meta description too short</t>
        </is>
      </c>
      <c r="G166" s="30" t="n">
        <v>37</v>
      </c>
      <c r="H166" s="30" t="n">
        <v>35</v>
      </c>
      <c r="I166" s="30" t="inlineStr">
        <is>
          <t>120-160 characters</t>
        </is>
      </c>
      <c r="J166" s="30" t="inlineStr">
        <is>
          <t>Expand meta description in AIOSEO to include key value points and intent terms naturally. (Taxonomy/Archive page: navigate via AIOSEO → Search Appearance → Taxonomies.)</t>
        </is>
      </c>
      <c r="K166" s="41" t="inlineStr">
        <is>
          <t>Main</t>
        </is>
      </c>
      <c r="L166" s="30" t="inlineStr">
        <is>
          <t>Meta Description</t>
        </is>
      </c>
      <c r="M166" s="30" t="inlineStr">
        <is>
          <t>No</t>
        </is>
      </c>
      <c r="N166" s="30" t="inlineStr">
        <is>
          <t>Copy Writer</t>
        </is>
      </c>
      <c r="O166" s="36" t="inlineStr">
        <is>
          <t>Open</t>
        </is>
      </c>
      <c r="P166" s="30" t="n">
        <v>4</v>
      </c>
      <c r="Q166" s="30" t="inlineStr">
        <is>
          <t>https://africanmarketingconfederation.org/smoke-archive/page-24::aioseo_meta_description_too_short</t>
        </is>
      </c>
      <c r="R166" s="30" t="inlineStr">
        <is>
          <t>Short descriptions can under-communicate relevance and value.</t>
        </is>
      </c>
      <c r="S166" s="38">
        <f>IFERROR(HYPERLINK("#'Main'!B"&amp;MATCH(TRIM(A166),'Main'!B:B,0),"Open"),HYPERLINK("#'Main'!B1","Open"))</f>
        <v/>
      </c>
      <c r="T166" s="38">
        <f>IFERROR(HYPERLINK("#'Technical Diagnostics'!A"&amp;MATCH(A166,'Technical Diagnostics'!A:A,0),"Open"),HYPERLINK("#'Technical Diagnostics'!A1","Open"))</f>
        <v/>
      </c>
    </row>
    <row r="167" ht="60" customHeight="1">
      <c r="A167" s="35" t="inlineStr">
        <is>
          <t>https://africanmarketingconfederation.org/smoke-archive/page-24</t>
        </is>
      </c>
      <c r="B167" s="28" t="inlineStr"/>
      <c r="C167" s="28" t="inlineStr"/>
      <c r="D167" s="28" t="inlineStr">
        <is>
          <t>Basic SEO</t>
        </is>
      </c>
      <c r="E167" s="33" t="inlineStr">
        <is>
          <t>Observation</t>
        </is>
      </c>
      <c r="F167" s="28" t="inlineStr">
        <is>
          <t>No internal links found</t>
        </is>
      </c>
      <c r="G167" s="28" t="n">
        <v>37</v>
      </c>
      <c r="H167" s="28" t="n">
        <v>0</v>
      </c>
      <c r="I167" s="28" t="inlineStr">
        <is>
          <t>&gt;=2 relevant internal links</t>
        </is>
      </c>
      <c r="J167" s="28" t="inlineStr">
        <is>
          <t>Add contextual internal links from and to related pages using descriptive anchor text. (Taxonomy/Archive page: navigate via AIOSEO → Search Appearance → Taxonomies.)</t>
        </is>
      </c>
      <c r="K167" s="28" t="inlineStr">
        <is>
          <t>Links</t>
        </is>
      </c>
      <c r="L167" s="28" t="inlineStr">
        <is>
          <t>Internal Links Count</t>
        </is>
      </c>
      <c r="M167" s="28" t="inlineStr">
        <is>
          <t>No</t>
        </is>
      </c>
      <c r="N167" s="28" t="inlineStr">
        <is>
          <t>Copy Writer</t>
        </is>
      </c>
      <c r="O167" s="36" t="inlineStr">
        <is>
          <t>Open</t>
        </is>
      </c>
      <c r="P167" s="28" t="n">
        <v>4</v>
      </c>
      <c r="Q167" s="28" t="inlineStr">
        <is>
          <t>https://africanmarketingconfederation.org/smoke-archive/page-24::aioseo_no_internal_links_found</t>
        </is>
      </c>
      <c r="R167" s="28" t="inlineStr">
        <is>
          <t>Internal links help discovery, topical signals, and authority flow.</t>
        </is>
      </c>
      <c r="S167">
        <f>IFERROR(HYPERLINK("#'Main'!B"&amp;MATCH(TRIM(A167),'Main'!B:B,0),"Open"),HYPERLINK("#'Main'!B1","Open"))</f>
        <v/>
      </c>
      <c r="T167">
        <f>IFERROR(HYPERLINK("#'Technical Diagnostics'!A"&amp;MATCH(A167,'Technical Diagnostics'!A:A,0),"Open"),HYPERLINK("#'Technical Diagnostics'!A1","Open"))</f>
        <v/>
      </c>
    </row>
    <row r="168" ht="60" customHeight="1">
      <c r="A168" s="37" t="inlineStr">
        <is>
          <t>https://africanmarketingconfederation.org/smoke-archive/page-25</t>
        </is>
      </c>
      <c r="B168" s="30" t="inlineStr"/>
      <c r="C168" s="30" t="inlineStr"/>
      <c r="D168" s="30" t="inlineStr">
        <is>
          <t>Basic SEO</t>
        </is>
      </c>
      <c r="E168" s="33" t="inlineStr">
        <is>
          <t>Observation</t>
        </is>
      </c>
      <c r="F168" s="30" t="inlineStr">
        <is>
          <t>No internal links found</t>
        </is>
      </c>
      <c r="G168" s="30" t="n">
        <v>37</v>
      </c>
      <c r="H168" s="30" t="n">
        <v>0</v>
      </c>
      <c r="I168" s="30" t="inlineStr">
        <is>
          <t>&gt;=2 relevant internal links</t>
        </is>
      </c>
      <c r="J168" s="30" t="inlineStr">
        <is>
          <t>Add contextual internal links from and to related pages using descriptive anchor text. (Taxonomy/Archive page: navigate via AIOSEO → Search Appearance → Taxonomies.)</t>
        </is>
      </c>
      <c r="K168" s="30" t="inlineStr">
        <is>
          <t>Links</t>
        </is>
      </c>
      <c r="L168" s="30" t="inlineStr">
        <is>
          <t>Internal Links Count</t>
        </is>
      </c>
      <c r="M168" s="30" t="inlineStr">
        <is>
          <t>No</t>
        </is>
      </c>
      <c r="N168" s="30" t="inlineStr">
        <is>
          <t>Copy Writer</t>
        </is>
      </c>
      <c r="O168" s="36" t="inlineStr">
        <is>
          <t>Open</t>
        </is>
      </c>
      <c r="P168" s="30" t="n">
        <v>4</v>
      </c>
      <c r="Q168" s="30" t="inlineStr">
        <is>
          <t>https://africanmarketingconfederation.org/smoke-archive/page-25::aioseo_no_internal_links_found</t>
        </is>
      </c>
      <c r="R168" s="30" t="inlineStr">
        <is>
          <t>Internal links help discovery, topical signals, and authority flow.</t>
        </is>
      </c>
      <c r="S168" s="38">
        <f>IFERROR(HYPERLINK("#'Main'!B"&amp;MATCH(TRIM(A168),'Main'!B:B,0),"Open"),HYPERLINK("#'Main'!B1","Open"))</f>
        <v/>
      </c>
      <c r="T168" s="38">
        <f>IFERROR(HYPERLINK("#'Technical Diagnostics'!A"&amp;MATCH(A168,'Technical Diagnostics'!A:A,0),"Open"),HYPERLINK("#'Technical Diagnostics'!A1","Open"))</f>
        <v/>
      </c>
    </row>
    <row r="169" ht="60" customHeight="1">
      <c r="A169" s="35" t="inlineStr">
        <is>
          <t>https://africanmarketingconfederation.org/smoke-archive/page-26</t>
        </is>
      </c>
      <c r="B169" s="28" t="inlineStr"/>
      <c r="C169" s="28" t="inlineStr"/>
      <c r="D169" s="28" t="inlineStr">
        <is>
          <t>Basic SEO</t>
        </is>
      </c>
      <c r="E169" s="33" t="inlineStr">
        <is>
          <t>Observation</t>
        </is>
      </c>
      <c r="F169" s="28" t="inlineStr">
        <is>
          <t>Meta description too short</t>
        </is>
      </c>
      <c r="G169" s="28" t="n">
        <v>37</v>
      </c>
      <c r="H169" s="28" t="n">
        <v>35</v>
      </c>
      <c r="I169" s="28" t="inlineStr">
        <is>
          <t>120-160 characters</t>
        </is>
      </c>
      <c r="J169" s="28" t="inlineStr">
        <is>
          <t>Expand meta description in AIOSEO to include key value points and intent terms naturally. (Taxonomy/Archive page: navigate via AIOSEO → Search Appearance → Taxonomies.)</t>
        </is>
      </c>
      <c r="K169" s="39" t="inlineStr">
        <is>
          <t>Main</t>
        </is>
      </c>
      <c r="L169" s="28" t="inlineStr">
        <is>
          <t>Meta Description</t>
        </is>
      </c>
      <c r="M169" s="28" t="inlineStr">
        <is>
          <t>No</t>
        </is>
      </c>
      <c r="N169" s="28" t="inlineStr">
        <is>
          <t>Copy Writer</t>
        </is>
      </c>
      <c r="O169" s="36" t="inlineStr">
        <is>
          <t>Open</t>
        </is>
      </c>
      <c r="P169" s="28" t="n">
        <v>4</v>
      </c>
      <c r="Q169" s="28" t="inlineStr">
        <is>
          <t>https://africanmarketingconfederation.org/smoke-archive/page-26::aioseo_meta_description_too_short</t>
        </is>
      </c>
      <c r="R169" s="28" t="inlineStr">
        <is>
          <t>Short descriptions can under-communicate relevance and value.</t>
        </is>
      </c>
      <c r="S169">
        <f>IFERROR(HYPERLINK("#'Main'!B"&amp;MATCH(TRIM(A169),'Main'!B:B,0),"Open"),HYPERLINK("#'Main'!B1","Open"))</f>
        <v/>
      </c>
      <c r="T169">
        <f>IFERROR(HYPERLINK("#'Technical Diagnostics'!A"&amp;MATCH(A169,'Technical Diagnostics'!A:A,0),"Open"),HYPERLINK("#'Technical Diagnostics'!A1","Open"))</f>
        <v/>
      </c>
    </row>
    <row r="170" ht="60" customHeight="1">
      <c r="A170" s="37" t="inlineStr">
        <is>
          <t>https://africanmarketingconfederation.org/smoke-archive/page-26</t>
        </is>
      </c>
      <c r="B170" s="30" t="inlineStr"/>
      <c r="C170" s="30" t="inlineStr"/>
      <c r="D170" s="30" t="inlineStr">
        <is>
          <t>Basic SEO</t>
        </is>
      </c>
      <c r="E170" s="33" t="inlineStr">
        <is>
          <t>Observation</t>
        </is>
      </c>
      <c r="F170" s="30" t="inlineStr">
        <is>
          <t>No internal links found</t>
        </is>
      </c>
      <c r="G170" s="30" t="n">
        <v>37</v>
      </c>
      <c r="H170" s="30" t="n">
        <v>0</v>
      </c>
      <c r="I170" s="30" t="inlineStr">
        <is>
          <t>&gt;=2 relevant internal links</t>
        </is>
      </c>
      <c r="J170" s="30" t="inlineStr">
        <is>
          <t>Add contextual internal links from and to related pages using descriptive anchor text. (Taxonomy/Archive page: navigate via AIOSEO → Search Appearance → Taxonomies.)</t>
        </is>
      </c>
      <c r="K170" s="30" t="inlineStr">
        <is>
          <t>Links</t>
        </is>
      </c>
      <c r="L170" s="30" t="inlineStr">
        <is>
          <t>Internal Links Count</t>
        </is>
      </c>
      <c r="M170" s="30" t="inlineStr">
        <is>
          <t>No</t>
        </is>
      </c>
      <c r="N170" s="30" t="inlineStr">
        <is>
          <t>Copy Writer</t>
        </is>
      </c>
      <c r="O170" s="36" t="inlineStr">
        <is>
          <t>Open</t>
        </is>
      </c>
      <c r="P170" s="30" t="n">
        <v>4</v>
      </c>
      <c r="Q170" s="30" t="inlineStr">
        <is>
          <t>https://africanmarketingconfederation.org/smoke-archive/page-26::aioseo_no_internal_links_found</t>
        </is>
      </c>
      <c r="R170" s="30" t="inlineStr">
        <is>
          <t>Internal links help discovery, topical signals, and authority flow.</t>
        </is>
      </c>
      <c r="S170" s="38">
        <f>IFERROR(HYPERLINK("#'Main'!B"&amp;MATCH(TRIM(A170),'Main'!B:B,0),"Open"),HYPERLINK("#'Main'!B1","Open"))</f>
        <v/>
      </c>
      <c r="T170" s="38">
        <f>IFERROR(HYPERLINK("#'Technical Diagnostics'!A"&amp;MATCH(A170,'Technical Diagnostics'!A:A,0),"Open"),HYPERLINK("#'Technical Diagnostics'!A1","Open"))</f>
        <v/>
      </c>
    </row>
    <row r="171" ht="60" customHeight="1">
      <c r="A171" s="35" t="inlineStr">
        <is>
          <t>https://africanmarketingconfederation.org/smoke-archive/page-27</t>
        </is>
      </c>
      <c r="B171" s="28" t="inlineStr"/>
      <c r="C171" s="28" t="inlineStr"/>
      <c r="D171" s="28" t="inlineStr">
        <is>
          <t>Basic SEO</t>
        </is>
      </c>
      <c r="E171" s="33" t="inlineStr">
        <is>
          <t>Observation</t>
        </is>
      </c>
      <c r="F171" s="28" t="inlineStr">
        <is>
          <t>Meta description too short</t>
        </is>
      </c>
      <c r="G171" s="28" t="n">
        <v>37</v>
      </c>
      <c r="H171" s="28" t="n">
        <v>35</v>
      </c>
      <c r="I171" s="28" t="inlineStr">
        <is>
          <t>120-160 characters</t>
        </is>
      </c>
      <c r="J171" s="28" t="inlineStr">
        <is>
          <t>Expand meta description in AIOSEO to include key value points and intent terms naturally. (Taxonomy/Archive page: navigate via AIOSEO → Search Appearance → Taxonomies.)</t>
        </is>
      </c>
      <c r="K171" s="39" t="inlineStr">
        <is>
          <t>Main</t>
        </is>
      </c>
      <c r="L171" s="28" t="inlineStr">
        <is>
          <t>Meta Description</t>
        </is>
      </c>
      <c r="M171" s="28" t="inlineStr">
        <is>
          <t>No</t>
        </is>
      </c>
      <c r="N171" s="28" t="inlineStr">
        <is>
          <t>Copy Writer</t>
        </is>
      </c>
      <c r="O171" s="36" t="inlineStr">
        <is>
          <t>Open</t>
        </is>
      </c>
      <c r="P171" s="28" t="n">
        <v>4</v>
      </c>
      <c r="Q171" s="28" t="inlineStr">
        <is>
          <t>https://africanmarketingconfederation.org/smoke-archive/page-27::aioseo_meta_description_too_short</t>
        </is>
      </c>
      <c r="R171" s="28" t="inlineStr">
        <is>
          <t>Short descriptions can under-communicate relevance and value.</t>
        </is>
      </c>
      <c r="S171">
        <f>IFERROR(HYPERLINK("#'Main'!B"&amp;MATCH(TRIM(A171),'Main'!B:B,0),"Open"),HYPERLINK("#'Main'!B1","Open"))</f>
        <v/>
      </c>
      <c r="T171">
        <f>IFERROR(HYPERLINK("#'Technical Diagnostics'!A"&amp;MATCH(A171,'Technical Diagnostics'!A:A,0),"Open"),HYPERLINK("#'Technical Diagnostics'!A1","Open"))</f>
        <v/>
      </c>
    </row>
    <row r="172" ht="60" customHeight="1">
      <c r="A172" s="37" t="inlineStr">
        <is>
          <t>https://africanmarketingconfederation.org/smoke-archive/page-27</t>
        </is>
      </c>
      <c r="B172" s="30" t="inlineStr"/>
      <c r="C172" s="30" t="inlineStr"/>
      <c r="D172" s="30" t="inlineStr">
        <is>
          <t>Basic SEO</t>
        </is>
      </c>
      <c r="E172" s="33" t="inlineStr">
        <is>
          <t>Observation</t>
        </is>
      </c>
      <c r="F172" s="30" t="inlineStr">
        <is>
          <t>No internal links found</t>
        </is>
      </c>
      <c r="G172" s="30" t="n">
        <v>37</v>
      </c>
      <c r="H172" s="30" t="n">
        <v>0</v>
      </c>
      <c r="I172" s="30" t="inlineStr">
        <is>
          <t>&gt;=2 relevant internal links</t>
        </is>
      </c>
      <c r="J172" s="30" t="inlineStr">
        <is>
          <t>Add contextual internal links from and to related pages using descriptive anchor text. (Taxonomy/Archive page: navigate via AIOSEO → Search Appearance → Taxonomies.)</t>
        </is>
      </c>
      <c r="K172" s="30" t="inlineStr">
        <is>
          <t>Links</t>
        </is>
      </c>
      <c r="L172" s="30" t="inlineStr">
        <is>
          <t>Internal Links Count</t>
        </is>
      </c>
      <c r="M172" s="30" t="inlineStr">
        <is>
          <t>No</t>
        </is>
      </c>
      <c r="N172" s="30" t="inlineStr">
        <is>
          <t>Copy Writer</t>
        </is>
      </c>
      <c r="O172" s="36" t="inlineStr">
        <is>
          <t>Open</t>
        </is>
      </c>
      <c r="P172" s="30" t="n">
        <v>4</v>
      </c>
      <c r="Q172" s="30" t="inlineStr">
        <is>
          <t>https://africanmarketingconfederation.org/smoke-archive/page-27::aioseo_no_internal_links_found</t>
        </is>
      </c>
      <c r="R172" s="30" t="inlineStr">
        <is>
          <t>Internal links help discovery, topical signals, and authority flow.</t>
        </is>
      </c>
      <c r="S172" s="38">
        <f>IFERROR(HYPERLINK("#'Main'!B"&amp;MATCH(TRIM(A172),'Main'!B:B,0),"Open"),HYPERLINK("#'Main'!B1","Open"))</f>
        <v/>
      </c>
      <c r="T172" s="38">
        <f>IFERROR(HYPERLINK("#'Technical Diagnostics'!A"&amp;MATCH(A172,'Technical Diagnostics'!A:A,0),"Open"),HYPERLINK("#'Technical Diagnostics'!A1","Open"))</f>
        <v/>
      </c>
    </row>
    <row r="173" ht="60" customHeight="1">
      <c r="A173" s="35" t="inlineStr">
        <is>
          <t>https://africanmarketingconfederation.org/smoke-archive/page-28</t>
        </is>
      </c>
      <c r="B173" s="28" t="inlineStr"/>
      <c r="C173" s="28" t="inlineStr"/>
      <c r="D173" s="28" t="inlineStr">
        <is>
          <t>Basic SEO</t>
        </is>
      </c>
      <c r="E173" s="33" t="inlineStr">
        <is>
          <t>Observation</t>
        </is>
      </c>
      <c r="F173" s="28" t="inlineStr">
        <is>
          <t>Meta description too short</t>
        </is>
      </c>
      <c r="G173" s="28" t="n">
        <v>37</v>
      </c>
      <c r="H173" s="28" t="n">
        <v>35</v>
      </c>
      <c r="I173" s="28" t="inlineStr">
        <is>
          <t>120-160 characters</t>
        </is>
      </c>
      <c r="J173" s="28" t="inlineStr">
        <is>
          <t>Expand meta description in AIOSEO to include key value points and intent terms naturally. (Taxonomy/Archive page: navigate via AIOSEO → Search Appearance → Taxonomies.)</t>
        </is>
      </c>
      <c r="K173" s="39" t="inlineStr">
        <is>
          <t>Main</t>
        </is>
      </c>
      <c r="L173" s="28" t="inlineStr">
        <is>
          <t>Meta Description</t>
        </is>
      </c>
      <c r="M173" s="28" t="inlineStr">
        <is>
          <t>No</t>
        </is>
      </c>
      <c r="N173" s="28" t="inlineStr">
        <is>
          <t>Copy Writer</t>
        </is>
      </c>
      <c r="O173" s="36" t="inlineStr">
        <is>
          <t>Open</t>
        </is>
      </c>
      <c r="P173" s="28" t="n">
        <v>4</v>
      </c>
      <c r="Q173" s="28" t="inlineStr">
        <is>
          <t>https://africanmarketingconfederation.org/smoke-archive/page-28::aioseo_meta_description_too_short</t>
        </is>
      </c>
      <c r="R173" s="28" t="inlineStr">
        <is>
          <t>Short descriptions can under-communicate relevance and value.</t>
        </is>
      </c>
      <c r="S173">
        <f>IFERROR(HYPERLINK("#'Main'!B"&amp;MATCH(TRIM(A173),'Main'!B:B,0),"Open"),HYPERLINK("#'Main'!B1","Open"))</f>
        <v/>
      </c>
      <c r="T173">
        <f>IFERROR(HYPERLINK("#'Technical Diagnostics'!A"&amp;MATCH(A173,'Technical Diagnostics'!A:A,0),"Open"),HYPERLINK("#'Technical Diagnostics'!A1","Open"))</f>
        <v/>
      </c>
    </row>
    <row r="174" ht="60" customHeight="1">
      <c r="A174" s="37" t="inlineStr">
        <is>
          <t>https://africanmarketingconfederation.org/smoke-archive/page-28</t>
        </is>
      </c>
      <c r="B174" s="30" t="inlineStr"/>
      <c r="C174" s="30" t="inlineStr"/>
      <c r="D174" s="30" t="inlineStr">
        <is>
          <t>Basic SEO</t>
        </is>
      </c>
      <c r="E174" s="33" t="inlineStr">
        <is>
          <t>Observation</t>
        </is>
      </c>
      <c r="F174" s="30" t="inlineStr">
        <is>
          <t>No internal links found</t>
        </is>
      </c>
      <c r="G174" s="30" t="n">
        <v>37</v>
      </c>
      <c r="H174" s="30" t="n">
        <v>0</v>
      </c>
      <c r="I174" s="30" t="inlineStr">
        <is>
          <t>&gt;=2 relevant internal links</t>
        </is>
      </c>
      <c r="J174" s="30" t="inlineStr">
        <is>
          <t>Add contextual internal links from and to related pages using descriptive anchor text. (Taxonomy/Archive page: navigate via AIOSEO → Search Appearance → Taxonomies.)</t>
        </is>
      </c>
      <c r="K174" s="30" t="inlineStr">
        <is>
          <t>Links</t>
        </is>
      </c>
      <c r="L174" s="30" t="inlineStr">
        <is>
          <t>Internal Links Count</t>
        </is>
      </c>
      <c r="M174" s="30" t="inlineStr">
        <is>
          <t>No</t>
        </is>
      </c>
      <c r="N174" s="30" t="inlineStr">
        <is>
          <t>Copy Writer</t>
        </is>
      </c>
      <c r="O174" s="36" t="inlineStr">
        <is>
          <t>Open</t>
        </is>
      </c>
      <c r="P174" s="30" t="n">
        <v>4</v>
      </c>
      <c r="Q174" s="30" t="inlineStr">
        <is>
          <t>https://africanmarketingconfederation.org/smoke-archive/page-28::aioseo_no_internal_links_found</t>
        </is>
      </c>
      <c r="R174" s="30" t="inlineStr">
        <is>
          <t>Internal links help discovery, topical signals, and authority flow.</t>
        </is>
      </c>
      <c r="S174" s="38">
        <f>IFERROR(HYPERLINK("#'Main'!B"&amp;MATCH(TRIM(A174),'Main'!B:B,0),"Open"),HYPERLINK("#'Main'!B1","Open"))</f>
        <v/>
      </c>
      <c r="T174" s="38">
        <f>IFERROR(HYPERLINK("#'Technical Diagnostics'!A"&amp;MATCH(A174,'Technical Diagnostics'!A:A,0),"Open"),HYPERLINK("#'Technical Diagnostics'!A1","Open"))</f>
        <v/>
      </c>
    </row>
    <row r="175" ht="60" customHeight="1">
      <c r="A175" s="35" t="inlineStr">
        <is>
          <t>https://africanmarketingconfederation.org/smoke-archive/page-29</t>
        </is>
      </c>
      <c r="B175" s="28" t="inlineStr"/>
      <c r="C175" s="28" t="inlineStr"/>
      <c r="D175" s="28" t="inlineStr">
        <is>
          <t>Basic SEO</t>
        </is>
      </c>
      <c r="E175" s="33" t="inlineStr">
        <is>
          <t>Observation</t>
        </is>
      </c>
      <c r="F175" s="28" t="inlineStr">
        <is>
          <t>Meta description too short</t>
        </is>
      </c>
      <c r="G175" s="28" t="n">
        <v>37</v>
      </c>
      <c r="H175" s="28" t="n">
        <v>35</v>
      </c>
      <c r="I175" s="28" t="inlineStr">
        <is>
          <t>120-160 characters</t>
        </is>
      </c>
      <c r="J175" s="28" t="inlineStr">
        <is>
          <t>Expand meta description in AIOSEO to include key value points and intent terms naturally. (Taxonomy/Archive page: navigate via AIOSEO → Search Appearance → Taxonomies.)</t>
        </is>
      </c>
      <c r="K175" s="39" t="inlineStr">
        <is>
          <t>Main</t>
        </is>
      </c>
      <c r="L175" s="28" t="inlineStr">
        <is>
          <t>Meta Description</t>
        </is>
      </c>
      <c r="M175" s="28" t="inlineStr">
        <is>
          <t>No</t>
        </is>
      </c>
      <c r="N175" s="28" t="inlineStr">
        <is>
          <t>Copy Writer</t>
        </is>
      </c>
      <c r="O175" s="36" t="inlineStr">
        <is>
          <t>Open</t>
        </is>
      </c>
      <c r="P175" s="28" t="n">
        <v>4</v>
      </c>
      <c r="Q175" s="28" t="inlineStr">
        <is>
          <t>https://africanmarketingconfederation.org/smoke-archive/page-29::aioseo_meta_description_too_short</t>
        </is>
      </c>
      <c r="R175" s="28" t="inlineStr">
        <is>
          <t>Short descriptions can under-communicate relevance and value.</t>
        </is>
      </c>
      <c r="S175">
        <f>IFERROR(HYPERLINK("#'Main'!B"&amp;MATCH(TRIM(A175),'Main'!B:B,0),"Open"),HYPERLINK("#'Main'!B1","Open"))</f>
        <v/>
      </c>
      <c r="T175">
        <f>IFERROR(HYPERLINK("#'Technical Diagnostics'!A"&amp;MATCH(A175,'Technical Diagnostics'!A:A,0),"Open"),HYPERLINK("#'Technical Diagnostics'!A1","Open"))</f>
        <v/>
      </c>
    </row>
    <row r="176" ht="60" customHeight="1">
      <c r="A176" s="37" t="inlineStr">
        <is>
          <t>https://africanmarketingconfederation.org/smoke-archive/page-29</t>
        </is>
      </c>
      <c r="B176" s="30" t="inlineStr"/>
      <c r="C176" s="30" t="inlineStr"/>
      <c r="D176" s="30" t="inlineStr">
        <is>
          <t>Basic SEO</t>
        </is>
      </c>
      <c r="E176" s="33" t="inlineStr">
        <is>
          <t>Observation</t>
        </is>
      </c>
      <c r="F176" s="30" t="inlineStr">
        <is>
          <t>No internal links found</t>
        </is>
      </c>
      <c r="G176" s="30" t="n">
        <v>37</v>
      </c>
      <c r="H176" s="30" t="n">
        <v>0</v>
      </c>
      <c r="I176" s="30" t="inlineStr">
        <is>
          <t>&gt;=2 relevant internal links</t>
        </is>
      </c>
      <c r="J176" s="30" t="inlineStr">
        <is>
          <t>Add contextual internal links from and to related pages using descriptive anchor text. (Taxonomy/Archive page: navigate via AIOSEO → Search Appearance → Taxonomies.)</t>
        </is>
      </c>
      <c r="K176" s="30" t="inlineStr">
        <is>
          <t>Links</t>
        </is>
      </c>
      <c r="L176" s="30" t="inlineStr">
        <is>
          <t>Internal Links Count</t>
        </is>
      </c>
      <c r="M176" s="30" t="inlineStr">
        <is>
          <t>No</t>
        </is>
      </c>
      <c r="N176" s="30" t="inlineStr">
        <is>
          <t>Copy Writer</t>
        </is>
      </c>
      <c r="O176" s="36" t="inlineStr">
        <is>
          <t>Open</t>
        </is>
      </c>
      <c r="P176" s="30" t="n">
        <v>4</v>
      </c>
      <c r="Q176" s="30" t="inlineStr">
        <is>
          <t>https://africanmarketingconfederation.org/smoke-archive/page-29::aioseo_no_internal_links_found</t>
        </is>
      </c>
      <c r="R176" s="30" t="inlineStr">
        <is>
          <t>Internal links help discovery, topical signals, and authority flow.</t>
        </is>
      </c>
      <c r="S176" s="38">
        <f>IFERROR(HYPERLINK("#'Main'!B"&amp;MATCH(TRIM(A176),'Main'!B:B,0),"Open"),HYPERLINK("#'Main'!B1","Open"))</f>
        <v/>
      </c>
      <c r="T176" s="38">
        <f>IFERROR(HYPERLINK("#'Technical Diagnostics'!A"&amp;MATCH(A176,'Technical Diagnostics'!A:A,0),"Open"),HYPERLINK("#'Technical Diagnostics'!A1","Open"))</f>
        <v/>
      </c>
    </row>
    <row r="177" ht="60" customHeight="1">
      <c r="A177" s="35" t="inlineStr">
        <is>
          <t>https://africanmarketingconfederation.org/smoke-archive/page-3</t>
        </is>
      </c>
      <c r="B177" s="28" t="inlineStr"/>
      <c r="C177" s="28" t="inlineStr"/>
      <c r="D177" s="28" t="inlineStr">
        <is>
          <t>Basic SEO</t>
        </is>
      </c>
      <c r="E177" s="33" t="inlineStr">
        <is>
          <t>Observation</t>
        </is>
      </c>
      <c r="F177" s="28" t="inlineStr">
        <is>
          <t>Meta description too short</t>
        </is>
      </c>
      <c r="G177" s="28" t="n">
        <v>37</v>
      </c>
      <c r="H177" s="28" t="n">
        <v>34</v>
      </c>
      <c r="I177" s="28" t="inlineStr">
        <is>
          <t>120-160 characters</t>
        </is>
      </c>
      <c r="J177" s="28" t="inlineStr">
        <is>
          <t>Expand meta description in AIOSEO to include key value points and intent terms naturally. (Taxonomy/Archive page: navigate via AIOSEO → Search Appearance → Taxonomies.)</t>
        </is>
      </c>
      <c r="K177" s="39" t="inlineStr">
        <is>
          <t>Main</t>
        </is>
      </c>
      <c r="L177" s="28" t="inlineStr">
        <is>
          <t>Meta Description</t>
        </is>
      </c>
      <c r="M177" s="28" t="inlineStr">
        <is>
          <t>No</t>
        </is>
      </c>
      <c r="N177" s="28" t="inlineStr">
        <is>
          <t>Copy Writer</t>
        </is>
      </c>
      <c r="O177" s="36" t="inlineStr">
        <is>
          <t>Open</t>
        </is>
      </c>
      <c r="P177" s="28" t="n">
        <v>4</v>
      </c>
      <c r="Q177" s="28" t="inlineStr">
        <is>
          <t>https://africanmarketingconfederation.org/smoke-archive/page-3::aioseo_meta_description_too_short</t>
        </is>
      </c>
      <c r="R177" s="28" t="inlineStr">
        <is>
          <t>Short descriptions can under-communicate relevance and value.</t>
        </is>
      </c>
      <c r="S177">
        <f>IFERROR(HYPERLINK("#'Main'!B"&amp;MATCH(TRIM(A177),'Main'!B:B,0),"Open"),HYPERLINK("#'Main'!B1","Open"))</f>
        <v/>
      </c>
      <c r="T177">
        <f>IFERROR(HYPERLINK("#'Technical Diagnostics'!A"&amp;MATCH(A177,'Technical Diagnostics'!A:A,0),"Open"),HYPERLINK("#'Technical Diagnostics'!A1","Open"))</f>
        <v/>
      </c>
    </row>
    <row r="178" ht="60" customHeight="1">
      <c r="A178" s="37" t="inlineStr">
        <is>
          <t>https://africanmarketingconfederation.org/smoke-archive/page-3</t>
        </is>
      </c>
      <c r="B178" s="30" t="inlineStr"/>
      <c r="C178" s="30" t="inlineStr"/>
      <c r="D178" s="30" t="inlineStr">
        <is>
          <t>Basic SEO</t>
        </is>
      </c>
      <c r="E178" s="33" t="inlineStr">
        <is>
          <t>Observation</t>
        </is>
      </c>
      <c r="F178" s="30" t="inlineStr">
        <is>
          <t>No internal links found</t>
        </is>
      </c>
      <c r="G178" s="30" t="n">
        <v>37</v>
      </c>
      <c r="H178" s="30" t="n">
        <v>0</v>
      </c>
      <c r="I178" s="30" t="inlineStr">
        <is>
          <t>&gt;=2 relevant internal links</t>
        </is>
      </c>
      <c r="J178" s="30" t="inlineStr">
        <is>
          <t>Add contextual internal links from and to related pages using descriptive anchor text. (Taxonomy/Archive page: navigate via AIOSEO → Search Appearance → Taxonomies.)</t>
        </is>
      </c>
      <c r="K178" s="30" t="inlineStr">
        <is>
          <t>Links</t>
        </is>
      </c>
      <c r="L178" s="30" t="inlineStr">
        <is>
          <t>Internal Links Count</t>
        </is>
      </c>
      <c r="M178" s="30" t="inlineStr">
        <is>
          <t>No</t>
        </is>
      </c>
      <c r="N178" s="30" t="inlineStr">
        <is>
          <t>Copy Writer</t>
        </is>
      </c>
      <c r="O178" s="36" t="inlineStr">
        <is>
          <t>Open</t>
        </is>
      </c>
      <c r="P178" s="30" t="n">
        <v>4</v>
      </c>
      <c r="Q178" s="30" t="inlineStr">
        <is>
          <t>https://africanmarketingconfederation.org/smoke-archive/page-3::aioseo_no_internal_links_found</t>
        </is>
      </c>
      <c r="R178" s="30" t="inlineStr">
        <is>
          <t>Internal links help discovery, topical signals, and authority flow.</t>
        </is>
      </c>
      <c r="S178" s="38">
        <f>IFERROR(HYPERLINK("#'Main'!B"&amp;MATCH(TRIM(A178),'Main'!B:B,0),"Open"),HYPERLINK("#'Main'!B1","Open"))</f>
        <v/>
      </c>
      <c r="T178" s="38">
        <f>IFERROR(HYPERLINK("#'Technical Diagnostics'!A"&amp;MATCH(A178,'Technical Diagnostics'!A:A,0),"Open"),HYPERLINK("#'Technical Diagnostics'!A1","Open"))</f>
        <v/>
      </c>
    </row>
    <row r="179" ht="60" customHeight="1">
      <c r="A179" s="35" t="inlineStr">
        <is>
          <t>https://africanmarketingconfederation.org/smoke-archive/page-30</t>
        </is>
      </c>
      <c r="B179" s="28" t="inlineStr"/>
      <c r="C179" s="28" t="inlineStr"/>
      <c r="D179" s="28" t="inlineStr">
        <is>
          <t>Basic SEO</t>
        </is>
      </c>
      <c r="E179" s="33" t="inlineStr">
        <is>
          <t>Observation</t>
        </is>
      </c>
      <c r="F179" s="28" t="inlineStr">
        <is>
          <t>No internal links found</t>
        </is>
      </c>
      <c r="G179" s="28" t="n">
        <v>37</v>
      </c>
      <c r="H179" s="28" t="n">
        <v>0</v>
      </c>
      <c r="I179" s="28" t="inlineStr">
        <is>
          <t>&gt;=2 relevant internal links</t>
        </is>
      </c>
      <c r="J179" s="28" t="inlineStr">
        <is>
          <t>Add contextual internal links from and to related pages using descriptive anchor text. (Taxonomy/Archive page: navigate via AIOSEO → Search Appearance → Taxonomies.)</t>
        </is>
      </c>
      <c r="K179" s="28" t="inlineStr">
        <is>
          <t>Links</t>
        </is>
      </c>
      <c r="L179" s="28" t="inlineStr">
        <is>
          <t>Internal Links Count</t>
        </is>
      </c>
      <c r="M179" s="28" t="inlineStr">
        <is>
          <t>No</t>
        </is>
      </c>
      <c r="N179" s="28" t="inlineStr">
        <is>
          <t>Copy Writer</t>
        </is>
      </c>
      <c r="O179" s="36" t="inlineStr">
        <is>
          <t>Open</t>
        </is>
      </c>
      <c r="P179" s="28" t="n">
        <v>4</v>
      </c>
      <c r="Q179" s="28" t="inlineStr">
        <is>
          <t>https://africanmarketingconfederation.org/smoke-archive/page-30::aioseo_no_internal_links_found</t>
        </is>
      </c>
      <c r="R179" s="28" t="inlineStr">
        <is>
          <t>Internal links help discovery, topical signals, and authority flow.</t>
        </is>
      </c>
      <c r="S179">
        <f>IFERROR(HYPERLINK("#'Main'!B"&amp;MATCH(TRIM(A179),'Main'!B:B,0),"Open"),HYPERLINK("#'Main'!B1","Open"))</f>
        <v/>
      </c>
      <c r="T179">
        <f>IFERROR(HYPERLINK("#'Technical Diagnostics'!A"&amp;MATCH(A179,'Technical Diagnostics'!A:A,0),"Open"),HYPERLINK("#'Technical Diagnostics'!A1","Open"))</f>
        <v/>
      </c>
    </row>
    <row r="180" ht="60" customHeight="1">
      <c r="A180" s="37" t="inlineStr">
        <is>
          <t>https://africanmarketingconfederation.org/smoke-archive/page-31</t>
        </is>
      </c>
      <c r="B180" s="30" t="inlineStr"/>
      <c r="C180" s="30" t="inlineStr"/>
      <c r="D180" s="30" t="inlineStr">
        <is>
          <t>Basic SEO</t>
        </is>
      </c>
      <c r="E180" s="33" t="inlineStr">
        <is>
          <t>Observation</t>
        </is>
      </c>
      <c r="F180" s="30" t="inlineStr">
        <is>
          <t>Meta description too short</t>
        </is>
      </c>
      <c r="G180" s="30" t="n">
        <v>37</v>
      </c>
      <c r="H180" s="30" t="n">
        <v>35</v>
      </c>
      <c r="I180" s="30" t="inlineStr">
        <is>
          <t>120-160 characters</t>
        </is>
      </c>
      <c r="J180" s="30" t="inlineStr">
        <is>
          <t>Expand meta description in AIOSEO to include key value points and intent terms naturally. (Taxonomy/Archive page: navigate via AIOSEO → Search Appearance → Taxonomies.)</t>
        </is>
      </c>
      <c r="K180" s="41" t="inlineStr">
        <is>
          <t>Main</t>
        </is>
      </c>
      <c r="L180" s="30" t="inlineStr">
        <is>
          <t>Meta Description</t>
        </is>
      </c>
      <c r="M180" s="30" t="inlineStr">
        <is>
          <t>No</t>
        </is>
      </c>
      <c r="N180" s="30" t="inlineStr">
        <is>
          <t>Copy Writer</t>
        </is>
      </c>
      <c r="O180" s="36" t="inlineStr">
        <is>
          <t>Open</t>
        </is>
      </c>
      <c r="P180" s="30" t="n">
        <v>4</v>
      </c>
      <c r="Q180" s="30" t="inlineStr">
        <is>
          <t>https://africanmarketingconfederation.org/smoke-archive/page-31::aioseo_meta_description_too_short</t>
        </is>
      </c>
      <c r="R180" s="30" t="inlineStr">
        <is>
          <t>Short descriptions can under-communicate relevance and value.</t>
        </is>
      </c>
      <c r="S180" s="38">
        <f>IFERROR(HYPERLINK("#'Main'!B"&amp;MATCH(TRIM(A180),'Main'!B:B,0),"Open"),HYPERLINK("#'Main'!B1","Open"))</f>
        <v/>
      </c>
      <c r="T180" s="38">
        <f>IFERROR(HYPERLINK("#'Technical Diagnostics'!A"&amp;MATCH(A180,'Technical Diagnostics'!A:A,0),"Open"),HYPERLINK("#'Technical Diagnostics'!A1","Open"))</f>
        <v/>
      </c>
    </row>
    <row r="181" ht="60" customHeight="1">
      <c r="A181" s="35" t="inlineStr">
        <is>
          <t>https://africanmarketingconfederation.org/smoke-archive/page-31</t>
        </is>
      </c>
      <c r="B181" s="28" t="inlineStr"/>
      <c r="C181" s="28" t="inlineStr"/>
      <c r="D181" s="28" t="inlineStr">
        <is>
          <t>Basic SEO</t>
        </is>
      </c>
      <c r="E181" s="33" t="inlineStr">
        <is>
          <t>Observation</t>
        </is>
      </c>
      <c r="F181" s="28" t="inlineStr">
        <is>
          <t>No internal links found</t>
        </is>
      </c>
      <c r="G181" s="28" t="n">
        <v>37</v>
      </c>
      <c r="H181" s="28" t="n">
        <v>0</v>
      </c>
      <c r="I181" s="28" t="inlineStr">
        <is>
          <t>&gt;=2 relevant internal links</t>
        </is>
      </c>
      <c r="J181" s="28" t="inlineStr">
        <is>
          <t>Add contextual internal links from and to related pages using descriptive anchor text. (Taxonomy/Archive page: navigate via AIOSEO → Search Appearance → Taxonomies.)</t>
        </is>
      </c>
      <c r="K181" s="28" t="inlineStr">
        <is>
          <t>Links</t>
        </is>
      </c>
      <c r="L181" s="28" t="inlineStr">
        <is>
          <t>Internal Links Count</t>
        </is>
      </c>
      <c r="M181" s="28" t="inlineStr">
        <is>
          <t>No</t>
        </is>
      </c>
      <c r="N181" s="28" t="inlineStr">
        <is>
          <t>Copy Writer</t>
        </is>
      </c>
      <c r="O181" s="36" t="inlineStr">
        <is>
          <t>Open</t>
        </is>
      </c>
      <c r="P181" s="28" t="n">
        <v>4</v>
      </c>
      <c r="Q181" s="28" t="inlineStr">
        <is>
          <t>https://africanmarketingconfederation.org/smoke-archive/page-31::aioseo_no_internal_links_found</t>
        </is>
      </c>
      <c r="R181" s="28" t="inlineStr">
        <is>
          <t>Internal links help discovery, topical signals, and authority flow.</t>
        </is>
      </c>
      <c r="S181">
        <f>IFERROR(HYPERLINK("#'Main'!B"&amp;MATCH(TRIM(A181),'Main'!B:B,0),"Open"),HYPERLINK("#'Main'!B1","Open"))</f>
        <v/>
      </c>
      <c r="T181">
        <f>IFERROR(HYPERLINK("#'Technical Diagnostics'!A"&amp;MATCH(A181,'Technical Diagnostics'!A:A,0),"Open"),HYPERLINK("#'Technical Diagnostics'!A1","Open"))</f>
        <v/>
      </c>
    </row>
    <row r="182" ht="60" customHeight="1">
      <c r="A182" s="37" t="inlineStr">
        <is>
          <t>https://africanmarketingconfederation.org/smoke-archive/page-32</t>
        </is>
      </c>
      <c r="B182" s="30" t="inlineStr"/>
      <c r="C182" s="30" t="inlineStr"/>
      <c r="D182" s="30" t="inlineStr">
        <is>
          <t>Basic SEO</t>
        </is>
      </c>
      <c r="E182" s="33" t="inlineStr">
        <is>
          <t>Observation</t>
        </is>
      </c>
      <c r="F182" s="30" t="inlineStr">
        <is>
          <t>Meta description too short</t>
        </is>
      </c>
      <c r="G182" s="30" t="n">
        <v>37</v>
      </c>
      <c r="H182" s="30" t="n">
        <v>35</v>
      </c>
      <c r="I182" s="30" t="inlineStr">
        <is>
          <t>120-160 characters</t>
        </is>
      </c>
      <c r="J182" s="30" t="inlineStr">
        <is>
          <t>Expand meta description in AIOSEO to include key value points and intent terms naturally. (Taxonomy/Archive page: navigate via AIOSEO → Search Appearance → Taxonomies.)</t>
        </is>
      </c>
      <c r="K182" s="41" t="inlineStr">
        <is>
          <t>Main</t>
        </is>
      </c>
      <c r="L182" s="30" t="inlineStr">
        <is>
          <t>Meta Description</t>
        </is>
      </c>
      <c r="M182" s="30" t="inlineStr">
        <is>
          <t>No</t>
        </is>
      </c>
      <c r="N182" s="30" t="inlineStr">
        <is>
          <t>Copy Writer</t>
        </is>
      </c>
      <c r="O182" s="36" t="inlineStr">
        <is>
          <t>Open</t>
        </is>
      </c>
      <c r="P182" s="30" t="n">
        <v>4</v>
      </c>
      <c r="Q182" s="30" t="inlineStr">
        <is>
          <t>https://africanmarketingconfederation.org/smoke-archive/page-32::aioseo_meta_description_too_short</t>
        </is>
      </c>
      <c r="R182" s="30" t="inlineStr">
        <is>
          <t>Short descriptions can under-communicate relevance and value.</t>
        </is>
      </c>
      <c r="S182" s="38">
        <f>IFERROR(HYPERLINK("#'Main'!B"&amp;MATCH(TRIM(A182),'Main'!B:B,0),"Open"),HYPERLINK("#'Main'!B1","Open"))</f>
        <v/>
      </c>
      <c r="T182" s="38">
        <f>IFERROR(HYPERLINK("#'Technical Diagnostics'!A"&amp;MATCH(A182,'Technical Diagnostics'!A:A,0),"Open"),HYPERLINK("#'Technical Diagnostics'!A1","Open"))</f>
        <v/>
      </c>
    </row>
    <row r="183" ht="60" customHeight="1">
      <c r="A183" s="35" t="inlineStr">
        <is>
          <t>https://africanmarketingconfederation.org/smoke-archive/page-32</t>
        </is>
      </c>
      <c r="B183" s="28" t="inlineStr"/>
      <c r="C183" s="28" t="inlineStr"/>
      <c r="D183" s="28" t="inlineStr">
        <is>
          <t>Basic SEO</t>
        </is>
      </c>
      <c r="E183" s="33" t="inlineStr">
        <is>
          <t>Observation</t>
        </is>
      </c>
      <c r="F183" s="28" t="inlineStr">
        <is>
          <t>No internal links found</t>
        </is>
      </c>
      <c r="G183" s="28" t="n">
        <v>37</v>
      </c>
      <c r="H183" s="28" t="n">
        <v>0</v>
      </c>
      <c r="I183" s="28" t="inlineStr">
        <is>
          <t>&gt;=2 relevant internal links</t>
        </is>
      </c>
      <c r="J183" s="28" t="inlineStr">
        <is>
          <t>Add contextual internal links from and to related pages using descriptive anchor text. (Taxonomy/Archive page: navigate via AIOSEO → Search Appearance → Taxonomies.)</t>
        </is>
      </c>
      <c r="K183" s="28" t="inlineStr">
        <is>
          <t>Links</t>
        </is>
      </c>
      <c r="L183" s="28" t="inlineStr">
        <is>
          <t>Internal Links Count</t>
        </is>
      </c>
      <c r="M183" s="28" t="inlineStr">
        <is>
          <t>No</t>
        </is>
      </c>
      <c r="N183" s="28" t="inlineStr">
        <is>
          <t>Copy Writer</t>
        </is>
      </c>
      <c r="O183" s="36" t="inlineStr">
        <is>
          <t>Open</t>
        </is>
      </c>
      <c r="P183" s="28" t="n">
        <v>4</v>
      </c>
      <c r="Q183" s="28" t="inlineStr">
        <is>
          <t>https://africanmarketingconfederation.org/smoke-archive/page-32::aioseo_no_internal_links_found</t>
        </is>
      </c>
      <c r="R183" s="28" t="inlineStr">
        <is>
          <t>Internal links help discovery, topical signals, and authority flow.</t>
        </is>
      </c>
      <c r="S183">
        <f>IFERROR(HYPERLINK("#'Main'!B"&amp;MATCH(TRIM(A183),'Main'!B:B,0),"Open"),HYPERLINK("#'Main'!B1","Open"))</f>
        <v/>
      </c>
      <c r="T183">
        <f>IFERROR(HYPERLINK("#'Technical Diagnostics'!A"&amp;MATCH(A183,'Technical Diagnostics'!A:A,0),"Open"),HYPERLINK("#'Technical Diagnostics'!A1","Open"))</f>
        <v/>
      </c>
    </row>
    <row r="184" ht="60" customHeight="1">
      <c r="A184" s="37" t="inlineStr">
        <is>
          <t>https://africanmarketingconfederation.org/smoke-archive/page-33</t>
        </is>
      </c>
      <c r="B184" s="30" t="inlineStr"/>
      <c r="C184" s="30" t="inlineStr"/>
      <c r="D184" s="30" t="inlineStr">
        <is>
          <t>Basic SEO</t>
        </is>
      </c>
      <c r="E184" s="33" t="inlineStr">
        <is>
          <t>Observation</t>
        </is>
      </c>
      <c r="F184" s="30" t="inlineStr">
        <is>
          <t>Meta description too short</t>
        </is>
      </c>
      <c r="G184" s="30" t="n">
        <v>37</v>
      </c>
      <c r="H184" s="30" t="n">
        <v>35</v>
      </c>
      <c r="I184" s="30" t="inlineStr">
        <is>
          <t>120-160 characters</t>
        </is>
      </c>
      <c r="J184" s="30" t="inlineStr">
        <is>
          <t>Expand meta description in AIOSEO to include key value points and intent terms naturally. (Taxonomy/Archive page: navigate via AIOSEO → Search Appearance → Taxonomies.)</t>
        </is>
      </c>
      <c r="K184" s="41" t="inlineStr">
        <is>
          <t>Main</t>
        </is>
      </c>
      <c r="L184" s="30" t="inlineStr">
        <is>
          <t>Meta Description</t>
        </is>
      </c>
      <c r="M184" s="30" t="inlineStr">
        <is>
          <t>No</t>
        </is>
      </c>
      <c r="N184" s="30" t="inlineStr">
        <is>
          <t>Copy Writer</t>
        </is>
      </c>
      <c r="O184" s="36" t="inlineStr">
        <is>
          <t>Open</t>
        </is>
      </c>
      <c r="P184" s="30" t="n">
        <v>4</v>
      </c>
      <c r="Q184" s="30" t="inlineStr">
        <is>
          <t>https://africanmarketingconfederation.org/smoke-archive/page-33::aioseo_meta_description_too_short</t>
        </is>
      </c>
      <c r="R184" s="30" t="inlineStr">
        <is>
          <t>Short descriptions can under-communicate relevance and value.</t>
        </is>
      </c>
      <c r="S184" s="38">
        <f>IFERROR(HYPERLINK("#'Main'!B"&amp;MATCH(TRIM(A184),'Main'!B:B,0),"Open"),HYPERLINK("#'Main'!B1","Open"))</f>
        <v/>
      </c>
      <c r="T184" s="38">
        <f>IFERROR(HYPERLINK("#'Technical Diagnostics'!A"&amp;MATCH(A184,'Technical Diagnostics'!A:A,0),"Open"),HYPERLINK("#'Technical Diagnostics'!A1","Open"))</f>
        <v/>
      </c>
    </row>
    <row r="185" ht="60" customHeight="1">
      <c r="A185" s="35" t="inlineStr">
        <is>
          <t>https://africanmarketingconfederation.org/smoke-archive/page-33</t>
        </is>
      </c>
      <c r="B185" s="28" t="inlineStr"/>
      <c r="C185" s="28" t="inlineStr"/>
      <c r="D185" s="28" t="inlineStr">
        <is>
          <t>Basic SEO</t>
        </is>
      </c>
      <c r="E185" s="33" t="inlineStr">
        <is>
          <t>Observation</t>
        </is>
      </c>
      <c r="F185" s="28" t="inlineStr">
        <is>
          <t>No internal links found</t>
        </is>
      </c>
      <c r="G185" s="28" t="n">
        <v>37</v>
      </c>
      <c r="H185" s="28" t="n">
        <v>0</v>
      </c>
      <c r="I185" s="28" t="inlineStr">
        <is>
          <t>&gt;=2 relevant internal links</t>
        </is>
      </c>
      <c r="J185" s="28" t="inlineStr">
        <is>
          <t>Add contextual internal links from and to related pages using descriptive anchor text. (Taxonomy/Archive page: navigate via AIOSEO → Search Appearance → Taxonomies.)</t>
        </is>
      </c>
      <c r="K185" s="28" t="inlineStr">
        <is>
          <t>Links</t>
        </is>
      </c>
      <c r="L185" s="28" t="inlineStr">
        <is>
          <t>Internal Links Count</t>
        </is>
      </c>
      <c r="M185" s="28" t="inlineStr">
        <is>
          <t>No</t>
        </is>
      </c>
      <c r="N185" s="28" t="inlineStr">
        <is>
          <t>Copy Writer</t>
        </is>
      </c>
      <c r="O185" s="36" t="inlineStr">
        <is>
          <t>Open</t>
        </is>
      </c>
      <c r="P185" s="28" t="n">
        <v>4</v>
      </c>
      <c r="Q185" s="28" t="inlineStr">
        <is>
          <t>https://africanmarketingconfederation.org/smoke-archive/page-33::aioseo_no_internal_links_found</t>
        </is>
      </c>
      <c r="R185" s="28" t="inlineStr">
        <is>
          <t>Internal links help discovery, topical signals, and authority flow.</t>
        </is>
      </c>
      <c r="S185">
        <f>IFERROR(HYPERLINK("#'Main'!B"&amp;MATCH(TRIM(A185),'Main'!B:B,0),"Open"),HYPERLINK("#'Main'!B1","Open"))</f>
        <v/>
      </c>
      <c r="T185">
        <f>IFERROR(HYPERLINK("#'Technical Diagnostics'!A"&amp;MATCH(A185,'Technical Diagnostics'!A:A,0),"Open"),HYPERLINK("#'Technical Diagnostics'!A1","Open"))</f>
        <v/>
      </c>
    </row>
    <row r="186" ht="60" customHeight="1">
      <c r="A186" s="37" t="inlineStr">
        <is>
          <t>https://africanmarketingconfederation.org/smoke-archive/page-34</t>
        </is>
      </c>
      <c r="B186" s="30" t="inlineStr"/>
      <c r="C186" s="30" t="inlineStr"/>
      <c r="D186" s="30" t="inlineStr">
        <is>
          <t>Basic SEO</t>
        </is>
      </c>
      <c r="E186" s="33" t="inlineStr">
        <is>
          <t>Observation</t>
        </is>
      </c>
      <c r="F186" s="30" t="inlineStr">
        <is>
          <t>Meta description too short</t>
        </is>
      </c>
      <c r="G186" s="30" t="n">
        <v>37</v>
      </c>
      <c r="H186" s="30" t="n">
        <v>35</v>
      </c>
      <c r="I186" s="30" t="inlineStr">
        <is>
          <t>120-160 characters</t>
        </is>
      </c>
      <c r="J186" s="30" t="inlineStr">
        <is>
          <t>Expand meta description in AIOSEO to include key value points and intent terms naturally. (Taxonomy/Archive page: navigate via AIOSEO → Search Appearance → Taxonomies.)</t>
        </is>
      </c>
      <c r="K186" s="41" t="inlineStr">
        <is>
          <t>Main</t>
        </is>
      </c>
      <c r="L186" s="30" t="inlineStr">
        <is>
          <t>Meta Description</t>
        </is>
      </c>
      <c r="M186" s="30" t="inlineStr">
        <is>
          <t>No</t>
        </is>
      </c>
      <c r="N186" s="30" t="inlineStr">
        <is>
          <t>Copy Writer</t>
        </is>
      </c>
      <c r="O186" s="36" t="inlineStr">
        <is>
          <t>Open</t>
        </is>
      </c>
      <c r="P186" s="30" t="n">
        <v>4</v>
      </c>
      <c r="Q186" s="30" t="inlineStr">
        <is>
          <t>https://africanmarketingconfederation.org/smoke-archive/page-34::aioseo_meta_description_too_short</t>
        </is>
      </c>
      <c r="R186" s="30" t="inlineStr">
        <is>
          <t>Short descriptions can under-communicate relevance and value.</t>
        </is>
      </c>
      <c r="S186" s="38">
        <f>IFERROR(HYPERLINK("#'Main'!B"&amp;MATCH(TRIM(A186),'Main'!B:B,0),"Open"),HYPERLINK("#'Main'!B1","Open"))</f>
        <v/>
      </c>
      <c r="T186" s="38">
        <f>IFERROR(HYPERLINK("#'Technical Diagnostics'!A"&amp;MATCH(A186,'Technical Diagnostics'!A:A,0),"Open"),HYPERLINK("#'Technical Diagnostics'!A1","Open"))</f>
        <v/>
      </c>
    </row>
    <row r="187" ht="60" customHeight="1">
      <c r="A187" s="35" t="inlineStr">
        <is>
          <t>https://africanmarketingconfederation.org/smoke-archive/page-34</t>
        </is>
      </c>
      <c r="B187" s="28" t="inlineStr"/>
      <c r="C187" s="28" t="inlineStr"/>
      <c r="D187" s="28" t="inlineStr">
        <is>
          <t>Basic SEO</t>
        </is>
      </c>
      <c r="E187" s="33" t="inlineStr">
        <is>
          <t>Observation</t>
        </is>
      </c>
      <c r="F187" s="28" t="inlineStr">
        <is>
          <t>No internal links found</t>
        </is>
      </c>
      <c r="G187" s="28" t="n">
        <v>37</v>
      </c>
      <c r="H187" s="28" t="n">
        <v>0</v>
      </c>
      <c r="I187" s="28" t="inlineStr">
        <is>
          <t>&gt;=2 relevant internal links</t>
        </is>
      </c>
      <c r="J187" s="28" t="inlineStr">
        <is>
          <t>Add contextual internal links from and to related pages using descriptive anchor text. (Taxonomy/Archive page: navigate via AIOSEO → Search Appearance → Taxonomies.)</t>
        </is>
      </c>
      <c r="K187" s="28" t="inlineStr">
        <is>
          <t>Links</t>
        </is>
      </c>
      <c r="L187" s="28" t="inlineStr">
        <is>
          <t>Internal Links Count</t>
        </is>
      </c>
      <c r="M187" s="28" t="inlineStr">
        <is>
          <t>No</t>
        </is>
      </c>
      <c r="N187" s="28" t="inlineStr">
        <is>
          <t>Copy Writer</t>
        </is>
      </c>
      <c r="O187" s="36" t="inlineStr">
        <is>
          <t>Open</t>
        </is>
      </c>
      <c r="P187" s="28" t="n">
        <v>4</v>
      </c>
      <c r="Q187" s="28" t="inlineStr">
        <is>
          <t>https://africanmarketingconfederation.org/smoke-archive/page-34::aioseo_no_internal_links_found</t>
        </is>
      </c>
      <c r="R187" s="28" t="inlineStr">
        <is>
          <t>Internal links help discovery, topical signals, and authority flow.</t>
        </is>
      </c>
      <c r="S187">
        <f>IFERROR(HYPERLINK("#'Main'!B"&amp;MATCH(TRIM(A187),'Main'!B:B,0),"Open"),HYPERLINK("#'Main'!B1","Open"))</f>
        <v/>
      </c>
      <c r="T187">
        <f>IFERROR(HYPERLINK("#'Technical Diagnostics'!A"&amp;MATCH(A187,'Technical Diagnostics'!A:A,0),"Open"),HYPERLINK("#'Technical Diagnostics'!A1","Open"))</f>
        <v/>
      </c>
    </row>
    <row r="188" ht="60" customHeight="1">
      <c r="A188" s="37" t="inlineStr">
        <is>
          <t>https://africanmarketingconfederation.org/smoke-archive/page-35</t>
        </is>
      </c>
      <c r="B188" s="30" t="inlineStr"/>
      <c r="C188" s="30" t="inlineStr"/>
      <c r="D188" s="30" t="inlineStr">
        <is>
          <t>Basic SEO</t>
        </is>
      </c>
      <c r="E188" s="33" t="inlineStr">
        <is>
          <t>Observation</t>
        </is>
      </c>
      <c r="F188" s="30" t="inlineStr">
        <is>
          <t>No internal links found</t>
        </is>
      </c>
      <c r="G188" s="30" t="n">
        <v>37</v>
      </c>
      <c r="H188" s="30" t="n">
        <v>0</v>
      </c>
      <c r="I188" s="30" t="inlineStr">
        <is>
          <t>&gt;=2 relevant internal links</t>
        </is>
      </c>
      <c r="J188" s="30" t="inlineStr">
        <is>
          <t>Add contextual internal links from and to related pages using descriptive anchor text. (Taxonomy/Archive page: navigate via AIOSEO → Search Appearance → Taxonomies.)</t>
        </is>
      </c>
      <c r="K188" s="30" t="inlineStr">
        <is>
          <t>Links</t>
        </is>
      </c>
      <c r="L188" s="30" t="inlineStr">
        <is>
          <t>Internal Links Count</t>
        </is>
      </c>
      <c r="M188" s="30" t="inlineStr">
        <is>
          <t>No</t>
        </is>
      </c>
      <c r="N188" s="30" t="inlineStr">
        <is>
          <t>Copy Writer</t>
        </is>
      </c>
      <c r="O188" s="36" t="inlineStr">
        <is>
          <t>Open</t>
        </is>
      </c>
      <c r="P188" s="30" t="n">
        <v>4</v>
      </c>
      <c r="Q188" s="30" t="inlineStr">
        <is>
          <t>https://africanmarketingconfederation.org/smoke-archive/page-35::aioseo_no_internal_links_found</t>
        </is>
      </c>
      <c r="R188" s="30" t="inlineStr">
        <is>
          <t>Internal links help discovery, topical signals, and authority flow.</t>
        </is>
      </c>
      <c r="S188" s="38">
        <f>IFERROR(HYPERLINK("#'Main'!B"&amp;MATCH(TRIM(A188),'Main'!B:B,0),"Open"),HYPERLINK("#'Main'!B1","Open"))</f>
        <v/>
      </c>
      <c r="T188" s="38">
        <f>IFERROR(HYPERLINK("#'Technical Diagnostics'!A"&amp;MATCH(A188,'Technical Diagnostics'!A:A,0),"Open"),HYPERLINK("#'Technical Diagnostics'!A1","Open"))</f>
        <v/>
      </c>
    </row>
    <row r="189" ht="60" customHeight="1">
      <c r="A189" s="35" t="inlineStr">
        <is>
          <t>https://africanmarketingconfederation.org/smoke-archive/page-36</t>
        </is>
      </c>
      <c r="B189" s="28" t="inlineStr"/>
      <c r="C189" s="28" t="inlineStr"/>
      <c r="D189" s="28" t="inlineStr">
        <is>
          <t>Basic SEO</t>
        </is>
      </c>
      <c r="E189" s="33" t="inlineStr">
        <is>
          <t>Observation</t>
        </is>
      </c>
      <c r="F189" s="28" t="inlineStr">
        <is>
          <t>Meta description too short</t>
        </is>
      </c>
      <c r="G189" s="28" t="n">
        <v>37</v>
      </c>
      <c r="H189" s="28" t="n">
        <v>35</v>
      </c>
      <c r="I189" s="28" t="inlineStr">
        <is>
          <t>120-160 characters</t>
        </is>
      </c>
      <c r="J189" s="28" t="inlineStr">
        <is>
          <t>Expand meta description in AIOSEO to include key value points and intent terms naturally. (Taxonomy/Archive page: navigate via AIOSEO → Search Appearance → Taxonomies.)</t>
        </is>
      </c>
      <c r="K189" s="39" t="inlineStr">
        <is>
          <t>Main</t>
        </is>
      </c>
      <c r="L189" s="28" t="inlineStr">
        <is>
          <t>Meta Description</t>
        </is>
      </c>
      <c r="M189" s="28" t="inlineStr">
        <is>
          <t>No</t>
        </is>
      </c>
      <c r="N189" s="28" t="inlineStr">
        <is>
          <t>Copy Writer</t>
        </is>
      </c>
      <c r="O189" s="36" t="inlineStr">
        <is>
          <t>Open</t>
        </is>
      </c>
      <c r="P189" s="28" t="n">
        <v>4</v>
      </c>
      <c r="Q189" s="28" t="inlineStr">
        <is>
          <t>https://africanmarketingconfederation.org/smoke-archive/page-36::aioseo_meta_description_too_short</t>
        </is>
      </c>
      <c r="R189" s="28" t="inlineStr">
        <is>
          <t>Short descriptions can under-communicate relevance and value.</t>
        </is>
      </c>
      <c r="S189">
        <f>IFERROR(HYPERLINK("#'Main'!B"&amp;MATCH(TRIM(A189),'Main'!B:B,0),"Open"),HYPERLINK("#'Main'!B1","Open"))</f>
        <v/>
      </c>
      <c r="T189">
        <f>IFERROR(HYPERLINK("#'Technical Diagnostics'!A"&amp;MATCH(A189,'Technical Diagnostics'!A:A,0),"Open"),HYPERLINK("#'Technical Diagnostics'!A1","Open"))</f>
        <v/>
      </c>
    </row>
    <row r="190" ht="60" customHeight="1">
      <c r="A190" s="37" t="inlineStr">
        <is>
          <t>https://africanmarketingconfederation.org/smoke-archive/page-36</t>
        </is>
      </c>
      <c r="B190" s="30" t="inlineStr"/>
      <c r="C190" s="30" t="inlineStr"/>
      <c r="D190" s="30" t="inlineStr">
        <is>
          <t>Basic SEO</t>
        </is>
      </c>
      <c r="E190" s="33" t="inlineStr">
        <is>
          <t>Observation</t>
        </is>
      </c>
      <c r="F190" s="30" t="inlineStr">
        <is>
          <t>No internal links found</t>
        </is>
      </c>
      <c r="G190" s="30" t="n">
        <v>37</v>
      </c>
      <c r="H190" s="30" t="n">
        <v>0</v>
      </c>
      <c r="I190" s="30" t="inlineStr">
        <is>
          <t>&gt;=2 relevant internal links</t>
        </is>
      </c>
      <c r="J190" s="30" t="inlineStr">
        <is>
          <t>Add contextual internal links from and to related pages using descriptive anchor text. (Taxonomy/Archive page: navigate via AIOSEO → Search Appearance → Taxonomies.)</t>
        </is>
      </c>
      <c r="K190" s="30" t="inlineStr">
        <is>
          <t>Links</t>
        </is>
      </c>
      <c r="L190" s="30" t="inlineStr">
        <is>
          <t>Internal Links Count</t>
        </is>
      </c>
      <c r="M190" s="30" t="inlineStr">
        <is>
          <t>No</t>
        </is>
      </c>
      <c r="N190" s="30" t="inlineStr">
        <is>
          <t>Copy Writer</t>
        </is>
      </c>
      <c r="O190" s="36" t="inlineStr">
        <is>
          <t>Open</t>
        </is>
      </c>
      <c r="P190" s="30" t="n">
        <v>4</v>
      </c>
      <c r="Q190" s="30" t="inlineStr">
        <is>
          <t>https://africanmarketingconfederation.org/smoke-archive/page-36::aioseo_no_internal_links_found</t>
        </is>
      </c>
      <c r="R190" s="30" t="inlineStr">
        <is>
          <t>Internal links help discovery, topical signals, and authority flow.</t>
        </is>
      </c>
      <c r="S190" s="38">
        <f>IFERROR(HYPERLINK("#'Main'!B"&amp;MATCH(TRIM(A190),'Main'!B:B,0),"Open"),HYPERLINK("#'Main'!B1","Open"))</f>
        <v/>
      </c>
      <c r="T190" s="38">
        <f>IFERROR(HYPERLINK("#'Technical Diagnostics'!A"&amp;MATCH(A190,'Technical Diagnostics'!A:A,0),"Open"),HYPERLINK("#'Technical Diagnostics'!A1","Open"))</f>
        <v/>
      </c>
    </row>
    <row r="191" ht="60" customHeight="1">
      <c r="A191" s="35" t="inlineStr">
        <is>
          <t>https://africanmarketingconfederation.org/smoke-archive/page-37</t>
        </is>
      </c>
      <c r="B191" s="28" t="inlineStr"/>
      <c r="C191" s="28" t="inlineStr"/>
      <c r="D191" s="28" t="inlineStr">
        <is>
          <t>Basic SEO</t>
        </is>
      </c>
      <c r="E191" s="33" t="inlineStr">
        <is>
          <t>Observation</t>
        </is>
      </c>
      <c r="F191" s="28" t="inlineStr">
        <is>
          <t>Meta description too short</t>
        </is>
      </c>
      <c r="G191" s="28" t="n">
        <v>37</v>
      </c>
      <c r="H191" s="28" t="n">
        <v>35</v>
      </c>
      <c r="I191" s="28" t="inlineStr">
        <is>
          <t>120-160 characters</t>
        </is>
      </c>
      <c r="J191" s="28" t="inlineStr">
        <is>
          <t>Expand meta description in AIOSEO to include key value points and intent terms naturally. (Taxonomy/Archive page: navigate via AIOSEO → Search Appearance → Taxonomies.)</t>
        </is>
      </c>
      <c r="K191" s="39" t="inlineStr">
        <is>
          <t>Main</t>
        </is>
      </c>
      <c r="L191" s="28" t="inlineStr">
        <is>
          <t>Meta Description</t>
        </is>
      </c>
      <c r="M191" s="28" t="inlineStr">
        <is>
          <t>No</t>
        </is>
      </c>
      <c r="N191" s="28" t="inlineStr">
        <is>
          <t>Copy Writer</t>
        </is>
      </c>
      <c r="O191" s="36" t="inlineStr">
        <is>
          <t>Open</t>
        </is>
      </c>
      <c r="P191" s="28" t="n">
        <v>4</v>
      </c>
      <c r="Q191" s="28" t="inlineStr">
        <is>
          <t>https://africanmarketingconfederation.org/smoke-archive/page-37::aioseo_meta_description_too_short</t>
        </is>
      </c>
      <c r="R191" s="28" t="inlineStr">
        <is>
          <t>Short descriptions can under-communicate relevance and value.</t>
        </is>
      </c>
      <c r="S191">
        <f>IFERROR(HYPERLINK("#'Main'!B"&amp;MATCH(TRIM(A191),'Main'!B:B,0),"Open"),HYPERLINK("#'Main'!B1","Open"))</f>
        <v/>
      </c>
      <c r="T191">
        <f>IFERROR(HYPERLINK("#'Technical Diagnostics'!A"&amp;MATCH(A191,'Technical Diagnostics'!A:A,0),"Open"),HYPERLINK("#'Technical Diagnostics'!A1","Open"))</f>
        <v/>
      </c>
    </row>
    <row r="192" ht="60" customHeight="1">
      <c r="A192" s="37" t="inlineStr">
        <is>
          <t>https://africanmarketingconfederation.org/smoke-archive/page-37</t>
        </is>
      </c>
      <c r="B192" s="30" t="inlineStr"/>
      <c r="C192" s="30" t="inlineStr"/>
      <c r="D192" s="30" t="inlineStr">
        <is>
          <t>Basic SEO</t>
        </is>
      </c>
      <c r="E192" s="33" t="inlineStr">
        <is>
          <t>Observation</t>
        </is>
      </c>
      <c r="F192" s="30" t="inlineStr">
        <is>
          <t>No internal links found</t>
        </is>
      </c>
      <c r="G192" s="30" t="n">
        <v>37</v>
      </c>
      <c r="H192" s="30" t="n">
        <v>0</v>
      </c>
      <c r="I192" s="30" t="inlineStr">
        <is>
          <t>&gt;=2 relevant internal links</t>
        </is>
      </c>
      <c r="J192" s="30" t="inlineStr">
        <is>
          <t>Add contextual internal links from and to related pages using descriptive anchor text. (Taxonomy/Archive page: navigate via AIOSEO → Search Appearance → Taxonomies.)</t>
        </is>
      </c>
      <c r="K192" s="30" t="inlineStr">
        <is>
          <t>Links</t>
        </is>
      </c>
      <c r="L192" s="30" t="inlineStr">
        <is>
          <t>Internal Links Count</t>
        </is>
      </c>
      <c r="M192" s="30" t="inlineStr">
        <is>
          <t>No</t>
        </is>
      </c>
      <c r="N192" s="30" t="inlineStr">
        <is>
          <t>Copy Writer</t>
        </is>
      </c>
      <c r="O192" s="36" t="inlineStr">
        <is>
          <t>Open</t>
        </is>
      </c>
      <c r="P192" s="30" t="n">
        <v>4</v>
      </c>
      <c r="Q192" s="30" t="inlineStr">
        <is>
          <t>https://africanmarketingconfederation.org/smoke-archive/page-37::aioseo_no_internal_links_found</t>
        </is>
      </c>
      <c r="R192" s="30" t="inlineStr">
        <is>
          <t>Internal links help discovery, topical signals, and authority flow.</t>
        </is>
      </c>
      <c r="S192" s="38">
        <f>IFERROR(HYPERLINK("#'Main'!B"&amp;MATCH(TRIM(A192),'Main'!B:B,0),"Open"),HYPERLINK("#'Main'!B1","Open"))</f>
        <v/>
      </c>
      <c r="T192" s="38">
        <f>IFERROR(HYPERLINK("#'Technical Diagnostics'!A"&amp;MATCH(A192,'Technical Diagnostics'!A:A,0),"Open"),HYPERLINK("#'Technical Diagnostics'!A1","Open"))</f>
        <v/>
      </c>
    </row>
    <row r="193" ht="60" customHeight="1">
      <c r="A193" s="35" t="inlineStr">
        <is>
          <t>https://africanmarketingconfederation.org/smoke-archive/page-38</t>
        </is>
      </c>
      <c r="B193" s="28" t="inlineStr"/>
      <c r="C193" s="28" t="inlineStr"/>
      <c r="D193" s="28" t="inlineStr">
        <is>
          <t>Basic SEO</t>
        </is>
      </c>
      <c r="E193" s="33" t="inlineStr">
        <is>
          <t>Observation</t>
        </is>
      </c>
      <c r="F193" s="28" t="inlineStr">
        <is>
          <t>Meta description too short</t>
        </is>
      </c>
      <c r="G193" s="28" t="n">
        <v>37</v>
      </c>
      <c r="H193" s="28" t="n">
        <v>35</v>
      </c>
      <c r="I193" s="28" t="inlineStr">
        <is>
          <t>120-160 characters</t>
        </is>
      </c>
      <c r="J193" s="28" t="inlineStr">
        <is>
          <t>Expand meta description in AIOSEO to include key value points and intent terms naturally. (Taxonomy/Archive page: navigate via AIOSEO → Search Appearance → Taxonomies.)</t>
        </is>
      </c>
      <c r="K193" s="39" t="inlineStr">
        <is>
          <t>Main</t>
        </is>
      </c>
      <c r="L193" s="28" t="inlineStr">
        <is>
          <t>Meta Description</t>
        </is>
      </c>
      <c r="M193" s="28" t="inlineStr">
        <is>
          <t>No</t>
        </is>
      </c>
      <c r="N193" s="28" t="inlineStr">
        <is>
          <t>Copy Writer</t>
        </is>
      </c>
      <c r="O193" s="36" t="inlineStr">
        <is>
          <t>Open</t>
        </is>
      </c>
      <c r="P193" s="28" t="n">
        <v>4</v>
      </c>
      <c r="Q193" s="28" t="inlineStr">
        <is>
          <t>https://africanmarketingconfederation.org/smoke-archive/page-38::aioseo_meta_description_too_short</t>
        </is>
      </c>
      <c r="R193" s="28" t="inlineStr">
        <is>
          <t>Short descriptions can under-communicate relevance and value.</t>
        </is>
      </c>
      <c r="S193">
        <f>IFERROR(HYPERLINK("#'Main'!B"&amp;MATCH(TRIM(A193),'Main'!B:B,0),"Open"),HYPERLINK("#'Main'!B1","Open"))</f>
        <v/>
      </c>
      <c r="T193">
        <f>IFERROR(HYPERLINK("#'Technical Diagnostics'!A"&amp;MATCH(A193,'Technical Diagnostics'!A:A,0),"Open"),HYPERLINK("#'Technical Diagnostics'!A1","Open"))</f>
        <v/>
      </c>
    </row>
    <row r="194" ht="60" customHeight="1">
      <c r="A194" s="37" t="inlineStr">
        <is>
          <t>https://africanmarketingconfederation.org/smoke-archive/page-38</t>
        </is>
      </c>
      <c r="B194" s="30" t="inlineStr"/>
      <c r="C194" s="30" t="inlineStr"/>
      <c r="D194" s="30" t="inlineStr">
        <is>
          <t>Basic SEO</t>
        </is>
      </c>
      <c r="E194" s="33" t="inlineStr">
        <is>
          <t>Observation</t>
        </is>
      </c>
      <c r="F194" s="30" t="inlineStr">
        <is>
          <t>No internal links found</t>
        </is>
      </c>
      <c r="G194" s="30" t="n">
        <v>37</v>
      </c>
      <c r="H194" s="30" t="n">
        <v>0</v>
      </c>
      <c r="I194" s="30" t="inlineStr">
        <is>
          <t>&gt;=2 relevant internal links</t>
        </is>
      </c>
      <c r="J194" s="30" t="inlineStr">
        <is>
          <t>Add contextual internal links from and to related pages using descriptive anchor text. (Taxonomy/Archive page: navigate via AIOSEO → Search Appearance → Taxonomies.)</t>
        </is>
      </c>
      <c r="K194" s="30" t="inlineStr">
        <is>
          <t>Links</t>
        </is>
      </c>
      <c r="L194" s="30" t="inlineStr">
        <is>
          <t>Internal Links Count</t>
        </is>
      </c>
      <c r="M194" s="30" t="inlineStr">
        <is>
          <t>No</t>
        </is>
      </c>
      <c r="N194" s="30" t="inlineStr">
        <is>
          <t>Copy Writer</t>
        </is>
      </c>
      <c r="O194" s="36" t="inlineStr">
        <is>
          <t>Open</t>
        </is>
      </c>
      <c r="P194" s="30" t="n">
        <v>4</v>
      </c>
      <c r="Q194" s="30" t="inlineStr">
        <is>
          <t>https://africanmarketingconfederation.org/smoke-archive/page-38::aioseo_no_internal_links_found</t>
        </is>
      </c>
      <c r="R194" s="30" t="inlineStr">
        <is>
          <t>Internal links help discovery, topical signals, and authority flow.</t>
        </is>
      </c>
      <c r="S194" s="38">
        <f>IFERROR(HYPERLINK("#'Main'!B"&amp;MATCH(TRIM(A194),'Main'!B:B,0),"Open"),HYPERLINK("#'Main'!B1","Open"))</f>
        <v/>
      </c>
      <c r="T194" s="38">
        <f>IFERROR(HYPERLINK("#'Technical Diagnostics'!A"&amp;MATCH(A194,'Technical Diagnostics'!A:A,0),"Open"),HYPERLINK("#'Technical Diagnostics'!A1","Open"))</f>
        <v/>
      </c>
    </row>
    <row r="195" ht="60" customHeight="1">
      <c r="A195" s="35" t="inlineStr">
        <is>
          <t>https://africanmarketingconfederation.org/smoke-archive/page-39</t>
        </is>
      </c>
      <c r="B195" s="28" t="inlineStr"/>
      <c r="C195" s="28" t="inlineStr"/>
      <c r="D195" s="28" t="inlineStr">
        <is>
          <t>Basic SEO</t>
        </is>
      </c>
      <c r="E195" s="33" t="inlineStr">
        <is>
          <t>Observation</t>
        </is>
      </c>
      <c r="F195" s="28" t="inlineStr">
        <is>
          <t>Meta description too short</t>
        </is>
      </c>
      <c r="G195" s="28" t="n">
        <v>37</v>
      </c>
      <c r="H195" s="28" t="n">
        <v>35</v>
      </c>
      <c r="I195" s="28" t="inlineStr">
        <is>
          <t>120-160 characters</t>
        </is>
      </c>
      <c r="J195" s="28" t="inlineStr">
        <is>
          <t>Expand meta description in AIOSEO to include key value points and intent terms naturally. (Taxonomy/Archive page: navigate via AIOSEO → Search Appearance → Taxonomies.)</t>
        </is>
      </c>
      <c r="K195" s="39" t="inlineStr">
        <is>
          <t>Main</t>
        </is>
      </c>
      <c r="L195" s="28" t="inlineStr">
        <is>
          <t>Meta Description</t>
        </is>
      </c>
      <c r="M195" s="28" t="inlineStr">
        <is>
          <t>No</t>
        </is>
      </c>
      <c r="N195" s="28" t="inlineStr">
        <is>
          <t>Copy Writer</t>
        </is>
      </c>
      <c r="O195" s="36" t="inlineStr">
        <is>
          <t>Open</t>
        </is>
      </c>
      <c r="P195" s="28" t="n">
        <v>4</v>
      </c>
      <c r="Q195" s="28" t="inlineStr">
        <is>
          <t>https://africanmarketingconfederation.org/smoke-archive/page-39::aioseo_meta_description_too_short</t>
        </is>
      </c>
      <c r="R195" s="28" t="inlineStr">
        <is>
          <t>Short descriptions can under-communicate relevance and value.</t>
        </is>
      </c>
      <c r="S195">
        <f>IFERROR(HYPERLINK("#'Main'!B"&amp;MATCH(TRIM(A195),'Main'!B:B,0),"Open"),HYPERLINK("#'Main'!B1","Open"))</f>
        <v/>
      </c>
      <c r="T195">
        <f>IFERROR(HYPERLINK("#'Technical Diagnostics'!A"&amp;MATCH(A195,'Technical Diagnostics'!A:A,0),"Open"),HYPERLINK("#'Technical Diagnostics'!A1","Open"))</f>
        <v/>
      </c>
    </row>
    <row r="196" ht="60" customHeight="1">
      <c r="A196" s="37" t="inlineStr">
        <is>
          <t>https://africanmarketingconfederation.org/smoke-archive/page-39</t>
        </is>
      </c>
      <c r="B196" s="30" t="inlineStr"/>
      <c r="C196" s="30" t="inlineStr"/>
      <c r="D196" s="30" t="inlineStr">
        <is>
          <t>Basic SEO</t>
        </is>
      </c>
      <c r="E196" s="33" t="inlineStr">
        <is>
          <t>Observation</t>
        </is>
      </c>
      <c r="F196" s="30" t="inlineStr">
        <is>
          <t>No internal links found</t>
        </is>
      </c>
      <c r="G196" s="30" t="n">
        <v>37</v>
      </c>
      <c r="H196" s="30" t="n">
        <v>0</v>
      </c>
      <c r="I196" s="30" t="inlineStr">
        <is>
          <t>&gt;=2 relevant internal links</t>
        </is>
      </c>
      <c r="J196" s="30" t="inlineStr">
        <is>
          <t>Add contextual internal links from and to related pages using descriptive anchor text. (Taxonomy/Archive page: navigate via AIOSEO → Search Appearance → Taxonomies.)</t>
        </is>
      </c>
      <c r="K196" s="30" t="inlineStr">
        <is>
          <t>Links</t>
        </is>
      </c>
      <c r="L196" s="30" t="inlineStr">
        <is>
          <t>Internal Links Count</t>
        </is>
      </c>
      <c r="M196" s="30" t="inlineStr">
        <is>
          <t>No</t>
        </is>
      </c>
      <c r="N196" s="30" t="inlineStr">
        <is>
          <t>Copy Writer</t>
        </is>
      </c>
      <c r="O196" s="36" t="inlineStr">
        <is>
          <t>Open</t>
        </is>
      </c>
      <c r="P196" s="30" t="n">
        <v>4</v>
      </c>
      <c r="Q196" s="30" t="inlineStr">
        <is>
          <t>https://africanmarketingconfederation.org/smoke-archive/page-39::aioseo_no_internal_links_found</t>
        </is>
      </c>
      <c r="R196" s="30" t="inlineStr">
        <is>
          <t>Internal links help discovery, topical signals, and authority flow.</t>
        </is>
      </c>
      <c r="S196" s="38">
        <f>IFERROR(HYPERLINK("#'Main'!B"&amp;MATCH(TRIM(A196),'Main'!B:B,0),"Open"),HYPERLINK("#'Main'!B1","Open"))</f>
        <v/>
      </c>
      <c r="T196" s="38">
        <f>IFERROR(HYPERLINK("#'Technical Diagnostics'!A"&amp;MATCH(A196,'Technical Diagnostics'!A:A,0),"Open"),HYPERLINK("#'Technical Diagnostics'!A1","Open"))</f>
        <v/>
      </c>
    </row>
    <row r="197" ht="60" customHeight="1">
      <c r="A197" s="35" t="inlineStr">
        <is>
          <t>https://africanmarketingconfederation.org/smoke-archive/page-4</t>
        </is>
      </c>
      <c r="B197" s="28" t="inlineStr"/>
      <c r="C197" s="28" t="inlineStr"/>
      <c r="D197" s="28" t="inlineStr">
        <is>
          <t>Basic SEO</t>
        </is>
      </c>
      <c r="E197" s="33" t="inlineStr">
        <is>
          <t>Observation</t>
        </is>
      </c>
      <c r="F197" s="28" t="inlineStr">
        <is>
          <t>Meta description too short</t>
        </is>
      </c>
      <c r="G197" s="28" t="n">
        <v>37</v>
      </c>
      <c r="H197" s="28" t="n">
        <v>34</v>
      </c>
      <c r="I197" s="28" t="inlineStr">
        <is>
          <t>120-160 characters</t>
        </is>
      </c>
      <c r="J197" s="28" t="inlineStr">
        <is>
          <t>Expand meta description in AIOSEO to include key value points and intent terms naturally. (Taxonomy/Archive page: navigate via AIOSEO → Search Appearance → Taxonomies.)</t>
        </is>
      </c>
      <c r="K197" s="39" t="inlineStr">
        <is>
          <t>Main</t>
        </is>
      </c>
      <c r="L197" s="28" t="inlineStr">
        <is>
          <t>Meta Description</t>
        </is>
      </c>
      <c r="M197" s="28" t="inlineStr">
        <is>
          <t>No</t>
        </is>
      </c>
      <c r="N197" s="28" t="inlineStr">
        <is>
          <t>Copy Writer</t>
        </is>
      </c>
      <c r="O197" s="36" t="inlineStr">
        <is>
          <t>Open</t>
        </is>
      </c>
      <c r="P197" s="28" t="n">
        <v>4</v>
      </c>
      <c r="Q197" s="28" t="inlineStr">
        <is>
          <t>https://africanmarketingconfederation.org/smoke-archive/page-4::aioseo_meta_description_too_short</t>
        </is>
      </c>
      <c r="R197" s="28" t="inlineStr">
        <is>
          <t>Short descriptions can under-communicate relevance and value.</t>
        </is>
      </c>
      <c r="S197">
        <f>IFERROR(HYPERLINK("#'Main'!B"&amp;MATCH(TRIM(A197),'Main'!B:B,0),"Open"),HYPERLINK("#'Main'!B1","Open"))</f>
        <v/>
      </c>
      <c r="T197">
        <f>IFERROR(HYPERLINK("#'Technical Diagnostics'!A"&amp;MATCH(A197,'Technical Diagnostics'!A:A,0),"Open"),HYPERLINK("#'Technical Diagnostics'!A1","Open"))</f>
        <v/>
      </c>
    </row>
    <row r="198" ht="60" customHeight="1">
      <c r="A198" s="37" t="inlineStr">
        <is>
          <t>https://africanmarketingconfederation.org/smoke-archive/page-4</t>
        </is>
      </c>
      <c r="B198" s="30" t="inlineStr"/>
      <c r="C198" s="30" t="inlineStr"/>
      <c r="D198" s="30" t="inlineStr">
        <is>
          <t>Basic SEO</t>
        </is>
      </c>
      <c r="E198" s="33" t="inlineStr">
        <is>
          <t>Observation</t>
        </is>
      </c>
      <c r="F198" s="30" t="inlineStr">
        <is>
          <t>No internal links found</t>
        </is>
      </c>
      <c r="G198" s="30" t="n">
        <v>37</v>
      </c>
      <c r="H198" s="30" t="n">
        <v>0</v>
      </c>
      <c r="I198" s="30" t="inlineStr">
        <is>
          <t>&gt;=2 relevant internal links</t>
        </is>
      </c>
      <c r="J198" s="30" t="inlineStr">
        <is>
          <t>Add contextual internal links from and to related pages using descriptive anchor text. (Taxonomy/Archive page: navigate via AIOSEO → Search Appearance → Taxonomies.)</t>
        </is>
      </c>
      <c r="K198" s="30" t="inlineStr">
        <is>
          <t>Links</t>
        </is>
      </c>
      <c r="L198" s="30" t="inlineStr">
        <is>
          <t>Internal Links Count</t>
        </is>
      </c>
      <c r="M198" s="30" t="inlineStr">
        <is>
          <t>No</t>
        </is>
      </c>
      <c r="N198" s="30" t="inlineStr">
        <is>
          <t>Copy Writer</t>
        </is>
      </c>
      <c r="O198" s="36" t="inlineStr">
        <is>
          <t>Open</t>
        </is>
      </c>
      <c r="P198" s="30" t="n">
        <v>4</v>
      </c>
      <c r="Q198" s="30" t="inlineStr">
        <is>
          <t>https://africanmarketingconfederation.org/smoke-archive/page-4::aioseo_no_internal_links_found</t>
        </is>
      </c>
      <c r="R198" s="30" t="inlineStr">
        <is>
          <t>Internal links help discovery, topical signals, and authority flow.</t>
        </is>
      </c>
      <c r="S198" s="38">
        <f>IFERROR(HYPERLINK("#'Main'!B"&amp;MATCH(TRIM(A198),'Main'!B:B,0),"Open"),HYPERLINK("#'Main'!B1","Open"))</f>
        <v/>
      </c>
      <c r="T198" s="38">
        <f>IFERROR(HYPERLINK("#'Technical Diagnostics'!A"&amp;MATCH(A198,'Technical Diagnostics'!A:A,0),"Open"),HYPERLINK("#'Technical Diagnostics'!A1","Open"))</f>
        <v/>
      </c>
    </row>
    <row r="199" ht="60" customHeight="1">
      <c r="A199" s="35" t="inlineStr">
        <is>
          <t>https://africanmarketingconfederation.org/smoke-archive/page-40</t>
        </is>
      </c>
      <c r="B199" s="28" t="inlineStr"/>
      <c r="C199" s="28" t="inlineStr"/>
      <c r="D199" s="28" t="inlineStr">
        <is>
          <t>Basic SEO</t>
        </is>
      </c>
      <c r="E199" s="33" t="inlineStr">
        <is>
          <t>Observation</t>
        </is>
      </c>
      <c r="F199" s="28" t="inlineStr">
        <is>
          <t>No internal links found</t>
        </is>
      </c>
      <c r="G199" s="28" t="n">
        <v>37</v>
      </c>
      <c r="H199" s="28" t="n">
        <v>0</v>
      </c>
      <c r="I199" s="28" t="inlineStr">
        <is>
          <t>&gt;=2 relevant internal links</t>
        </is>
      </c>
      <c r="J199" s="28" t="inlineStr">
        <is>
          <t>Add contextual internal links from and to related pages using descriptive anchor text. (Taxonomy/Archive page: navigate via AIOSEO → Search Appearance → Taxonomies.)</t>
        </is>
      </c>
      <c r="K199" s="28" t="inlineStr">
        <is>
          <t>Links</t>
        </is>
      </c>
      <c r="L199" s="28" t="inlineStr">
        <is>
          <t>Internal Links Count</t>
        </is>
      </c>
      <c r="M199" s="28" t="inlineStr">
        <is>
          <t>No</t>
        </is>
      </c>
      <c r="N199" s="28" t="inlineStr">
        <is>
          <t>Copy Writer</t>
        </is>
      </c>
      <c r="O199" s="36" t="inlineStr">
        <is>
          <t>Open</t>
        </is>
      </c>
      <c r="P199" s="28" t="n">
        <v>4</v>
      </c>
      <c r="Q199" s="28" t="inlineStr">
        <is>
          <t>https://africanmarketingconfederation.org/smoke-archive/page-40::aioseo_no_internal_links_found</t>
        </is>
      </c>
      <c r="R199" s="28" t="inlineStr">
        <is>
          <t>Internal links help discovery, topical signals, and authority flow.</t>
        </is>
      </c>
      <c r="S199">
        <f>IFERROR(HYPERLINK("#'Main'!B"&amp;MATCH(TRIM(A199),'Main'!B:B,0),"Open"),HYPERLINK("#'Main'!B1","Open"))</f>
        <v/>
      </c>
      <c r="T199">
        <f>IFERROR(HYPERLINK("#'Technical Diagnostics'!A"&amp;MATCH(A199,'Technical Diagnostics'!A:A,0),"Open"),HYPERLINK("#'Technical Diagnostics'!A1","Open"))</f>
        <v/>
      </c>
    </row>
    <row r="200" ht="60" customHeight="1">
      <c r="A200" s="37" t="inlineStr">
        <is>
          <t>https://africanmarketingconfederation.org/smoke-archive/page-41</t>
        </is>
      </c>
      <c r="B200" s="30" t="inlineStr"/>
      <c r="C200" s="30" t="inlineStr"/>
      <c r="D200" s="30" t="inlineStr">
        <is>
          <t>Basic SEO</t>
        </is>
      </c>
      <c r="E200" s="33" t="inlineStr">
        <is>
          <t>Observation</t>
        </is>
      </c>
      <c r="F200" s="30" t="inlineStr">
        <is>
          <t>Meta description too short</t>
        </is>
      </c>
      <c r="G200" s="30" t="n">
        <v>37</v>
      </c>
      <c r="H200" s="30" t="n">
        <v>35</v>
      </c>
      <c r="I200" s="30" t="inlineStr">
        <is>
          <t>120-160 characters</t>
        </is>
      </c>
      <c r="J200" s="30" t="inlineStr">
        <is>
          <t>Expand meta description in AIOSEO to include key value points and intent terms naturally. (Taxonomy/Archive page: navigate via AIOSEO → Search Appearance → Taxonomies.)</t>
        </is>
      </c>
      <c r="K200" s="41" t="inlineStr">
        <is>
          <t>Main</t>
        </is>
      </c>
      <c r="L200" s="30" t="inlineStr">
        <is>
          <t>Meta Description</t>
        </is>
      </c>
      <c r="M200" s="30" t="inlineStr">
        <is>
          <t>No</t>
        </is>
      </c>
      <c r="N200" s="30" t="inlineStr">
        <is>
          <t>Copy Writer</t>
        </is>
      </c>
      <c r="O200" s="36" t="inlineStr">
        <is>
          <t>Open</t>
        </is>
      </c>
      <c r="P200" s="30" t="n">
        <v>4</v>
      </c>
      <c r="Q200" s="30" t="inlineStr">
        <is>
          <t>https://africanmarketingconfederation.org/smoke-archive/page-41::aioseo_meta_description_too_short</t>
        </is>
      </c>
      <c r="R200" s="30" t="inlineStr">
        <is>
          <t>Short descriptions can under-communicate relevance and value.</t>
        </is>
      </c>
      <c r="S200" s="38">
        <f>IFERROR(HYPERLINK("#'Main'!B"&amp;MATCH(TRIM(A200),'Main'!B:B,0),"Open"),HYPERLINK("#'Main'!B1","Open"))</f>
        <v/>
      </c>
      <c r="T200" s="38">
        <f>IFERROR(HYPERLINK("#'Technical Diagnostics'!A"&amp;MATCH(A200,'Technical Diagnostics'!A:A,0),"Open"),HYPERLINK("#'Technical Diagnostics'!A1","Open"))</f>
        <v/>
      </c>
    </row>
    <row r="201" ht="60" customHeight="1">
      <c r="A201" s="35" t="inlineStr">
        <is>
          <t>https://africanmarketingconfederation.org/smoke-archive/page-41</t>
        </is>
      </c>
      <c r="B201" s="28" t="inlineStr"/>
      <c r="C201" s="28" t="inlineStr"/>
      <c r="D201" s="28" t="inlineStr">
        <is>
          <t>Basic SEO</t>
        </is>
      </c>
      <c r="E201" s="33" t="inlineStr">
        <is>
          <t>Observation</t>
        </is>
      </c>
      <c r="F201" s="28" t="inlineStr">
        <is>
          <t>No internal links found</t>
        </is>
      </c>
      <c r="G201" s="28" t="n">
        <v>37</v>
      </c>
      <c r="H201" s="28" t="n">
        <v>0</v>
      </c>
      <c r="I201" s="28" t="inlineStr">
        <is>
          <t>&gt;=2 relevant internal links</t>
        </is>
      </c>
      <c r="J201" s="28" t="inlineStr">
        <is>
          <t>Add contextual internal links from and to related pages using descriptive anchor text. (Taxonomy/Archive page: navigate via AIOSEO → Search Appearance → Taxonomies.)</t>
        </is>
      </c>
      <c r="K201" s="28" t="inlineStr">
        <is>
          <t>Links</t>
        </is>
      </c>
      <c r="L201" s="28" t="inlineStr">
        <is>
          <t>Internal Links Count</t>
        </is>
      </c>
      <c r="M201" s="28" t="inlineStr">
        <is>
          <t>No</t>
        </is>
      </c>
      <c r="N201" s="28" t="inlineStr">
        <is>
          <t>Copy Writer</t>
        </is>
      </c>
      <c r="O201" s="36" t="inlineStr">
        <is>
          <t>Open</t>
        </is>
      </c>
      <c r="P201" s="28" t="n">
        <v>4</v>
      </c>
      <c r="Q201" s="28" t="inlineStr">
        <is>
          <t>https://africanmarketingconfederation.org/smoke-archive/page-41::aioseo_no_internal_links_found</t>
        </is>
      </c>
      <c r="R201" s="28" t="inlineStr">
        <is>
          <t>Internal links help discovery, topical signals, and authority flow.</t>
        </is>
      </c>
      <c r="S201">
        <f>IFERROR(HYPERLINK("#'Main'!B"&amp;MATCH(TRIM(A201),'Main'!B:B,0),"Open"),HYPERLINK("#'Main'!B1","Open"))</f>
        <v/>
      </c>
      <c r="T201">
        <f>IFERROR(HYPERLINK("#'Technical Diagnostics'!A"&amp;MATCH(A201,'Technical Diagnostics'!A:A,0),"Open"),HYPERLINK("#'Technical Diagnostics'!A1","Open"))</f>
        <v/>
      </c>
    </row>
    <row r="202" ht="60" customHeight="1">
      <c r="A202" s="37" t="inlineStr">
        <is>
          <t>https://africanmarketingconfederation.org/smoke-archive/page-42</t>
        </is>
      </c>
      <c r="B202" s="30" t="inlineStr"/>
      <c r="C202" s="30" t="inlineStr"/>
      <c r="D202" s="30" t="inlineStr">
        <is>
          <t>Basic SEO</t>
        </is>
      </c>
      <c r="E202" s="33" t="inlineStr">
        <is>
          <t>Observation</t>
        </is>
      </c>
      <c r="F202" s="30" t="inlineStr">
        <is>
          <t>Meta description too short</t>
        </is>
      </c>
      <c r="G202" s="30" t="n">
        <v>37</v>
      </c>
      <c r="H202" s="30" t="n">
        <v>35</v>
      </c>
      <c r="I202" s="30" t="inlineStr">
        <is>
          <t>120-160 characters</t>
        </is>
      </c>
      <c r="J202" s="30" t="inlineStr">
        <is>
          <t>Expand meta description in AIOSEO to include key value points and intent terms naturally. (Taxonomy/Archive page: navigate via AIOSEO → Search Appearance → Taxonomies.)</t>
        </is>
      </c>
      <c r="K202" s="41" t="inlineStr">
        <is>
          <t>Main</t>
        </is>
      </c>
      <c r="L202" s="30" t="inlineStr">
        <is>
          <t>Meta Description</t>
        </is>
      </c>
      <c r="M202" s="30" t="inlineStr">
        <is>
          <t>No</t>
        </is>
      </c>
      <c r="N202" s="30" t="inlineStr">
        <is>
          <t>Copy Writer</t>
        </is>
      </c>
      <c r="O202" s="36" t="inlineStr">
        <is>
          <t>Open</t>
        </is>
      </c>
      <c r="P202" s="30" t="n">
        <v>4</v>
      </c>
      <c r="Q202" s="30" t="inlineStr">
        <is>
          <t>https://africanmarketingconfederation.org/smoke-archive/page-42::aioseo_meta_description_too_short</t>
        </is>
      </c>
      <c r="R202" s="30" t="inlineStr">
        <is>
          <t>Short descriptions can under-communicate relevance and value.</t>
        </is>
      </c>
      <c r="S202" s="38">
        <f>IFERROR(HYPERLINK("#'Main'!B"&amp;MATCH(TRIM(A202),'Main'!B:B,0),"Open"),HYPERLINK("#'Main'!B1","Open"))</f>
        <v/>
      </c>
      <c r="T202" s="38">
        <f>IFERROR(HYPERLINK("#'Technical Diagnostics'!A"&amp;MATCH(A202,'Technical Diagnostics'!A:A,0),"Open"),HYPERLINK("#'Technical Diagnostics'!A1","Open"))</f>
        <v/>
      </c>
    </row>
    <row r="203" ht="60" customHeight="1">
      <c r="A203" s="35" t="inlineStr">
        <is>
          <t>https://africanmarketingconfederation.org/smoke-archive/page-42</t>
        </is>
      </c>
      <c r="B203" s="28" t="inlineStr"/>
      <c r="C203" s="28" t="inlineStr"/>
      <c r="D203" s="28" t="inlineStr">
        <is>
          <t>Basic SEO</t>
        </is>
      </c>
      <c r="E203" s="33" t="inlineStr">
        <is>
          <t>Observation</t>
        </is>
      </c>
      <c r="F203" s="28" t="inlineStr">
        <is>
          <t>No internal links found</t>
        </is>
      </c>
      <c r="G203" s="28" t="n">
        <v>37</v>
      </c>
      <c r="H203" s="28" t="n">
        <v>0</v>
      </c>
      <c r="I203" s="28" t="inlineStr">
        <is>
          <t>&gt;=2 relevant internal links</t>
        </is>
      </c>
      <c r="J203" s="28" t="inlineStr">
        <is>
          <t>Add contextual internal links from and to related pages using descriptive anchor text. (Taxonomy/Archive page: navigate via AIOSEO → Search Appearance → Taxonomies.)</t>
        </is>
      </c>
      <c r="K203" s="28" t="inlineStr">
        <is>
          <t>Links</t>
        </is>
      </c>
      <c r="L203" s="28" t="inlineStr">
        <is>
          <t>Internal Links Count</t>
        </is>
      </c>
      <c r="M203" s="28" t="inlineStr">
        <is>
          <t>No</t>
        </is>
      </c>
      <c r="N203" s="28" t="inlineStr">
        <is>
          <t>Copy Writer</t>
        </is>
      </c>
      <c r="O203" s="36" t="inlineStr">
        <is>
          <t>Open</t>
        </is>
      </c>
      <c r="P203" s="28" t="n">
        <v>4</v>
      </c>
      <c r="Q203" s="28" t="inlineStr">
        <is>
          <t>https://africanmarketingconfederation.org/smoke-archive/page-42::aioseo_no_internal_links_found</t>
        </is>
      </c>
      <c r="R203" s="28" t="inlineStr">
        <is>
          <t>Internal links help discovery, topical signals, and authority flow.</t>
        </is>
      </c>
      <c r="S203">
        <f>IFERROR(HYPERLINK("#'Main'!B"&amp;MATCH(TRIM(A203),'Main'!B:B,0),"Open"),HYPERLINK("#'Main'!B1","Open"))</f>
        <v/>
      </c>
      <c r="T203">
        <f>IFERROR(HYPERLINK("#'Technical Diagnostics'!A"&amp;MATCH(A203,'Technical Diagnostics'!A:A,0),"Open"),HYPERLINK("#'Technical Diagnostics'!A1","Open"))</f>
        <v/>
      </c>
    </row>
    <row r="204" ht="60" customHeight="1">
      <c r="A204" s="37" t="inlineStr">
        <is>
          <t>https://africanmarketingconfederation.org/smoke-archive/page-43</t>
        </is>
      </c>
      <c r="B204" s="30" t="inlineStr"/>
      <c r="C204" s="30" t="inlineStr"/>
      <c r="D204" s="30" t="inlineStr">
        <is>
          <t>Basic SEO</t>
        </is>
      </c>
      <c r="E204" s="33" t="inlineStr">
        <is>
          <t>Observation</t>
        </is>
      </c>
      <c r="F204" s="30" t="inlineStr">
        <is>
          <t>Meta description too short</t>
        </is>
      </c>
      <c r="G204" s="30" t="n">
        <v>37</v>
      </c>
      <c r="H204" s="30" t="n">
        <v>35</v>
      </c>
      <c r="I204" s="30" t="inlineStr">
        <is>
          <t>120-160 characters</t>
        </is>
      </c>
      <c r="J204" s="30" t="inlineStr">
        <is>
          <t>Expand meta description in AIOSEO to include key value points and intent terms naturally. (Taxonomy/Archive page: navigate via AIOSEO → Search Appearance → Taxonomies.)</t>
        </is>
      </c>
      <c r="K204" s="41" t="inlineStr">
        <is>
          <t>Main</t>
        </is>
      </c>
      <c r="L204" s="30" t="inlineStr">
        <is>
          <t>Meta Description</t>
        </is>
      </c>
      <c r="M204" s="30" t="inlineStr">
        <is>
          <t>No</t>
        </is>
      </c>
      <c r="N204" s="30" t="inlineStr">
        <is>
          <t>Copy Writer</t>
        </is>
      </c>
      <c r="O204" s="36" t="inlineStr">
        <is>
          <t>Open</t>
        </is>
      </c>
      <c r="P204" s="30" t="n">
        <v>4</v>
      </c>
      <c r="Q204" s="30" t="inlineStr">
        <is>
          <t>https://africanmarketingconfederation.org/smoke-archive/page-43::aioseo_meta_description_too_short</t>
        </is>
      </c>
      <c r="R204" s="30" t="inlineStr">
        <is>
          <t>Short descriptions can under-communicate relevance and value.</t>
        </is>
      </c>
      <c r="S204" s="38">
        <f>IFERROR(HYPERLINK("#'Main'!B"&amp;MATCH(TRIM(A204),'Main'!B:B,0),"Open"),HYPERLINK("#'Main'!B1","Open"))</f>
        <v/>
      </c>
      <c r="T204" s="38">
        <f>IFERROR(HYPERLINK("#'Technical Diagnostics'!A"&amp;MATCH(A204,'Technical Diagnostics'!A:A,0),"Open"),HYPERLINK("#'Technical Diagnostics'!A1","Open"))</f>
        <v/>
      </c>
    </row>
    <row r="205" ht="60" customHeight="1">
      <c r="A205" s="35" t="inlineStr">
        <is>
          <t>https://africanmarketingconfederation.org/smoke-archive/page-43</t>
        </is>
      </c>
      <c r="B205" s="28" t="inlineStr"/>
      <c r="C205" s="28" t="inlineStr"/>
      <c r="D205" s="28" t="inlineStr">
        <is>
          <t>Basic SEO</t>
        </is>
      </c>
      <c r="E205" s="33" t="inlineStr">
        <is>
          <t>Observation</t>
        </is>
      </c>
      <c r="F205" s="28" t="inlineStr">
        <is>
          <t>No internal links found</t>
        </is>
      </c>
      <c r="G205" s="28" t="n">
        <v>37</v>
      </c>
      <c r="H205" s="28" t="n">
        <v>0</v>
      </c>
      <c r="I205" s="28" t="inlineStr">
        <is>
          <t>&gt;=2 relevant internal links</t>
        </is>
      </c>
      <c r="J205" s="28" t="inlineStr">
        <is>
          <t>Add contextual internal links from and to related pages using descriptive anchor text. (Taxonomy/Archive page: navigate via AIOSEO → Search Appearance → Taxonomies.)</t>
        </is>
      </c>
      <c r="K205" s="28" t="inlineStr">
        <is>
          <t>Links</t>
        </is>
      </c>
      <c r="L205" s="28" t="inlineStr">
        <is>
          <t>Internal Links Count</t>
        </is>
      </c>
      <c r="M205" s="28" t="inlineStr">
        <is>
          <t>No</t>
        </is>
      </c>
      <c r="N205" s="28" t="inlineStr">
        <is>
          <t>Copy Writer</t>
        </is>
      </c>
      <c r="O205" s="36" t="inlineStr">
        <is>
          <t>Open</t>
        </is>
      </c>
      <c r="P205" s="28" t="n">
        <v>4</v>
      </c>
      <c r="Q205" s="28" t="inlineStr">
        <is>
          <t>https://africanmarketingconfederation.org/smoke-archive/page-43::aioseo_no_internal_links_found</t>
        </is>
      </c>
      <c r="R205" s="28" t="inlineStr">
        <is>
          <t>Internal links help discovery, topical signals, and authority flow.</t>
        </is>
      </c>
      <c r="S205">
        <f>IFERROR(HYPERLINK("#'Main'!B"&amp;MATCH(TRIM(A205),'Main'!B:B,0),"Open"),HYPERLINK("#'Main'!B1","Open"))</f>
        <v/>
      </c>
      <c r="T205">
        <f>IFERROR(HYPERLINK("#'Technical Diagnostics'!A"&amp;MATCH(A205,'Technical Diagnostics'!A:A,0),"Open"),HYPERLINK("#'Technical Diagnostics'!A1","Open"))</f>
        <v/>
      </c>
    </row>
    <row r="206" ht="60" customHeight="1">
      <c r="A206" s="37" t="inlineStr">
        <is>
          <t>https://africanmarketingconfederation.org/smoke-archive/page-44</t>
        </is>
      </c>
      <c r="B206" s="30" t="inlineStr"/>
      <c r="C206" s="30" t="inlineStr"/>
      <c r="D206" s="30" t="inlineStr">
        <is>
          <t>Basic SEO</t>
        </is>
      </c>
      <c r="E206" s="33" t="inlineStr">
        <is>
          <t>Observation</t>
        </is>
      </c>
      <c r="F206" s="30" t="inlineStr">
        <is>
          <t>Meta description too short</t>
        </is>
      </c>
      <c r="G206" s="30" t="n">
        <v>37</v>
      </c>
      <c r="H206" s="30" t="n">
        <v>35</v>
      </c>
      <c r="I206" s="30" t="inlineStr">
        <is>
          <t>120-160 characters</t>
        </is>
      </c>
      <c r="J206" s="30" t="inlineStr">
        <is>
          <t>Expand meta description in AIOSEO to include key value points and intent terms naturally. (Taxonomy/Archive page: navigate via AIOSEO → Search Appearance → Taxonomies.)</t>
        </is>
      </c>
      <c r="K206" s="41" t="inlineStr">
        <is>
          <t>Main</t>
        </is>
      </c>
      <c r="L206" s="30" t="inlineStr">
        <is>
          <t>Meta Description</t>
        </is>
      </c>
      <c r="M206" s="30" t="inlineStr">
        <is>
          <t>No</t>
        </is>
      </c>
      <c r="N206" s="30" t="inlineStr">
        <is>
          <t>Copy Writer</t>
        </is>
      </c>
      <c r="O206" s="36" t="inlineStr">
        <is>
          <t>Open</t>
        </is>
      </c>
      <c r="P206" s="30" t="n">
        <v>4</v>
      </c>
      <c r="Q206" s="30" t="inlineStr">
        <is>
          <t>https://africanmarketingconfederation.org/smoke-archive/page-44::aioseo_meta_description_too_short</t>
        </is>
      </c>
      <c r="R206" s="30" t="inlineStr">
        <is>
          <t>Short descriptions can under-communicate relevance and value.</t>
        </is>
      </c>
      <c r="S206" s="38">
        <f>IFERROR(HYPERLINK("#'Main'!B"&amp;MATCH(TRIM(A206),'Main'!B:B,0),"Open"),HYPERLINK("#'Main'!B1","Open"))</f>
        <v/>
      </c>
      <c r="T206" s="38">
        <f>IFERROR(HYPERLINK("#'Technical Diagnostics'!A"&amp;MATCH(A206,'Technical Diagnostics'!A:A,0),"Open"),HYPERLINK("#'Technical Diagnostics'!A1","Open"))</f>
        <v/>
      </c>
    </row>
    <row r="207" ht="60" customHeight="1">
      <c r="A207" s="35" t="inlineStr">
        <is>
          <t>https://africanmarketingconfederation.org/smoke-archive/page-44</t>
        </is>
      </c>
      <c r="B207" s="28" t="inlineStr"/>
      <c r="C207" s="28" t="inlineStr"/>
      <c r="D207" s="28" t="inlineStr">
        <is>
          <t>Basic SEO</t>
        </is>
      </c>
      <c r="E207" s="33" t="inlineStr">
        <is>
          <t>Observation</t>
        </is>
      </c>
      <c r="F207" s="28" t="inlineStr">
        <is>
          <t>No internal links found</t>
        </is>
      </c>
      <c r="G207" s="28" t="n">
        <v>37</v>
      </c>
      <c r="H207" s="28" t="n">
        <v>0</v>
      </c>
      <c r="I207" s="28" t="inlineStr">
        <is>
          <t>&gt;=2 relevant internal links</t>
        </is>
      </c>
      <c r="J207" s="28" t="inlineStr">
        <is>
          <t>Add contextual internal links from and to related pages using descriptive anchor text. (Taxonomy/Archive page: navigate via AIOSEO → Search Appearance → Taxonomies.)</t>
        </is>
      </c>
      <c r="K207" s="28" t="inlineStr">
        <is>
          <t>Links</t>
        </is>
      </c>
      <c r="L207" s="28" t="inlineStr">
        <is>
          <t>Internal Links Count</t>
        </is>
      </c>
      <c r="M207" s="28" t="inlineStr">
        <is>
          <t>No</t>
        </is>
      </c>
      <c r="N207" s="28" t="inlineStr">
        <is>
          <t>Copy Writer</t>
        </is>
      </c>
      <c r="O207" s="36" t="inlineStr">
        <is>
          <t>Open</t>
        </is>
      </c>
      <c r="P207" s="28" t="n">
        <v>4</v>
      </c>
      <c r="Q207" s="28" t="inlineStr">
        <is>
          <t>https://africanmarketingconfederation.org/smoke-archive/page-44::aioseo_no_internal_links_found</t>
        </is>
      </c>
      <c r="R207" s="28" t="inlineStr">
        <is>
          <t>Internal links help discovery, topical signals, and authority flow.</t>
        </is>
      </c>
      <c r="S207">
        <f>IFERROR(HYPERLINK("#'Main'!B"&amp;MATCH(TRIM(A207),'Main'!B:B,0),"Open"),HYPERLINK("#'Main'!B1","Open"))</f>
        <v/>
      </c>
      <c r="T207">
        <f>IFERROR(HYPERLINK("#'Technical Diagnostics'!A"&amp;MATCH(A207,'Technical Diagnostics'!A:A,0),"Open"),HYPERLINK("#'Technical Diagnostics'!A1","Open"))</f>
        <v/>
      </c>
    </row>
    <row r="208" ht="60" customHeight="1">
      <c r="A208" s="37" t="inlineStr">
        <is>
          <t>https://africanmarketingconfederation.org/smoke-archive/page-45</t>
        </is>
      </c>
      <c r="B208" s="30" t="inlineStr"/>
      <c r="C208" s="30" t="inlineStr"/>
      <c r="D208" s="30" t="inlineStr">
        <is>
          <t>Basic SEO</t>
        </is>
      </c>
      <c r="E208" s="33" t="inlineStr">
        <is>
          <t>Observation</t>
        </is>
      </c>
      <c r="F208" s="30" t="inlineStr">
        <is>
          <t>No internal links found</t>
        </is>
      </c>
      <c r="G208" s="30" t="n">
        <v>37</v>
      </c>
      <c r="H208" s="30" t="n">
        <v>0</v>
      </c>
      <c r="I208" s="30" t="inlineStr">
        <is>
          <t>&gt;=2 relevant internal links</t>
        </is>
      </c>
      <c r="J208" s="30" t="inlineStr">
        <is>
          <t>Add contextual internal links from and to related pages using descriptive anchor text. (Taxonomy/Archive page: navigate via AIOSEO → Search Appearance → Taxonomies.)</t>
        </is>
      </c>
      <c r="K208" s="30" t="inlineStr">
        <is>
          <t>Links</t>
        </is>
      </c>
      <c r="L208" s="30" t="inlineStr">
        <is>
          <t>Internal Links Count</t>
        </is>
      </c>
      <c r="M208" s="30" t="inlineStr">
        <is>
          <t>No</t>
        </is>
      </c>
      <c r="N208" s="30" t="inlineStr">
        <is>
          <t>Copy Writer</t>
        </is>
      </c>
      <c r="O208" s="36" t="inlineStr">
        <is>
          <t>Open</t>
        </is>
      </c>
      <c r="P208" s="30" t="n">
        <v>4</v>
      </c>
      <c r="Q208" s="30" t="inlineStr">
        <is>
          <t>https://africanmarketingconfederation.org/smoke-archive/page-45::aioseo_no_internal_links_found</t>
        </is>
      </c>
      <c r="R208" s="30" t="inlineStr">
        <is>
          <t>Internal links help discovery, topical signals, and authority flow.</t>
        </is>
      </c>
      <c r="S208" s="38">
        <f>IFERROR(HYPERLINK("#'Main'!B"&amp;MATCH(TRIM(A208),'Main'!B:B,0),"Open"),HYPERLINK("#'Main'!B1","Open"))</f>
        <v/>
      </c>
      <c r="T208" s="38">
        <f>IFERROR(HYPERLINK("#'Technical Diagnostics'!A"&amp;MATCH(A208,'Technical Diagnostics'!A:A,0),"Open"),HYPERLINK("#'Technical Diagnostics'!A1","Open"))</f>
        <v/>
      </c>
    </row>
    <row r="209" ht="60" customHeight="1">
      <c r="A209" s="35" t="inlineStr">
        <is>
          <t>https://africanmarketingconfederation.org/smoke-archive/page-46</t>
        </is>
      </c>
      <c r="B209" s="28" t="inlineStr"/>
      <c r="C209" s="28" t="inlineStr"/>
      <c r="D209" s="28" t="inlineStr">
        <is>
          <t>Basic SEO</t>
        </is>
      </c>
      <c r="E209" s="33" t="inlineStr">
        <is>
          <t>Observation</t>
        </is>
      </c>
      <c r="F209" s="28" t="inlineStr">
        <is>
          <t>Meta description too short</t>
        </is>
      </c>
      <c r="G209" s="28" t="n">
        <v>37</v>
      </c>
      <c r="H209" s="28" t="n">
        <v>35</v>
      </c>
      <c r="I209" s="28" t="inlineStr">
        <is>
          <t>120-160 characters</t>
        </is>
      </c>
      <c r="J209" s="28" t="inlineStr">
        <is>
          <t>Expand meta description in AIOSEO to include key value points and intent terms naturally. (Taxonomy/Archive page: navigate via AIOSEO → Search Appearance → Taxonomies.)</t>
        </is>
      </c>
      <c r="K209" s="39" t="inlineStr">
        <is>
          <t>Main</t>
        </is>
      </c>
      <c r="L209" s="28" t="inlineStr">
        <is>
          <t>Meta Description</t>
        </is>
      </c>
      <c r="M209" s="28" t="inlineStr">
        <is>
          <t>No</t>
        </is>
      </c>
      <c r="N209" s="28" t="inlineStr">
        <is>
          <t>Copy Writer</t>
        </is>
      </c>
      <c r="O209" s="36" t="inlineStr">
        <is>
          <t>Open</t>
        </is>
      </c>
      <c r="P209" s="28" t="n">
        <v>4</v>
      </c>
      <c r="Q209" s="28" t="inlineStr">
        <is>
          <t>https://africanmarketingconfederation.org/smoke-archive/page-46::aioseo_meta_description_too_short</t>
        </is>
      </c>
      <c r="R209" s="28" t="inlineStr">
        <is>
          <t>Short descriptions can under-communicate relevance and value.</t>
        </is>
      </c>
      <c r="S209">
        <f>IFERROR(HYPERLINK("#'Main'!B"&amp;MATCH(TRIM(A209),'Main'!B:B,0),"Open"),HYPERLINK("#'Main'!B1","Open"))</f>
        <v/>
      </c>
      <c r="T209">
        <f>IFERROR(HYPERLINK("#'Technical Diagnostics'!A"&amp;MATCH(A209,'Technical Diagnostics'!A:A,0),"Open"),HYPERLINK("#'Technical Diagnostics'!A1","Open"))</f>
        <v/>
      </c>
    </row>
    <row r="210" ht="60" customHeight="1">
      <c r="A210" s="37" t="inlineStr">
        <is>
          <t>https://africanmarketingconfederation.org/smoke-archive/page-46</t>
        </is>
      </c>
      <c r="B210" s="30" t="inlineStr"/>
      <c r="C210" s="30" t="inlineStr"/>
      <c r="D210" s="30" t="inlineStr">
        <is>
          <t>Basic SEO</t>
        </is>
      </c>
      <c r="E210" s="33" t="inlineStr">
        <is>
          <t>Observation</t>
        </is>
      </c>
      <c r="F210" s="30" t="inlineStr">
        <is>
          <t>No internal links found</t>
        </is>
      </c>
      <c r="G210" s="30" t="n">
        <v>37</v>
      </c>
      <c r="H210" s="30" t="n">
        <v>0</v>
      </c>
      <c r="I210" s="30" t="inlineStr">
        <is>
          <t>&gt;=2 relevant internal links</t>
        </is>
      </c>
      <c r="J210" s="30" t="inlineStr">
        <is>
          <t>Add contextual internal links from and to related pages using descriptive anchor text. (Taxonomy/Archive page: navigate via AIOSEO → Search Appearance → Taxonomies.)</t>
        </is>
      </c>
      <c r="K210" s="30" t="inlineStr">
        <is>
          <t>Links</t>
        </is>
      </c>
      <c r="L210" s="30" t="inlineStr">
        <is>
          <t>Internal Links Count</t>
        </is>
      </c>
      <c r="M210" s="30" t="inlineStr">
        <is>
          <t>No</t>
        </is>
      </c>
      <c r="N210" s="30" t="inlineStr">
        <is>
          <t>Copy Writer</t>
        </is>
      </c>
      <c r="O210" s="36" t="inlineStr">
        <is>
          <t>Open</t>
        </is>
      </c>
      <c r="P210" s="30" t="n">
        <v>4</v>
      </c>
      <c r="Q210" s="30" t="inlineStr">
        <is>
          <t>https://africanmarketingconfederation.org/smoke-archive/page-46::aioseo_no_internal_links_found</t>
        </is>
      </c>
      <c r="R210" s="30" t="inlineStr">
        <is>
          <t>Internal links help discovery, topical signals, and authority flow.</t>
        </is>
      </c>
      <c r="S210" s="38">
        <f>IFERROR(HYPERLINK("#'Main'!B"&amp;MATCH(TRIM(A210),'Main'!B:B,0),"Open"),HYPERLINK("#'Main'!B1","Open"))</f>
        <v/>
      </c>
      <c r="T210" s="38">
        <f>IFERROR(HYPERLINK("#'Technical Diagnostics'!A"&amp;MATCH(A210,'Technical Diagnostics'!A:A,0),"Open"),HYPERLINK("#'Technical Diagnostics'!A1","Open"))</f>
        <v/>
      </c>
    </row>
    <row r="211" ht="60" customHeight="1">
      <c r="A211" s="35" t="inlineStr">
        <is>
          <t>https://africanmarketingconfederation.org/smoke-archive/page-47</t>
        </is>
      </c>
      <c r="B211" s="28" t="inlineStr"/>
      <c r="C211" s="28" t="inlineStr"/>
      <c r="D211" s="28" t="inlineStr">
        <is>
          <t>Basic SEO</t>
        </is>
      </c>
      <c r="E211" s="33" t="inlineStr">
        <is>
          <t>Observation</t>
        </is>
      </c>
      <c r="F211" s="28" t="inlineStr">
        <is>
          <t>Meta description too short</t>
        </is>
      </c>
      <c r="G211" s="28" t="n">
        <v>37</v>
      </c>
      <c r="H211" s="28" t="n">
        <v>35</v>
      </c>
      <c r="I211" s="28" t="inlineStr">
        <is>
          <t>120-160 characters</t>
        </is>
      </c>
      <c r="J211" s="28" t="inlineStr">
        <is>
          <t>Expand meta description in AIOSEO to include key value points and intent terms naturally. (Taxonomy/Archive page: navigate via AIOSEO → Search Appearance → Taxonomies.)</t>
        </is>
      </c>
      <c r="K211" s="39" t="inlineStr">
        <is>
          <t>Main</t>
        </is>
      </c>
      <c r="L211" s="28" t="inlineStr">
        <is>
          <t>Meta Description</t>
        </is>
      </c>
      <c r="M211" s="28" t="inlineStr">
        <is>
          <t>No</t>
        </is>
      </c>
      <c r="N211" s="28" t="inlineStr">
        <is>
          <t>Copy Writer</t>
        </is>
      </c>
      <c r="O211" s="36" t="inlineStr">
        <is>
          <t>Open</t>
        </is>
      </c>
      <c r="P211" s="28" t="n">
        <v>4</v>
      </c>
      <c r="Q211" s="28" t="inlineStr">
        <is>
          <t>https://africanmarketingconfederation.org/smoke-archive/page-47::aioseo_meta_description_too_short</t>
        </is>
      </c>
      <c r="R211" s="28" t="inlineStr">
        <is>
          <t>Short descriptions can under-communicate relevance and value.</t>
        </is>
      </c>
      <c r="S211">
        <f>IFERROR(HYPERLINK("#'Main'!B"&amp;MATCH(TRIM(A211),'Main'!B:B,0),"Open"),HYPERLINK("#'Main'!B1","Open"))</f>
        <v/>
      </c>
      <c r="T211">
        <f>IFERROR(HYPERLINK("#'Technical Diagnostics'!A"&amp;MATCH(A211,'Technical Diagnostics'!A:A,0),"Open"),HYPERLINK("#'Technical Diagnostics'!A1","Open"))</f>
        <v/>
      </c>
    </row>
    <row r="212" ht="60" customHeight="1">
      <c r="A212" s="37" t="inlineStr">
        <is>
          <t>https://africanmarketingconfederation.org/smoke-archive/page-47</t>
        </is>
      </c>
      <c r="B212" s="30" t="inlineStr"/>
      <c r="C212" s="30" t="inlineStr"/>
      <c r="D212" s="30" t="inlineStr">
        <is>
          <t>Basic SEO</t>
        </is>
      </c>
      <c r="E212" s="33" t="inlineStr">
        <is>
          <t>Observation</t>
        </is>
      </c>
      <c r="F212" s="30" t="inlineStr">
        <is>
          <t>No internal links found</t>
        </is>
      </c>
      <c r="G212" s="30" t="n">
        <v>37</v>
      </c>
      <c r="H212" s="30" t="n">
        <v>0</v>
      </c>
      <c r="I212" s="30" t="inlineStr">
        <is>
          <t>&gt;=2 relevant internal links</t>
        </is>
      </c>
      <c r="J212" s="30" t="inlineStr">
        <is>
          <t>Add contextual internal links from and to related pages using descriptive anchor text. (Taxonomy/Archive page: navigate via AIOSEO → Search Appearance → Taxonomies.)</t>
        </is>
      </c>
      <c r="K212" s="30" t="inlineStr">
        <is>
          <t>Links</t>
        </is>
      </c>
      <c r="L212" s="30" t="inlineStr">
        <is>
          <t>Internal Links Count</t>
        </is>
      </c>
      <c r="M212" s="30" t="inlineStr">
        <is>
          <t>No</t>
        </is>
      </c>
      <c r="N212" s="30" t="inlineStr">
        <is>
          <t>Copy Writer</t>
        </is>
      </c>
      <c r="O212" s="36" t="inlineStr">
        <is>
          <t>Open</t>
        </is>
      </c>
      <c r="P212" s="30" t="n">
        <v>4</v>
      </c>
      <c r="Q212" s="30" t="inlineStr">
        <is>
          <t>https://africanmarketingconfederation.org/smoke-archive/page-47::aioseo_no_internal_links_found</t>
        </is>
      </c>
      <c r="R212" s="30" t="inlineStr">
        <is>
          <t>Internal links help discovery, topical signals, and authority flow.</t>
        </is>
      </c>
      <c r="S212" s="38">
        <f>IFERROR(HYPERLINK("#'Main'!B"&amp;MATCH(TRIM(A212),'Main'!B:B,0),"Open"),HYPERLINK("#'Main'!B1","Open"))</f>
        <v/>
      </c>
      <c r="T212" s="38">
        <f>IFERROR(HYPERLINK("#'Technical Diagnostics'!A"&amp;MATCH(A212,'Technical Diagnostics'!A:A,0),"Open"),HYPERLINK("#'Technical Diagnostics'!A1","Open"))</f>
        <v/>
      </c>
    </row>
    <row r="213" ht="60" customHeight="1">
      <c r="A213" s="35" t="inlineStr">
        <is>
          <t>https://africanmarketingconfederation.org/smoke-archive/page-48</t>
        </is>
      </c>
      <c r="B213" s="28" t="inlineStr"/>
      <c r="C213" s="28" t="inlineStr"/>
      <c r="D213" s="28" t="inlineStr">
        <is>
          <t>Basic SEO</t>
        </is>
      </c>
      <c r="E213" s="33" t="inlineStr">
        <is>
          <t>Observation</t>
        </is>
      </c>
      <c r="F213" s="28" t="inlineStr">
        <is>
          <t>Meta description too short</t>
        </is>
      </c>
      <c r="G213" s="28" t="n">
        <v>37</v>
      </c>
      <c r="H213" s="28" t="n">
        <v>35</v>
      </c>
      <c r="I213" s="28" t="inlineStr">
        <is>
          <t>120-160 characters</t>
        </is>
      </c>
      <c r="J213" s="28" t="inlineStr">
        <is>
          <t>Expand meta description in AIOSEO to include key value points and intent terms naturally. (Taxonomy/Archive page: navigate via AIOSEO → Search Appearance → Taxonomies.)</t>
        </is>
      </c>
      <c r="K213" s="39" t="inlineStr">
        <is>
          <t>Main</t>
        </is>
      </c>
      <c r="L213" s="28" t="inlineStr">
        <is>
          <t>Meta Description</t>
        </is>
      </c>
      <c r="M213" s="28" t="inlineStr">
        <is>
          <t>No</t>
        </is>
      </c>
      <c r="N213" s="28" t="inlineStr">
        <is>
          <t>Copy Writer</t>
        </is>
      </c>
      <c r="O213" s="36" t="inlineStr">
        <is>
          <t>Open</t>
        </is>
      </c>
      <c r="P213" s="28" t="n">
        <v>4</v>
      </c>
      <c r="Q213" s="28" t="inlineStr">
        <is>
          <t>https://africanmarketingconfederation.org/smoke-archive/page-48::aioseo_meta_description_too_short</t>
        </is>
      </c>
      <c r="R213" s="28" t="inlineStr">
        <is>
          <t>Short descriptions can under-communicate relevance and value.</t>
        </is>
      </c>
      <c r="S213">
        <f>IFERROR(HYPERLINK("#'Main'!B"&amp;MATCH(TRIM(A213),'Main'!B:B,0),"Open"),HYPERLINK("#'Main'!B1","Open"))</f>
        <v/>
      </c>
      <c r="T213">
        <f>IFERROR(HYPERLINK("#'Technical Diagnostics'!A"&amp;MATCH(A213,'Technical Diagnostics'!A:A,0),"Open"),HYPERLINK("#'Technical Diagnostics'!A1","Open"))</f>
        <v/>
      </c>
    </row>
    <row r="214" ht="60" customHeight="1">
      <c r="A214" s="37" t="inlineStr">
        <is>
          <t>https://africanmarketingconfederation.org/smoke-archive/page-48</t>
        </is>
      </c>
      <c r="B214" s="30" t="inlineStr"/>
      <c r="C214" s="30" t="inlineStr"/>
      <c r="D214" s="30" t="inlineStr">
        <is>
          <t>Basic SEO</t>
        </is>
      </c>
      <c r="E214" s="33" t="inlineStr">
        <is>
          <t>Observation</t>
        </is>
      </c>
      <c r="F214" s="30" t="inlineStr">
        <is>
          <t>No internal links found</t>
        </is>
      </c>
      <c r="G214" s="30" t="n">
        <v>37</v>
      </c>
      <c r="H214" s="30" t="n">
        <v>0</v>
      </c>
      <c r="I214" s="30" t="inlineStr">
        <is>
          <t>&gt;=2 relevant internal links</t>
        </is>
      </c>
      <c r="J214" s="30" t="inlineStr">
        <is>
          <t>Add contextual internal links from and to related pages using descriptive anchor text. (Taxonomy/Archive page: navigate via AIOSEO → Search Appearance → Taxonomies.)</t>
        </is>
      </c>
      <c r="K214" s="30" t="inlineStr">
        <is>
          <t>Links</t>
        </is>
      </c>
      <c r="L214" s="30" t="inlineStr">
        <is>
          <t>Internal Links Count</t>
        </is>
      </c>
      <c r="M214" s="30" t="inlineStr">
        <is>
          <t>No</t>
        </is>
      </c>
      <c r="N214" s="30" t="inlineStr">
        <is>
          <t>Copy Writer</t>
        </is>
      </c>
      <c r="O214" s="36" t="inlineStr">
        <is>
          <t>Open</t>
        </is>
      </c>
      <c r="P214" s="30" t="n">
        <v>4</v>
      </c>
      <c r="Q214" s="30" t="inlineStr">
        <is>
          <t>https://africanmarketingconfederation.org/smoke-archive/page-48::aioseo_no_internal_links_found</t>
        </is>
      </c>
      <c r="R214" s="30" t="inlineStr">
        <is>
          <t>Internal links help discovery, topical signals, and authority flow.</t>
        </is>
      </c>
      <c r="S214" s="38">
        <f>IFERROR(HYPERLINK("#'Main'!B"&amp;MATCH(TRIM(A214),'Main'!B:B,0),"Open"),HYPERLINK("#'Main'!B1","Open"))</f>
        <v/>
      </c>
      <c r="T214" s="38">
        <f>IFERROR(HYPERLINK("#'Technical Diagnostics'!A"&amp;MATCH(A214,'Technical Diagnostics'!A:A,0),"Open"),HYPERLINK("#'Technical Diagnostics'!A1","Open"))</f>
        <v/>
      </c>
    </row>
    <row r="215" ht="60" customHeight="1">
      <c r="A215" s="35" t="inlineStr">
        <is>
          <t>https://africanmarketingconfederation.org/smoke-archive/page-49</t>
        </is>
      </c>
      <c r="B215" s="28" t="inlineStr"/>
      <c r="C215" s="28" t="inlineStr"/>
      <c r="D215" s="28" t="inlineStr">
        <is>
          <t>Basic SEO</t>
        </is>
      </c>
      <c r="E215" s="33" t="inlineStr">
        <is>
          <t>Observation</t>
        </is>
      </c>
      <c r="F215" s="28" t="inlineStr">
        <is>
          <t>Meta description too short</t>
        </is>
      </c>
      <c r="G215" s="28" t="n">
        <v>37</v>
      </c>
      <c r="H215" s="28" t="n">
        <v>35</v>
      </c>
      <c r="I215" s="28" t="inlineStr">
        <is>
          <t>120-160 characters</t>
        </is>
      </c>
      <c r="J215" s="28" t="inlineStr">
        <is>
          <t>Expand meta description in AIOSEO to include key value points and intent terms naturally. (Taxonomy/Archive page: navigate via AIOSEO → Search Appearance → Taxonomies.)</t>
        </is>
      </c>
      <c r="K215" s="39" t="inlineStr">
        <is>
          <t>Main</t>
        </is>
      </c>
      <c r="L215" s="28" t="inlineStr">
        <is>
          <t>Meta Description</t>
        </is>
      </c>
      <c r="M215" s="28" t="inlineStr">
        <is>
          <t>No</t>
        </is>
      </c>
      <c r="N215" s="28" t="inlineStr">
        <is>
          <t>Copy Writer</t>
        </is>
      </c>
      <c r="O215" s="36" t="inlineStr">
        <is>
          <t>Open</t>
        </is>
      </c>
      <c r="P215" s="28" t="n">
        <v>4</v>
      </c>
      <c r="Q215" s="28" t="inlineStr">
        <is>
          <t>https://africanmarketingconfederation.org/smoke-archive/page-49::aioseo_meta_description_too_short</t>
        </is>
      </c>
      <c r="R215" s="28" t="inlineStr">
        <is>
          <t>Short descriptions can under-communicate relevance and value.</t>
        </is>
      </c>
      <c r="S215">
        <f>IFERROR(HYPERLINK("#'Main'!B"&amp;MATCH(TRIM(A215),'Main'!B:B,0),"Open"),HYPERLINK("#'Main'!B1","Open"))</f>
        <v/>
      </c>
      <c r="T215">
        <f>IFERROR(HYPERLINK("#'Technical Diagnostics'!A"&amp;MATCH(A215,'Technical Diagnostics'!A:A,0),"Open"),HYPERLINK("#'Technical Diagnostics'!A1","Open"))</f>
        <v/>
      </c>
    </row>
    <row r="216" ht="60" customHeight="1">
      <c r="A216" s="37" t="inlineStr">
        <is>
          <t>https://africanmarketingconfederation.org/smoke-archive/page-49</t>
        </is>
      </c>
      <c r="B216" s="30" t="inlineStr"/>
      <c r="C216" s="30" t="inlineStr"/>
      <c r="D216" s="30" t="inlineStr">
        <is>
          <t>Basic SEO</t>
        </is>
      </c>
      <c r="E216" s="33" t="inlineStr">
        <is>
          <t>Observation</t>
        </is>
      </c>
      <c r="F216" s="30" t="inlineStr">
        <is>
          <t>No internal links found</t>
        </is>
      </c>
      <c r="G216" s="30" t="n">
        <v>37</v>
      </c>
      <c r="H216" s="30" t="n">
        <v>0</v>
      </c>
      <c r="I216" s="30" t="inlineStr">
        <is>
          <t>&gt;=2 relevant internal links</t>
        </is>
      </c>
      <c r="J216" s="30" t="inlineStr">
        <is>
          <t>Add contextual internal links from and to related pages using descriptive anchor text. (Taxonomy/Archive page: navigate via AIOSEO → Search Appearance → Taxonomies.)</t>
        </is>
      </c>
      <c r="K216" s="30" t="inlineStr">
        <is>
          <t>Links</t>
        </is>
      </c>
      <c r="L216" s="30" t="inlineStr">
        <is>
          <t>Internal Links Count</t>
        </is>
      </c>
      <c r="M216" s="30" t="inlineStr">
        <is>
          <t>No</t>
        </is>
      </c>
      <c r="N216" s="30" t="inlineStr">
        <is>
          <t>Copy Writer</t>
        </is>
      </c>
      <c r="O216" s="36" t="inlineStr">
        <is>
          <t>Open</t>
        </is>
      </c>
      <c r="P216" s="30" t="n">
        <v>4</v>
      </c>
      <c r="Q216" s="30" t="inlineStr">
        <is>
          <t>https://africanmarketingconfederation.org/smoke-archive/page-49::aioseo_no_internal_links_found</t>
        </is>
      </c>
      <c r="R216" s="30" t="inlineStr">
        <is>
          <t>Internal links help discovery, topical signals, and authority flow.</t>
        </is>
      </c>
      <c r="S216" s="38">
        <f>IFERROR(HYPERLINK("#'Main'!B"&amp;MATCH(TRIM(A216),'Main'!B:B,0),"Open"),HYPERLINK("#'Main'!B1","Open"))</f>
        <v/>
      </c>
      <c r="T216" s="38">
        <f>IFERROR(HYPERLINK("#'Technical Diagnostics'!A"&amp;MATCH(A216,'Technical Diagnostics'!A:A,0),"Open"),HYPERLINK("#'Technical Diagnostics'!A1","Open"))</f>
        <v/>
      </c>
    </row>
    <row r="217" ht="60" customHeight="1">
      <c r="A217" s="35" t="inlineStr">
        <is>
          <t>https://africanmarketingconfederation.org/smoke-archive/page-5</t>
        </is>
      </c>
      <c r="B217" s="28" t="inlineStr"/>
      <c r="C217" s="28" t="inlineStr"/>
      <c r="D217" s="28" t="inlineStr">
        <is>
          <t>Basic SEO</t>
        </is>
      </c>
      <c r="E217" s="33" t="inlineStr">
        <is>
          <t>Observation</t>
        </is>
      </c>
      <c r="F217" s="28" t="inlineStr">
        <is>
          <t>No internal links found</t>
        </is>
      </c>
      <c r="G217" s="28" t="n">
        <v>37</v>
      </c>
      <c r="H217" s="28" t="n">
        <v>0</v>
      </c>
      <c r="I217" s="28" t="inlineStr">
        <is>
          <t>&gt;=2 relevant internal links</t>
        </is>
      </c>
      <c r="J217" s="28" t="inlineStr">
        <is>
          <t>Add contextual internal links from and to related pages using descriptive anchor text. (Taxonomy/Archive page: navigate via AIOSEO → Search Appearance → Taxonomies.)</t>
        </is>
      </c>
      <c r="K217" s="28" t="inlineStr">
        <is>
          <t>Links</t>
        </is>
      </c>
      <c r="L217" s="28" t="inlineStr">
        <is>
          <t>Internal Links Count</t>
        </is>
      </c>
      <c r="M217" s="28" t="inlineStr">
        <is>
          <t>No</t>
        </is>
      </c>
      <c r="N217" s="28" t="inlineStr">
        <is>
          <t>Copy Writer</t>
        </is>
      </c>
      <c r="O217" s="36" t="inlineStr">
        <is>
          <t>Open</t>
        </is>
      </c>
      <c r="P217" s="28" t="n">
        <v>4</v>
      </c>
      <c r="Q217" s="28" t="inlineStr">
        <is>
          <t>https://africanmarketingconfederation.org/smoke-archive/page-5::aioseo_no_internal_links_found</t>
        </is>
      </c>
      <c r="R217" s="28" t="inlineStr">
        <is>
          <t>Internal links help discovery, topical signals, and authority flow.</t>
        </is>
      </c>
      <c r="S217">
        <f>IFERROR(HYPERLINK("#'Main'!B"&amp;MATCH(TRIM(A217),'Main'!B:B,0),"Open"),HYPERLINK("#'Main'!B1","Open"))</f>
        <v/>
      </c>
      <c r="T217">
        <f>IFERROR(HYPERLINK("#'Technical Diagnostics'!A"&amp;MATCH(A217,'Technical Diagnostics'!A:A,0),"Open"),HYPERLINK("#'Technical Diagnostics'!A1","Open"))</f>
        <v/>
      </c>
    </row>
    <row r="218" ht="60" customHeight="1">
      <c r="A218" s="37" t="inlineStr">
        <is>
          <t>https://africanmarketingconfederation.org/smoke-archive/page-50</t>
        </is>
      </c>
      <c r="B218" s="30" t="inlineStr"/>
      <c r="C218" s="30" t="inlineStr"/>
      <c r="D218" s="30" t="inlineStr">
        <is>
          <t>Basic SEO</t>
        </is>
      </c>
      <c r="E218" s="33" t="inlineStr">
        <is>
          <t>Observation</t>
        </is>
      </c>
      <c r="F218" s="30" t="inlineStr">
        <is>
          <t>No internal links found</t>
        </is>
      </c>
      <c r="G218" s="30" t="n">
        <v>37</v>
      </c>
      <c r="H218" s="30" t="n">
        <v>0</v>
      </c>
      <c r="I218" s="30" t="inlineStr">
        <is>
          <t>&gt;=2 relevant internal links</t>
        </is>
      </c>
      <c r="J218" s="30" t="inlineStr">
        <is>
          <t>Add contextual internal links from and to related pages using descriptive anchor text. (Taxonomy/Archive page: navigate via AIOSEO → Search Appearance → Taxonomies.)</t>
        </is>
      </c>
      <c r="K218" s="30" t="inlineStr">
        <is>
          <t>Links</t>
        </is>
      </c>
      <c r="L218" s="30" t="inlineStr">
        <is>
          <t>Internal Links Count</t>
        </is>
      </c>
      <c r="M218" s="30" t="inlineStr">
        <is>
          <t>No</t>
        </is>
      </c>
      <c r="N218" s="30" t="inlineStr">
        <is>
          <t>Copy Writer</t>
        </is>
      </c>
      <c r="O218" s="36" t="inlineStr">
        <is>
          <t>Open</t>
        </is>
      </c>
      <c r="P218" s="30" t="n">
        <v>4</v>
      </c>
      <c r="Q218" s="30" t="inlineStr">
        <is>
          <t>https://africanmarketingconfederation.org/smoke-archive/page-50::aioseo_no_internal_links_found</t>
        </is>
      </c>
      <c r="R218" s="30" t="inlineStr">
        <is>
          <t>Internal links help discovery, topical signals, and authority flow.</t>
        </is>
      </c>
      <c r="S218" s="38">
        <f>IFERROR(HYPERLINK("#'Main'!B"&amp;MATCH(TRIM(A218),'Main'!B:B,0),"Open"),HYPERLINK("#'Main'!B1","Open"))</f>
        <v/>
      </c>
      <c r="T218" s="38">
        <f>IFERROR(HYPERLINK("#'Technical Diagnostics'!A"&amp;MATCH(A218,'Technical Diagnostics'!A:A,0),"Open"),HYPERLINK("#'Technical Diagnostics'!A1","Open"))</f>
        <v/>
      </c>
    </row>
    <row r="219" ht="60" customHeight="1">
      <c r="A219" s="35" t="inlineStr">
        <is>
          <t>https://africanmarketingconfederation.org/smoke-archive/page-51</t>
        </is>
      </c>
      <c r="B219" s="28" t="inlineStr"/>
      <c r="C219" s="28" t="inlineStr"/>
      <c r="D219" s="28" t="inlineStr">
        <is>
          <t>Basic SEO</t>
        </is>
      </c>
      <c r="E219" s="33" t="inlineStr">
        <is>
          <t>Observation</t>
        </is>
      </c>
      <c r="F219" s="28" t="inlineStr">
        <is>
          <t>Meta description too short</t>
        </is>
      </c>
      <c r="G219" s="28" t="n">
        <v>37</v>
      </c>
      <c r="H219" s="28" t="n">
        <v>35</v>
      </c>
      <c r="I219" s="28" t="inlineStr">
        <is>
          <t>120-160 characters</t>
        </is>
      </c>
      <c r="J219" s="28" t="inlineStr">
        <is>
          <t>Expand meta description in AIOSEO to include key value points and intent terms naturally. (Taxonomy/Archive page: navigate via AIOSEO → Search Appearance → Taxonomies.)</t>
        </is>
      </c>
      <c r="K219" s="39" t="inlineStr">
        <is>
          <t>Main</t>
        </is>
      </c>
      <c r="L219" s="28" t="inlineStr">
        <is>
          <t>Meta Description</t>
        </is>
      </c>
      <c r="M219" s="28" t="inlineStr">
        <is>
          <t>No</t>
        </is>
      </c>
      <c r="N219" s="28" t="inlineStr">
        <is>
          <t>Copy Writer</t>
        </is>
      </c>
      <c r="O219" s="36" t="inlineStr">
        <is>
          <t>Open</t>
        </is>
      </c>
      <c r="P219" s="28" t="n">
        <v>4</v>
      </c>
      <c r="Q219" s="28" t="inlineStr">
        <is>
          <t>https://africanmarketingconfederation.org/smoke-archive/page-51::aioseo_meta_description_too_short</t>
        </is>
      </c>
      <c r="R219" s="28" t="inlineStr">
        <is>
          <t>Short descriptions can under-communicate relevance and value.</t>
        </is>
      </c>
      <c r="S219">
        <f>IFERROR(HYPERLINK("#'Main'!B"&amp;MATCH(TRIM(A219),'Main'!B:B,0),"Open"),HYPERLINK("#'Main'!B1","Open"))</f>
        <v/>
      </c>
      <c r="T219">
        <f>IFERROR(HYPERLINK("#'Technical Diagnostics'!A"&amp;MATCH(A219,'Technical Diagnostics'!A:A,0),"Open"),HYPERLINK("#'Technical Diagnostics'!A1","Open"))</f>
        <v/>
      </c>
    </row>
    <row r="220" ht="60" customHeight="1">
      <c r="A220" s="37" t="inlineStr">
        <is>
          <t>https://africanmarketingconfederation.org/smoke-archive/page-51</t>
        </is>
      </c>
      <c r="B220" s="30" t="inlineStr"/>
      <c r="C220" s="30" t="inlineStr"/>
      <c r="D220" s="30" t="inlineStr">
        <is>
          <t>Basic SEO</t>
        </is>
      </c>
      <c r="E220" s="33" t="inlineStr">
        <is>
          <t>Observation</t>
        </is>
      </c>
      <c r="F220" s="30" t="inlineStr">
        <is>
          <t>No internal links found</t>
        </is>
      </c>
      <c r="G220" s="30" t="n">
        <v>37</v>
      </c>
      <c r="H220" s="30" t="n">
        <v>0</v>
      </c>
      <c r="I220" s="30" t="inlineStr">
        <is>
          <t>&gt;=2 relevant internal links</t>
        </is>
      </c>
      <c r="J220" s="30" t="inlineStr">
        <is>
          <t>Add contextual internal links from and to related pages using descriptive anchor text. (Taxonomy/Archive page: navigate via AIOSEO → Search Appearance → Taxonomies.)</t>
        </is>
      </c>
      <c r="K220" s="30" t="inlineStr">
        <is>
          <t>Links</t>
        </is>
      </c>
      <c r="L220" s="30" t="inlineStr">
        <is>
          <t>Internal Links Count</t>
        </is>
      </c>
      <c r="M220" s="30" t="inlineStr">
        <is>
          <t>No</t>
        </is>
      </c>
      <c r="N220" s="30" t="inlineStr">
        <is>
          <t>Copy Writer</t>
        </is>
      </c>
      <c r="O220" s="36" t="inlineStr">
        <is>
          <t>Open</t>
        </is>
      </c>
      <c r="P220" s="30" t="n">
        <v>4</v>
      </c>
      <c r="Q220" s="30" t="inlineStr">
        <is>
          <t>https://africanmarketingconfederation.org/smoke-archive/page-51::aioseo_no_internal_links_found</t>
        </is>
      </c>
      <c r="R220" s="30" t="inlineStr">
        <is>
          <t>Internal links help discovery, topical signals, and authority flow.</t>
        </is>
      </c>
      <c r="S220" s="38">
        <f>IFERROR(HYPERLINK("#'Main'!B"&amp;MATCH(TRIM(A220),'Main'!B:B,0),"Open"),HYPERLINK("#'Main'!B1","Open"))</f>
        <v/>
      </c>
      <c r="T220" s="38">
        <f>IFERROR(HYPERLINK("#'Technical Diagnostics'!A"&amp;MATCH(A220,'Technical Diagnostics'!A:A,0),"Open"),HYPERLINK("#'Technical Diagnostics'!A1","Open"))</f>
        <v/>
      </c>
    </row>
    <row r="221" ht="60" customHeight="1">
      <c r="A221" s="35" t="inlineStr">
        <is>
          <t>https://africanmarketingconfederation.org/smoke-archive/page-52</t>
        </is>
      </c>
      <c r="B221" s="28" t="inlineStr"/>
      <c r="C221" s="28" t="inlineStr"/>
      <c r="D221" s="28" t="inlineStr">
        <is>
          <t>Basic SEO</t>
        </is>
      </c>
      <c r="E221" s="33" t="inlineStr">
        <is>
          <t>Observation</t>
        </is>
      </c>
      <c r="F221" s="28" t="inlineStr">
        <is>
          <t>Meta description too short</t>
        </is>
      </c>
      <c r="G221" s="28" t="n">
        <v>37</v>
      </c>
      <c r="H221" s="28" t="n">
        <v>35</v>
      </c>
      <c r="I221" s="28" t="inlineStr">
        <is>
          <t>120-160 characters</t>
        </is>
      </c>
      <c r="J221" s="28" t="inlineStr">
        <is>
          <t>Expand meta description in AIOSEO to include key value points and intent terms naturally. (Taxonomy/Archive page: navigate via AIOSEO → Search Appearance → Taxonomies.)</t>
        </is>
      </c>
      <c r="K221" s="39" t="inlineStr">
        <is>
          <t>Main</t>
        </is>
      </c>
      <c r="L221" s="28" t="inlineStr">
        <is>
          <t>Meta Description</t>
        </is>
      </c>
      <c r="M221" s="28" t="inlineStr">
        <is>
          <t>No</t>
        </is>
      </c>
      <c r="N221" s="28" t="inlineStr">
        <is>
          <t>Copy Writer</t>
        </is>
      </c>
      <c r="O221" s="36" t="inlineStr">
        <is>
          <t>Open</t>
        </is>
      </c>
      <c r="P221" s="28" t="n">
        <v>4</v>
      </c>
      <c r="Q221" s="28" t="inlineStr">
        <is>
          <t>https://africanmarketingconfederation.org/smoke-archive/page-52::aioseo_meta_description_too_short</t>
        </is>
      </c>
      <c r="R221" s="28" t="inlineStr">
        <is>
          <t>Short descriptions can under-communicate relevance and value.</t>
        </is>
      </c>
      <c r="S221">
        <f>IFERROR(HYPERLINK("#'Main'!B"&amp;MATCH(TRIM(A221),'Main'!B:B,0),"Open"),HYPERLINK("#'Main'!B1","Open"))</f>
        <v/>
      </c>
      <c r="T221">
        <f>IFERROR(HYPERLINK("#'Technical Diagnostics'!A"&amp;MATCH(A221,'Technical Diagnostics'!A:A,0),"Open"),HYPERLINK("#'Technical Diagnostics'!A1","Open"))</f>
        <v/>
      </c>
    </row>
    <row r="222" ht="60" customHeight="1">
      <c r="A222" s="37" t="inlineStr">
        <is>
          <t>https://africanmarketingconfederation.org/smoke-archive/page-52</t>
        </is>
      </c>
      <c r="B222" s="30" t="inlineStr"/>
      <c r="C222" s="30" t="inlineStr"/>
      <c r="D222" s="30" t="inlineStr">
        <is>
          <t>Basic SEO</t>
        </is>
      </c>
      <c r="E222" s="33" t="inlineStr">
        <is>
          <t>Observation</t>
        </is>
      </c>
      <c r="F222" s="30" t="inlineStr">
        <is>
          <t>No internal links found</t>
        </is>
      </c>
      <c r="G222" s="30" t="n">
        <v>37</v>
      </c>
      <c r="H222" s="30" t="n">
        <v>0</v>
      </c>
      <c r="I222" s="30" t="inlineStr">
        <is>
          <t>&gt;=2 relevant internal links</t>
        </is>
      </c>
      <c r="J222" s="30" t="inlineStr">
        <is>
          <t>Add contextual internal links from and to related pages using descriptive anchor text. (Taxonomy/Archive page: navigate via AIOSEO → Search Appearance → Taxonomies.)</t>
        </is>
      </c>
      <c r="K222" s="30" t="inlineStr">
        <is>
          <t>Links</t>
        </is>
      </c>
      <c r="L222" s="30" t="inlineStr">
        <is>
          <t>Internal Links Count</t>
        </is>
      </c>
      <c r="M222" s="30" t="inlineStr">
        <is>
          <t>No</t>
        </is>
      </c>
      <c r="N222" s="30" t="inlineStr">
        <is>
          <t>Copy Writer</t>
        </is>
      </c>
      <c r="O222" s="36" t="inlineStr">
        <is>
          <t>Open</t>
        </is>
      </c>
      <c r="P222" s="30" t="n">
        <v>4</v>
      </c>
      <c r="Q222" s="30" t="inlineStr">
        <is>
          <t>https://africanmarketingconfederation.org/smoke-archive/page-52::aioseo_no_internal_links_found</t>
        </is>
      </c>
      <c r="R222" s="30" t="inlineStr">
        <is>
          <t>Internal links help discovery, topical signals, and authority flow.</t>
        </is>
      </c>
      <c r="S222" s="38">
        <f>IFERROR(HYPERLINK("#'Main'!B"&amp;MATCH(TRIM(A222),'Main'!B:B,0),"Open"),HYPERLINK("#'Main'!B1","Open"))</f>
        <v/>
      </c>
      <c r="T222" s="38">
        <f>IFERROR(HYPERLINK("#'Technical Diagnostics'!A"&amp;MATCH(A222,'Technical Diagnostics'!A:A,0),"Open"),HYPERLINK("#'Technical Diagnostics'!A1","Open"))</f>
        <v/>
      </c>
    </row>
    <row r="223" ht="60" customHeight="1">
      <c r="A223" s="35" t="inlineStr">
        <is>
          <t>https://africanmarketingconfederation.org/smoke-archive/page-53</t>
        </is>
      </c>
      <c r="B223" s="28" t="inlineStr"/>
      <c r="C223" s="28" t="inlineStr"/>
      <c r="D223" s="28" t="inlineStr">
        <is>
          <t>Basic SEO</t>
        </is>
      </c>
      <c r="E223" s="33" t="inlineStr">
        <is>
          <t>Observation</t>
        </is>
      </c>
      <c r="F223" s="28" t="inlineStr">
        <is>
          <t>Meta description too short</t>
        </is>
      </c>
      <c r="G223" s="28" t="n">
        <v>37</v>
      </c>
      <c r="H223" s="28" t="n">
        <v>35</v>
      </c>
      <c r="I223" s="28" t="inlineStr">
        <is>
          <t>120-160 characters</t>
        </is>
      </c>
      <c r="J223" s="28" t="inlineStr">
        <is>
          <t>Expand meta description in AIOSEO to include key value points and intent terms naturally. (Taxonomy/Archive page: navigate via AIOSEO → Search Appearance → Taxonomies.)</t>
        </is>
      </c>
      <c r="K223" s="39" t="inlineStr">
        <is>
          <t>Main</t>
        </is>
      </c>
      <c r="L223" s="28" t="inlineStr">
        <is>
          <t>Meta Description</t>
        </is>
      </c>
      <c r="M223" s="28" t="inlineStr">
        <is>
          <t>No</t>
        </is>
      </c>
      <c r="N223" s="28" t="inlineStr">
        <is>
          <t>Copy Writer</t>
        </is>
      </c>
      <c r="O223" s="36" t="inlineStr">
        <is>
          <t>Open</t>
        </is>
      </c>
      <c r="P223" s="28" t="n">
        <v>4</v>
      </c>
      <c r="Q223" s="28" t="inlineStr">
        <is>
          <t>https://africanmarketingconfederation.org/smoke-archive/page-53::aioseo_meta_description_too_short</t>
        </is>
      </c>
      <c r="R223" s="28" t="inlineStr">
        <is>
          <t>Short descriptions can under-communicate relevance and value.</t>
        </is>
      </c>
      <c r="S223">
        <f>IFERROR(HYPERLINK("#'Main'!B"&amp;MATCH(TRIM(A223),'Main'!B:B,0),"Open"),HYPERLINK("#'Main'!B1","Open"))</f>
        <v/>
      </c>
      <c r="T223">
        <f>IFERROR(HYPERLINK("#'Technical Diagnostics'!A"&amp;MATCH(A223,'Technical Diagnostics'!A:A,0),"Open"),HYPERLINK("#'Technical Diagnostics'!A1","Open"))</f>
        <v/>
      </c>
    </row>
    <row r="224" ht="60" customHeight="1">
      <c r="A224" s="37" t="inlineStr">
        <is>
          <t>https://africanmarketingconfederation.org/smoke-archive/page-53</t>
        </is>
      </c>
      <c r="B224" s="30" t="inlineStr"/>
      <c r="C224" s="30" t="inlineStr"/>
      <c r="D224" s="30" t="inlineStr">
        <is>
          <t>Basic SEO</t>
        </is>
      </c>
      <c r="E224" s="33" t="inlineStr">
        <is>
          <t>Observation</t>
        </is>
      </c>
      <c r="F224" s="30" t="inlineStr">
        <is>
          <t>No internal links found</t>
        </is>
      </c>
      <c r="G224" s="30" t="n">
        <v>37</v>
      </c>
      <c r="H224" s="30" t="n">
        <v>0</v>
      </c>
      <c r="I224" s="30" t="inlineStr">
        <is>
          <t>&gt;=2 relevant internal links</t>
        </is>
      </c>
      <c r="J224" s="30" t="inlineStr">
        <is>
          <t>Add contextual internal links from and to related pages using descriptive anchor text. (Taxonomy/Archive page: navigate via AIOSEO → Search Appearance → Taxonomies.)</t>
        </is>
      </c>
      <c r="K224" s="30" t="inlineStr">
        <is>
          <t>Links</t>
        </is>
      </c>
      <c r="L224" s="30" t="inlineStr">
        <is>
          <t>Internal Links Count</t>
        </is>
      </c>
      <c r="M224" s="30" t="inlineStr">
        <is>
          <t>No</t>
        </is>
      </c>
      <c r="N224" s="30" t="inlineStr">
        <is>
          <t>Copy Writer</t>
        </is>
      </c>
      <c r="O224" s="36" t="inlineStr">
        <is>
          <t>Open</t>
        </is>
      </c>
      <c r="P224" s="30" t="n">
        <v>4</v>
      </c>
      <c r="Q224" s="30" t="inlineStr">
        <is>
          <t>https://africanmarketingconfederation.org/smoke-archive/page-53::aioseo_no_internal_links_found</t>
        </is>
      </c>
      <c r="R224" s="30" t="inlineStr">
        <is>
          <t>Internal links help discovery, topical signals, and authority flow.</t>
        </is>
      </c>
      <c r="S224" s="38">
        <f>IFERROR(HYPERLINK("#'Main'!B"&amp;MATCH(TRIM(A224),'Main'!B:B,0),"Open"),HYPERLINK("#'Main'!B1","Open"))</f>
        <v/>
      </c>
      <c r="T224" s="38">
        <f>IFERROR(HYPERLINK("#'Technical Diagnostics'!A"&amp;MATCH(A224,'Technical Diagnostics'!A:A,0),"Open"),HYPERLINK("#'Technical Diagnostics'!A1","Open"))</f>
        <v/>
      </c>
    </row>
    <row r="225" ht="60" customHeight="1">
      <c r="A225" s="35" t="inlineStr">
        <is>
          <t>https://africanmarketingconfederation.org/smoke-archive/page-54</t>
        </is>
      </c>
      <c r="B225" s="28" t="inlineStr"/>
      <c r="C225" s="28" t="inlineStr"/>
      <c r="D225" s="28" t="inlineStr">
        <is>
          <t>Basic SEO</t>
        </is>
      </c>
      <c r="E225" s="33" t="inlineStr">
        <is>
          <t>Observation</t>
        </is>
      </c>
      <c r="F225" s="28" t="inlineStr">
        <is>
          <t>Meta description too short</t>
        </is>
      </c>
      <c r="G225" s="28" t="n">
        <v>37</v>
      </c>
      <c r="H225" s="28" t="n">
        <v>35</v>
      </c>
      <c r="I225" s="28" t="inlineStr">
        <is>
          <t>120-160 characters</t>
        </is>
      </c>
      <c r="J225" s="28" t="inlineStr">
        <is>
          <t>Expand meta description in AIOSEO to include key value points and intent terms naturally. (Taxonomy/Archive page: navigate via AIOSEO → Search Appearance → Taxonomies.)</t>
        </is>
      </c>
      <c r="K225" s="39" t="inlineStr">
        <is>
          <t>Main</t>
        </is>
      </c>
      <c r="L225" s="28" t="inlineStr">
        <is>
          <t>Meta Description</t>
        </is>
      </c>
      <c r="M225" s="28" t="inlineStr">
        <is>
          <t>No</t>
        </is>
      </c>
      <c r="N225" s="28" t="inlineStr">
        <is>
          <t>Copy Writer</t>
        </is>
      </c>
      <c r="O225" s="36" t="inlineStr">
        <is>
          <t>Open</t>
        </is>
      </c>
      <c r="P225" s="28" t="n">
        <v>4</v>
      </c>
      <c r="Q225" s="28" t="inlineStr">
        <is>
          <t>https://africanmarketingconfederation.org/smoke-archive/page-54::aioseo_meta_description_too_short</t>
        </is>
      </c>
      <c r="R225" s="28" t="inlineStr">
        <is>
          <t>Short descriptions can under-communicate relevance and value.</t>
        </is>
      </c>
      <c r="S225">
        <f>IFERROR(HYPERLINK("#'Main'!B"&amp;MATCH(TRIM(A225),'Main'!B:B,0),"Open"),HYPERLINK("#'Main'!B1","Open"))</f>
        <v/>
      </c>
      <c r="T225">
        <f>IFERROR(HYPERLINK("#'Technical Diagnostics'!A"&amp;MATCH(A225,'Technical Diagnostics'!A:A,0),"Open"),HYPERLINK("#'Technical Diagnostics'!A1","Open"))</f>
        <v/>
      </c>
    </row>
    <row r="226" ht="60" customHeight="1">
      <c r="A226" s="37" t="inlineStr">
        <is>
          <t>https://africanmarketingconfederation.org/smoke-archive/page-54</t>
        </is>
      </c>
      <c r="B226" s="30" t="inlineStr"/>
      <c r="C226" s="30" t="inlineStr"/>
      <c r="D226" s="30" t="inlineStr">
        <is>
          <t>Basic SEO</t>
        </is>
      </c>
      <c r="E226" s="33" t="inlineStr">
        <is>
          <t>Observation</t>
        </is>
      </c>
      <c r="F226" s="30" t="inlineStr">
        <is>
          <t>No internal links found</t>
        </is>
      </c>
      <c r="G226" s="30" t="n">
        <v>37</v>
      </c>
      <c r="H226" s="30" t="n">
        <v>0</v>
      </c>
      <c r="I226" s="30" t="inlineStr">
        <is>
          <t>&gt;=2 relevant internal links</t>
        </is>
      </c>
      <c r="J226" s="30" t="inlineStr">
        <is>
          <t>Add contextual internal links from and to related pages using descriptive anchor text. (Taxonomy/Archive page: navigate via AIOSEO → Search Appearance → Taxonomies.)</t>
        </is>
      </c>
      <c r="K226" s="30" t="inlineStr">
        <is>
          <t>Links</t>
        </is>
      </c>
      <c r="L226" s="30" t="inlineStr">
        <is>
          <t>Internal Links Count</t>
        </is>
      </c>
      <c r="M226" s="30" t="inlineStr">
        <is>
          <t>No</t>
        </is>
      </c>
      <c r="N226" s="30" t="inlineStr">
        <is>
          <t>Copy Writer</t>
        </is>
      </c>
      <c r="O226" s="36" t="inlineStr">
        <is>
          <t>Open</t>
        </is>
      </c>
      <c r="P226" s="30" t="n">
        <v>4</v>
      </c>
      <c r="Q226" s="30" t="inlineStr">
        <is>
          <t>https://africanmarketingconfederation.org/smoke-archive/page-54::aioseo_no_internal_links_found</t>
        </is>
      </c>
      <c r="R226" s="30" t="inlineStr">
        <is>
          <t>Internal links help discovery, topical signals, and authority flow.</t>
        </is>
      </c>
      <c r="S226" s="38">
        <f>IFERROR(HYPERLINK("#'Main'!B"&amp;MATCH(TRIM(A226),'Main'!B:B,0),"Open"),HYPERLINK("#'Main'!B1","Open"))</f>
        <v/>
      </c>
      <c r="T226" s="38">
        <f>IFERROR(HYPERLINK("#'Technical Diagnostics'!A"&amp;MATCH(A226,'Technical Diagnostics'!A:A,0),"Open"),HYPERLINK("#'Technical Diagnostics'!A1","Open"))</f>
        <v/>
      </c>
    </row>
    <row r="227" ht="60" customHeight="1">
      <c r="A227" s="35" t="inlineStr">
        <is>
          <t>https://africanmarketingconfederation.org/smoke-archive/page-55</t>
        </is>
      </c>
      <c r="B227" s="28" t="inlineStr"/>
      <c r="C227" s="28" t="inlineStr"/>
      <c r="D227" s="28" t="inlineStr">
        <is>
          <t>Basic SEO</t>
        </is>
      </c>
      <c r="E227" s="33" t="inlineStr">
        <is>
          <t>Observation</t>
        </is>
      </c>
      <c r="F227" s="28" t="inlineStr">
        <is>
          <t>No internal links found</t>
        </is>
      </c>
      <c r="G227" s="28" t="n">
        <v>37</v>
      </c>
      <c r="H227" s="28" t="n">
        <v>0</v>
      </c>
      <c r="I227" s="28" t="inlineStr">
        <is>
          <t>&gt;=2 relevant internal links</t>
        </is>
      </c>
      <c r="J227" s="28" t="inlineStr">
        <is>
          <t>Add contextual internal links from and to related pages using descriptive anchor text. (Taxonomy/Archive page: navigate via AIOSEO → Search Appearance → Taxonomies.)</t>
        </is>
      </c>
      <c r="K227" s="28" t="inlineStr">
        <is>
          <t>Links</t>
        </is>
      </c>
      <c r="L227" s="28" t="inlineStr">
        <is>
          <t>Internal Links Count</t>
        </is>
      </c>
      <c r="M227" s="28" t="inlineStr">
        <is>
          <t>No</t>
        </is>
      </c>
      <c r="N227" s="28" t="inlineStr">
        <is>
          <t>Copy Writer</t>
        </is>
      </c>
      <c r="O227" s="36" t="inlineStr">
        <is>
          <t>Open</t>
        </is>
      </c>
      <c r="P227" s="28" t="n">
        <v>4</v>
      </c>
      <c r="Q227" s="28" t="inlineStr">
        <is>
          <t>https://africanmarketingconfederation.org/smoke-archive/page-55::aioseo_no_internal_links_found</t>
        </is>
      </c>
      <c r="R227" s="28" t="inlineStr">
        <is>
          <t>Internal links help discovery, topical signals, and authority flow.</t>
        </is>
      </c>
      <c r="S227">
        <f>IFERROR(HYPERLINK("#'Main'!B"&amp;MATCH(TRIM(A227),'Main'!B:B,0),"Open"),HYPERLINK("#'Main'!B1","Open"))</f>
        <v/>
      </c>
      <c r="T227">
        <f>IFERROR(HYPERLINK("#'Technical Diagnostics'!A"&amp;MATCH(A227,'Technical Diagnostics'!A:A,0),"Open"),HYPERLINK("#'Technical Diagnostics'!A1","Open"))</f>
        <v/>
      </c>
    </row>
    <row r="228" ht="60" customHeight="1">
      <c r="A228" s="37" t="inlineStr">
        <is>
          <t>https://africanmarketingconfederation.org/smoke-archive/page-56</t>
        </is>
      </c>
      <c r="B228" s="30" t="inlineStr"/>
      <c r="C228" s="30" t="inlineStr"/>
      <c r="D228" s="30" t="inlineStr">
        <is>
          <t>Basic SEO</t>
        </is>
      </c>
      <c r="E228" s="33" t="inlineStr">
        <is>
          <t>Observation</t>
        </is>
      </c>
      <c r="F228" s="30" t="inlineStr">
        <is>
          <t>Meta description too short</t>
        </is>
      </c>
      <c r="G228" s="30" t="n">
        <v>37</v>
      </c>
      <c r="H228" s="30" t="n">
        <v>35</v>
      </c>
      <c r="I228" s="30" t="inlineStr">
        <is>
          <t>120-160 characters</t>
        </is>
      </c>
      <c r="J228" s="30" t="inlineStr">
        <is>
          <t>Expand meta description in AIOSEO to include key value points and intent terms naturally. (Taxonomy/Archive page: navigate via AIOSEO → Search Appearance → Taxonomies.)</t>
        </is>
      </c>
      <c r="K228" s="41" t="inlineStr">
        <is>
          <t>Main</t>
        </is>
      </c>
      <c r="L228" s="30" t="inlineStr">
        <is>
          <t>Meta Description</t>
        </is>
      </c>
      <c r="M228" s="30" t="inlineStr">
        <is>
          <t>No</t>
        </is>
      </c>
      <c r="N228" s="30" t="inlineStr">
        <is>
          <t>Copy Writer</t>
        </is>
      </c>
      <c r="O228" s="36" t="inlineStr">
        <is>
          <t>Open</t>
        </is>
      </c>
      <c r="P228" s="30" t="n">
        <v>4</v>
      </c>
      <c r="Q228" s="30" t="inlineStr">
        <is>
          <t>https://africanmarketingconfederation.org/smoke-archive/page-56::aioseo_meta_description_too_short</t>
        </is>
      </c>
      <c r="R228" s="30" t="inlineStr">
        <is>
          <t>Short descriptions can under-communicate relevance and value.</t>
        </is>
      </c>
      <c r="S228" s="38">
        <f>IFERROR(HYPERLINK("#'Main'!B"&amp;MATCH(TRIM(A228),'Main'!B:B,0),"Open"),HYPERLINK("#'Main'!B1","Open"))</f>
        <v/>
      </c>
      <c r="T228" s="38">
        <f>IFERROR(HYPERLINK("#'Technical Diagnostics'!A"&amp;MATCH(A228,'Technical Diagnostics'!A:A,0),"Open"),HYPERLINK("#'Technical Diagnostics'!A1","Open"))</f>
        <v/>
      </c>
    </row>
    <row r="229" ht="60" customHeight="1">
      <c r="A229" s="35" t="inlineStr">
        <is>
          <t>https://africanmarketingconfederation.org/smoke-archive/page-56</t>
        </is>
      </c>
      <c r="B229" s="28" t="inlineStr"/>
      <c r="C229" s="28" t="inlineStr"/>
      <c r="D229" s="28" t="inlineStr">
        <is>
          <t>Basic SEO</t>
        </is>
      </c>
      <c r="E229" s="33" t="inlineStr">
        <is>
          <t>Observation</t>
        </is>
      </c>
      <c r="F229" s="28" t="inlineStr">
        <is>
          <t>No internal links found</t>
        </is>
      </c>
      <c r="G229" s="28" t="n">
        <v>37</v>
      </c>
      <c r="H229" s="28" t="n">
        <v>0</v>
      </c>
      <c r="I229" s="28" t="inlineStr">
        <is>
          <t>&gt;=2 relevant internal links</t>
        </is>
      </c>
      <c r="J229" s="28" t="inlineStr">
        <is>
          <t>Add contextual internal links from and to related pages using descriptive anchor text. (Taxonomy/Archive page: navigate via AIOSEO → Search Appearance → Taxonomies.)</t>
        </is>
      </c>
      <c r="K229" s="28" t="inlineStr">
        <is>
          <t>Links</t>
        </is>
      </c>
      <c r="L229" s="28" t="inlineStr">
        <is>
          <t>Internal Links Count</t>
        </is>
      </c>
      <c r="M229" s="28" t="inlineStr">
        <is>
          <t>No</t>
        </is>
      </c>
      <c r="N229" s="28" t="inlineStr">
        <is>
          <t>Copy Writer</t>
        </is>
      </c>
      <c r="O229" s="36" t="inlineStr">
        <is>
          <t>Open</t>
        </is>
      </c>
      <c r="P229" s="28" t="n">
        <v>4</v>
      </c>
      <c r="Q229" s="28" t="inlineStr">
        <is>
          <t>https://africanmarketingconfederation.org/smoke-archive/page-56::aioseo_no_internal_links_found</t>
        </is>
      </c>
      <c r="R229" s="28" t="inlineStr">
        <is>
          <t>Internal links help discovery, topical signals, and authority flow.</t>
        </is>
      </c>
      <c r="S229">
        <f>IFERROR(HYPERLINK("#'Main'!B"&amp;MATCH(TRIM(A229),'Main'!B:B,0),"Open"),HYPERLINK("#'Main'!B1","Open"))</f>
        <v/>
      </c>
      <c r="T229">
        <f>IFERROR(HYPERLINK("#'Technical Diagnostics'!A"&amp;MATCH(A229,'Technical Diagnostics'!A:A,0),"Open"),HYPERLINK("#'Technical Diagnostics'!A1","Open"))</f>
        <v/>
      </c>
    </row>
    <row r="230" ht="60" customHeight="1">
      <c r="A230" s="37" t="inlineStr">
        <is>
          <t>https://africanmarketingconfederation.org/smoke-archive/page-57</t>
        </is>
      </c>
      <c r="B230" s="30" t="inlineStr"/>
      <c r="C230" s="30" t="inlineStr"/>
      <c r="D230" s="30" t="inlineStr">
        <is>
          <t>Basic SEO</t>
        </is>
      </c>
      <c r="E230" s="33" t="inlineStr">
        <is>
          <t>Observation</t>
        </is>
      </c>
      <c r="F230" s="30" t="inlineStr">
        <is>
          <t>Meta description too short</t>
        </is>
      </c>
      <c r="G230" s="30" t="n">
        <v>37</v>
      </c>
      <c r="H230" s="30" t="n">
        <v>35</v>
      </c>
      <c r="I230" s="30" t="inlineStr">
        <is>
          <t>120-160 characters</t>
        </is>
      </c>
      <c r="J230" s="30" t="inlineStr">
        <is>
          <t>Expand meta description in AIOSEO to include key value points and intent terms naturally. (Taxonomy/Archive page: navigate via AIOSEO → Search Appearance → Taxonomies.)</t>
        </is>
      </c>
      <c r="K230" s="41" t="inlineStr">
        <is>
          <t>Main</t>
        </is>
      </c>
      <c r="L230" s="30" t="inlineStr">
        <is>
          <t>Meta Description</t>
        </is>
      </c>
      <c r="M230" s="30" t="inlineStr">
        <is>
          <t>No</t>
        </is>
      </c>
      <c r="N230" s="30" t="inlineStr">
        <is>
          <t>Copy Writer</t>
        </is>
      </c>
      <c r="O230" s="36" t="inlineStr">
        <is>
          <t>Open</t>
        </is>
      </c>
      <c r="P230" s="30" t="n">
        <v>4</v>
      </c>
      <c r="Q230" s="30" t="inlineStr">
        <is>
          <t>https://africanmarketingconfederation.org/smoke-archive/page-57::aioseo_meta_description_too_short</t>
        </is>
      </c>
      <c r="R230" s="30" t="inlineStr">
        <is>
          <t>Short descriptions can under-communicate relevance and value.</t>
        </is>
      </c>
      <c r="S230" s="38">
        <f>IFERROR(HYPERLINK("#'Main'!B"&amp;MATCH(TRIM(A230),'Main'!B:B,0),"Open"),HYPERLINK("#'Main'!B1","Open"))</f>
        <v/>
      </c>
      <c r="T230" s="38">
        <f>IFERROR(HYPERLINK("#'Technical Diagnostics'!A"&amp;MATCH(A230,'Technical Diagnostics'!A:A,0),"Open"),HYPERLINK("#'Technical Diagnostics'!A1","Open"))</f>
        <v/>
      </c>
    </row>
    <row r="231" ht="60" customHeight="1">
      <c r="A231" s="35" t="inlineStr">
        <is>
          <t>https://africanmarketingconfederation.org/smoke-archive/page-57</t>
        </is>
      </c>
      <c r="B231" s="28" t="inlineStr"/>
      <c r="C231" s="28" t="inlineStr"/>
      <c r="D231" s="28" t="inlineStr">
        <is>
          <t>Basic SEO</t>
        </is>
      </c>
      <c r="E231" s="33" t="inlineStr">
        <is>
          <t>Observation</t>
        </is>
      </c>
      <c r="F231" s="28" t="inlineStr">
        <is>
          <t>No internal links found</t>
        </is>
      </c>
      <c r="G231" s="28" t="n">
        <v>37</v>
      </c>
      <c r="H231" s="28" t="n">
        <v>0</v>
      </c>
      <c r="I231" s="28" t="inlineStr">
        <is>
          <t>&gt;=2 relevant internal links</t>
        </is>
      </c>
      <c r="J231" s="28" t="inlineStr">
        <is>
          <t>Add contextual internal links from and to related pages using descriptive anchor text. (Taxonomy/Archive page: navigate via AIOSEO → Search Appearance → Taxonomies.)</t>
        </is>
      </c>
      <c r="K231" s="28" t="inlineStr">
        <is>
          <t>Links</t>
        </is>
      </c>
      <c r="L231" s="28" t="inlineStr">
        <is>
          <t>Internal Links Count</t>
        </is>
      </c>
      <c r="M231" s="28" t="inlineStr">
        <is>
          <t>No</t>
        </is>
      </c>
      <c r="N231" s="28" t="inlineStr">
        <is>
          <t>Copy Writer</t>
        </is>
      </c>
      <c r="O231" s="36" t="inlineStr">
        <is>
          <t>Open</t>
        </is>
      </c>
      <c r="P231" s="28" t="n">
        <v>4</v>
      </c>
      <c r="Q231" s="28" t="inlineStr">
        <is>
          <t>https://africanmarketingconfederation.org/smoke-archive/page-57::aioseo_no_internal_links_found</t>
        </is>
      </c>
      <c r="R231" s="28" t="inlineStr">
        <is>
          <t>Internal links help discovery, topical signals, and authority flow.</t>
        </is>
      </c>
      <c r="S231">
        <f>IFERROR(HYPERLINK("#'Main'!B"&amp;MATCH(TRIM(A231),'Main'!B:B,0),"Open"),HYPERLINK("#'Main'!B1","Open"))</f>
        <v/>
      </c>
      <c r="T231">
        <f>IFERROR(HYPERLINK("#'Technical Diagnostics'!A"&amp;MATCH(A231,'Technical Diagnostics'!A:A,0),"Open"),HYPERLINK("#'Technical Diagnostics'!A1","Open"))</f>
        <v/>
      </c>
    </row>
    <row r="232" ht="60" customHeight="1">
      <c r="A232" s="37" t="inlineStr">
        <is>
          <t>https://africanmarketingconfederation.org/smoke-archive/page-58</t>
        </is>
      </c>
      <c r="B232" s="30" t="inlineStr"/>
      <c r="C232" s="30" t="inlineStr"/>
      <c r="D232" s="30" t="inlineStr">
        <is>
          <t>Basic SEO</t>
        </is>
      </c>
      <c r="E232" s="33" t="inlineStr">
        <is>
          <t>Observation</t>
        </is>
      </c>
      <c r="F232" s="30" t="inlineStr">
        <is>
          <t>Meta description too short</t>
        </is>
      </c>
      <c r="G232" s="30" t="n">
        <v>37</v>
      </c>
      <c r="H232" s="30" t="n">
        <v>35</v>
      </c>
      <c r="I232" s="30" t="inlineStr">
        <is>
          <t>120-160 characters</t>
        </is>
      </c>
      <c r="J232" s="30" t="inlineStr">
        <is>
          <t>Expand meta description in AIOSEO to include key value points and intent terms naturally. (Taxonomy/Archive page: navigate via AIOSEO → Search Appearance → Taxonomies.)</t>
        </is>
      </c>
      <c r="K232" s="41" t="inlineStr">
        <is>
          <t>Main</t>
        </is>
      </c>
      <c r="L232" s="30" t="inlineStr">
        <is>
          <t>Meta Description</t>
        </is>
      </c>
      <c r="M232" s="30" t="inlineStr">
        <is>
          <t>No</t>
        </is>
      </c>
      <c r="N232" s="30" t="inlineStr">
        <is>
          <t>Copy Writer</t>
        </is>
      </c>
      <c r="O232" s="36" t="inlineStr">
        <is>
          <t>Open</t>
        </is>
      </c>
      <c r="P232" s="30" t="n">
        <v>4</v>
      </c>
      <c r="Q232" s="30" t="inlineStr">
        <is>
          <t>https://africanmarketingconfederation.org/smoke-archive/page-58::aioseo_meta_description_too_short</t>
        </is>
      </c>
      <c r="R232" s="30" t="inlineStr">
        <is>
          <t>Short descriptions can under-communicate relevance and value.</t>
        </is>
      </c>
      <c r="S232" s="38">
        <f>IFERROR(HYPERLINK("#'Main'!B"&amp;MATCH(TRIM(A232),'Main'!B:B,0),"Open"),HYPERLINK("#'Main'!B1","Open"))</f>
        <v/>
      </c>
      <c r="T232" s="38">
        <f>IFERROR(HYPERLINK("#'Technical Diagnostics'!A"&amp;MATCH(A232,'Technical Diagnostics'!A:A,0),"Open"),HYPERLINK("#'Technical Diagnostics'!A1","Open"))</f>
        <v/>
      </c>
    </row>
    <row r="233" ht="60" customHeight="1">
      <c r="A233" s="35" t="inlineStr">
        <is>
          <t>https://africanmarketingconfederation.org/smoke-archive/page-58</t>
        </is>
      </c>
      <c r="B233" s="28" t="inlineStr"/>
      <c r="C233" s="28" t="inlineStr"/>
      <c r="D233" s="28" t="inlineStr">
        <is>
          <t>Basic SEO</t>
        </is>
      </c>
      <c r="E233" s="33" t="inlineStr">
        <is>
          <t>Observation</t>
        </is>
      </c>
      <c r="F233" s="28" t="inlineStr">
        <is>
          <t>No internal links found</t>
        </is>
      </c>
      <c r="G233" s="28" t="n">
        <v>37</v>
      </c>
      <c r="H233" s="28" t="n">
        <v>0</v>
      </c>
      <c r="I233" s="28" t="inlineStr">
        <is>
          <t>&gt;=2 relevant internal links</t>
        </is>
      </c>
      <c r="J233" s="28" t="inlineStr">
        <is>
          <t>Add contextual internal links from and to related pages using descriptive anchor text. (Taxonomy/Archive page: navigate via AIOSEO → Search Appearance → Taxonomies.)</t>
        </is>
      </c>
      <c r="K233" s="28" t="inlineStr">
        <is>
          <t>Links</t>
        </is>
      </c>
      <c r="L233" s="28" t="inlineStr">
        <is>
          <t>Internal Links Count</t>
        </is>
      </c>
      <c r="M233" s="28" t="inlineStr">
        <is>
          <t>No</t>
        </is>
      </c>
      <c r="N233" s="28" t="inlineStr">
        <is>
          <t>Copy Writer</t>
        </is>
      </c>
      <c r="O233" s="36" t="inlineStr">
        <is>
          <t>Open</t>
        </is>
      </c>
      <c r="P233" s="28" t="n">
        <v>4</v>
      </c>
      <c r="Q233" s="28" t="inlineStr">
        <is>
          <t>https://africanmarketingconfederation.org/smoke-archive/page-58::aioseo_no_internal_links_found</t>
        </is>
      </c>
      <c r="R233" s="28" t="inlineStr">
        <is>
          <t>Internal links help discovery, topical signals, and authority flow.</t>
        </is>
      </c>
      <c r="S233">
        <f>IFERROR(HYPERLINK("#'Main'!B"&amp;MATCH(TRIM(A233),'Main'!B:B,0),"Open"),HYPERLINK("#'Main'!B1","Open"))</f>
        <v/>
      </c>
      <c r="T233">
        <f>IFERROR(HYPERLINK("#'Technical Diagnostics'!A"&amp;MATCH(A233,'Technical Diagnostics'!A:A,0),"Open"),HYPERLINK("#'Technical Diagnostics'!A1","Open"))</f>
        <v/>
      </c>
    </row>
    <row r="234" ht="60" customHeight="1">
      <c r="A234" s="37" t="inlineStr">
        <is>
          <t>https://africanmarketingconfederation.org/smoke-archive/page-59</t>
        </is>
      </c>
      <c r="B234" s="30" t="inlineStr"/>
      <c r="C234" s="30" t="inlineStr"/>
      <c r="D234" s="30" t="inlineStr">
        <is>
          <t>Basic SEO</t>
        </is>
      </c>
      <c r="E234" s="33" t="inlineStr">
        <is>
          <t>Observation</t>
        </is>
      </c>
      <c r="F234" s="30" t="inlineStr">
        <is>
          <t>Meta description too short</t>
        </is>
      </c>
      <c r="G234" s="30" t="n">
        <v>37</v>
      </c>
      <c r="H234" s="30" t="n">
        <v>35</v>
      </c>
      <c r="I234" s="30" t="inlineStr">
        <is>
          <t>120-160 characters</t>
        </is>
      </c>
      <c r="J234" s="30" t="inlineStr">
        <is>
          <t>Expand meta description in AIOSEO to include key value points and intent terms naturally. (Taxonomy/Archive page: navigate via AIOSEO → Search Appearance → Taxonomies.)</t>
        </is>
      </c>
      <c r="K234" s="41" t="inlineStr">
        <is>
          <t>Main</t>
        </is>
      </c>
      <c r="L234" s="30" t="inlineStr">
        <is>
          <t>Meta Description</t>
        </is>
      </c>
      <c r="M234" s="30" t="inlineStr">
        <is>
          <t>No</t>
        </is>
      </c>
      <c r="N234" s="30" t="inlineStr">
        <is>
          <t>Copy Writer</t>
        </is>
      </c>
      <c r="O234" s="36" t="inlineStr">
        <is>
          <t>Open</t>
        </is>
      </c>
      <c r="P234" s="30" t="n">
        <v>4</v>
      </c>
      <c r="Q234" s="30" t="inlineStr">
        <is>
          <t>https://africanmarketingconfederation.org/smoke-archive/page-59::aioseo_meta_description_too_short</t>
        </is>
      </c>
      <c r="R234" s="30" t="inlineStr">
        <is>
          <t>Short descriptions can under-communicate relevance and value.</t>
        </is>
      </c>
      <c r="S234" s="38">
        <f>IFERROR(HYPERLINK("#'Main'!B"&amp;MATCH(TRIM(A234),'Main'!B:B,0),"Open"),HYPERLINK("#'Main'!B1","Open"))</f>
        <v/>
      </c>
      <c r="T234" s="38">
        <f>IFERROR(HYPERLINK("#'Technical Diagnostics'!A"&amp;MATCH(A234,'Technical Diagnostics'!A:A,0),"Open"),HYPERLINK("#'Technical Diagnostics'!A1","Open"))</f>
        <v/>
      </c>
    </row>
    <row r="235" ht="60" customHeight="1">
      <c r="A235" s="35" t="inlineStr">
        <is>
          <t>https://africanmarketingconfederation.org/smoke-archive/page-59</t>
        </is>
      </c>
      <c r="B235" s="28" t="inlineStr"/>
      <c r="C235" s="28" t="inlineStr"/>
      <c r="D235" s="28" t="inlineStr">
        <is>
          <t>Basic SEO</t>
        </is>
      </c>
      <c r="E235" s="33" t="inlineStr">
        <is>
          <t>Observation</t>
        </is>
      </c>
      <c r="F235" s="28" t="inlineStr">
        <is>
          <t>No internal links found</t>
        </is>
      </c>
      <c r="G235" s="28" t="n">
        <v>37</v>
      </c>
      <c r="H235" s="28" t="n">
        <v>0</v>
      </c>
      <c r="I235" s="28" t="inlineStr">
        <is>
          <t>&gt;=2 relevant internal links</t>
        </is>
      </c>
      <c r="J235" s="28" t="inlineStr">
        <is>
          <t>Add contextual internal links from and to related pages using descriptive anchor text. (Taxonomy/Archive page: navigate via AIOSEO → Search Appearance → Taxonomies.)</t>
        </is>
      </c>
      <c r="K235" s="28" t="inlineStr">
        <is>
          <t>Links</t>
        </is>
      </c>
      <c r="L235" s="28" t="inlineStr">
        <is>
          <t>Internal Links Count</t>
        </is>
      </c>
      <c r="M235" s="28" t="inlineStr">
        <is>
          <t>No</t>
        </is>
      </c>
      <c r="N235" s="28" t="inlineStr">
        <is>
          <t>Copy Writer</t>
        </is>
      </c>
      <c r="O235" s="36" t="inlineStr">
        <is>
          <t>Open</t>
        </is>
      </c>
      <c r="P235" s="28" t="n">
        <v>4</v>
      </c>
      <c r="Q235" s="28" t="inlineStr">
        <is>
          <t>https://africanmarketingconfederation.org/smoke-archive/page-59::aioseo_no_internal_links_found</t>
        </is>
      </c>
      <c r="R235" s="28" t="inlineStr">
        <is>
          <t>Internal links help discovery, topical signals, and authority flow.</t>
        </is>
      </c>
      <c r="S235">
        <f>IFERROR(HYPERLINK("#'Main'!B"&amp;MATCH(TRIM(A235),'Main'!B:B,0),"Open"),HYPERLINK("#'Main'!B1","Open"))</f>
        <v/>
      </c>
      <c r="T235">
        <f>IFERROR(HYPERLINK("#'Technical Diagnostics'!A"&amp;MATCH(A235,'Technical Diagnostics'!A:A,0),"Open"),HYPERLINK("#'Technical Diagnostics'!A1","Open"))</f>
        <v/>
      </c>
    </row>
    <row r="236" ht="60" customHeight="1">
      <c r="A236" s="37" t="inlineStr">
        <is>
          <t>https://africanmarketingconfederation.org/smoke-archive/page-6</t>
        </is>
      </c>
      <c r="B236" s="30" t="inlineStr"/>
      <c r="C236" s="30" t="inlineStr"/>
      <c r="D236" s="30" t="inlineStr">
        <is>
          <t>Basic SEO</t>
        </is>
      </c>
      <c r="E236" s="33" t="inlineStr">
        <is>
          <t>Observation</t>
        </is>
      </c>
      <c r="F236" s="30" t="inlineStr">
        <is>
          <t>Meta description too short</t>
        </is>
      </c>
      <c r="G236" s="30" t="n">
        <v>37</v>
      </c>
      <c r="H236" s="30" t="n">
        <v>34</v>
      </c>
      <c r="I236" s="30" t="inlineStr">
        <is>
          <t>120-160 characters</t>
        </is>
      </c>
      <c r="J236" s="30" t="inlineStr">
        <is>
          <t>Expand meta description in AIOSEO to include key value points and intent terms naturally. (Taxonomy/Archive page: navigate via AIOSEO → Search Appearance → Taxonomies.)</t>
        </is>
      </c>
      <c r="K236" s="41" t="inlineStr">
        <is>
          <t>Main</t>
        </is>
      </c>
      <c r="L236" s="30" t="inlineStr">
        <is>
          <t>Meta Description</t>
        </is>
      </c>
      <c r="M236" s="30" t="inlineStr">
        <is>
          <t>No</t>
        </is>
      </c>
      <c r="N236" s="30" t="inlineStr">
        <is>
          <t>Copy Writer</t>
        </is>
      </c>
      <c r="O236" s="36" t="inlineStr">
        <is>
          <t>Open</t>
        </is>
      </c>
      <c r="P236" s="30" t="n">
        <v>4</v>
      </c>
      <c r="Q236" s="30" t="inlineStr">
        <is>
          <t>https://africanmarketingconfederation.org/smoke-archive/page-6::aioseo_meta_description_too_short</t>
        </is>
      </c>
      <c r="R236" s="30" t="inlineStr">
        <is>
          <t>Short descriptions can under-communicate relevance and value.</t>
        </is>
      </c>
      <c r="S236" s="38">
        <f>IFERROR(HYPERLINK("#'Main'!B"&amp;MATCH(TRIM(A236),'Main'!B:B,0),"Open"),HYPERLINK("#'Main'!B1","Open"))</f>
        <v/>
      </c>
      <c r="T236" s="38">
        <f>IFERROR(HYPERLINK("#'Technical Diagnostics'!A"&amp;MATCH(A236,'Technical Diagnostics'!A:A,0),"Open"),HYPERLINK("#'Technical Diagnostics'!A1","Open"))</f>
        <v/>
      </c>
    </row>
    <row r="237" ht="60" customHeight="1">
      <c r="A237" s="35" t="inlineStr">
        <is>
          <t>https://africanmarketingconfederation.org/smoke-archive/page-6</t>
        </is>
      </c>
      <c r="B237" s="28" t="inlineStr"/>
      <c r="C237" s="28" t="inlineStr"/>
      <c r="D237" s="28" t="inlineStr">
        <is>
          <t>Basic SEO</t>
        </is>
      </c>
      <c r="E237" s="33" t="inlineStr">
        <is>
          <t>Observation</t>
        </is>
      </c>
      <c r="F237" s="28" t="inlineStr">
        <is>
          <t>No internal links found</t>
        </is>
      </c>
      <c r="G237" s="28" t="n">
        <v>37</v>
      </c>
      <c r="H237" s="28" t="n">
        <v>0</v>
      </c>
      <c r="I237" s="28" t="inlineStr">
        <is>
          <t>&gt;=2 relevant internal links</t>
        </is>
      </c>
      <c r="J237" s="28" t="inlineStr">
        <is>
          <t>Add contextual internal links from and to related pages using descriptive anchor text. (Taxonomy/Archive page: navigate via AIOSEO → Search Appearance → Taxonomies.)</t>
        </is>
      </c>
      <c r="K237" s="28" t="inlineStr">
        <is>
          <t>Links</t>
        </is>
      </c>
      <c r="L237" s="28" t="inlineStr">
        <is>
          <t>Internal Links Count</t>
        </is>
      </c>
      <c r="M237" s="28" t="inlineStr">
        <is>
          <t>No</t>
        </is>
      </c>
      <c r="N237" s="28" t="inlineStr">
        <is>
          <t>Copy Writer</t>
        </is>
      </c>
      <c r="O237" s="36" t="inlineStr">
        <is>
          <t>Open</t>
        </is>
      </c>
      <c r="P237" s="28" t="n">
        <v>4</v>
      </c>
      <c r="Q237" s="28" t="inlineStr">
        <is>
          <t>https://africanmarketingconfederation.org/smoke-archive/page-6::aioseo_no_internal_links_found</t>
        </is>
      </c>
      <c r="R237" s="28" t="inlineStr">
        <is>
          <t>Internal links help discovery, topical signals, and authority flow.</t>
        </is>
      </c>
      <c r="S237">
        <f>IFERROR(HYPERLINK("#'Main'!B"&amp;MATCH(TRIM(A237),'Main'!B:B,0),"Open"),HYPERLINK("#'Main'!B1","Open"))</f>
        <v/>
      </c>
      <c r="T237">
        <f>IFERROR(HYPERLINK("#'Technical Diagnostics'!A"&amp;MATCH(A237,'Technical Diagnostics'!A:A,0),"Open"),HYPERLINK("#'Technical Diagnostics'!A1","Open"))</f>
        <v/>
      </c>
    </row>
    <row r="238" ht="60" customHeight="1">
      <c r="A238" s="37" t="inlineStr">
        <is>
          <t>https://africanmarketingconfederation.org/smoke-archive/page-60</t>
        </is>
      </c>
      <c r="B238" s="30" t="inlineStr"/>
      <c r="C238" s="30" t="inlineStr"/>
      <c r="D238" s="30" t="inlineStr">
        <is>
          <t>Basic SEO</t>
        </is>
      </c>
      <c r="E238" s="33" t="inlineStr">
        <is>
          <t>Observation</t>
        </is>
      </c>
      <c r="F238" s="30" t="inlineStr">
        <is>
          <t>No internal links found</t>
        </is>
      </c>
      <c r="G238" s="30" t="n">
        <v>37</v>
      </c>
      <c r="H238" s="30" t="n">
        <v>0</v>
      </c>
      <c r="I238" s="30" t="inlineStr">
        <is>
          <t>&gt;=2 relevant internal links</t>
        </is>
      </c>
      <c r="J238" s="30" t="inlineStr">
        <is>
          <t>Add contextual internal links from and to related pages using descriptive anchor text. (Taxonomy/Archive page: navigate via AIOSEO → Search Appearance → Taxonomies.)</t>
        </is>
      </c>
      <c r="K238" s="30" t="inlineStr">
        <is>
          <t>Links</t>
        </is>
      </c>
      <c r="L238" s="30" t="inlineStr">
        <is>
          <t>Internal Links Count</t>
        </is>
      </c>
      <c r="M238" s="30" t="inlineStr">
        <is>
          <t>No</t>
        </is>
      </c>
      <c r="N238" s="30" t="inlineStr">
        <is>
          <t>Copy Writer</t>
        </is>
      </c>
      <c r="O238" s="36" t="inlineStr">
        <is>
          <t>Open</t>
        </is>
      </c>
      <c r="P238" s="30" t="n">
        <v>4</v>
      </c>
      <c r="Q238" s="30" t="inlineStr">
        <is>
          <t>https://africanmarketingconfederation.org/smoke-archive/page-60::aioseo_no_internal_links_found</t>
        </is>
      </c>
      <c r="R238" s="30" t="inlineStr">
        <is>
          <t>Internal links help discovery, topical signals, and authority flow.</t>
        </is>
      </c>
      <c r="S238" s="38">
        <f>IFERROR(HYPERLINK("#'Main'!B"&amp;MATCH(TRIM(A238),'Main'!B:B,0),"Open"),HYPERLINK("#'Main'!B1","Open"))</f>
        <v/>
      </c>
      <c r="T238" s="38">
        <f>IFERROR(HYPERLINK("#'Technical Diagnostics'!A"&amp;MATCH(A238,'Technical Diagnostics'!A:A,0),"Open"),HYPERLINK("#'Technical Diagnostics'!A1","Open"))</f>
        <v/>
      </c>
    </row>
    <row r="239" ht="60" customHeight="1">
      <c r="A239" s="35" t="inlineStr">
        <is>
          <t>https://africanmarketingconfederation.org/smoke-archive/page-61</t>
        </is>
      </c>
      <c r="B239" s="28" t="inlineStr"/>
      <c r="C239" s="28" t="inlineStr"/>
      <c r="D239" s="28" t="inlineStr">
        <is>
          <t>Basic SEO</t>
        </is>
      </c>
      <c r="E239" s="33" t="inlineStr">
        <is>
          <t>Observation</t>
        </is>
      </c>
      <c r="F239" s="28" t="inlineStr">
        <is>
          <t>Meta description too short</t>
        </is>
      </c>
      <c r="G239" s="28" t="n">
        <v>37</v>
      </c>
      <c r="H239" s="28" t="n">
        <v>35</v>
      </c>
      <c r="I239" s="28" t="inlineStr">
        <is>
          <t>120-160 characters</t>
        </is>
      </c>
      <c r="J239" s="28" t="inlineStr">
        <is>
          <t>Expand meta description in AIOSEO to include key value points and intent terms naturally. (Taxonomy/Archive page: navigate via AIOSEO → Search Appearance → Taxonomies.)</t>
        </is>
      </c>
      <c r="K239" s="39" t="inlineStr">
        <is>
          <t>Main</t>
        </is>
      </c>
      <c r="L239" s="28" t="inlineStr">
        <is>
          <t>Meta Description</t>
        </is>
      </c>
      <c r="M239" s="28" t="inlineStr">
        <is>
          <t>No</t>
        </is>
      </c>
      <c r="N239" s="28" t="inlineStr">
        <is>
          <t>Copy Writer</t>
        </is>
      </c>
      <c r="O239" s="36" t="inlineStr">
        <is>
          <t>Open</t>
        </is>
      </c>
      <c r="P239" s="28" t="n">
        <v>4</v>
      </c>
      <c r="Q239" s="28" t="inlineStr">
        <is>
          <t>https://africanmarketingconfederation.org/smoke-archive/page-61::aioseo_meta_description_too_short</t>
        </is>
      </c>
      <c r="R239" s="28" t="inlineStr">
        <is>
          <t>Short descriptions can under-communicate relevance and value.</t>
        </is>
      </c>
      <c r="S239">
        <f>IFERROR(HYPERLINK("#'Main'!B"&amp;MATCH(TRIM(A239),'Main'!B:B,0),"Open"),HYPERLINK("#'Main'!B1","Open"))</f>
        <v/>
      </c>
      <c r="T239">
        <f>IFERROR(HYPERLINK("#'Technical Diagnostics'!A"&amp;MATCH(A239,'Technical Diagnostics'!A:A,0),"Open"),HYPERLINK("#'Technical Diagnostics'!A1","Open"))</f>
        <v/>
      </c>
    </row>
    <row r="240" ht="60" customHeight="1">
      <c r="A240" s="37" t="inlineStr">
        <is>
          <t>https://africanmarketingconfederation.org/smoke-archive/page-61</t>
        </is>
      </c>
      <c r="B240" s="30" t="inlineStr"/>
      <c r="C240" s="30" t="inlineStr"/>
      <c r="D240" s="30" t="inlineStr">
        <is>
          <t>Basic SEO</t>
        </is>
      </c>
      <c r="E240" s="33" t="inlineStr">
        <is>
          <t>Observation</t>
        </is>
      </c>
      <c r="F240" s="30" t="inlineStr">
        <is>
          <t>No internal links found</t>
        </is>
      </c>
      <c r="G240" s="30" t="n">
        <v>37</v>
      </c>
      <c r="H240" s="30" t="n">
        <v>0</v>
      </c>
      <c r="I240" s="30" t="inlineStr">
        <is>
          <t>&gt;=2 relevant internal links</t>
        </is>
      </c>
      <c r="J240" s="30" t="inlineStr">
        <is>
          <t>Add contextual internal links from and to related pages using descriptive anchor text. (Taxonomy/Archive page: navigate via AIOSEO → Search Appearance → Taxonomies.)</t>
        </is>
      </c>
      <c r="K240" s="30" t="inlineStr">
        <is>
          <t>Links</t>
        </is>
      </c>
      <c r="L240" s="30" t="inlineStr">
        <is>
          <t>Internal Links Count</t>
        </is>
      </c>
      <c r="M240" s="30" t="inlineStr">
        <is>
          <t>No</t>
        </is>
      </c>
      <c r="N240" s="30" t="inlineStr">
        <is>
          <t>Copy Writer</t>
        </is>
      </c>
      <c r="O240" s="36" t="inlineStr">
        <is>
          <t>Open</t>
        </is>
      </c>
      <c r="P240" s="30" t="n">
        <v>4</v>
      </c>
      <c r="Q240" s="30" t="inlineStr">
        <is>
          <t>https://africanmarketingconfederation.org/smoke-archive/page-61::aioseo_no_internal_links_found</t>
        </is>
      </c>
      <c r="R240" s="30" t="inlineStr">
        <is>
          <t>Internal links help discovery, topical signals, and authority flow.</t>
        </is>
      </c>
      <c r="S240" s="38">
        <f>IFERROR(HYPERLINK("#'Main'!B"&amp;MATCH(TRIM(A240),'Main'!B:B,0),"Open"),HYPERLINK("#'Main'!B1","Open"))</f>
        <v/>
      </c>
      <c r="T240" s="38">
        <f>IFERROR(HYPERLINK("#'Technical Diagnostics'!A"&amp;MATCH(A240,'Technical Diagnostics'!A:A,0),"Open"),HYPERLINK("#'Technical Diagnostics'!A1","Open"))</f>
        <v/>
      </c>
    </row>
    <row r="241" ht="60" customHeight="1">
      <c r="A241" s="35" t="inlineStr">
        <is>
          <t>https://africanmarketingconfederation.org/smoke-archive/page-62</t>
        </is>
      </c>
      <c r="B241" s="28" t="inlineStr"/>
      <c r="C241" s="28" t="inlineStr"/>
      <c r="D241" s="28" t="inlineStr">
        <is>
          <t>Basic SEO</t>
        </is>
      </c>
      <c r="E241" s="33" t="inlineStr">
        <is>
          <t>Observation</t>
        </is>
      </c>
      <c r="F241" s="28" t="inlineStr">
        <is>
          <t>Meta description too short</t>
        </is>
      </c>
      <c r="G241" s="28" t="n">
        <v>37</v>
      </c>
      <c r="H241" s="28" t="n">
        <v>35</v>
      </c>
      <c r="I241" s="28" t="inlineStr">
        <is>
          <t>120-160 characters</t>
        </is>
      </c>
      <c r="J241" s="28" t="inlineStr">
        <is>
          <t>Expand meta description in AIOSEO to include key value points and intent terms naturally. (Taxonomy/Archive page: navigate via AIOSEO → Search Appearance → Taxonomies.)</t>
        </is>
      </c>
      <c r="K241" s="39" t="inlineStr">
        <is>
          <t>Main</t>
        </is>
      </c>
      <c r="L241" s="28" t="inlineStr">
        <is>
          <t>Meta Description</t>
        </is>
      </c>
      <c r="M241" s="28" t="inlineStr">
        <is>
          <t>No</t>
        </is>
      </c>
      <c r="N241" s="28" t="inlineStr">
        <is>
          <t>Copy Writer</t>
        </is>
      </c>
      <c r="O241" s="36" t="inlineStr">
        <is>
          <t>Open</t>
        </is>
      </c>
      <c r="P241" s="28" t="n">
        <v>4</v>
      </c>
      <c r="Q241" s="28" t="inlineStr">
        <is>
          <t>https://africanmarketingconfederation.org/smoke-archive/page-62::aioseo_meta_description_too_short</t>
        </is>
      </c>
      <c r="R241" s="28" t="inlineStr">
        <is>
          <t>Short descriptions can under-communicate relevance and value.</t>
        </is>
      </c>
      <c r="S241">
        <f>IFERROR(HYPERLINK("#'Main'!B"&amp;MATCH(TRIM(A241),'Main'!B:B,0),"Open"),HYPERLINK("#'Main'!B1","Open"))</f>
        <v/>
      </c>
      <c r="T241">
        <f>IFERROR(HYPERLINK("#'Technical Diagnostics'!A"&amp;MATCH(A241,'Technical Diagnostics'!A:A,0),"Open"),HYPERLINK("#'Technical Diagnostics'!A1","Open"))</f>
        <v/>
      </c>
    </row>
    <row r="242" ht="60" customHeight="1">
      <c r="A242" s="37" t="inlineStr">
        <is>
          <t>https://africanmarketingconfederation.org/smoke-archive/page-62</t>
        </is>
      </c>
      <c r="B242" s="30" t="inlineStr"/>
      <c r="C242" s="30" t="inlineStr"/>
      <c r="D242" s="30" t="inlineStr">
        <is>
          <t>Basic SEO</t>
        </is>
      </c>
      <c r="E242" s="33" t="inlineStr">
        <is>
          <t>Observation</t>
        </is>
      </c>
      <c r="F242" s="30" t="inlineStr">
        <is>
          <t>No internal links found</t>
        </is>
      </c>
      <c r="G242" s="30" t="n">
        <v>37</v>
      </c>
      <c r="H242" s="30" t="n">
        <v>0</v>
      </c>
      <c r="I242" s="30" t="inlineStr">
        <is>
          <t>&gt;=2 relevant internal links</t>
        </is>
      </c>
      <c r="J242" s="30" t="inlineStr">
        <is>
          <t>Add contextual internal links from and to related pages using descriptive anchor text. (Taxonomy/Archive page: navigate via AIOSEO → Search Appearance → Taxonomies.)</t>
        </is>
      </c>
      <c r="K242" s="30" t="inlineStr">
        <is>
          <t>Links</t>
        </is>
      </c>
      <c r="L242" s="30" t="inlineStr">
        <is>
          <t>Internal Links Count</t>
        </is>
      </c>
      <c r="M242" s="30" t="inlineStr">
        <is>
          <t>No</t>
        </is>
      </c>
      <c r="N242" s="30" t="inlineStr">
        <is>
          <t>Copy Writer</t>
        </is>
      </c>
      <c r="O242" s="36" t="inlineStr">
        <is>
          <t>Open</t>
        </is>
      </c>
      <c r="P242" s="30" t="n">
        <v>4</v>
      </c>
      <c r="Q242" s="30" t="inlineStr">
        <is>
          <t>https://africanmarketingconfederation.org/smoke-archive/page-62::aioseo_no_internal_links_found</t>
        </is>
      </c>
      <c r="R242" s="30" t="inlineStr">
        <is>
          <t>Internal links help discovery, topical signals, and authority flow.</t>
        </is>
      </c>
      <c r="S242" s="38">
        <f>IFERROR(HYPERLINK("#'Main'!B"&amp;MATCH(TRIM(A242),'Main'!B:B,0),"Open"),HYPERLINK("#'Main'!B1","Open"))</f>
        <v/>
      </c>
      <c r="T242" s="38">
        <f>IFERROR(HYPERLINK("#'Technical Diagnostics'!A"&amp;MATCH(A242,'Technical Diagnostics'!A:A,0),"Open"),HYPERLINK("#'Technical Diagnostics'!A1","Open"))</f>
        <v/>
      </c>
    </row>
    <row r="243" ht="60" customHeight="1">
      <c r="A243" s="35" t="inlineStr">
        <is>
          <t>https://africanmarketingconfederation.org/smoke-archive/page-63</t>
        </is>
      </c>
      <c r="B243" s="28" t="inlineStr"/>
      <c r="C243" s="28" t="inlineStr"/>
      <c r="D243" s="28" t="inlineStr">
        <is>
          <t>Basic SEO</t>
        </is>
      </c>
      <c r="E243" s="33" t="inlineStr">
        <is>
          <t>Observation</t>
        </is>
      </c>
      <c r="F243" s="28" t="inlineStr">
        <is>
          <t>Meta description too short</t>
        </is>
      </c>
      <c r="G243" s="28" t="n">
        <v>37</v>
      </c>
      <c r="H243" s="28" t="n">
        <v>35</v>
      </c>
      <c r="I243" s="28" t="inlineStr">
        <is>
          <t>120-160 characters</t>
        </is>
      </c>
      <c r="J243" s="28" t="inlineStr">
        <is>
          <t>Expand meta description in AIOSEO to include key value points and intent terms naturally. (Taxonomy/Archive page: navigate via AIOSEO → Search Appearance → Taxonomies.)</t>
        </is>
      </c>
      <c r="K243" s="39" t="inlineStr">
        <is>
          <t>Main</t>
        </is>
      </c>
      <c r="L243" s="28" t="inlineStr">
        <is>
          <t>Meta Description</t>
        </is>
      </c>
      <c r="M243" s="28" t="inlineStr">
        <is>
          <t>No</t>
        </is>
      </c>
      <c r="N243" s="28" t="inlineStr">
        <is>
          <t>Copy Writer</t>
        </is>
      </c>
      <c r="O243" s="36" t="inlineStr">
        <is>
          <t>Open</t>
        </is>
      </c>
      <c r="P243" s="28" t="n">
        <v>4</v>
      </c>
      <c r="Q243" s="28" t="inlineStr">
        <is>
          <t>https://africanmarketingconfederation.org/smoke-archive/page-63::aioseo_meta_description_too_short</t>
        </is>
      </c>
      <c r="R243" s="28" t="inlineStr">
        <is>
          <t>Short descriptions can under-communicate relevance and value.</t>
        </is>
      </c>
      <c r="S243">
        <f>IFERROR(HYPERLINK("#'Main'!B"&amp;MATCH(TRIM(A243),'Main'!B:B,0),"Open"),HYPERLINK("#'Main'!B1","Open"))</f>
        <v/>
      </c>
      <c r="T243">
        <f>IFERROR(HYPERLINK("#'Technical Diagnostics'!A"&amp;MATCH(A243,'Technical Diagnostics'!A:A,0),"Open"),HYPERLINK("#'Technical Diagnostics'!A1","Open"))</f>
        <v/>
      </c>
    </row>
    <row r="244" ht="60" customHeight="1">
      <c r="A244" s="37" t="inlineStr">
        <is>
          <t>https://africanmarketingconfederation.org/smoke-archive/page-63</t>
        </is>
      </c>
      <c r="B244" s="30" t="inlineStr"/>
      <c r="C244" s="30" t="inlineStr"/>
      <c r="D244" s="30" t="inlineStr">
        <is>
          <t>Basic SEO</t>
        </is>
      </c>
      <c r="E244" s="33" t="inlineStr">
        <is>
          <t>Observation</t>
        </is>
      </c>
      <c r="F244" s="30" t="inlineStr">
        <is>
          <t>No internal links found</t>
        </is>
      </c>
      <c r="G244" s="30" t="n">
        <v>37</v>
      </c>
      <c r="H244" s="30" t="n">
        <v>0</v>
      </c>
      <c r="I244" s="30" t="inlineStr">
        <is>
          <t>&gt;=2 relevant internal links</t>
        </is>
      </c>
      <c r="J244" s="30" t="inlineStr">
        <is>
          <t>Add contextual internal links from and to related pages using descriptive anchor text. (Taxonomy/Archive page: navigate via AIOSEO → Search Appearance → Taxonomies.)</t>
        </is>
      </c>
      <c r="K244" s="30" t="inlineStr">
        <is>
          <t>Links</t>
        </is>
      </c>
      <c r="L244" s="30" t="inlineStr">
        <is>
          <t>Internal Links Count</t>
        </is>
      </c>
      <c r="M244" s="30" t="inlineStr">
        <is>
          <t>No</t>
        </is>
      </c>
      <c r="N244" s="30" t="inlineStr">
        <is>
          <t>Copy Writer</t>
        </is>
      </c>
      <c r="O244" s="36" t="inlineStr">
        <is>
          <t>Open</t>
        </is>
      </c>
      <c r="P244" s="30" t="n">
        <v>4</v>
      </c>
      <c r="Q244" s="30" t="inlineStr">
        <is>
          <t>https://africanmarketingconfederation.org/smoke-archive/page-63::aioseo_no_internal_links_found</t>
        </is>
      </c>
      <c r="R244" s="30" t="inlineStr">
        <is>
          <t>Internal links help discovery, topical signals, and authority flow.</t>
        </is>
      </c>
      <c r="S244" s="38">
        <f>IFERROR(HYPERLINK("#'Main'!B"&amp;MATCH(TRIM(A244),'Main'!B:B,0),"Open"),HYPERLINK("#'Main'!B1","Open"))</f>
        <v/>
      </c>
      <c r="T244" s="38">
        <f>IFERROR(HYPERLINK("#'Technical Diagnostics'!A"&amp;MATCH(A244,'Technical Diagnostics'!A:A,0),"Open"),HYPERLINK("#'Technical Diagnostics'!A1","Open"))</f>
        <v/>
      </c>
    </row>
    <row r="245" ht="60" customHeight="1">
      <c r="A245" s="35" t="inlineStr">
        <is>
          <t>https://africanmarketingconfederation.org/smoke-archive/page-64</t>
        </is>
      </c>
      <c r="B245" s="28" t="inlineStr"/>
      <c r="C245" s="28" t="inlineStr"/>
      <c r="D245" s="28" t="inlineStr">
        <is>
          <t>Basic SEO</t>
        </is>
      </c>
      <c r="E245" s="33" t="inlineStr">
        <is>
          <t>Observation</t>
        </is>
      </c>
      <c r="F245" s="28" t="inlineStr">
        <is>
          <t>Meta description too short</t>
        </is>
      </c>
      <c r="G245" s="28" t="n">
        <v>37</v>
      </c>
      <c r="H245" s="28" t="n">
        <v>35</v>
      </c>
      <c r="I245" s="28" t="inlineStr">
        <is>
          <t>120-160 characters</t>
        </is>
      </c>
      <c r="J245" s="28" t="inlineStr">
        <is>
          <t>Expand meta description in AIOSEO to include key value points and intent terms naturally. (Taxonomy/Archive page: navigate via AIOSEO → Search Appearance → Taxonomies.)</t>
        </is>
      </c>
      <c r="K245" s="39" t="inlineStr">
        <is>
          <t>Main</t>
        </is>
      </c>
      <c r="L245" s="28" t="inlineStr">
        <is>
          <t>Meta Description</t>
        </is>
      </c>
      <c r="M245" s="28" t="inlineStr">
        <is>
          <t>No</t>
        </is>
      </c>
      <c r="N245" s="28" t="inlineStr">
        <is>
          <t>Copy Writer</t>
        </is>
      </c>
      <c r="O245" s="36" t="inlineStr">
        <is>
          <t>Open</t>
        </is>
      </c>
      <c r="P245" s="28" t="n">
        <v>4</v>
      </c>
      <c r="Q245" s="28" t="inlineStr">
        <is>
          <t>https://africanmarketingconfederation.org/smoke-archive/page-64::aioseo_meta_description_too_short</t>
        </is>
      </c>
      <c r="R245" s="28" t="inlineStr">
        <is>
          <t>Short descriptions can under-communicate relevance and value.</t>
        </is>
      </c>
      <c r="S245">
        <f>IFERROR(HYPERLINK("#'Main'!B"&amp;MATCH(TRIM(A245),'Main'!B:B,0),"Open"),HYPERLINK("#'Main'!B1","Open"))</f>
        <v/>
      </c>
      <c r="T245">
        <f>IFERROR(HYPERLINK("#'Technical Diagnostics'!A"&amp;MATCH(A245,'Technical Diagnostics'!A:A,0),"Open"),HYPERLINK("#'Technical Diagnostics'!A1","Open"))</f>
        <v/>
      </c>
    </row>
    <row r="246" ht="60" customHeight="1">
      <c r="A246" s="37" t="inlineStr">
        <is>
          <t>https://africanmarketingconfederation.org/smoke-archive/page-64</t>
        </is>
      </c>
      <c r="B246" s="30" t="inlineStr"/>
      <c r="C246" s="30" t="inlineStr"/>
      <c r="D246" s="30" t="inlineStr">
        <is>
          <t>Basic SEO</t>
        </is>
      </c>
      <c r="E246" s="33" t="inlineStr">
        <is>
          <t>Observation</t>
        </is>
      </c>
      <c r="F246" s="30" t="inlineStr">
        <is>
          <t>No internal links found</t>
        </is>
      </c>
      <c r="G246" s="30" t="n">
        <v>37</v>
      </c>
      <c r="H246" s="30" t="n">
        <v>0</v>
      </c>
      <c r="I246" s="30" t="inlineStr">
        <is>
          <t>&gt;=2 relevant internal links</t>
        </is>
      </c>
      <c r="J246" s="30" t="inlineStr">
        <is>
          <t>Add contextual internal links from and to related pages using descriptive anchor text. (Taxonomy/Archive page: navigate via AIOSEO → Search Appearance → Taxonomies.)</t>
        </is>
      </c>
      <c r="K246" s="30" t="inlineStr">
        <is>
          <t>Links</t>
        </is>
      </c>
      <c r="L246" s="30" t="inlineStr">
        <is>
          <t>Internal Links Count</t>
        </is>
      </c>
      <c r="M246" s="30" t="inlineStr">
        <is>
          <t>No</t>
        </is>
      </c>
      <c r="N246" s="30" t="inlineStr">
        <is>
          <t>Copy Writer</t>
        </is>
      </c>
      <c r="O246" s="36" t="inlineStr">
        <is>
          <t>Open</t>
        </is>
      </c>
      <c r="P246" s="30" t="n">
        <v>4</v>
      </c>
      <c r="Q246" s="30" t="inlineStr">
        <is>
          <t>https://africanmarketingconfederation.org/smoke-archive/page-64::aioseo_no_internal_links_found</t>
        </is>
      </c>
      <c r="R246" s="30" t="inlineStr">
        <is>
          <t>Internal links help discovery, topical signals, and authority flow.</t>
        </is>
      </c>
      <c r="S246" s="38">
        <f>IFERROR(HYPERLINK("#'Main'!B"&amp;MATCH(TRIM(A246),'Main'!B:B,0),"Open"),HYPERLINK("#'Main'!B1","Open"))</f>
        <v/>
      </c>
      <c r="T246" s="38">
        <f>IFERROR(HYPERLINK("#'Technical Diagnostics'!A"&amp;MATCH(A246,'Technical Diagnostics'!A:A,0),"Open"),HYPERLINK("#'Technical Diagnostics'!A1","Open"))</f>
        <v/>
      </c>
    </row>
    <row r="247" ht="60" customHeight="1">
      <c r="A247" s="35" t="inlineStr">
        <is>
          <t>https://africanmarketingconfederation.org/smoke-archive/page-65</t>
        </is>
      </c>
      <c r="B247" s="28" t="inlineStr"/>
      <c r="C247" s="28" t="inlineStr"/>
      <c r="D247" s="28" t="inlineStr">
        <is>
          <t>Basic SEO</t>
        </is>
      </c>
      <c r="E247" s="33" t="inlineStr">
        <is>
          <t>Observation</t>
        </is>
      </c>
      <c r="F247" s="28" t="inlineStr">
        <is>
          <t>No internal links found</t>
        </is>
      </c>
      <c r="G247" s="28" t="n">
        <v>37</v>
      </c>
      <c r="H247" s="28" t="n">
        <v>0</v>
      </c>
      <c r="I247" s="28" t="inlineStr">
        <is>
          <t>&gt;=2 relevant internal links</t>
        </is>
      </c>
      <c r="J247" s="28" t="inlineStr">
        <is>
          <t>Add contextual internal links from and to related pages using descriptive anchor text. (Taxonomy/Archive page: navigate via AIOSEO → Search Appearance → Taxonomies.)</t>
        </is>
      </c>
      <c r="K247" s="28" t="inlineStr">
        <is>
          <t>Links</t>
        </is>
      </c>
      <c r="L247" s="28" t="inlineStr">
        <is>
          <t>Internal Links Count</t>
        </is>
      </c>
      <c r="M247" s="28" t="inlineStr">
        <is>
          <t>No</t>
        </is>
      </c>
      <c r="N247" s="28" t="inlineStr">
        <is>
          <t>Copy Writer</t>
        </is>
      </c>
      <c r="O247" s="36" t="inlineStr">
        <is>
          <t>Open</t>
        </is>
      </c>
      <c r="P247" s="28" t="n">
        <v>4</v>
      </c>
      <c r="Q247" s="28" t="inlineStr">
        <is>
          <t>https://africanmarketingconfederation.org/smoke-archive/page-65::aioseo_no_internal_links_found</t>
        </is>
      </c>
      <c r="R247" s="28" t="inlineStr">
        <is>
          <t>Internal links help discovery, topical signals, and authority flow.</t>
        </is>
      </c>
      <c r="S247">
        <f>IFERROR(HYPERLINK("#'Main'!B"&amp;MATCH(TRIM(A247),'Main'!B:B,0),"Open"),HYPERLINK("#'Main'!B1","Open"))</f>
        <v/>
      </c>
      <c r="T247">
        <f>IFERROR(HYPERLINK("#'Technical Diagnostics'!A"&amp;MATCH(A247,'Technical Diagnostics'!A:A,0),"Open"),HYPERLINK("#'Technical Diagnostics'!A1","Open"))</f>
        <v/>
      </c>
    </row>
    <row r="248" ht="60" customHeight="1">
      <c r="A248" s="37" t="inlineStr">
        <is>
          <t>https://africanmarketingconfederation.org/smoke-archive/page-66</t>
        </is>
      </c>
      <c r="B248" s="30" t="inlineStr"/>
      <c r="C248" s="30" t="inlineStr"/>
      <c r="D248" s="30" t="inlineStr">
        <is>
          <t>Basic SEO</t>
        </is>
      </c>
      <c r="E248" s="33" t="inlineStr">
        <is>
          <t>Observation</t>
        </is>
      </c>
      <c r="F248" s="30" t="inlineStr">
        <is>
          <t>Meta description too short</t>
        </is>
      </c>
      <c r="G248" s="30" t="n">
        <v>37</v>
      </c>
      <c r="H248" s="30" t="n">
        <v>35</v>
      </c>
      <c r="I248" s="30" t="inlineStr">
        <is>
          <t>120-160 characters</t>
        </is>
      </c>
      <c r="J248" s="30" t="inlineStr">
        <is>
          <t>Expand meta description in AIOSEO to include key value points and intent terms naturally. (Taxonomy/Archive page: navigate via AIOSEO → Search Appearance → Taxonomies.)</t>
        </is>
      </c>
      <c r="K248" s="41" t="inlineStr">
        <is>
          <t>Main</t>
        </is>
      </c>
      <c r="L248" s="30" t="inlineStr">
        <is>
          <t>Meta Description</t>
        </is>
      </c>
      <c r="M248" s="30" t="inlineStr">
        <is>
          <t>No</t>
        </is>
      </c>
      <c r="N248" s="30" t="inlineStr">
        <is>
          <t>Copy Writer</t>
        </is>
      </c>
      <c r="O248" s="36" t="inlineStr">
        <is>
          <t>Open</t>
        </is>
      </c>
      <c r="P248" s="30" t="n">
        <v>4</v>
      </c>
      <c r="Q248" s="30" t="inlineStr">
        <is>
          <t>https://africanmarketingconfederation.org/smoke-archive/page-66::aioseo_meta_description_too_short</t>
        </is>
      </c>
      <c r="R248" s="30" t="inlineStr">
        <is>
          <t>Short descriptions can under-communicate relevance and value.</t>
        </is>
      </c>
      <c r="S248" s="38">
        <f>IFERROR(HYPERLINK("#'Main'!B"&amp;MATCH(TRIM(A248),'Main'!B:B,0),"Open"),HYPERLINK("#'Main'!B1","Open"))</f>
        <v/>
      </c>
      <c r="T248" s="38">
        <f>IFERROR(HYPERLINK("#'Technical Diagnostics'!A"&amp;MATCH(A248,'Technical Diagnostics'!A:A,0),"Open"),HYPERLINK("#'Technical Diagnostics'!A1","Open"))</f>
        <v/>
      </c>
    </row>
    <row r="249" ht="60" customHeight="1">
      <c r="A249" s="35" t="inlineStr">
        <is>
          <t>https://africanmarketingconfederation.org/smoke-archive/page-66</t>
        </is>
      </c>
      <c r="B249" s="28" t="inlineStr"/>
      <c r="C249" s="28" t="inlineStr"/>
      <c r="D249" s="28" t="inlineStr">
        <is>
          <t>Basic SEO</t>
        </is>
      </c>
      <c r="E249" s="33" t="inlineStr">
        <is>
          <t>Observation</t>
        </is>
      </c>
      <c r="F249" s="28" t="inlineStr">
        <is>
          <t>No internal links found</t>
        </is>
      </c>
      <c r="G249" s="28" t="n">
        <v>37</v>
      </c>
      <c r="H249" s="28" t="n">
        <v>0</v>
      </c>
      <c r="I249" s="28" t="inlineStr">
        <is>
          <t>&gt;=2 relevant internal links</t>
        </is>
      </c>
      <c r="J249" s="28" t="inlineStr">
        <is>
          <t>Add contextual internal links from and to related pages using descriptive anchor text. (Taxonomy/Archive page: navigate via AIOSEO → Search Appearance → Taxonomies.)</t>
        </is>
      </c>
      <c r="K249" s="28" t="inlineStr">
        <is>
          <t>Links</t>
        </is>
      </c>
      <c r="L249" s="28" t="inlineStr">
        <is>
          <t>Internal Links Count</t>
        </is>
      </c>
      <c r="M249" s="28" t="inlineStr">
        <is>
          <t>No</t>
        </is>
      </c>
      <c r="N249" s="28" t="inlineStr">
        <is>
          <t>Copy Writer</t>
        </is>
      </c>
      <c r="O249" s="36" t="inlineStr">
        <is>
          <t>Open</t>
        </is>
      </c>
      <c r="P249" s="28" t="n">
        <v>4</v>
      </c>
      <c r="Q249" s="28" t="inlineStr">
        <is>
          <t>https://africanmarketingconfederation.org/smoke-archive/page-66::aioseo_no_internal_links_found</t>
        </is>
      </c>
      <c r="R249" s="28" t="inlineStr">
        <is>
          <t>Internal links help discovery, topical signals, and authority flow.</t>
        </is>
      </c>
      <c r="S249">
        <f>IFERROR(HYPERLINK("#'Main'!B"&amp;MATCH(TRIM(A249),'Main'!B:B,0),"Open"),HYPERLINK("#'Main'!B1","Open"))</f>
        <v/>
      </c>
      <c r="T249">
        <f>IFERROR(HYPERLINK("#'Technical Diagnostics'!A"&amp;MATCH(A249,'Technical Diagnostics'!A:A,0),"Open"),HYPERLINK("#'Technical Diagnostics'!A1","Open"))</f>
        <v/>
      </c>
    </row>
    <row r="250" ht="60" customHeight="1">
      <c r="A250" s="37" t="inlineStr">
        <is>
          <t>https://africanmarketingconfederation.org/smoke-archive/page-67</t>
        </is>
      </c>
      <c r="B250" s="30" t="inlineStr"/>
      <c r="C250" s="30" t="inlineStr"/>
      <c r="D250" s="30" t="inlineStr">
        <is>
          <t>Basic SEO</t>
        </is>
      </c>
      <c r="E250" s="33" t="inlineStr">
        <is>
          <t>Observation</t>
        </is>
      </c>
      <c r="F250" s="30" t="inlineStr">
        <is>
          <t>Meta description too short</t>
        </is>
      </c>
      <c r="G250" s="30" t="n">
        <v>37</v>
      </c>
      <c r="H250" s="30" t="n">
        <v>35</v>
      </c>
      <c r="I250" s="30" t="inlineStr">
        <is>
          <t>120-160 characters</t>
        </is>
      </c>
      <c r="J250" s="30" t="inlineStr">
        <is>
          <t>Expand meta description in AIOSEO to include key value points and intent terms naturally. (Taxonomy/Archive page: navigate via AIOSEO → Search Appearance → Taxonomies.)</t>
        </is>
      </c>
      <c r="K250" s="41" t="inlineStr">
        <is>
          <t>Main</t>
        </is>
      </c>
      <c r="L250" s="30" t="inlineStr">
        <is>
          <t>Meta Description</t>
        </is>
      </c>
      <c r="M250" s="30" t="inlineStr">
        <is>
          <t>No</t>
        </is>
      </c>
      <c r="N250" s="30" t="inlineStr">
        <is>
          <t>Copy Writer</t>
        </is>
      </c>
      <c r="O250" s="36" t="inlineStr">
        <is>
          <t>Open</t>
        </is>
      </c>
      <c r="P250" s="30" t="n">
        <v>4</v>
      </c>
      <c r="Q250" s="30" t="inlineStr">
        <is>
          <t>https://africanmarketingconfederation.org/smoke-archive/page-67::aioseo_meta_description_too_short</t>
        </is>
      </c>
      <c r="R250" s="30" t="inlineStr">
        <is>
          <t>Short descriptions can under-communicate relevance and value.</t>
        </is>
      </c>
      <c r="S250" s="38">
        <f>IFERROR(HYPERLINK("#'Main'!B"&amp;MATCH(TRIM(A250),'Main'!B:B,0),"Open"),HYPERLINK("#'Main'!B1","Open"))</f>
        <v/>
      </c>
      <c r="T250" s="38">
        <f>IFERROR(HYPERLINK("#'Technical Diagnostics'!A"&amp;MATCH(A250,'Technical Diagnostics'!A:A,0),"Open"),HYPERLINK("#'Technical Diagnostics'!A1","Open"))</f>
        <v/>
      </c>
    </row>
    <row r="251" ht="60" customHeight="1">
      <c r="A251" s="35" t="inlineStr">
        <is>
          <t>https://africanmarketingconfederation.org/smoke-archive/page-67</t>
        </is>
      </c>
      <c r="B251" s="28" t="inlineStr"/>
      <c r="C251" s="28" t="inlineStr"/>
      <c r="D251" s="28" t="inlineStr">
        <is>
          <t>Basic SEO</t>
        </is>
      </c>
      <c r="E251" s="33" t="inlineStr">
        <is>
          <t>Observation</t>
        </is>
      </c>
      <c r="F251" s="28" t="inlineStr">
        <is>
          <t>No internal links found</t>
        </is>
      </c>
      <c r="G251" s="28" t="n">
        <v>37</v>
      </c>
      <c r="H251" s="28" t="n">
        <v>0</v>
      </c>
      <c r="I251" s="28" t="inlineStr">
        <is>
          <t>&gt;=2 relevant internal links</t>
        </is>
      </c>
      <c r="J251" s="28" t="inlineStr">
        <is>
          <t>Add contextual internal links from and to related pages using descriptive anchor text. (Taxonomy/Archive page: navigate via AIOSEO → Search Appearance → Taxonomies.)</t>
        </is>
      </c>
      <c r="K251" s="28" t="inlineStr">
        <is>
          <t>Links</t>
        </is>
      </c>
      <c r="L251" s="28" t="inlineStr">
        <is>
          <t>Internal Links Count</t>
        </is>
      </c>
      <c r="M251" s="28" t="inlineStr">
        <is>
          <t>No</t>
        </is>
      </c>
      <c r="N251" s="28" t="inlineStr">
        <is>
          <t>Copy Writer</t>
        </is>
      </c>
      <c r="O251" s="36" t="inlineStr">
        <is>
          <t>Open</t>
        </is>
      </c>
      <c r="P251" s="28" t="n">
        <v>4</v>
      </c>
      <c r="Q251" s="28" t="inlineStr">
        <is>
          <t>https://africanmarketingconfederation.org/smoke-archive/page-67::aioseo_no_internal_links_found</t>
        </is>
      </c>
      <c r="R251" s="28" t="inlineStr">
        <is>
          <t>Internal links help discovery, topical signals, and authority flow.</t>
        </is>
      </c>
      <c r="S251">
        <f>IFERROR(HYPERLINK("#'Main'!B"&amp;MATCH(TRIM(A251),'Main'!B:B,0),"Open"),HYPERLINK("#'Main'!B1","Open"))</f>
        <v/>
      </c>
      <c r="T251">
        <f>IFERROR(HYPERLINK("#'Technical Diagnostics'!A"&amp;MATCH(A251,'Technical Diagnostics'!A:A,0),"Open"),HYPERLINK("#'Technical Diagnostics'!A1","Open"))</f>
        <v/>
      </c>
    </row>
    <row r="252" ht="60" customHeight="1">
      <c r="A252" s="37" t="inlineStr">
        <is>
          <t>https://africanmarketingconfederation.org/smoke-archive/page-68</t>
        </is>
      </c>
      <c r="B252" s="30" t="inlineStr"/>
      <c r="C252" s="30" t="inlineStr"/>
      <c r="D252" s="30" t="inlineStr">
        <is>
          <t>Basic SEO</t>
        </is>
      </c>
      <c r="E252" s="33" t="inlineStr">
        <is>
          <t>Observation</t>
        </is>
      </c>
      <c r="F252" s="30" t="inlineStr">
        <is>
          <t>Meta description too short</t>
        </is>
      </c>
      <c r="G252" s="30" t="n">
        <v>37</v>
      </c>
      <c r="H252" s="30" t="n">
        <v>35</v>
      </c>
      <c r="I252" s="30" t="inlineStr">
        <is>
          <t>120-160 characters</t>
        </is>
      </c>
      <c r="J252" s="30" t="inlineStr">
        <is>
          <t>Expand meta description in AIOSEO to include key value points and intent terms naturally. (Taxonomy/Archive page: navigate via AIOSEO → Search Appearance → Taxonomies.)</t>
        </is>
      </c>
      <c r="K252" s="41" t="inlineStr">
        <is>
          <t>Main</t>
        </is>
      </c>
      <c r="L252" s="30" t="inlineStr">
        <is>
          <t>Meta Description</t>
        </is>
      </c>
      <c r="M252" s="30" t="inlineStr">
        <is>
          <t>No</t>
        </is>
      </c>
      <c r="N252" s="30" t="inlineStr">
        <is>
          <t>Copy Writer</t>
        </is>
      </c>
      <c r="O252" s="36" t="inlineStr">
        <is>
          <t>Open</t>
        </is>
      </c>
      <c r="P252" s="30" t="n">
        <v>4</v>
      </c>
      <c r="Q252" s="30" t="inlineStr">
        <is>
          <t>https://africanmarketingconfederation.org/smoke-archive/page-68::aioseo_meta_description_too_short</t>
        </is>
      </c>
      <c r="R252" s="30" t="inlineStr">
        <is>
          <t>Short descriptions can under-communicate relevance and value.</t>
        </is>
      </c>
      <c r="S252" s="38">
        <f>IFERROR(HYPERLINK("#'Main'!B"&amp;MATCH(TRIM(A252),'Main'!B:B,0),"Open"),HYPERLINK("#'Main'!B1","Open"))</f>
        <v/>
      </c>
      <c r="T252" s="38">
        <f>IFERROR(HYPERLINK("#'Technical Diagnostics'!A"&amp;MATCH(A252,'Technical Diagnostics'!A:A,0),"Open"),HYPERLINK("#'Technical Diagnostics'!A1","Open"))</f>
        <v/>
      </c>
    </row>
    <row r="253" ht="60" customHeight="1">
      <c r="A253" s="35" t="inlineStr">
        <is>
          <t>https://africanmarketingconfederation.org/smoke-archive/page-68</t>
        </is>
      </c>
      <c r="B253" s="28" t="inlineStr"/>
      <c r="C253" s="28" t="inlineStr"/>
      <c r="D253" s="28" t="inlineStr">
        <is>
          <t>Basic SEO</t>
        </is>
      </c>
      <c r="E253" s="33" t="inlineStr">
        <is>
          <t>Observation</t>
        </is>
      </c>
      <c r="F253" s="28" t="inlineStr">
        <is>
          <t>No internal links found</t>
        </is>
      </c>
      <c r="G253" s="28" t="n">
        <v>37</v>
      </c>
      <c r="H253" s="28" t="n">
        <v>0</v>
      </c>
      <c r="I253" s="28" t="inlineStr">
        <is>
          <t>&gt;=2 relevant internal links</t>
        </is>
      </c>
      <c r="J253" s="28" t="inlineStr">
        <is>
          <t>Add contextual internal links from and to related pages using descriptive anchor text. (Taxonomy/Archive page: navigate via AIOSEO → Search Appearance → Taxonomies.)</t>
        </is>
      </c>
      <c r="K253" s="28" t="inlineStr">
        <is>
          <t>Links</t>
        </is>
      </c>
      <c r="L253" s="28" t="inlineStr">
        <is>
          <t>Internal Links Count</t>
        </is>
      </c>
      <c r="M253" s="28" t="inlineStr">
        <is>
          <t>No</t>
        </is>
      </c>
      <c r="N253" s="28" t="inlineStr">
        <is>
          <t>Copy Writer</t>
        </is>
      </c>
      <c r="O253" s="36" t="inlineStr">
        <is>
          <t>Open</t>
        </is>
      </c>
      <c r="P253" s="28" t="n">
        <v>4</v>
      </c>
      <c r="Q253" s="28" t="inlineStr">
        <is>
          <t>https://africanmarketingconfederation.org/smoke-archive/page-68::aioseo_no_internal_links_found</t>
        </is>
      </c>
      <c r="R253" s="28" t="inlineStr">
        <is>
          <t>Internal links help discovery, topical signals, and authority flow.</t>
        </is>
      </c>
      <c r="S253">
        <f>IFERROR(HYPERLINK("#'Main'!B"&amp;MATCH(TRIM(A253),'Main'!B:B,0),"Open"),HYPERLINK("#'Main'!B1","Open"))</f>
        <v/>
      </c>
      <c r="T253">
        <f>IFERROR(HYPERLINK("#'Technical Diagnostics'!A"&amp;MATCH(A253,'Technical Diagnostics'!A:A,0),"Open"),HYPERLINK("#'Technical Diagnostics'!A1","Open"))</f>
        <v/>
      </c>
    </row>
    <row r="254" ht="60" customHeight="1">
      <c r="A254" s="37" t="inlineStr">
        <is>
          <t>https://africanmarketingconfederation.org/smoke-archive/page-69</t>
        </is>
      </c>
      <c r="B254" s="30" t="inlineStr"/>
      <c r="C254" s="30" t="inlineStr"/>
      <c r="D254" s="30" t="inlineStr">
        <is>
          <t>Basic SEO</t>
        </is>
      </c>
      <c r="E254" s="33" t="inlineStr">
        <is>
          <t>Observation</t>
        </is>
      </c>
      <c r="F254" s="30" t="inlineStr">
        <is>
          <t>Meta description too short</t>
        </is>
      </c>
      <c r="G254" s="30" t="n">
        <v>37</v>
      </c>
      <c r="H254" s="30" t="n">
        <v>35</v>
      </c>
      <c r="I254" s="30" t="inlineStr">
        <is>
          <t>120-160 characters</t>
        </is>
      </c>
      <c r="J254" s="30" t="inlineStr">
        <is>
          <t>Expand meta description in AIOSEO to include key value points and intent terms naturally. (Taxonomy/Archive page: navigate via AIOSEO → Search Appearance → Taxonomies.)</t>
        </is>
      </c>
      <c r="K254" s="41" t="inlineStr">
        <is>
          <t>Main</t>
        </is>
      </c>
      <c r="L254" s="30" t="inlineStr">
        <is>
          <t>Meta Description</t>
        </is>
      </c>
      <c r="M254" s="30" t="inlineStr">
        <is>
          <t>No</t>
        </is>
      </c>
      <c r="N254" s="30" t="inlineStr">
        <is>
          <t>Copy Writer</t>
        </is>
      </c>
      <c r="O254" s="36" t="inlineStr">
        <is>
          <t>Open</t>
        </is>
      </c>
      <c r="P254" s="30" t="n">
        <v>4</v>
      </c>
      <c r="Q254" s="30" t="inlineStr">
        <is>
          <t>https://africanmarketingconfederation.org/smoke-archive/page-69::aioseo_meta_description_too_short</t>
        </is>
      </c>
      <c r="R254" s="30" t="inlineStr">
        <is>
          <t>Short descriptions can under-communicate relevance and value.</t>
        </is>
      </c>
      <c r="S254" s="38">
        <f>IFERROR(HYPERLINK("#'Main'!B"&amp;MATCH(TRIM(A254),'Main'!B:B,0),"Open"),HYPERLINK("#'Main'!B1","Open"))</f>
        <v/>
      </c>
      <c r="T254" s="38">
        <f>IFERROR(HYPERLINK("#'Technical Diagnostics'!A"&amp;MATCH(A254,'Technical Diagnostics'!A:A,0),"Open"),HYPERLINK("#'Technical Diagnostics'!A1","Open"))</f>
        <v/>
      </c>
    </row>
    <row r="255" ht="60" customHeight="1">
      <c r="A255" s="35" t="inlineStr">
        <is>
          <t>https://africanmarketingconfederation.org/smoke-archive/page-69</t>
        </is>
      </c>
      <c r="B255" s="28" t="inlineStr"/>
      <c r="C255" s="28" t="inlineStr"/>
      <c r="D255" s="28" t="inlineStr">
        <is>
          <t>Basic SEO</t>
        </is>
      </c>
      <c r="E255" s="33" t="inlineStr">
        <is>
          <t>Observation</t>
        </is>
      </c>
      <c r="F255" s="28" t="inlineStr">
        <is>
          <t>No internal links found</t>
        </is>
      </c>
      <c r="G255" s="28" t="n">
        <v>37</v>
      </c>
      <c r="H255" s="28" t="n">
        <v>0</v>
      </c>
      <c r="I255" s="28" t="inlineStr">
        <is>
          <t>&gt;=2 relevant internal links</t>
        </is>
      </c>
      <c r="J255" s="28" t="inlineStr">
        <is>
          <t>Add contextual internal links from and to related pages using descriptive anchor text. (Taxonomy/Archive page: navigate via AIOSEO → Search Appearance → Taxonomies.)</t>
        </is>
      </c>
      <c r="K255" s="28" t="inlineStr">
        <is>
          <t>Links</t>
        </is>
      </c>
      <c r="L255" s="28" t="inlineStr">
        <is>
          <t>Internal Links Count</t>
        </is>
      </c>
      <c r="M255" s="28" t="inlineStr">
        <is>
          <t>No</t>
        </is>
      </c>
      <c r="N255" s="28" t="inlineStr">
        <is>
          <t>Copy Writer</t>
        </is>
      </c>
      <c r="O255" s="36" t="inlineStr">
        <is>
          <t>Open</t>
        </is>
      </c>
      <c r="P255" s="28" t="n">
        <v>4</v>
      </c>
      <c r="Q255" s="28" t="inlineStr">
        <is>
          <t>https://africanmarketingconfederation.org/smoke-archive/page-69::aioseo_no_internal_links_found</t>
        </is>
      </c>
      <c r="R255" s="28" t="inlineStr">
        <is>
          <t>Internal links help discovery, topical signals, and authority flow.</t>
        </is>
      </c>
      <c r="S255">
        <f>IFERROR(HYPERLINK("#'Main'!B"&amp;MATCH(TRIM(A255),'Main'!B:B,0),"Open"),HYPERLINK("#'Main'!B1","Open"))</f>
        <v/>
      </c>
      <c r="T255">
        <f>IFERROR(HYPERLINK("#'Technical Diagnostics'!A"&amp;MATCH(A255,'Technical Diagnostics'!A:A,0),"Open"),HYPERLINK("#'Technical Diagnostics'!A1","Open"))</f>
        <v/>
      </c>
    </row>
    <row r="256" ht="60" customHeight="1">
      <c r="A256" s="37" t="inlineStr">
        <is>
          <t>https://africanmarketingconfederation.org/smoke-archive/page-7</t>
        </is>
      </c>
      <c r="B256" s="30" t="inlineStr"/>
      <c r="C256" s="30" t="inlineStr"/>
      <c r="D256" s="30" t="inlineStr">
        <is>
          <t>Basic SEO</t>
        </is>
      </c>
      <c r="E256" s="33" t="inlineStr">
        <is>
          <t>Observation</t>
        </is>
      </c>
      <c r="F256" s="30" t="inlineStr">
        <is>
          <t>Meta description too short</t>
        </is>
      </c>
      <c r="G256" s="30" t="n">
        <v>37</v>
      </c>
      <c r="H256" s="30" t="n">
        <v>34</v>
      </c>
      <c r="I256" s="30" t="inlineStr">
        <is>
          <t>120-160 characters</t>
        </is>
      </c>
      <c r="J256" s="30" t="inlineStr">
        <is>
          <t>Expand meta description in AIOSEO to include key value points and intent terms naturally. (Taxonomy/Archive page: navigate via AIOSEO → Search Appearance → Taxonomies.)</t>
        </is>
      </c>
      <c r="K256" s="41" t="inlineStr">
        <is>
          <t>Main</t>
        </is>
      </c>
      <c r="L256" s="30" t="inlineStr">
        <is>
          <t>Meta Description</t>
        </is>
      </c>
      <c r="M256" s="30" t="inlineStr">
        <is>
          <t>No</t>
        </is>
      </c>
      <c r="N256" s="30" t="inlineStr">
        <is>
          <t>Copy Writer</t>
        </is>
      </c>
      <c r="O256" s="36" t="inlineStr">
        <is>
          <t>Open</t>
        </is>
      </c>
      <c r="P256" s="30" t="n">
        <v>4</v>
      </c>
      <c r="Q256" s="30" t="inlineStr">
        <is>
          <t>https://africanmarketingconfederation.org/smoke-archive/page-7::aioseo_meta_description_too_short</t>
        </is>
      </c>
      <c r="R256" s="30" t="inlineStr">
        <is>
          <t>Short descriptions can under-communicate relevance and value.</t>
        </is>
      </c>
      <c r="S256" s="38">
        <f>IFERROR(HYPERLINK("#'Main'!B"&amp;MATCH(TRIM(A256),'Main'!B:B,0),"Open"),HYPERLINK("#'Main'!B1","Open"))</f>
        <v/>
      </c>
      <c r="T256" s="38">
        <f>IFERROR(HYPERLINK("#'Technical Diagnostics'!A"&amp;MATCH(A256,'Technical Diagnostics'!A:A,0),"Open"),HYPERLINK("#'Technical Diagnostics'!A1","Open"))</f>
        <v/>
      </c>
    </row>
    <row r="257" ht="60" customHeight="1">
      <c r="A257" s="35" t="inlineStr">
        <is>
          <t>https://africanmarketingconfederation.org/smoke-archive/page-7</t>
        </is>
      </c>
      <c r="B257" s="28" t="inlineStr"/>
      <c r="C257" s="28" t="inlineStr"/>
      <c r="D257" s="28" t="inlineStr">
        <is>
          <t>Basic SEO</t>
        </is>
      </c>
      <c r="E257" s="33" t="inlineStr">
        <is>
          <t>Observation</t>
        </is>
      </c>
      <c r="F257" s="28" t="inlineStr">
        <is>
          <t>No internal links found</t>
        </is>
      </c>
      <c r="G257" s="28" t="n">
        <v>37</v>
      </c>
      <c r="H257" s="28" t="n">
        <v>0</v>
      </c>
      <c r="I257" s="28" t="inlineStr">
        <is>
          <t>&gt;=2 relevant internal links</t>
        </is>
      </c>
      <c r="J257" s="28" t="inlineStr">
        <is>
          <t>Add contextual internal links from and to related pages using descriptive anchor text. (Taxonomy/Archive page: navigate via AIOSEO → Search Appearance → Taxonomies.)</t>
        </is>
      </c>
      <c r="K257" s="28" t="inlineStr">
        <is>
          <t>Links</t>
        </is>
      </c>
      <c r="L257" s="28" t="inlineStr">
        <is>
          <t>Internal Links Count</t>
        </is>
      </c>
      <c r="M257" s="28" t="inlineStr">
        <is>
          <t>No</t>
        </is>
      </c>
      <c r="N257" s="28" t="inlineStr">
        <is>
          <t>Copy Writer</t>
        </is>
      </c>
      <c r="O257" s="36" t="inlineStr">
        <is>
          <t>Open</t>
        </is>
      </c>
      <c r="P257" s="28" t="n">
        <v>4</v>
      </c>
      <c r="Q257" s="28" t="inlineStr">
        <is>
          <t>https://africanmarketingconfederation.org/smoke-archive/page-7::aioseo_no_internal_links_found</t>
        </is>
      </c>
      <c r="R257" s="28" t="inlineStr">
        <is>
          <t>Internal links help discovery, topical signals, and authority flow.</t>
        </is>
      </c>
      <c r="S257">
        <f>IFERROR(HYPERLINK("#'Main'!B"&amp;MATCH(TRIM(A257),'Main'!B:B,0),"Open"),HYPERLINK("#'Main'!B1","Open"))</f>
        <v/>
      </c>
      <c r="T257">
        <f>IFERROR(HYPERLINK("#'Technical Diagnostics'!A"&amp;MATCH(A257,'Technical Diagnostics'!A:A,0),"Open"),HYPERLINK("#'Technical Diagnostics'!A1","Open"))</f>
        <v/>
      </c>
    </row>
    <row r="258" ht="60" customHeight="1">
      <c r="A258" s="37" t="inlineStr">
        <is>
          <t>https://africanmarketingconfederation.org/smoke-archive/page-70</t>
        </is>
      </c>
      <c r="B258" s="30" t="inlineStr"/>
      <c r="C258" s="30" t="inlineStr"/>
      <c r="D258" s="30" t="inlineStr">
        <is>
          <t>Basic SEO</t>
        </is>
      </c>
      <c r="E258" s="33" t="inlineStr">
        <is>
          <t>Observation</t>
        </is>
      </c>
      <c r="F258" s="30" t="inlineStr">
        <is>
          <t>No internal links found</t>
        </is>
      </c>
      <c r="G258" s="30" t="n">
        <v>37</v>
      </c>
      <c r="H258" s="30" t="n">
        <v>0</v>
      </c>
      <c r="I258" s="30" t="inlineStr">
        <is>
          <t>&gt;=2 relevant internal links</t>
        </is>
      </c>
      <c r="J258" s="30" t="inlineStr">
        <is>
          <t>Add contextual internal links from and to related pages using descriptive anchor text. (Taxonomy/Archive page: navigate via AIOSEO → Search Appearance → Taxonomies.)</t>
        </is>
      </c>
      <c r="K258" s="30" t="inlineStr">
        <is>
          <t>Links</t>
        </is>
      </c>
      <c r="L258" s="30" t="inlineStr">
        <is>
          <t>Internal Links Count</t>
        </is>
      </c>
      <c r="M258" s="30" t="inlineStr">
        <is>
          <t>No</t>
        </is>
      </c>
      <c r="N258" s="30" t="inlineStr">
        <is>
          <t>Copy Writer</t>
        </is>
      </c>
      <c r="O258" s="36" t="inlineStr">
        <is>
          <t>Open</t>
        </is>
      </c>
      <c r="P258" s="30" t="n">
        <v>4</v>
      </c>
      <c r="Q258" s="30" t="inlineStr">
        <is>
          <t>https://africanmarketingconfederation.org/smoke-archive/page-70::aioseo_no_internal_links_found</t>
        </is>
      </c>
      <c r="R258" s="30" t="inlineStr">
        <is>
          <t>Internal links help discovery, topical signals, and authority flow.</t>
        </is>
      </c>
      <c r="S258" s="38">
        <f>IFERROR(HYPERLINK("#'Main'!B"&amp;MATCH(TRIM(A258),'Main'!B:B,0),"Open"),HYPERLINK("#'Main'!B1","Open"))</f>
        <v/>
      </c>
      <c r="T258" s="38">
        <f>IFERROR(HYPERLINK("#'Technical Diagnostics'!A"&amp;MATCH(A258,'Technical Diagnostics'!A:A,0),"Open"),HYPERLINK("#'Technical Diagnostics'!A1","Open"))</f>
        <v/>
      </c>
    </row>
    <row r="259" ht="60" customHeight="1">
      <c r="A259" s="35" t="inlineStr">
        <is>
          <t>https://africanmarketingconfederation.org/smoke-archive/page-71</t>
        </is>
      </c>
      <c r="B259" s="28" t="inlineStr"/>
      <c r="C259" s="28" t="inlineStr"/>
      <c r="D259" s="28" t="inlineStr">
        <is>
          <t>Basic SEO</t>
        </is>
      </c>
      <c r="E259" s="33" t="inlineStr">
        <is>
          <t>Observation</t>
        </is>
      </c>
      <c r="F259" s="28" t="inlineStr">
        <is>
          <t>Meta description too short</t>
        </is>
      </c>
      <c r="G259" s="28" t="n">
        <v>37</v>
      </c>
      <c r="H259" s="28" t="n">
        <v>35</v>
      </c>
      <c r="I259" s="28" t="inlineStr">
        <is>
          <t>120-160 characters</t>
        </is>
      </c>
      <c r="J259" s="28" t="inlineStr">
        <is>
          <t>Expand meta description in AIOSEO to include key value points and intent terms naturally. (Taxonomy/Archive page: navigate via AIOSEO → Search Appearance → Taxonomies.)</t>
        </is>
      </c>
      <c r="K259" s="39" t="inlineStr">
        <is>
          <t>Main</t>
        </is>
      </c>
      <c r="L259" s="28" t="inlineStr">
        <is>
          <t>Meta Description</t>
        </is>
      </c>
      <c r="M259" s="28" t="inlineStr">
        <is>
          <t>No</t>
        </is>
      </c>
      <c r="N259" s="28" t="inlineStr">
        <is>
          <t>Copy Writer</t>
        </is>
      </c>
      <c r="O259" s="36" t="inlineStr">
        <is>
          <t>Open</t>
        </is>
      </c>
      <c r="P259" s="28" t="n">
        <v>4</v>
      </c>
      <c r="Q259" s="28" t="inlineStr">
        <is>
          <t>https://africanmarketingconfederation.org/smoke-archive/page-71::aioseo_meta_description_too_short</t>
        </is>
      </c>
      <c r="R259" s="28" t="inlineStr">
        <is>
          <t>Short descriptions can under-communicate relevance and value.</t>
        </is>
      </c>
      <c r="S259">
        <f>IFERROR(HYPERLINK("#'Main'!B"&amp;MATCH(TRIM(A259),'Main'!B:B,0),"Open"),HYPERLINK("#'Main'!B1","Open"))</f>
        <v/>
      </c>
      <c r="T259">
        <f>IFERROR(HYPERLINK("#'Technical Diagnostics'!A"&amp;MATCH(A259,'Technical Diagnostics'!A:A,0),"Open"),HYPERLINK("#'Technical Diagnostics'!A1","Open"))</f>
        <v/>
      </c>
    </row>
    <row r="260" ht="60" customHeight="1">
      <c r="A260" s="37" t="inlineStr">
        <is>
          <t>https://africanmarketingconfederation.org/smoke-archive/page-71</t>
        </is>
      </c>
      <c r="B260" s="30" t="inlineStr"/>
      <c r="C260" s="30" t="inlineStr"/>
      <c r="D260" s="30" t="inlineStr">
        <is>
          <t>Basic SEO</t>
        </is>
      </c>
      <c r="E260" s="33" t="inlineStr">
        <is>
          <t>Observation</t>
        </is>
      </c>
      <c r="F260" s="30" t="inlineStr">
        <is>
          <t>No internal links found</t>
        </is>
      </c>
      <c r="G260" s="30" t="n">
        <v>37</v>
      </c>
      <c r="H260" s="30" t="n">
        <v>0</v>
      </c>
      <c r="I260" s="30" t="inlineStr">
        <is>
          <t>&gt;=2 relevant internal links</t>
        </is>
      </c>
      <c r="J260" s="30" t="inlineStr">
        <is>
          <t>Add contextual internal links from and to related pages using descriptive anchor text. (Taxonomy/Archive page: navigate via AIOSEO → Search Appearance → Taxonomies.)</t>
        </is>
      </c>
      <c r="K260" s="30" t="inlineStr">
        <is>
          <t>Links</t>
        </is>
      </c>
      <c r="L260" s="30" t="inlineStr">
        <is>
          <t>Internal Links Count</t>
        </is>
      </c>
      <c r="M260" s="30" t="inlineStr">
        <is>
          <t>No</t>
        </is>
      </c>
      <c r="N260" s="30" t="inlineStr">
        <is>
          <t>Copy Writer</t>
        </is>
      </c>
      <c r="O260" s="36" t="inlineStr">
        <is>
          <t>Open</t>
        </is>
      </c>
      <c r="P260" s="30" t="n">
        <v>4</v>
      </c>
      <c r="Q260" s="30" t="inlineStr">
        <is>
          <t>https://africanmarketingconfederation.org/smoke-archive/page-71::aioseo_no_internal_links_found</t>
        </is>
      </c>
      <c r="R260" s="30" t="inlineStr">
        <is>
          <t>Internal links help discovery, topical signals, and authority flow.</t>
        </is>
      </c>
      <c r="S260" s="38">
        <f>IFERROR(HYPERLINK("#'Main'!B"&amp;MATCH(TRIM(A260),'Main'!B:B,0),"Open"),HYPERLINK("#'Main'!B1","Open"))</f>
        <v/>
      </c>
      <c r="T260" s="38">
        <f>IFERROR(HYPERLINK("#'Technical Diagnostics'!A"&amp;MATCH(A260,'Technical Diagnostics'!A:A,0),"Open"),HYPERLINK("#'Technical Diagnostics'!A1","Open"))</f>
        <v/>
      </c>
    </row>
    <row r="261" ht="60" customHeight="1">
      <c r="A261" s="35" t="inlineStr">
        <is>
          <t>https://africanmarketingconfederation.org/smoke-archive/page-72</t>
        </is>
      </c>
      <c r="B261" s="28" t="inlineStr"/>
      <c r="C261" s="28" t="inlineStr"/>
      <c r="D261" s="28" t="inlineStr">
        <is>
          <t>Basic SEO</t>
        </is>
      </c>
      <c r="E261" s="33" t="inlineStr">
        <is>
          <t>Observation</t>
        </is>
      </c>
      <c r="F261" s="28" t="inlineStr">
        <is>
          <t>Meta description too short</t>
        </is>
      </c>
      <c r="G261" s="28" t="n">
        <v>37</v>
      </c>
      <c r="H261" s="28" t="n">
        <v>35</v>
      </c>
      <c r="I261" s="28" t="inlineStr">
        <is>
          <t>120-160 characters</t>
        </is>
      </c>
      <c r="J261" s="28" t="inlineStr">
        <is>
          <t>Expand meta description in AIOSEO to include key value points and intent terms naturally. (Taxonomy/Archive page: navigate via AIOSEO → Search Appearance → Taxonomies.)</t>
        </is>
      </c>
      <c r="K261" s="39" t="inlineStr">
        <is>
          <t>Main</t>
        </is>
      </c>
      <c r="L261" s="28" t="inlineStr">
        <is>
          <t>Meta Description</t>
        </is>
      </c>
      <c r="M261" s="28" t="inlineStr">
        <is>
          <t>No</t>
        </is>
      </c>
      <c r="N261" s="28" t="inlineStr">
        <is>
          <t>Copy Writer</t>
        </is>
      </c>
      <c r="O261" s="36" t="inlineStr">
        <is>
          <t>Open</t>
        </is>
      </c>
      <c r="P261" s="28" t="n">
        <v>4</v>
      </c>
      <c r="Q261" s="28" t="inlineStr">
        <is>
          <t>https://africanmarketingconfederation.org/smoke-archive/page-72::aioseo_meta_description_too_short</t>
        </is>
      </c>
      <c r="R261" s="28" t="inlineStr">
        <is>
          <t>Short descriptions can under-communicate relevance and value.</t>
        </is>
      </c>
      <c r="S261">
        <f>IFERROR(HYPERLINK("#'Main'!B"&amp;MATCH(TRIM(A261),'Main'!B:B,0),"Open"),HYPERLINK("#'Main'!B1","Open"))</f>
        <v/>
      </c>
      <c r="T261">
        <f>IFERROR(HYPERLINK("#'Technical Diagnostics'!A"&amp;MATCH(A261,'Technical Diagnostics'!A:A,0),"Open"),HYPERLINK("#'Technical Diagnostics'!A1","Open"))</f>
        <v/>
      </c>
    </row>
    <row r="262" ht="60" customHeight="1">
      <c r="A262" s="37" t="inlineStr">
        <is>
          <t>https://africanmarketingconfederation.org/smoke-archive/page-72</t>
        </is>
      </c>
      <c r="B262" s="30" t="inlineStr"/>
      <c r="C262" s="30" t="inlineStr"/>
      <c r="D262" s="30" t="inlineStr">
        <is>
          <t>Basic SEO</t>
        </is>
      </c>
      <c r="E262" s="33" t="inlineStr">
        <is>
          <t>Observation</t>
        </is>
      </c>
      <c r="F262" s="30" t="inlineStr">
        <is>
          <t>No internal links found</t>
        </is>
      </c>
      <c r="G262" s="30" t="n">
        <v>37</v>
      </c>
      <c r="H262" s="30" t="n">
        <v>0</v>
      </c>
      <c r="I262" s="30" t="inlineStr">
        <is>
          <t>&gt;=2 relevant internal links</t>
        </is>
      </c>
      <c r="J262" s="30" t="inlineStr">
        <is>
          <t>Add contextual internal links from and to related pages using descriptive anchor text. (Taxonomy/Archive page: navigate via AIOSEO → Search Appearance → Taxonomies.)</t>
        </is>
      </c>
      <c r="K262" s="30" t="inlineStr">
        <is>
          <t>Links</t>
        </is>
      </c>
      <c r="L262" s="30" t="inlineStr">
        <is>
          <t>Internal Links Count</t>
        </is>
      </c>
      <c r="M262" s="30" t="inlineStr">
        <is>
          <t>No</t>
        </is>
      </c>
      <c r="N262" s="30" t="inlineStr">
        <is>
          <t>Copy Writer</t>
        </is>
      </c>
      <c r="O262" s="36" t="inlineStr">
        <is>
          <t>Open</t>
        </is>
      </c>
      <c r="P262" s="30" t="n">
        <v>4</v>
      </c>
      <c r="Q262" s="30" t="inlineStr">
        <is>
          <t>https://africanmarketingconfederation.org/smoke-archive/page-72::aioseo_no_internal_links_found</t>
        </is>
      </c>
      <c r="R262" s="30" t="inlineStr">
        <is>
          <t>Internal links help discovery, topical signals, and authority flow.</t>
        </is>
      </c>
      <c r="S262" s="38">
        <f>IFERROR(HYPERLINK("#'Main'!B"&amp;MATCH(TRIM(A262),'Main'!B:B,0),"Open"),HYPERLINK("#'Main'!B1","Open"))</f>
        <v/>
      </c>
      <c r="T262" s="38">
        <f>IFERROR(HYPERLINK("#'Technical Diagnostics'!A"&amp;MATCH(A262,'Technical Diagnostics'!A:A,0),"Open"),HYPERLINK("#'Technical Diagnostics'!A1","Open"))</f>
        <v/>
      </c>
    </row>
    <row r="263" ht="60" customHeight="1">
      <c r="A263" s="35" t="inlineStr">
        <is>
          <t>https://africanmarketingconfederation.org/smoke-archive/page-73</t>
        </is>
      </c>
      <c r="B263" s="28" t="inlineStr"/>
      <c r="C263" s="28" t="inlineStr"/>
      <c r="D263" s="28" t="inlineStr">
        <is>
          <t>Basic SEO</t>
        </is>
      </c>
      <c r="E263" s="33" t="inlineStr">
        <is>
          <t>Observation</t>
        </is>
      </c>
      <c r="F263" s="28" t="inlineStr">
        <is>
          <t>Meta description too short</t>
        </is>
      </c>
      <c r="G263" s="28" t="n">
        <v>37</v>
      </c>
      <c r="H263" s="28" t="n">
        <v>35</v>
      </c>
      <c r="I263" s="28" t="inlineStr">
        <is>
          <t>120-160 characters</t>
        </is>
      </c>
      <c r="J263" s="28" t="inlineStr">
        <is>
          <t>Expand meta description in AIOSEO to include key value points and intent terms naturally. (Taxonomy/Archive page: navigate via AIOSEO → Search Appearance → Taxonomies.)</t>
        </is>
      </c>
      <c r="K263" s="39" t="inlineStr">
        <is>
          <t>Main</t>
        </is>
      </c>
      <c r="L263" s="28" t="inlineStr">
        <is>
          <t>Meta Description</t>
        </is>
      </c>
      <c r="M263" s="28" t="inlineStr">
        <is>
          <t>No</t>
        </is>
      </c>
      <c r="N263" s="28" t="inlineStr">
        <is>
          <t>Copy Writer</t>
        </is>
      </c>
      <c r="O263" s="36" t="inlineStr">
        <is>
          <t>Open</t>
        </is>
      </c>
      <c r="P263" s="28" t="n">
        <v>4</v>
      </c>
      <c r="Q263" s="28" t="inlineStr">
        <is>
          <t>https://africanmarketingconfederation.org/smoke-archive/page-73::aioseo_meta_description_too_short</t>
        </is>
      </c>
      <c r="R263" s="28" t="inlineStr">
        <is>
          <t>Short descriptions can under-communicate relevance and value.</t>
        </is>
      </c>
      <c r="S263">
        <f>IFERROR(HYPERLINK("#'Main'!B"&amp;MATCH(TRIM(A263),'Main'!B:B,0),"Open"),HYPERLINK("#'Main'!B1","Open"))</f>
        <v/>
      </c>
      <c r="T263">
        <f>IFERROR(HYPERLINK("#'Technical Diagnostics'!A"&amp;MATCH(A263,'Technical Diagnostics'!A:A,0),"Open"),HYPERLINK("#'Technical Diagnostics'!A1","Open"))</f>
        <v/>
      </c>
    </row>
    <row r="264" ht="60" customHeight="1">
      <c r="A264" s="37" t="inlineStr">
        <is>
          <t>https://africanmarketingconfederation.org/smoke-archive/page-73</t>
        </is>
      </c>
      <c r="B264" s="30" t="inlineStr"/>
      <c r="C264" s="30" t="inlineStr"/>
      <c r="D264" s="30" t="inlineStr">
        <is>
          <t>Basic SEO</t>
        </is>
      </c>
      <c r="E264" s="33" t="inlineStr">
        <is>
          <t>Observation</t>
        </is>
      </c>
      <c r="F264" s="30" t="inlineStr">
        <is>
          <t>No internal links found</t>
        </is>
      </c>
      <c r="G264" s="30" t="n">
        <v>37</v>
      </c>
      <c r="H264" s="30" t="n">
        <v>0</v>
      </c>
      <c r="I264" s="30" t="inlineStr">
        <is>
          <t>&gt;=2 relevant internal links</t>
        </is>
      </c>
      <c r="J264" s="30" t="inlineStr">
        <is>
          <t>Add contextual internal links from and to related pages using descriptive anchor text. (Taxonomy/Archive page: navigate via AIOSEO → Search Appearance → Taxonomies.)</t>
        </is>
      </c>
      <c r="K264" s="30" t="inlineStr">
        <is>
          <t>Links</t>
        </is>
      </c>
      <c r="L264" s="30" t="inlineStr">
        <is>
          <t>Internal Links Count</t>
        </is>
      </c>
      <c r="M264" s="30" t="inlineStr">
        <is>
          <t>No</t>
        </is>
      </c>
      <c r="N264" s="30" t="inlineStr">
        <is>
          <t>Copy Writer</t>
        </is>
      </c>
      <c r="O264" s="36" t="inlineStr">
        <is>
          <t>Open</t>
        </is>
      </c>
      <c r="P264" s="30" t="n">
        <v>4</v>
      </c>
      <c r="Q264" s="30" t="inlineStr">
        <is>
          <t>https://africanmarketingconfederation.org/smoke-archive/page-73::aioseo_no_internal_links_found</t>
        </is>
      </c>
      <c r="R264" s="30" t="inlineStr">
        <is>
          <t>Internal links help discovery, topical signals, and authority flow.</t>
        </is>
      </c>
      <c r="S264" s="38">
        <f>IFERROR(HYPERLINK("#'Main'!B"&amp;MATCH(TRIM(A264),'Main'!B:B,0),"Open"),HYPERLINK("#'Main'!B1","Open"))</f>
        <v/>
      </c>
      <c r="T264" s="38">
        <f>IFERROR(HYPERLINK("#'Technical Diagnostics'!A"&amp;MATCH(A264,'Technical Diagnostics'!A:A,0),"Open"),HYPERLINK("#'Technical Diagnostics'!A1","Open"))</f>
        <v/>
      </c>
    </row>
    <row r="265" ht="60" customHeight="1">
      <c r="A265" s="35" t="inlineStr">
        <is>
          <t>https://africanmarketingconfederation.org/smoke-archive/page-74</t>
        </is>
      </c>
      <c r="B265" s="28" t="inlineStr"/>
      <c r="C265" s="28" t="inlineStr"/>
      <c r="D265" s="28" t="inlineStr">
        <is>
          <t>Basic SEO</t>
        </is>
      </c>
      <c r="E265" s="33" t="inlineStr">
        <is>
          <t>Observation</t>
        </is>
      </c>
      <c r="F265" s="28" t="inlineStr">
        <is>
          <t>Meta description too short</t>
        </is>
      </c>
      <c r="G265" s="28" t="n">
        <v>37</v>
      </c>
      <c r="H265" s="28" t="n">
        <v>35</v>
      </c>
      <c r="I265" s="28" t="inlineStr">
        <is>
          <t>120-160 characters</t>
        </is>
      </c>
      <c r="J265" s="28" t="inlineStr">
        <is>
          <t>Expand meta description in AIOSEO to include key value points and intent terms naturally. (Taxonomy/Archive page: navigate via AIOSEO → Search Appearance → Taxonomies.)</t>
        </is>
      </c>
      <c r="K265" s="39" t="inlineStr">
        <is>
          <t>Main</t>
        </is>
      </c>
      <c r="L265" s="28" t="inlineStr">
        <is>
          <t>Meta Description</t>
        </is>
      </c>
      <c r="M265" s="28" t="inlineStr">
        <is>
          <t>No</t>
        </is>
      </c>
      <c r="N265" s="28" t="inlineStr">
        <is>
          <t>Copy Writer</t>
        </is>
      </c>
      <c r="O265" s="36" t="inlineStr">
        <is>
          <t>Open</t>
        </is>
      </c>
      <c r="P265" s="28" t="n">
        <v>4</v>
      </c>
      <c r="Q265" s="28" t="inlineStr">
        <is>
          <t>https://africanmarketingconfederation.org/smoke-archive/page-74::aioseo_meta_description_too_short</t>
        </is>
      </c>
      <c r="R265" s="28" t="inlineStr">
        <is>
          <t>Short descriptions can under-communicate relevance and value.</t>
        </is>
      </c>
      <c r="S265">
        <f>IFERROR(HYPERLINK("#'Main'!B"&amp;MATCH(TRIM(A265),'Main'!B:B,0),"Open"),HYPERLINK("#'Main'!B1","Open"))</f>
        <v/>
      </c>
      <c r="T265">
        <f>IFERROR(HYPERLINK("#'Technical Diagnostics'!A"&amp;MATCH(A265,'Technical Diagnostics'!A:A,0),"Open"),HYPERLINK("#'Technical Diagnostics'!A1","Open"))</f>
        <v/>
      </c>
    </row>
    <row r="266" ht="60" customHeight="1">
      <c r="A266" s="37" t="inlineStr">
        <is>
          <t>https://africanmarketingconfederation.org/smoke-archive/page-74</t>
        </is>
      </c>
      <c r="B266" s="30" t="inlineStr"/>
      <c r="C266" s="30" t="inlineStr"/>
      <c r="D266" s="30" t="inlineStr">
        <is>
          <t>Basic SEO</t>
        </is>
      </c>
      <c r="E266" s="33" t="inlineStr">
        <is>
          <t>Observation</t>
        </is>
      </c>
      <c r="F266" s="30" t="inlineStr">
        <is>
          <t>No internal links found</t>
        </is>
      </c>
      <c r="G266" s="30" t="n">
        <v>37</v>
      </c>
      <c r="H266" s="30" t="n">
        <v>0</v>
      </c>
      <c r="I266" s="30" t="inlineStr">
        <is>
          <t>&gt;=2 relevant internal links</t>
        </is>
      </c>
      <c r="J266" s="30" t="inlineStr">
        <is>
          <t>Add contextual internal links from and to related pages using descriptive anchor text. (Taxonomy/Archive page: navigate via AIOSEO → Search Appearance → Taxonomies.)</t>
        </is>
      </c>
      <c r="K266" s="30" t="inlineStr">
        <is>
          <t>Links</t>
        </is>
      </c>
      <c r="L266" s="30" t="inlineStr">
        <is>
          <t>Internal Links Count</t>
        </is>
      </c>
      <c r="M266" s="30" t="inlineStr">
        <is>
          <t>No</t>
        </is>
      </c>
      <c r="N266" s="30" t="inlineStr">
        <is>
          <t>Copy Writer</t>
        </is>
      </c>
      <c r="O266" s="36" t="inlineStr">
        <is>
          <t>Open</t>
        </is>
      </c>
      <c r="P266" s="30" t="n">
        <v>4</v>
      </c>
      <c r="Q266" s="30" t="inlineStr">
        <is>
          <t>https://africanmarketingconfederation.org/smoke-archive/page-74::aioseo_no_internal_links_found</t>
        </is>
      </c>
      <c r="R266" s="30" t="inlineStr">
        <is>
          <t>Internal links help discovery, topical signals, and authority flow.</t>
        </is>
      </c>
      <c r="S266" s="38">
        <f>IFERROR(HYPERLINK("#'Main'!B"&amp;MATCH(TRIM(A266),'Main'!B:B,0),"Open"),HYPERLINK("#'Main'!B1","Open"))</f>
        <v/>
      </c>
      <c r="T266" s="38">
        <f>IFERROR(HYPERLINK("#'Technical Diagnostics'!A"&amp;MATCH(A266,'Technical Diagnostics'!A:A,0),"Open"),HYPERLINK("#'Technical Diagnostics'!A1","Open"))</f>
        <v/>
      </c>
    </row>
    <row r="267" ht="60" customHeight="1">
      <c r="A267" s="35" t="inlineStr">
        <is>
          <t>https://africanmarketingconfederation.org/smoke-archive/page-75</t>
        </is>
      </c>
      <c r="B267" s="28" t="inlineStr"/>
      <c r="C267" s="28" t="inlineStr"/>
      <c r="D267" s="28" t="inlineStr">
        <is>
          <t>Basic SEO</t>
        </is>
      </c>
      <c r="E267" s="33" t="inlineStr">
        <is>
          <t>Observation</t>
        </is>
      </c>
      <c r="F267" s="28" t="inlineStr">
        <is>
          <t>No internal links found</t>
        </is>
      </c>
      <c r="G267" s="28" t="n">
        <v>37</v>
      </c>
      <c r="H267" s="28" t="n">
        <v>0</v>
      </c>
      <c r="I267" s="28" t="inlineStr">
        <is>
          <t>&gt;=2 relevant internal links</t>
        </is>
      </c>
      <c r="J267" s="28" t="inlineStr">
        <is>
          <t>Add contextual internal links from and to related pages using descriptive anchor text. (Taxonomy/Archive page: navigate via AIOSEO → Search Appearance → Taxonomies.)</t>
        </is>
      </c>
      <c r="K267" s="28" t="inlineStr">
        <is>
          <t>Links</t>
        </is>
      </c>
      <c r="L267" s="28" t="inlineStr">
        <is>
          <t>Internal Links Count</t>
        </is>
      </c>
      <c r="M267" s="28" t="inlineStr">
        <is>
          <t>No</t>
        </is>
      </c>
      <c r="N267" s="28" t="inlineStr">
        <is>
          <t>Copy Writer</t>
        </is>
      </c>
      <c r="O267" s="36" t="inlineStr">
        <is>
          <t>Open</t>
        </is>
      </c>
      <c r="P267" s="28" t="n">
        <v>4</v>
      </c>
      <c r="Q267" s="28" t="inlineStr">
        <is>
          <t>https://africanmarketingconfederation.org/smoke-archive/page-75::aioseo_no_internal_links_found</t>
        </is>
      </c>
      <c r="R267" s="28" t="inlineStr">
        <is>
          <t>Internal links help discovery, topical signals, and authority flow.</t>
        </is>
      </c>
      <c r="S267">
        <f>IFERROR(HYPERLINK("#'Main'!B"&amp;MATCH(TRIM(A267),'Main'!B:B,0),"Open"),HYPERLINK("#'Main'!B1","Open"))</f>
        <v/>
      </c>
      <c r="T267">
        <f>IFERROR(HYPERLINK("#'Technical Diagnostics'!A"&amp;MATCH(A267,'Technical Diagnostics'!A:A,0),"Open"),HYPERLINK("#'Technical Diagnostics'!A1","Open"))</f>
        <v/>
      </c>
    </row>
    <row r="268" ht="60" customHeight="1">
      <c r="A268" s="37" t="inlineStr">
        <is>
          <t>https://africanmarketingconfederation.org/smoke-archive/page-76</t>
        </is>
      </c>
      <c r="B268" s="30" t="inlineStr"/>
      <c r="C268" s="30" t="inlineStr"/>
      <c r="D268" s="30" t="inlineStr">
        <is>
          <t>Basic SEO</t>
        </is>
      </c>
      <c r="E268" s="33" t="inlineStr">
        <is>
          <t>Observation</t>
        </is>
      </c>
      <c r="F268" s="30" t="inlineStr">
        <is>
          <t>Meta description too short</t>
        </is>
      </c>
      <c r="G268" s="30" t="n">
        <v>37</v>
      </c>
      <c r="H268" s="30" t="n">
        <v>35</v>
      </c>
      <c r="I268" s="30" t="inlineStr">
        <is>
          <t>120-160 characters</t>
        </is>
      </c>
      <c r="J268" s="30" t="inlineStr">
        <is>
          <t>Expand meta description in AIOSEO to include key value points and intent terms naturally. (Taxonomy/Archive page: navigate via AIOSEO → Search Appearance → Taxonomies.)</t>
        </is>
      </c>
      <c r="K268" s="41" t="inlineStr">
        <is>
          <t>Main</t>
        </is>
      </c>
      <c r="L268" s="30" t="inlineStr">
        <is>
          <t>Meta Description</t>
        </is>
      </c>
      <c r="M268" s="30" t="inlineStr">
        <is>
          <t>No</t>
        </is>
      </c>
      <c r="N268" s="30" t="inlineStr">
        <is>
          <t>Copy Writer</t>
        </is>
      </c>
      <c r="O268" s="36" t="inlineStr">
        <is>
          <t>Open</t>
        </is>
      </c>
      <c r="P268" s="30" t="n">
        <v>4</v>
      </c>
      <c r="Q268" s="30" t="inlineStr">
        <is>
          <t>https://africanmarketingconfederation.org/smoke-archive/page-76::aioseo_meta_description_too_short</t>
        </is>
      </c>
      <c r="R268" s="30" t="inlineStr">
        <is>
          <t>Short descriptions can under-communicate relevance and value.</t>
        </is>
      </c>
      <c r="S268" s="38">
        <f>IFERROR(HYPERLINK("#'Main'!B"&amp;MATCH(TRIM(A268),'Main'!B:B,0),"Open"),HYPERLINK("#'Main'!B1","Open"))</f>
        <v/>
      </c>
      <c r="T268" s="38">
        <f>IFERROR(HYPERLINK("#'Technical Diagnostics'!A"&amp;MATCH(A268,'Technical Diagnostics'!A:A,0),"Open"),HYPERLINK("#'Technical Diagnostics'!A1","Open"))</f>
        <v/>
      </c>
    </row>
    <row r="269" ht="60" customHeight="1">
      <c r="A269" s="35" t="inlineStr">
        <is>
          <t>https://africanmarketingconfederation.org/smoke-archive/page-76</t>
        </is>
      </c>
      <c r="B269" s="28" t="inlineStr"/>
      <c r="C269" s="28" t="inlineStr"/>
      <c r="D269" s="28" t="inlineStr">
        <is>
          <t>Basic SEO</t>
        </is>
      </c>
      <c r="E269" s="33" t="inlineStr">
        <is>
          <t>Observation</t>
        </is>
      </c>
      <c r="F269" s="28" t="inlineStr">
        <is>
          <t>No internal links found</t>
        </is>
      </c>
      <c r="G269" s="28" t="n">
        <v>37</v>
      </c>
      <c r="H269" s="28" t="n">
        <v>0</v>
      </c>
      <c r="I269" s="28" t="inlineStr">
        <is>
          <t>&gt;=2 relevant internal links</t>
        </is>
      </c>
      <c r="J269" s="28" t="inlineStr">
        <is>
          <t>Add contextual internal links from and to related pages using descriptive anchor text. (Taxonomy/Archive page: navigate via AIOSEO → Search Appearance → Taxonomies.)</t>
        </is>
      </c>
      <c r="K269" s="28" t="inlineStr">
        <is>
          <t>Links</t>
        </is>
      </c>
      <c r="L269" s="28" t="inlineStr">
        <is>
          <t>Internal Links Count</t>
        </is>
      </c>
      <c r="M269" s="28" t="inlineStr">
        <is>
          <t>No</t>
        </is>
      </c>
      <c r="N269" s="28" t="inlineStr">
        <is>
          <t>Copy Writer</t>
        </is>
      </c>
      <c r="O269" s="36" t="inlineStr">
        <is>
          <t>Open</t>
        </is>
      </c>
      <c r="P269" s="28" t="n">
        <v>4</v>
      </c>
      <c r="Q269" s="28" t="inlineStr">
        <is>
          <t>https://africanmarketingconfederation.org/smoke-archive/page-76::aioseo_no_internal_links_found</t>
        </is>
      </c>
      <c r="R269" s="28" t="inlineStr">
        <is>
          <t>Internal links help discovery, topical signals, and authority flow.</t>
        </is>
      </c>
      <c r="S269">
        <f>IFERROR(HYPERLINK("#'Main'!B"&amp;MATCH(TRIM(A269),'Main'!B:B,0),"Open"),HYPERLINK("#'Main'!B1","Open"))</f>
        <v/>
      </c>
      <c r="T269">
        <f>IFERROR(HYPERLINK("#'Technical Diagnostics'!A"&amp;MATCH(A269,'Technical Diagnostics'!A:A,0),"Open"),HYPERLINK("#'Technical Diagnostics'!A1","Open"))</f>
        <v/>
      </c>
    </row>
    <row r="270" ht="60" customHeight="1">
      <c r="A270" s="37" t="inlineStr">
        <is>
          <t>https://africanmarketingconfederation.org/smoke-archive/page-77</t>
        </is>
      </c>
      <c r="B270" s="30" t="inlineStr"/>
      <c r="C270" s="30" t="inlineStr"/>
      <c r="D270" s="30" t="inlineStr">
        <is>
          <t>Basic SEO</t>
        </is>
      </c>
      <c r="E270" s="33" t="inlineStr">
        <is>
          <t>Observation</t>
        </is>
      </c>
      <c r="F270" s="30" t="inlineStr">
        <is>
          <t>Meta description too short</t>
        </is>
      </c>
      <c r="G270" s="30" t="n">
        <v>37</v>
      </c>
      <c r="H270" s="30" t="n">
        <v>35</v>
      </c>
      <c r="I270" s="30" t="inlineStr">
        <is>
          <t>120-160 characters</t>
        </is>
      </c>
      <c r="J270" s="30" t="inlineStr">
        <is>
          <t>Expand meta description in AIOSEO to include key value points and intent terms naturally. (Taxonomy/Archive page: navigate via AIOSEO → Search Appearance → Taxonomies.)</t>
        </is>
      </c>
      <c r="K270" s="41" t="inlineStr">
        <is>
          <t>Main</t>
        </is>
      </c>
      <c r="L270" s="30" t="inlineStr">
        <is>
          <t>Meta Description</t>
        </is>
      </c>
      <c r="M270" s="30" t="inlineStr">
        <is>
          <t>No</t>
        </is>
      </c>
      <c r="N270" s="30" t="inlineStr">
        <is>
          <t>Copy Writer</t>
        </is>
      </c>
      <c r="O270" s="36" t="inlineStr">
        <is>
          <t>Open</t>
        </is>
      </c>
      <c r="P270" s="30" t="n">
        <v>4</v>
      </c>
      <c r="Q270" s="30" t="inlineStr">
        <is>
          <t>https://africanmarketingconfederation.org/smoke-archive/page-77::aioseo_meta_description_too_short</t>
        </is>
      </c>
      <c r="R270" s="30" t="inlineStr">
        <is>
          <t>Short descriptions can under-communicate relevance and value.</t>
        </is>
      </c>
      <c r="S270" s="38">
        <f>IFERROR(HYPERLINK("#'Main'!B"&amp;MATCH(TRIM(A270),'Main'!B:B,0),"Open"),HYPERLINK("#'Main'!B1","Open"))</f>
        <v/>
      </c>
      <c r="T270" s="38">
        <f>IFERROR(HYPERLINK("#'Technical Diagnostics'!A"&amp;MATCH(A270,'Technical Diagnostics'!A:A,0),"Open"),HYPERLINK("#'Technical Diagnostics'!A1","Open"))</f>
        <v/>
      </c>
    </row>
    <row r="271" ht="60" customHeight="1">
      <c r="A271" s="35" t="inlineStr">
        <is>
          <t>https://africanmarketingconfederation.org/smoke-archive/page-77</t>
        </is>
      </c>
      <c r="B271" s="28" t="inlineStr"/>
      <c r="C271" s="28" t="inlineStr"/>
      <c r="D271" s="28" t="inlineStr">
        <is>
          <t>Basic SEO</t>
        </is>
      </c>
      <c r="E271" s="33" t="inlineStr">
        <is>
          <t>Observation</t>
        </is>
      </c>
      <c r="F271" s="28" t="inlineStr">
        <is>
          <t>No internal links found</t>
        </is>
      </c>
      <c r="G271" s="28" t="n">
        <v>37</v>
      </c>
      <c r="H271" s="28" t="n">
        <v>0</v>
      </c>
      <c r="I271" s="28" t="inlineStr">
        <is>
          <t>&gt;=2 relevant internal links</t>
        </is>
      </c>
      <c r="J271" s="28" t="inlineStr">
        <is>
          <t>Add contextual internal links from and to related pages using descriptive anchor text. (Taxonomy/Archive page: navigate via AIOSEO → Search Appearance → Taxonomies.)</t>
        </is>
      </c>
      <c r="K271" s="28" t="inlineStr">
        <is>
          <t>Links</t>
        </is>
      </c>
      <c r="L271" s="28" t="inlineStr">
        <is>
          <t>Internal Links Count</t>
        </is>
      </c>
      <c r="M271" s="28" t="inlineStr">
        <is>
          <t>No</t>
        </is>
      </c>
      <c r="N271" s="28" t="inlineStr">
        <is>
          <t>Copy Writer</t>
        </is>
      </c>
      <c r="O271" s="36" t="inlineStr">
        <is>
          <t>Open</t>
        </is>
      </c>
      <c r="P271" s="28" t="n">
        <v>4</v>
      </c>
      <c r="Q271" s="28" t="inlineStr">
        <is>
          <t>https://africanmarketingconfederation.org/smoke-archive/page-77::aioseo_no_internal_links_found</t>
        </is>
      </c>
      <c r="R271" s="28" t="inlineStr">
        <is>
          <t>Internal links help discovery, topical signals, and authority flow.</t>
        </is>
      </c>
      <c r="S271">
        <f>IFERROR(HYPERLINK("#'Main'!B"&amp;MATCH(TRIM(A271),'Main'!B:B,0),"Open"),HYPERLINK("#'Main'!B1","Open"))</f>
        <v/>
      </c>
      <c r="T271">
        <f>IFERROR(HYPERLINK("#'Technical Diagnostics'!A"&amp;MATCH(A271,'Technical Diagnostics'!A:A,0),"Open"),HYPERLINK("#'Technical Diagnostics'!A1","Open"))</f>
        <v/>
      </c>
    </row>
    <row r="272" ht="60" customHeight="1">
      <c r="A272" s="37" t="inlineStr">
        <is>
          <t>https://africanmarketingconfederation.org/smoke-archive/page-78</t>
        </is>
      </c>
      <c r="B272" s="30" t="inlineStr"/>
      <c r="C272" s="30" t="inlineStr"/>
      <c r="D272" s="30" t="inlineStr">
        <is>
          <t>Basic SEO</t>
        </is>
      </c>
      <c r="E272" s="33" t="inlineStr">
        <is>
          <t>Observation</t>
        </is>
      </c>
      <c r="F272" s="30" t="inlineStr">
        <is>
          <t>Meta description too short</t>
        </is>
      </c>
      <c r="G272" s="30" t="n">
        <v>37</v>
      </c>
      <c r="H272" s="30" t="n">
        <v>35</v>
      </c>
      <c r="I272" s="30" t="inlineStr">
        <is>
          <t>120-160 characters</t>
        </is>
      </c>
      <c r="J272" s="30" t="inlineStr">
        <is>
          <t>Expand meta description in AIOSEO to include key value points and intent terms naturally. (Taxonomy/Archive page: navigate via AIOSEO → Search Appearance → Taxonomies.)</t>
        </is>
      </c>
      <c r="K272" s="41" t="inlineStr">
        <is>
          <t>Main</t>
        </is>
      </c>
      <c r="L272" s="30" t="inlineStr">
        <is>
          <t>Meta Description</t>
        </is>
      </c>
      <c r="M272" s="30" t="inlineStr">
        <is>
          <t>No</t>
        </is>
      </c>
      <c r="N272" s="30" t="inlineStr">
        <is>
          <t>Copy Writer</t>
        </is>
      </c>
      <c r="O272" s="36" t="inlineStr">
        <is>
          <t>Open</t>
        </is>
      </c>
      <c r="P272" s="30" t="n">
        <v>4</v>
      </c>
      <c r="Q272" s="30" t="inlineStr">
        <is>
          <t>https://africanmarketingconfederation.org/smoke-archive/page-78::aioseo_meta_description_too_short</t>
        </is>
      </c>
      <c r="R272" s="30" t="inlineStr">
        <is>
          <t>Short descriptions can under-communicate relevance and value.</t>
        </is>
      </c>
      <c r="S272" s="38">
        <f>IFERROR(HYPERLINK("#'Main'!B"&amp;MATCH(TRIM(A272),'Main'!B:B,0),"Open"),HYPERLINK("#'Main'!B1","Open"))</f>
        <v/>
      </c>
      <c r="T272" s="38">
        <f>IFERROR(HYPERLINK("#'Technical Diagnostics'!A"&amp;MATCH(A272,'Technical Diagnostics'!A:A,0),"Open"),HYPERLINK("#'Technical Diagnostics'!A1","Open"))</f>
        <v/>
      </c>
    </row>
    <row r="273" ht="60" customHeight="1">
      <c r="A273" s="35" t="inlineStr">
        <is>
          <t>https://africanmarketingconfederation.org/smoke-archive/page-78</t>
        </is>
      </c>
      <c r="B273" s="28" t="inlineStr"/>
      <c r="C273" s="28" t="inlineStr"/>
      <c r="D273" s="28" t="inlineStr">
        <is>
          <t>Basic SEO</t>
        </is>
      </c>
      <c r="E273" s="33" t="inlineStr">
        <is>
          <t>Observation</t>
        </is>
      </c>
      <c r="F273" s="28" t="inlineStr">
        <is>
          <t>No internal links found</t>
        </is>
      </c>
      <c r="G273" s="28" t="n">
        <v>37</v>
      </c>
      <c r="H273" s="28" t="n">
        <v>0</v>
      </c>
      <c r="I273" s="28" t="inlineStr">
        <is>
          <t>&gt;=2 relevant internal links</t>
        </is>
      </c>
      <c r="J273" s="28" t="inlineStr">
        <is>
          <t>Add contextual internal links from and to related pages using descriptive anchor text. (Taxonomy/Archive page: navigate via AIOSEO → Search Appearance → Taxonomies.)</t>
        </is>
      </c>
      <c r="K273" s="28" t="inlineStr">
        <is>
          <t>Links</t>
        </is>
      </c>
      <c r="L273" s="28" t="inlineStr">
        <is>
          <t>Internal Links Count</t>
        </is>
      </c>
      <c r="M273" s="28" t="inlineStr">
        <is>
          <t>No</t>
        </is>
      </c>
      <c r="N273" s="28" t="inlineStr">
        <is>
          <t>Copy Writer</t>
        </is>
      </c>
      <c r="O273" s="36" t="inlineStr">
        <is>
          <t>Open</t>
        </is>
      </c>
      <c r="P273" s="28" t="n">
        <v>4</v>
      </c>
      <c r="Q273" s="28" t="inlineStr">
        <is>
          <t>https://africanmarketingconfederation.org/smoke-archive/page-78::aioseo_no_internal_links_found</t>
        </is>
      </c>
      <c r="R273" s="28" t="inlineStr">
        <is>
          <t>Internal links help discovery, topical signals, and authority flow.</t>
        </is>
      </c>
      <c r="S273">
        <f>IFERROR(HYPERLINK("#'Main'!B"&amp;MATCH(TRIM(A273),'Main'!B:B,0),"Open"),HYPERLINK("#'Main'!B1","Open"))</f>
        <v/>
      </c>
      <c r="T273">
        <f>IFERROR(HYPERLINK("#'Technical Diagnostics'!A"&amp;MATCH(A273,'Technical Diagnostics'!A:A,0),"Open"),HYPERLINK("#'Technical Diagnostics'!A1","Open"))</f>
        <v/>
      </c>
    </row>
    <row r="274" ht="60" customHeight="1">
      <c r="A274" s="37" t="inlineStr">
        <is>
          <t>https://africanmarketingconfederation.org/smoke-archive/page-79</t>
        </is>
      </c>
      <c r="B274" s="30" t="inlineStr"/>
      <c r="C274" s="30" t="inlineStr"/>
      <c r="D274" s="30" t="inlineStr">
        <is>
          <t>Basic SEO</t>
        </is>
      </c>
      <c r="E274" s="33" t="inlineStr">
        <is>
          <t>Observation</t>
        </is>
      </c>
      <c r="F274" s="30" t="inlineStr">
        <is>
          <t>Meta description too short</t>
        </is>
      </c>
      <c r="G274" s="30" t="n">
        <v>37</v>
      </c>
      <c r="H274" s="30" t="n">
        <v>35</v>
      </c>
      <c r="I274" s="30" t="inlineStr">
        <is>
          <t>120-160 characters</t>
        </is>
      </c>
      <c r="J274" s="30" t="inlineStr">
        <is>
          <t>Expand meta description in AIOSEO to include key value points and intent terms naturally. (Taxonomy/Archive page: navigate via AIOSEO → Search Appearance → Taxonomies.)</t>
        </is>
      </c>
      <c r="K274" s="41" t="inlineStr">
        <is>
          <t>Main</t>
        </is>
      </c>
      <c r="L274" s="30" t="inlineStr">
        <is>
          <t>Meta Description</t>
        </is>
      </c>
      <c r="M274" s="30" t="inlineStr">
        <is>
          <t>No</t>
        </is>
      </c>
      <c r="N274" s="30" t="inlineStr">
        <is>
          <t>Copy Writer</t>
        </is>
      </c>
      <c r="O274" s="36" t="inlineStr">
        <is>
          <t>Open</t>
        </is>
      </c>
      <c r="P274" s="30" t="n">
        <v>4</v>
      </c>
      <c r="Q274" s="30" t="inlineStr">
        <is>
          <t>https://africanmarketingconfederation.org/smoke-archive/page-79::aioseo_meta_description_too_short</t>
        </is>
      </c>
      <c r="R274" s="30" t="inlineStr">
        <is>
          <t>Short descriptions can under-communicate relevance and value.</t>
        </is>
      </c>
      <c r="S274" s="38">
        <f>IFERROR(HYPERLINK("#'Main'!B"&amp;MATCH(TRIM(A274),'Main'!B:B,0),"Open"),HYPERLINK("#'Main'!B1","Open"))</f>
        <v/>
      </c>
      <c r="T274" s="38">
        <f>IFERROR(HYPERLINK("#'Technical Diagnostics'!A"&amp;MATCH(A274,'Technical Diagnostics'!A:A,0),"Open"),HYPERLINK("#'Technical Diagnostics'!A1","Open"))</f>
        <v/>
      </c>
    </row>
    <row r="275" ht="60" customHeight="1">
      <c r="A275" s="35" t="inlineStr">
        <is>
          <t>https://africanmarketingconfederation.org/smoke-archive/page-79</t>
        </is>
      </c>
      <c r="B275" s="28" t="inlineStr"/>
      <c r="C275" s="28" t="inlineStr"/>
      <c r="D275" s="28" t="inlineStr">
        <is>
          <t>Basic SEO</t>
        </is>
      </c>
      <c r="E275" s="33" t="inlineStr">
        <is>
          <t>Observation</t>
        </is>
      </c>
      <c r="F275" s="28" t="inlineStr">
        <is>
          <t>No internal links found</t>
        </is>
      </c>
      <c r="G275" s="28" t="n">
        <v>37</v>
      </c>
      <c r="H275" s="28" t="n">
        <v>0</v>
      </c>
      <c r="I275" s="28" t="inlineStr">
        <is>
          <t>&gt;=2 relevant internal links</t>
        </is>
      </c>
      <c r="J275" s="28" t="inlineStr">
        <is>
          <t>Add contextual internal links from and to related pages using descriptive anchor text. (Taxonomy/Archive page: navigate via AIOSEO → Search Appearance → Taxonomies.)</t>
        </is>
      </c>
      <c r="K275" s="28" t="inlineStr">
        <is>
          <t>Links</t>
        </is>
      </c>
      <c r="L275" s="28" t="inlineStr">
        <is>
          <t>Internal Links Count</t>
        </is>
      </c>
      <c r="M275" s="28" t="inlineStr">
        <is>
          <t>No</t>
        </is>
      </c>
      <c r="N275" s="28" t="inlineStr">
        <is>
          <t>Copy Writer</t>
        </is>
      </c>
      <c r="O275" s="36" t="inlineStr">
        <is>
          <t>Open</t>
        </is>
      </c>
      <c r="P275" s="28" t="n">
        <v>4</v>
      </c>
      <c r="Q275" s="28" t="inlineStr">
        <is>
          <t>https://africanmarketingconfederation.org/smoke-archive/page-79::aioseo_no_internal_links_found</t>
        </is>
      </c>
      <c r="R275" s="28" t="inlineStr">
        <is>
          <t>Internal links help discovery, topical signals, and authority flow.</t>
        </is>
      </c>
      <c r="S275">
        <f>IFERROR(HYPERLINK("#'Main'!B"&amp;MATCH(TRIM(A275),'Main'!B:B,0),"Open"),HYPERLINK("#'Main'!B1","Open"))</f>
        <v/>
      </c>
      <c r="T275">
        <f>IFERROR(HYPERLINK("#'Technical Diagnostics'!A"&amp;MATCH(A275,'Technical Diagnostics'!A:A,0),"Open"),HYPERLINK("#'Technical Diagnostics'!A1","Open"))</f>
        <v/>
      </c>
    </row>
    <row r="276" ht="60" customHeight="1">
      <c r="A276" s="37" t="inlineStr">
        <is>
          <t>https://africanmarketingconfederation.org/smoke-archive/page-8</t>
        </is>
      </c>
      <c r="B276" s="30" t="inlineStr"/>
      <c r="C276" s="30" t="inlineStr"/>
      <c r="D276" s="30" t="inlineStr">
        <is>
          <t>Basic SEO</t>
        </is>
      </c>
      <c r="E276" s="33" t="inlineStr">
        <is>
          <t>Observation</t>
        </is>
      </c>
      <c r="F276" s="30" t="inlineStr">
        <is>
          <t>Meta description too short</t>
        </is>
      </c>
      <c r="G276" s="30" t="n">
        <v>37</v>
      </c>
      <c r="H276" s="30" t="n">
        <v>34</v>
      </c>
      <c r="I276" s="30" t="inlineStr">
        <is>
          <t>120-160 characters</t>
        </is>
      </c>
      <c r="J276" s="30" t="inlineStr">
        <is>
          <t>Expand meta description in AIOSEO to include key value points and intent terms naturally. (Taxonomy/Archive page: navigate via AIOSEO → Search Appearance → Taxonomies.)</t>
        </is>
      </c>
      <c r="K276" s="41" t="inlineStr">
        <is>
          <t>Main</t>
        </is>
      </c>
      <c r="L276" s="30" t="inlineStr">
        <is>
          <t>Meta Description</t>
        </is>
      </c>
      <c r="M276" s="30" t="inlineStr">
        <is>
          <t>No</t>
        </is>
      </c>
      <c r="N276" s="30" t="inlineStr">
        <is>
          <t>Copy Writer</t>
        </is>
      </c>
      <c r="O276" s="36" t="inlineStr">
        <is>
          <t>Open</t>
        </is>
      </c>
      <c r="P276" s="30" t="n">
        <v>4</v>
      </c>
      <c r="Q276" s="30" t="inlineStr">
        <is>
          <t>https://africanmarketingconfederation.org/smoke-archive/page-8::aioseo_meta_description_too_short</t>
        </is>
      </c>
      <c r="R276" s="30" t="inlineStr">
        <is>
          <t>Short descriptions can under-communicate relevance and value.</t>
        </is>
      </c>
      <c r="S276" s="38">
        <f>IFERROR(HYPERLINK("#'Main'!B"&amp;MATCH(TRIM(A276),'Main'!B:B,0),"Open"),HYPERLINK("#'Main'!B1","Open"))</f>
        <v/>
      </c>
      <c r="T276" s="38">
        <f>IFERROR(HYPERLINK("#'Technical Diagnostics'!A"&amp;MATCH(A276,'Technical Diagnostics'!A:A,0),"Open"),HYPERLINK("#'Technical Diagnostics'!A1","Open"))</f>
        <v/>
      </c>
    </row>
    <row r="277" ht="60" customHeight="1">
      <c r="A277" s="35" t="inlineStr">
        <is>
          <t>https://africanmarketingconfederation.org/smoke-archive/page-8</t>
        </is>
      </c>
      <c r="B277" s="28" t="inlineStr"/>
      <c r="C277" s="28" t="inlineStr"/>
      <c r="D277" s="28" t="inlineStr">
        <is>
          <t>Basic SEO</t>
        </is>
      </c>
      <c r="E277" s="33" t="inlineStr">
        <is>
          <t>Observation</t>
        </is>
      </c>
      <c r="F277" s="28" t="inlineStr">
        <is>
          <t>No internal links found</t>
        </is>
      </c>
      <c r="G277" s="28" t="n">
        <v>37</v>
      </c>
      <c r="H277" s="28" t="n">
        <v>0</v>
      </c>
      <c r="I277" s="28" t="inlineStr">
        <is>
          <t>&gt;=2 relevant internal links</t>
        </is>
      </c>
      <c r="J277" s="28" t="inlineStr">
        <is>
          <t>Add contextual internal links from and to related pages using descriptive anchor text. (Taxonomy/Archive page: navigate via AIOSEO → Search Appearance → Taxonomies.)</t>
        </is>
      </c>
      <c r="K277" s="28" t="inlineStr">
        <is>
          <t>Links</t>
        </is>
      </c>
      <c r="L277" s="28" t="inlineStr">
        <is>
          <t>Internal Links Count</t>
        </is>
      </c>
      <c r="M277" s="28" t="inlineStr">
        <is>
          <t>No</t>
        </is>
      </c>
      <c r="N277" s="28" t="inlineStr">
        <is>
          <t>Copy Writer</t>
        </is>
      </c>
      <c r="O277" s="36" t="inlineStr">
        <is>
          <t>Open</t>
        </is>
      </c>
      <c r="P277" s="28" t="n">
        <v>4</v>
      </c>
      <c r="Q277" s="28" t="inlineStr">
        <is>
          <t>https://africanmarketingconfederation.org/smoke-archive/page-8::aioseo_no_internal_links_found</t>
        </is>
      </c>
      <c r="R277" s="28" t="inlineStr">
        <is>
          <t>Internal links help discovery, topical signals, and authority flow.</t>
        </is>
      </c>
      <c r="S277">
        <f>IFERROR(HYPERLINK("#'Main'!B"&amp;MATCH(TRIM(A277),'Main'!B:B,0),"Open"),HYPERLINK("#'Main'!B1","Open"))</f>
        <v/>
      </c>
      <c r="T277">
        <f>IFERROR(HYPERLINK("#'Technical Diagnostics'!A"&amp;MATCH(A277,'Technical Diagnostics'!A:A,0),"Open"),HYPERLINK("#'Technical Diagnostics'!A1","Open"))</f>
        <v/>
      </c>
    </row>
    <row r="278" ht="60" customHeight="1">
      <c r="A278" s="37" t="inlineStr">
        <is>
          <t>https://africanmarketingconfederation.org/smoke-archive/page-9</t>
        </is>
      </c>
      <c r="B278" s="30" t="inlineStr"/>
      <c r="C278" s="30" t="inlineStr"/>
      <c r="D278" s="30" t="inlineStr">
        <is>
          <t>Basic SEO</t>
        </is>
      </c>
      <c r="E278" s="33" t="inlineStr">
        <is>
          <t>Observation</t>
        </is>
      </c>
      <c r="F278" s="30" t="inlineStr">
        <is>
          <t>Meta description too short</t>
        </is>
      </c>
      <c r="G278" s="30" t="n">
        <v>37</v>
      </c>
      <c r="H278" s="30" t="n">
        <v>34</v>
      </c>
      <c r="I278" s="30" t="inlineStr">
        <is>
          <t>120-160 characters</t>
        </is>
      </c>
      <c r="J278" s="30" t="inlineStr">
        <is>
          <t>Expand meta description in AIOSEO to include key value points and intent terms naturally. (Taxonomy/Archive page: navigate via AIOSEO → Search Appearance → Taxonomies.)</t>
        </is>
      </c>
      <c r="K278" s="41" t="inlineStr">
        <is>
          <t>Main</t>
        </is>
      </c>
      <c r="L278" s="30" t="inlineStr">
        <is>
          <t>Meta Description</t>
        </is>
      </c>
      <c r="M278" s="30" t="inlineStr">
        <is>
          <t>No</t>
        </is>
      </c>
      <c r="N278" s="30" t="inlineStr">
        <is>
          <t>Copy Writer</t>
        </is>
      </c>
      <c r="O278" s="36" t="inlineStr">
        <is>
          <t>Open</t>
        </is>
      </c>
      <c r="P278" s="30" t="n">
        <v>4</v>
      </c>
      <c r="Q278" s="30" t="inlineStr">
        <is>
          <t>https://africanmarketingconfederation.org/smoke-archive/page-9::aioseo_meta_description_too_short</t>
        </is>
      </c>
      <c r="R278" s="30" t="inlineStr">
        <is>
          <t>Short descriptions can under-communicate relevance and value.</t>
        </is>
      </c>
      <c r="S278" s="38">
        <f>IFERROR(HYPERLINK("#'Main'!B"&amp;MATCH(TRIM(A278),'Main'!B:B,0),"Open"),HYPERLINK("#'Main'!B1","Open"))</f>
        <v/>
      </c>
      <c r="T278" s="38">
        <f>IFERROR(HYPERLINK("#'Technical Diagnostics'!A"&amp;MATCH(A278,'Technical Diagnostics'!A:A,0),"Open"),HYPERLINK("#'Technical Diagnostics'!A1","Open"))</f>
        <v/>
      </c>
    </row>
    <row r="279" ht="60" customHeight="1">
      <c r="A279" s="35" t="inlineStr">
        <is>
          <t>https://africanmarketingconfederation.org/smoke-archive/page-9</t>
        </is>
      </c>
      <c r="B279" s="28" t="inlineStr"/>
      <c r="C279" s="28" t="inlineStr"/>
      <c r="D279" s="28" t="inlineStr">
        <is>
          <t>Basic SEO</t>
        </is>
      </c>
      <c r="E279" s="33" t="inlineStr">
        <is>
          <t>Observation</t>
        </is>
      </c>
      <c r="F279" s="28" t="inlineStr">
        <is>
          <t>No internal links found</t>
        </is>
      </c>
      <c r="G279" s="28" t="n">
        <v>37</v>
      </c>
      <c r="H279" s="28" t="n">
        <v>0</v>
      </c>
      <c r="I279" s="28" t="inlineStr">
        <is>
          <t>&gt;=2 relevant internal links</t>
        </is>
      </c>
      <c r="J279" s="28" t="inlineStr">
        <is>
          <t>Add contextual internal links from and to related pages using descriptive anchor text. (Taxonomy/Archive page: navigate via AIOSEO → Search Appearance → Taxonomies.)</t>
        </is>
      </c>
      <c r="K279" s="28" t="inlineStr">
        <is>
          <t>Links</t>
        </is>
      </c>
      <c r="L279" s="28" t="inlineStr">
        <is>
          <t>Internal Links Count</t>
        </is>
      </c>
      <c r="M279" s="28" t="inlineStr">
        <is>
          <t>No</t>
        </is>
      </c>
      <c r="N279" s="28" t="inlineStr">
        <is>
          <t>Copy Writer</t>
        </is>
      </c>
      <c r="O279" s="36" t="inlineStr">
        <is>
          <t>Open</t>
        </is>
      </c>
      <c r="P279" s="28" t="n">
        <v>4</v>
      </c>
      <c r="Q279" s="28" t="inlineStr">
        <is>
          <t>https://africanmarketingconfederation.org/smoke-archive/page-9::aioseo_no_internal_links_found</t>
        </is>
      </c>
      <c r="R279" s="28" t="inlineStr">
        <is>
          <t>Internal links help discovery, topical signals, and authority flow.</t>
        </is>
      </c>
      <c r="S279">
        <f>IFERROR(HYPERLINK("#'Main'!B"&amp;MATCH(TRIM(A279),'Main'!B:B,0),"Open"),HYPERLINK("#'Main'!B1","Open"))</f>
        <v/>
      </c>
      <c r="T279">
        <f>IFERROR(HYPERLINK("#'Technical Diagnostics'!A"&amp;MATCH(A279,'Technical Diagnostics'!A:A,0),"Open"),HYPERLINK("#'Technical Diagnostics'!A1","Open"))</f>
        <v/>
      </c>
    </row>
    <row r="280" ht="60" customHeight="1">
      <c r="A280" s="37" t="inlineStr">
        <is>
          <t>https://africanmarketingconfederation.org/discovered-via-bfs-1</t>
        </is>
      </c>
      <c r="B280" s="30" t="inlineStr"/>
      <c r="C280" s="30" t="inlineStr"/>
      <c r="D280" s="30" t="inlineStr">
        <is>
          <t>Content</t>
        </is>
      </c>
      <c r="E280" s="33" t="inlineStr">
        <is>
          <t>Observation</t>
        </is>
      </c>
      <c r="F280" s="30" t="inlineStr">
        <is>
          <t>No concise answer paragraph (40-60 words)</t>
        </is>
      </c>
      <c r="G280" s="30" t="n">
        <v>37</v>
      </c>
      <c r="H280" s="30" t="n">
        <v>0</v>
      </c>
      <c r="I280" s="30" t="inlineStr">
        <is>
          <t>&gt;=1 concise answer block</t>
        </is>
      </c>
      <c r="J280" s="30" t="inlineStr">
        <is>
          <t>Add a direct 40-60 word answer immediately below key question headings. (Taxonomy/Archive page: navigate via AIOSEO → Search Appearance → Taxonomies.)</t>
        </is>
      </c>
      <c r="K280" s="30" t="inlineStr">
        <is>
          <t>AEO</t>
        </is>
      </c>
      <c r="L280" s="30" t="inlineStr">
        <is>
          <t>Paragraphs 40-60 Words Count</t>
        </is>
      </c>
      <c r="M280" s="30" t="inlineStr">
        <is>
          <t>No</t>
        </is>
      </c>
      <c r="N280" s="30" t="inlineStr">
        <is>
          <t>Copy Writer</t>
        </is>
      </c>
      <c r="O280" s="36" t="inlineStr">
        <is>
          <t>Open</t>
        </is>
      </c>
      <c r="P280" s="30" t="n">
        <v>4</v>
      </c>
      <c r="Q280" s="30" t="inlineStr">
        <is>
          <t>https://africanmarketingconfederation.org/discovered-via-bfs-1::aioseo_no_concise_answer_paragraph_40-60_words_</t>
        </is>
      </c>
      <c r="R280" s="30" t="inlineStr">
        <is>
          <t>Compact answer blocks improve direct-answer extraction chances.</t>
        </is>
      </c>
      <c r="S280" s="38">
        <f>IFERROR(HYPERLINK("#'Main'!B"&amp;MATCH(TRIM(A280),'Main'!B:B,0),"Open"),HYPERLINK("#'Main'!B1","Open"))</f>
        <v/>
      </c>
      <c r="T280" s="38">
        <f>IFERROR(HYPERLINK("#'Technical Diagnostics'!A"&amp;MATCH(A280,'Technical Diagnostics'!A:A,0),"Open"),HYPERLINK("#'Technical Diagnostics'!A1","Open"))</f>
        <v/>
      </c>
    </row>
    <row r="281" ht="60" customHeight="1">
      <c r="A281" s="35" t="inlineStr">
        <is>
          <t>https://africanmarketingconfederation.org/smoke-archive/page-18</t>
        </is>
      </c>
      <c r="B281" s="28" t="inlineStr"/>
      <c r="C281" s="28" t="inlineStr"/>
      <c r="D281" s="28" t="inlineStr">
        <is>
          <t>Content</t>
        </is>
      </c>
      <c r="E281" s="33" t="inlineStr">
        <is>
          <t>Observation</t>
        </is>
      </c>
      <c r="F281" s="28" t="inlineStr">
        <is>
          <t>No concise answer paragraph (40-60 words)</t>
        </is>
      </c>
      <c r="G281" s="28" t="n">
        <v>37</v>
      </c>
      <c r="H281" s="28" t="n">
        <v>0</v>
      </c>
      <c r="I281" s="28" t="inlineStr">
        <is>
          <t>&gt;=1 concise answer block</t>
        </is>
      </c>
      <c r="J281" s="28" t="inlineStr">
        <is>
          <t>Add a direct 40-60 word answer immediately below key question headings. (Taxonomy/Archive page: navigate via AIOSEO → Search Appearance → Taxonomies.)</t>
        </is>
      </c>
      <c r="K281" s="28" t="inlineStr">
        <is>
          <t>AEO</t>
        </is>
      </c>
      <c r="L281" s="28" t="inlineStr">
        <is>
          <t>Paragraphs 40-60 Words Count</t>
        </is>
      </c>
      <c r="M281" s="28" t="inlineStr">
        <is>
          <t>No</t>
        </is>
      </c>
      <c r="N281" s="28" t="inlineStr">
        <is>
          <t>Copy Writer</t>
        </is>
      </c>
      <c r="O281" s="36" t="inlineStr">
        <is>
          <t>Open</t>
        </is>
      </c>
      <c r="P281" s="28" t="n">
        <v>4</v>
      </c>
      <c r="Q281" s="28" t="inlineStr">
        <is>
          <t>https://africanmarketingconfederation.org/smoke-archive/page-18::aioseo_no_concise_answer_paragraph_40-60_words_</t>
        </is>
      </c>
      <c r="R281" s="28" t="inlineStr">
        <is>
          <t>Compact answer blocks improve direct-answer extraction chances.</t>
        </is>
      </c>
      <c r="S281">
        <f>IFERROR(HYPERLINK("#'Main'!B"&amp;MATCH(TRIM(A281),'Main'!B:B,0),"Open"),HYPERLINK("#'Main'!B1","Open"))</f>
        <v/>
      </c>
      <c r="T281">
        <f>IFERROR(HYPERLINK("#'Technical Diagnostics'!A"&amp;MATCH(A281,'Technical Diagnostics'!A:A,0),"Open"),HYPERLINK("#'Technical Diagnostics'!A1","Open"))</f>
        <v/>
      </c>
    </row>
    <row r="282" ht="60" customHeight="1">
      <c r="A282" s="37" t="inlineStr">
        <is>
          <t>https://africanmarketingconfederation.org/smoke-archive/page-27</t>
        </is>
      </c>
      <c r="B282" s="30" t="inlineStr"/>
      <c r="C282" s="30" t="inlineStr"/>
      <c r="D282" s="30" t="inlineStr">
        <is>
          <t>Content</t>
        </is>
      </c>
      <c r="E282" s="33" t="inlineStr">
        <is>
          <t>Observation</t>
        </is>
      </c>
      <c r="F282" s="30" t="inlineStr">
        <is>
          <t>No concise answer paragraph (40-60 words)</t>
        </is>
      </c>
      <c r="G282" s="30" t="n">
        <v>37</v>
      </c>
      <c r="H282" s="30" t="n">
        <v>0</v>
      </c>
      <c r="I282" s="30" t="inlineStr">
        <is>
          <t>&gt;=1 concise answer block</t>
        </is>
      </c>
      <c r="J282" s="30" t="inlineStr">
        <is>
          <t>Add a direct 40-60 word answer immediately below key question headings. (Taxonomy/Archive page: navigate via AIOSEO → Search Appearance → Taxonomies.)</t>
        </is>
      </c>
      <c r="K282" s="30" t="inlineStr">
        <is>
          <t>AEO</t>
        </is>
      </c>
      <c r="L282" s="30" t="inlineStr">
        <is>
          <t>Paragraphs 40-60 Words Count</t>
        </is>
      </c>
      <c r="M282" s="30" t="inlineStr">
        <is>
          <t>No</t>
        </is>
      </c>
      <c r="N282" s="30" t="inlineStr">
        <is>
          <t>Copy Writer</t>
        </is>
      </c>
      <c r="O282" s="36" t="inlineStr">
        <is>
          <t>Open</t>
        </is>
      </c>
      <c r="P282" s="30" t="n">
        <v>4</v>
      </c>
      <c r="Q282" s="30" t="inlineStr">
        <is>
          <t>https://africanmarketingconfederation.org/smoke-archive/page-27::aioseo_no_concise_answer_paragraph_40-60_words_</t>
        </is>
      </c>
      <c r="R282" s="30" t="inlineStr">
        <is>
          <t>Compact answer blocks improve direct-answer extraction chances.</t>
        </is>
      </c>
      <c r="S282" s="38">
        <f>IFERROR(HYPERLINK("#'Main'!B"&amp;MATCH(TRIM(A282),'Main'!B:B,0),"Open"),HYPERLINK("#'Main'!B1","Open"))</f>
        <v/>
      </c>
      <c r="T282" s="38">
        <f>IFERROR(HYPERLINK("#'Technical Diagnostics'!A"&amp;MATCH(A282,'Technical Diagnostics'!A:A,0),"Open"),HYPERLINK("#'Technical Diagnostics'!A1","Open"))</f>
        <v/>
      </c>
    </row>
    <row r="283" ht="60" customHeight="1">
      <c r="A283" s="35" t="inlineStr">
        <is>
          <t>https://africanmarketingconfederation.org/smoke-archive/page-36</t>
        </is>
      </c>
      <c r="B283" s="28" t="inlineStr"/>
      <c r="C283" s="28" t="inlineStr"/>
      <c r="D283" s="28" t="inlineStr">
        <is>
          <t>Content</t>
        </is>
      </c>
      <c r="E283" s="33" t="inlineStr">
        <is>
          <t>Observation</t>
        </is>
      </c>
      <c r="F283" s="28" t="inlineStr">
        <is>
          <t>No concise answer paragraph (40-60 words)</t>
        </is>
      </c>
      <c r="G283" s="28" t="n">
        <v>37</v>
      </c>
      <c r="H283" s="28" t="n">
        <v>0</v>
      </c>
      <c r="I283" s="28" t="inlineStr">
        <is>
          <t>&gt;=1 concise answer block</t>
        </is>
      </c>
      <c r="J283" s="28" t="inlineStr">
        <is>
          <t>Add a direct 40-60 word answer immediately below key question headings. (Taxonomy/Archive page: navigate via AIOSEO → Search Appearance → Taxonomies.)</t>
        </is>
      </c>
      <c r="K283" s="28" t="inlineStr">
        <is>
          <t>AEO</t>
        </is>
      </c>
      <c r="L283" s="28" t="inlineStr">
        <is>
          <t>Paragraphs 40-60 Words Count</t>
        </is>
      </c>
      <c r="M283" s="28" t="inlineStr">
        <is>
          <t>No</t>
        </is>
      </c>
      <c r="N283" s="28" t="inlineStr">
        <is>
          <t>Copy Writer</t>
        </is>
      </c>
      <c r="O283" s="36" t="inlineStr">
        <is>
          <t>Open</t>
        </is>
      </c>
      <c r="P283" s="28" t="n">
        <v>4</v>
      </c>
      <c r="Q283" s="28" t="inlineStr">
        <is>
          <t>https://africanmarketingconfederation.org/smoke-archive/page-36::aioseo_no_concise_answer_paragraph_40-60_words_</t>
        </is>
      </c>
      <c r="R283" s="28" t="inlineStr">
        <is>
          <t>Compact answer blocks improve direct-answer extraction chances.</t>
        </is>
      </c>
      <c r="S283">
        <f>IFERROR(HYPERLINK("#'Main'!B"&amp;MATCH(TRIM(A283),'Main'!B:B,0),"Open"),HYPERLINK("#'Main'!B1","Open"))</f>
        <v/>
      </c>
      <c r="T283">
        <f>IFERROR(HYPERLINK("#'Technical Diagnostics'!A"&amp;MATCH(A283,'Technical Diagnostics'!A:A,0),"Open"),HYPERLINK("#'Technical Diagnostics'!A1","Open"))</f>
        <v/>
      </c>
    </row>
    <row r="284" ht="60" customHeight="1">
      <c r="A284" s="37" t="inlineStr">
        <is>
          <t>https://africanmarketingconfederation.org/smoke-archive/page-45</t>
        </is>
      </c>
      <c r="B284" s="30" t="inlineStr"/>
      <c r="C284" s="30" t="inlineStr"/>
      <c r="D284" s="30" t="inlineStr">
        <is>
          <t>Content</t>
        </is>
      </c>
      <c r="E284" s="33" t="inlineStr">
        <is>
          <t>Observation</t>
        </is>
      </c>
      <c r="F284" s="30" t="inlineStr">
        <is>
          <t>No concise answer paragraph (40-60 words)</t>
        </is>
      </c>
      <c r="G284" s="30" t="n">
        <v>37</v>
      </c>
      <c r="H284" s="30" t="n">
        <v>0</v>
      </c>
      <c r="I284" s="30" t="inlineStr">
        <is>
          <t>&gt;=1 concise answer block</t>
        </is>
      </c>
      <c r="J284" s="30" t="inlineStr">
        <is>
          <t>Add a direct 40-60 word answer immediately below key question headings. (Taxonomy/Archive page: navigate via AIOSEO → Search Appearance → Taxonomies.)</t>
        </is>
      </c>
      <c r="K284" s="30" t="inlineStr">
        <is>
          <t>AEO</t>
        </is>
      </c>
      <c r="L284" s="30" t="inlineStr">
        <is>
          <t>Paragraphs 40-60 Words Count</t>
        </is>
      </c>
      <c r="M284" s="30" t="inlineStr">
        <is>
          <t>No</t>
        </is>
      </c>
      <c r="N284" s="30" t="inlineStr">
        <is>
          <t>Copy Writer</t>
        </is>
      </c>
      <c r="O284" s="36" t="inlineStr">
        <is>
          <t>Open</t>
        </is>
      </c>
      <c r="P284" s="30" t="n">
        <v>4</v>
      </c>
      <c r="Q284" s="30" t="inlineStr">
        <is>
          <t>https://africanmarketingconfederation.org/smoke-archive/page-45::aioseo_no_concise_answer_paragraph_40-60_words_</t>
        </is>
      </c>
      <c r="R284" s="30" t="inlineStr">
        <is>
          <t>Compact answer blocks improve direct-answer extraction chances.</t>
        </is>
      </c>
      <c r="S284" s="38">
        <f>IFERROR(HYPERLINK("#'Main'!B"&amp;MATCH(TRIM(A284),'Main'!B:B,0),"Open"),HYPERLINK("#'Main'!B1","Open"))</f>
        <v/>
      </c>
      <c r="T284" s="38">
        <f>IFERROR(HYPERLINK("#'Technical Diagnostics'!A"&amp;MATCH(A284,'Technical Diagnostics'!A:A,0),"Open"),HYPERLINK("#'Technical Diagnostics'!A1","Open"))</f>
        <v/>
      </c>
    </row>
    <row r="285" ht="60" customHeight="1">
      <c r="A285" s="35" t="inlineStr">
        <is>
          <t>https://africanmarketingconfederation.org/smoke-archive/page-54</t>
        </is>
      </c>
      <c r="B285" s="28" t="inlineStr"/>
      <c r="C285" s="28" t="inlineStr"/>
      <c r="D285" s="28" t="inlineStr">
        <is>
          <t>Content</t>
        </is>
      </c>
      <c r="E285" s="33" t="inlineStr">
        <is>
          <t>Observation</t>
        </is>
      </c>
      <c r="F285" s="28" t="inlineStr">
        <is>
          <t>No concise answer paragraph (40-60 words)</t>
        </is>
      </c>
      <c r="G285" s="28" t="n">
        <v>37</v>
      </c>
      <c r="H285" s="28" t="n">
        <v>0</v>
      </c>
      <c r="I285" s="28" t="inlineStr">
        <is>
          <t>&gt;=1 concise answer block</t>
        </is>
      </c>
      <c r="J285" s="28" t="inlineStr">
        <is>
          <t>Add a direct 40-60 word answer immediately below key question headings. (Taxonomy/Archive page: navigate via AIOSEO → Search Appearance → Taxonomies.)</t>
        </is>
      </c>
      <c r="K285" s="28" t="inlineStr">
        <is>
          <t>AEO</t>
        </is>
      </c>
      <c r="L285" s="28" t="inlineStr">
        <is>
          <t>Paragraphs 40-60 Words Count</t>
        </is>
      </c>
      <c r="M285" s="28" t="inlineStr">
        <is>
          <t>No</t>
        </is>
      </c>
      <c r="N285" s="28" t="inlineStr">
        <is>
          <t>Copy Writer</t>
        </is>
      </c>
      <c r="O285" s="36" t="inlineStr">
        <is>
          <t>Open</t>
        </is>
      </c>
      <c r="P285" s="28" t="n">
        <v>4</v>
      </c>
      <c r="Q285" s="28" t="inlineStr">
        <is>
          <t>https://africanmarketingconfederation.org/smoke-archive/page-54::aioseo_no_concise_answer_paragraph_40-60_words_</t>
        </is>
      </c>
      <c r="R285" s="28" t="inlineStr">
        <is>
          <t>Compact answer blocks improve direct-answer extraction chances.</t>
        </is>
      </c>
      <c r="S285">
        <f>IFERROR(HYPERLINK("#'Main'!B"&amp;MATCH(TRIM(A285),'Main'!B:B,0),"Open"),HYPERLINK("#'Main'!B1","Open"))</f>
        <v/>
      </c>
      <c r="T285">
        <f>IFERROR(HYPERLINK("#'Technical Diagnostics'!A"&amp;MATCH(A285,'Technical Diagnostics'!A:A,0),"Open"),HYPERLINK("#'Technical Diagnostics'!A1","Open"))</f>
        <v/>
      </c>
    </row>
    <row r="286" ht="60" customHeight="1">
      <c r="A286" s="37" t="inlineStr">
        <is>
          <t>https://africanmarketingconfederation.org/smoke-archive/page-63</t>
        </is>
      </c>
      <c r="B286" s="30" t="inlineStr"/>
      <c r="C286" s="30" t="inlineStr"/>
      <c r="D286" s="30" t="inlineStr">
        <is>
          <t>Content</t>
        </is>
      </c>
      <c r="E286" s="33" t="inlineStr">
        <is>
          <t>Observation</t>
        </is>
      </c>
      <c r="F286" s="30" t="inlineStr">
        <is>
          <t>No concise answer paragraph (40-60 words)</t>
        </is>
      </c>
      <c r="G286" s="30" t="n">
        <v>37</v>
      </c>
      <c r="H286" s="30" t="n">
        <v>0</v>
      </c>
      <c r="I286" s="30" t="inlineStr">
        <is>
          <t>&gt;=1 concise answer block</t>
        </is>
      </c>
      <c r="J286" s="30" t="inlineStr">
        <is>
          <t>Add a direct 40-60 word answer immediately below key question headings. (Taxonomy/Archive page: navigate via AIOSEO → Search Appearance → Taxonomies.)</t>
        </is>
      </c>
      <c r="K286" s="30" t="inlineStr">
        <is>
          <t>AEO</t>
        </is>
      </c>
      <c r="L286" s="30" t="inlineStr">
        <is>
          <t>Paragraphs 40-60 Words Count</t>
        </is>
      </c>
      <c r="M286" s="30" t="inlineStr">
        <is>
          <t>No</t>
        </is>
      </c>
      <c r="N286" s="30" t="inlineStr">
        <is>
          <t>Copy Writer</t>
        </is>
      </c>
      <c r="O286" s="36" t="inlineStr">
        <is>
          <t>Open</t>
        </is>
      </c>
      <c r="P286" s="30" t="n">
        <v>4</v>
      </c>
      <c r="Q286" s="30" t="inlineStr">
        <is>
          <t>https://africanmarketingconfederation.org/smoke-archive/page-63::aioseo_no_concise_answer_paragraph_40-60_words_</t>
        </is>
      </c>
      <c r="R286" s="30" t="inlineStr">
        <is>
          <t>Compact answer blocks improve direct-answer extraction chances.</t>
        </is>
      </c>
      <c r="S286" s="38">
        <f>IFERROR(HYPERLINK("#'Main'!B"&amp;MATCH(TRIM(A286),'Main'!B:B,0),"Open"),HYPERLINK("#'Main'!B1","Open"))</f>
        <v/>
      </c>
      <c r="T286" s="38">
        <f>IFERROR(HYPERLINK("#'Technical Diagnostics'!A"&amp;MATCH(A286,'Technical Diagnostics'!A:A,0),"Open"),HYPERLINK("#'Technical Diagnostics'!A1","Open"))</f>
        <v/>
      </c>
    </row>
    <row r="287" ht="60" customHeight="1">
      <c r="A287" s="35" t="inlineStr">
        <is>
          <t>https://africanmarketingconfederation.org/smoke-archive/page-72</t>
        </is>
      </c>
      <c r="B287" s="28" t="inlineStr"/>
      <c r="C287" s="28" t="inlineStr"/>
      <c r="D287" s="28" t="inlineStr">
        <is>
          <t>Content</t>
        </is>
      </c>
      <c r="E287" s="33" t="inlineStr">
        <is>
          <t>Observation</t>
        </is>
      </c>
      <c r="F287" s="28" t="inlineStr">
        <is>
          <t>No concise answer paragraph (40-60 words)</t>
        </is>
      </c>
      <c r="G287" s="28" t="n">
        <v>37</v>
      </c>
      <c r="H287" s="28" t="n">
        <v>0</v>
      </c>
      <c r="I287" s="28" t="inlineStr">
        <is>
          <t>&gt;=1 concise answer block</t>
        </is>
      </c>
      <c r="J287" s="28" t="inlineStr">
        <is>
          <t>Add a direct 40-60 word answer immediately below key question headings. (Taxonomy/Archive page: navigate via AIOSEO → Search Appearance → Taxonomies.)</t>
        </is>
      </c>
      <c r="K287" s="28" t="inlineStr">
        <is>
          <t>AEO</t>
        </is>
      </c>
      <c r="L287" s="28" t="inlineStr">
        <is>
          <t>Paragraphs 40-60 Words Count</t>
        </is>
      </c>
      <c r="M287" s="28" t="inlineStr">
        <is>
          <t>No</t>
        </is>
      </c>
      <c r="N287" s="28" t="inlineStr">
        <is>
          <t>Copy Writer</t>
        </is>
      </c>
      <c r="O287" s="36" t="inlineStr">
        <is>
          <t>Open</t>
        </is>
      </c>
      <c r="P287" s="28" t="n">
        <v>4</v>
      </c>
      <c r="Q287" s="28" t="inlineStr">
        <is>
          <t>https://africanmarketingconfederation.org/smoke-archive/page-72::aioseo_no_concise_answer_paragraph_40-60_words_</t>
        </is>
      </c>
      <c r="R287" s="28" t="inlineStr">
        <is>
          <t>Compact answer blocks improve direct-answer extraction chances.</t>
        </is>
      </c>
      <c r="S287">
        <f>IFERROR(HYPERLINK("#'Main'!B"&amp;MATCH(TRIM(A287),'Main'!B:B,0),"Open"),HYPERLINK("#'Main'!B1","Open"))</f>
        <v/>
      </c>
      <c r="T287">
        <f>IFERROR(HYPERLINK("#'Technical Diagnostics'!A"&amp;MATCH(A287,'Technical Diagnostics'!A:A,0),"Open"),HYPERLINK("#'Technical Diagnostics'!A1","Open"))</f>
        <v/>
      </c>
    </row>
    <row r="288" ht="60" customHeight="1">
      <c r="A288" s="37" t="inlineStr">
        <is>
          <t>https://africanmarketingconfederation.org/smoke-archive/page-9</t>
        </is>
      </c>
      <c r="B288" s="30" t="inlineStr"/>
      <c r="C288" s="30" t="inlineStr"/>
      <c r="D288" s="30" t="inlineStr">
        <is>
          <t>Content</t>
        </is>
      </c>
      <c r="E288" s="33" t="inlineStr">
        <is>
          <t>Observation</t>
        </is>
      </c>
      <c r="F288" s="30" t="inlineStr">
        <is>
          <t>No concise answer paragraph (40-60 words)</t>
        </is>
      </c>
      <c r="G288" s="30" t="n">
        <v>37</v>
      </c>
      <c r="H288" s="30" t="n">
        <v>0</v>
      </c>
      <c r="I288" s="30" t="inlineStr">
        <is>
          <t>&gt;=1 concise answer block</t>
        </is>
      </c>
      <c r="J288" s="30" t="inlineStr">
        <is>
          <t>Add a direct 40-60 word answer immediately below key question headings. (Taxonomy/Archive page: navigate via AIOSEO → Search Appearance → Taxonomies.)</t>
        </is>
      </c>
      <c r="K288" s="30" t="inlineStr">
        <is>
          <t>AEO</t>
        </is>
      </c>
      <c r="L288" s="30" t="inlineStr">
        <is>
          <t>Paragraphs 40-60 Words Count</t>
        </is>
      </c>
      <c r="M288" s="30" t="inlineStr">
        <is>
          <t>No</t>
        </is>
      </c>
      <c r="N288" s="30" t="inlineStr">
        <is>
          <t>Copy Writer</t>
        </is>
      </c>
      <c r="O288" s="36" t="inlineStr">
        <is>
          <t>Open</t>
        </is>
      </c>
      <c r="P288" s="30" t="n">
        <v>4</v>
      </c>
      <c r="Q288" s="30" t="inlineStr">
        <is>
          <t>https://africanmarketingconfederation.org/smoke-archive/page-9::aioseo_no_concise_answer_paragraph_40-60_words_</t>
        </is>
      </c>
      <c r="R288" s="30" t="inlineStr">
        <is>
          <t>Compact answer blocks improve direct-answer extraction chances.</t>
        </is>
      </c>
      <c r="S288" s="38">
        <f>IFERROR(HYPERLINK("#'Main'!B"&amp;MATCH(TRIM(A288),'Main'!B:B,0),"Open"),HYPERLINK("#'Main'!B1","Open"))</f>
        <v/>
      </c>
      <c r="T288" s="38">
        <f>IFERROR(HYPERLINK("#'Technical Diagnostics'!A"&amp;MATCH(A288,'Technical Diagnostics'!A:A,0),"Open"),HYPERLINK("#'Technical Diagnostics'!A1","Open"))</f>
        <v/>
      </c>
    </row>
    <row r="289" ht="60" customHeight="1">
      <c r="A289" s="35" t="inlineStr">
        <is>
          <t>https://africanmarketingconfederation.org/discovered-via-bfs-1</t>
        </is>
      </c>
      <c r="B289" s="28" t="inlineStr"/>
      <c r="C289" s="28" t="inlineStr"/>
      <c r="D289" s="28" t="inlineStr">
        <is>
          <t>Readability</t>
        </is>
      </c>
      <c r="E289" s="33" t="inlineStr">
        <is>
          <t>Observation</t>
        </is>
      </c>
      <c r="F289" s="28" t="inlineStr">
        <is>
          <t>No question-style headings</t>
        </is>
      </c>
      <c r="G289" s="28" t="n">
        <v>37</v>
      </c>
      <c r="H289" s="28" t="n">
        <v>0</v>
      </c>
      <c r="I289" s="28" t="inlineStr">
        <is>
          <t>&gt;=1 where intent is informational</t>
        </is>
      </c>
      <c r="J289" s="28" t="inlineStr">
        <is>
          <t>Add at least one natural question heading (H2/H3) matching user intent. (Taxonomy/Archive page: navigate via AIOSEO → Search Appearance → Taxonomies.)</t>
        </is>
      </c>
      <c r="K289" s="28" t="inlineStr">
        <is>
          <t>AEO</t>
        </is>
      </c>
      <c r="L289" s="28" t="inlineStr">
        <is>
          <t>Question Heading Count</t>
        </is>
      </c>
      <c r="M289" s="28" t="inlineStr">
        <is>
          <t>No</t>
        </is>
      </c>
      <c r="N289" s="28" t="inlineStr">
        <is>
          <t>Copy Writer</t>
        </is>
      </c>
      <c r="O289" s="36" t="inlineStr">
        <is>
          <t>Open</t>
        </is>
      </c>
      <c r="P289" s="28" t="n">
        <v>4</v>
      </c>
      <c r="Q289" s="28" t="inlineStr">
        <is>
          <t>https://africanmarketingconfederation.org/discovered-via-bfs-1::aioseo_no_question-style_headings</t>
        </is>
      </c>
      <c r="R289" s="28" t="inlineStr">
        <is>
          <t>Question headings better align with query phrasing and snippet extraction.</t>
        </is>
      </c>
      <c r="S289">
        <f>IFERROR(HYPERLINK("#'Main'!B"&amp;MATCH(TRIM(A289),'Main'!B:B,0),"Open"),HYPERLINK("#'Main'!B1","Open"))</f>
        <v/>
      </c>
      <c r="T289">
        <f>IFERROR(HYPERLINK("#'Technical Diagnostics'!A"&amp;MATCH(A289,'Technical Diagnostics'!A:A,0),"Open"),HYPERLINK("#'Technical Diagnostics'!A1","Open"))</f>
        <v/>
      </c>
    </row>
    <row r="290" ht="60" customHeight="1">
      <c r="A290" s="37" t="inlineStr">
        <is>
          <t>https://africanmarketingconfederation.org/smoke-archive/page-18</t>
        </is>
      </c>
      <c r="B290" s="30" t="inlineStr"/>
      <c r="C290" s="30" t="inlineStr"/>
      <c r="D290" s="30" t="inlineStr">
        <is>
          <t>Readability</t>
        </is>
      </c>
      <c r="E290" s="33" t="inlineStr">
        <is>
          <t>Observation</t>
        </is>
      </c>
      <c r="F290" s="30" t="inlineStr">
        <is>
          <t>No question-style headings</t>
        </is>
      </c>
      <c r="G290" s="30" t="n">
        <v>37</v>
      </c>
      <c r="H290" s="30" t="n">
        <v>0</v>
      </c>
      <c r="I290" s="30" t="inlineStr">
        <is>
          <t>&gt;=1 where intent is informational</t>
        </is>
      </c>
      <c r="J290" s="30" t="inlineStr">
        <is>
          <t>Add at least one natural question heading (H2/H3) matching user intent. (Taxonomy/Archive page: navigate via AIOSEO → Search Appearance → Taxonomies.)</t>
        </is>
      </c>
      <c r="K290" s="30" t="inlineStr">
        <is>
          <t>AEO</t>
        </is>
      </c>
      <c r="L290" s="30" t="inlineStr">
        <is>
          <t>Question Heading Count</t>
        </is>
      </c>
      <c r="M290" s="30" t="inlineStr">
        <is>
          <t>No</t>
        </is>
      </c>
      <c r="N290" s="30" t="inlineStr">
        <is>
          <t>Copy Writer</t>
        </is>
      </c>
      <c r="O290" s="36" t="inlineStr">
        <is>
          <t>Open</t>
        </is>
      </c>
      <c r="P290" s="30" t="n">
        <v>4</v>
      </c>
      <c r="Q290" s="30" t="inlineStr">
        <is>
          <t>https://africanmarketingconfederation.org/smoke-archive/page-18::aioseo_no_question-style_headings</t>
        </is>
      </c>
      <c r="R290" s="30" t="inlineStr">
        <is>
          <t>Question headings better align with query phrasing and snippet extraction.</t>
        </is>
      </c>
      <c r="S290" s="38">
        <f>IFERROR(HYPERLINK("#'Main'!B"&amp;MATCH(TRIM(A290),'Main'!B:B,0),"Open"),HYPERLINK("#'Main'!B1","Open"))</f>
        <v/>
      </c>
      <c r="T290" s="38">
        <f>IFERROR(HYPERLINK("#'Technical Diagnostics'!A"&amp;MATCH(A290,'Technical Diagnostics'!A:A,0),"Open"),HYPERLINK("#'Technical Diagnostics'!A1","Open"))</f>
        <v/>
      </c>
    </row>
    <row r="291" ht="60" customHeight="1">
      <c r="A291" s="35" t="inlineStr">
        <is>
          <t>https://africanmarketingconfederation.org/smoke-archive/page-27</t>
        </is>
      </c>
      <c r="B291" s="28" t="inlineStr"/>
      <c r="C291" s="28" t="inlineStr"/>
      <c r="D291" s="28" t="inlineStr">
        <is>
          <t>Readability</t>
        </is>
      </c>
      <c r="E291" s="33" t="inlineStr">
        <is>
          <t>Observation</t>
        </is>
      </c>
      <c r="F291" s="28" t="inlineStr">
        <is>
          <t>No question-style headings</t>
        </is>
      </c>
      <c r="G291" s="28" t="n">
        <v>37</v>
      </c>
      <c r="H291" s="28" t="n">
        <v>0</v>
      </c>
      <c r="I291" s="28" t="inlineStr">
        <is>
          <t>&gt;=1 where intent is informational</t>
        </is>
      </c>
      <c r="J291" s="28" t="inlineStr">
        <is>
          <t>Add at least one natural question heading (H2/H3) matching user intent. (Taxonomy/Archive page: navigate via AIOSEO → Search Appearance → Taxonomies.)</t>
        </is>
      </c>
      <c r="K291" s="28" t="inlineStr">
        <is>
          <t>AEO</t>
        </is>
      </c>
      <c r="L291" s="28" t="inlineStr">
        <is>
          <t>Question Heading Count</t>
        </is>
      </c>
      <c r="M291" s="28" t="inlineStr">
        <is>
          <t>No</t>
        </is>
      </c>
      <c r="N291" s="28" t="inlineStr">
        <is>
          <t>Copy Writer</t>
        </is>
      </c>
      <c r="O291" s="36" t="inlineStr">
        <is>
          <t>Open</t>
        </is>
      </c>
      <c r="P291" s="28" t="n">
        <v>4</v>
      </c>
      <c r="Q291" s="28" t="inlineStr">
        <is>
          <t>https://africanmarketingconfederation.org/smoke-archive/page-27::aioseo_no_question-style_headings</t>
        </is>
      </c>
      <c r="R291" s="28" t="inlineStr">
        <is>
          <t>Question headings better align with query phrasing and snippet extraction.</t>
        </is>
      </c>
      <c r="S291">
        <f>IFERROR(HYPERLINK("#'Main'!B"&amp;MATCH(TRIM(A291),'Main'!B:B,0),"Open"),HYPERLINK("#'Main'!B1","Open"))</f>
        <v/>
      </c>
      <c r="T291">
        <f>IFERROR(HYPERLINK("#'Technical Diagnostics'!A"&amp;MATCH(A291,'Technical Diagnostics'!A:A,0),"Open"),HYPERLINK("#'Technical Diagnostics'!A1","Open"))</f>
        <v/>
      </c>
    </row>
    <row r="292" ht="60" customHeight="1">
      <c r="A292" s="37" t="inlineStr">
        <is>
          <t>https://africanmarketingconfederation.org/smoke-archive/page-36</t>
        </is>
      </c>
      <c r="B292" s="30" t="inlineStr"/>
      <c r="C292" s="30" t="inlineStr"/>
      <c r="D292" s="30" t="inlineStr">
        <is>
          <t>Readability</t>
        </is>
      </c>
      <c r="E292" s="33" t="inlineStr">
        <is>
          <t>Observation</t>
        </is>
      </c>
      <c r="F292" s="30" t="inlineStr">
        <is>
          <t>No question-style headings</t>
        </is>
      </c>
      <c r="G292" s="30" t="n">
        <v>37</v>
      </c>
      <c r="H292" s="30" t="n">
        <v>0</v>
      </c>
      <c r="I292" s="30" t="inlineStr">
        <is>
          <t>&gt;=1 where intent is informational</t>
        </is>
      </c>
      <c r="J292" s="30" t="inlineStr">
        <is>
          <t>Add at least one natural question heading (H2/H3) matching user intent. (Taxonomy/Archive page: navigate via AIOSEO → Search Appearance → Taxonomies.)</t>
        </is>
      </c>
      <c r="K292" s="30" t="inlineStr">
        <is>
          <t>AEO</t>
        </is>
      </c>
      <c r="L292" s="30" t="inlineStr">
        <is>
          <t>Question Heading Count</t>
        </is>
      </c>
      <c r="M292" s="30" t="inlineStr">
        <is>
          <t>No</t>
        </is>
      </c>
      <c r="N292" s="30" t="inlineStr">
        <is>
          <t>Copy Writer</t>
        </is>
      </c>
      <c r="O292" s="36" t="inlineStr">
        <is>
          <t>Open</t>
        </is>
      </c>
      <c r="P292" s="30" t="n">
        <v>4</v>
      </c>
      <c r="Q292" s="30" t="inlineStr">
        <is>
          <t>https://africanmarketingconfederation.org/smoke-archive/page-36::aioseo_no_question-style_headings</t>
        </is>
      </c>
      <c r="R292" s="30" t="inlineStr">
        <is>
          <t>Question headings better align with query phrasing and snippet extraction.</t>
        </is>
      </c>
      <c r="S292" s="38">
        <f>IFERROR(HYPERLINK("#'Main'!B"&amp;MATCH(TRIM(A292),'Main'!B:B,0),"Open"),HYPERLINK("#'Main'!B1","Open"))</f>
        <v/>
      </c>
      <c r="T292" s="38">
        <f>IFERROR(HYPERLINK("#'Technical Diagnostics'!A"&amp;MATCH(A292,'Technical Diagnostics'!A:A,0),"Open"),HYPERLINK("#'Technical Diagnostics'!A1","Open"))</f>
        <v/>
      </c>
    </row>
    <row r="293" ht="60" customHeight="1">
      <c r="A293" s="35" t="inlineStr">
        <is>
          <t>https://africanmarketingconfederation.org/smoke-archive/page-45</t>
        </is>
      </c>
      <c r="B293" s="28" t="inlineStr"/>
      <c r="C293" s="28" t="inlineStr"/>
      <c r="D293" s="28" t="inlineStr">
        <is>
          <t>Readability</t>
        </is>
      </c>
      <c r="E293" s="33" t="inlineStr">
        <is>
          <t>Observation</t>
        </is>
      </c>
      <c r="F293" s="28" t="inlineStr">
        <is>
          <t>No question-style headings</t>
        </is>
      </c>
      <c r="G293" s="28" t="n">
        <v>37</v>
      </c>
      <c r="H293" s="28" t="n">
        <v>0</v>
      </c>
      <c r="I293" s="28" t="inlineStr">
        <is>
          <t>&gt;=1 where intent is informational</t>
        </is>
      </c>
      <c r="J293" s="28" t="inlineStr">
        <is>
          <t>Add at least one natural question heading (H2/H3) matching user intent. (Taxonomy/Archive page: navigate via AIOSEO → Search Appearance → Taxonomies.)</t>
        </is>
      </c>
      <c r="K293" s="28" t="inlineStr">
        <is>
          <t>AEO</t>
        </is>
      </c>
      <c r="L293" s="28" t="inlineStr">
        <is>
          <t>Question Heading Count</t>
        </is>
      </c>
      <c r="M293" s="28" t="inlineStr">
        <is>
          <t>No</t>
        </is>
      </c>
      <c r="N293" s="28" t="inlineStr">
        <is>
          <t>Copy Writer</t>
        </is>
      </c>
      <c r="O293" s="36" t="inlineStr">
        <is>
          <t>Open</t>
        </is>
      </c>
      <c r="P293" s="28" t="n">
        <v>4</v>
      </c>
      <c r="Q293" s="28" t="inlineStr">
        <is>
          <t>https://africanmarketingconfederation.org/smoke-archive/page-45::aioseo_no_question-style_headings</t>
        </is>
      </c>
      <c r="R293" s="28" t="inlineStr">
        <is>
          <t>Question headings better align with query phrasing and snippet extraction.</t>
        </is>
      </c>
      <c r="S293">
        <f>IFERROR(HYPERLINK("#'Main'!B"&amp;MATCH(TRIM(A293),'Main'!B:B,0),"Open"),HYPERLINK("#'Main'!B1","Open"))</f>
        <v/>
      </c>
      <c r="T293">
        <f>IFERROR(HYPERLINK("#'Technical Diagnostics'!A"&amp;MATCH(A293,'Technical Diagnostics'!A:A,0),"Open"),HYPERLINK("#'Technical Diagnostics'!A1","Open"))</f>
        <v/>
      </c>
    </row>
    <row r="294" ht="60" customHeight="1">
      <c r="A294" s="37" t="inlineStr">
        <is>
          <t>https://africanmarketingconfederation.org/smoke-archive/page-54</t>
        </is>
      </c>
      <c r="B294" s="30" t="inlineStr"/>
      <c r="C294" s="30" t="inlineStr"/>
      <c r="D294" s="30" t="inlineStr">
        <is>
          <t>Readability</t>
        </is>
      </c>
      <c r="E294" s="33" t="inlineStr">
        <is>
          <t>Observation</t>
        </is>
      </c>
      <c r="F294" s="30" t="inlineStr">
        <is>
          <t>No question-style headings</t>
        </is>
      </c>
      <c r="G294" s="30" t="n">
        <v>37</v>
      </c>
      <c r="H294" s="30" t="n">
        <v>0</v>
      </c>
      <c r="I294" s="30" t="inlineStr">
        <is>
          <t>&gt;=1 where intent is informational</t>
        </is>
      </c>
      <c r="J294" s="30" t="inlineStr">
        <is>
          <t>Add at least one natural question heading (H2/H3) matching user intent. (Taxonomy/Archive page: navigate via AIOSEO → Search Appearance → Taxonomies.)</t>
        </is>
      </c>
      <c r="K294" s="30" t="inlineStr">
        <is>
          <t>AEO</t>
        </is>
      </c>
      <c r="L294" s="30" t="inlineStr">
        <is>
          <t>Question Heading Count</t>
        </is>
      </c>
      <c r="M294" s="30" t="inlineStr">
        <is>
          <t>No</t>
        </is>
      </c>
      <c r="N294" s="30" t="inlineStr">
        <is>
          <t>Copy Writer</t>
        </is>
      </c>
      <c r="O294" s="36" t="inlineStr">
        <is>
          <t>Open</t>
        </is>
      </c>
      <c r="P294" s="30" t="n">
        <v>4</v>
      </c>
      <c r="Q294" s="30" t="inlineStr">
        <is>
          <t>https://africanmarketingconfederation.org/smoke-archive/page-54::aioseo_no_question-style_headings</t>
        </is>
      </c>
      <c r="R294" s="30" t="inlineStr">
        <is>
          <t>Question headings better align with query phrasing and snippet extraction.</t>
        </is>
      </c>
      <c r="S294" s="38">
        <f>IFERROR(HYPERLINK("#'Main'!B"&amp;MATCH(TRIM(A294),'Main'!B:B,0),"Open"),HYPERLINK("#'Main'!B1","Open"))</f>
        <v/>
      </c>
      <c r="T294" s="38">
        <f>IFERROR(HYPERLINK("#'Technical Diagnostics'!A"&amp;MATCH(A294,'Technical Diagnostics'!A:A,0),"Open"),HYPERLINK("#'Technical Diagnostics'!A1","Open"))</f>
        <v/>
      </c>
    </row>
    <row r="295" ht="60" customHeight="1">
      <c r="A295" s="35" t="inlineStr">
        <is>
          <t>https://africanmarketingconfederation.org/smoke-archive/page-63</t>
        </is>
      </c>
      <c r="B295" s="28" t="inlineStr"/>
      <c r="C295" s="28" t="inlineStr"/>
      <c r="D295" s="28" t="inlineStr">
        <is>
          <t>Readability</t>
        </is>
      </c>
      <c r="E295" s="33" t="inlineStr">
        <is>
          <t>Observation</t>
        </is>
      </c>
      <c r="F295" s="28" t="inlineStr">
        <is>
          <t>No question-style headings</t>
        </is>
      </c>
      <c r="G295" s="28" t="n">
        <v>37</v>
      </c>
      <c r="H295" s="28" t="n">
        <v>0</v>
      </c>
      <c r="I295" s="28" t="inlineStr">
        <is>
          <t>&gt;=1 where intent is informational</t>
        </is>
      </c>
      <c r="J295" s="28" t="inlineStr">
        <is>
          <t>Add at least one natural question heading (H2/H3) matching user intent. (Taxonomy/Archive page: navigate via AIOSEO → Search Appearance → Taxonomies.)</t>
        </is>
      </c>
      <c r="K295" s="28" t="inlineStr">
        <is>
          <t>AEO</t>
        </is>
      </c>
      <c r="L295" s="28" t="inlineStr">
        <is>
          <t>Question Heading Count</t>
        </is>
      </c>
      <c r="M295" s="28" t="inlineStr">
        <is>
          <t>No</t>
        </is>
      </c>
      <c r="N295" s="28" t="inlineStr">
        <is>
          <t>Copy Writer</t>
        </is>
      </c>
      <c r="O295" s="36" t="inlineStr">
        <is>
          <t>Open</t>
        </is>
      </c>
      <c r="P295" s="28" t="n">
        <v>4</v>
      </c>
      <c r="Q295" s="28" t="inlineStr">
        <is>
          <t>https://africanmarketingconfederation.org/smoke-archive/page-63::aioseo_no_question-style_headings</t>
        </is>
      </c>
      <c r="R295" s="28" t="inlineStr">
        <is>
          <t>Question headings better align with query phrasing and snippet extraction.</t>
        </is>
      </c>
      <c r="S295">
        <f>IFERROR(HYPERLINK("#'Main'!B"&amp;MATCH(TRIM(A295),'Main'!B:B,0),"Open"),HYPERLINK("#'Main'!B1","Open"))</f>
        <v/>
      </c>
      <c r="T295">
        <f>IFERROR(HYPERLINK("#'Technical Diagnostics'!A"&amp;MATCH(A295,'Technical Diagnostics'!A:A,0),"Open"),HYPERLINK("#'Technical Diagnostics'!A1","Open"))</f>
        <v/>
      </c>
    </row>
    <row r="296" ht="60" customHeight="1">
      <c r="A296" s="37" t="inlineStr">
        <is>
          <t>https://africanmarketingconfederation.org/smoke-archive/page-72</t>
        </is>
      </c>
      <c r="B296" s="30" t="inlineStr"/>
      <c r="C296" s="30" t="inlineStr"/>
      <c r="D296" s="30" t="inlineStr">
        <is>
          <t>Readability</t>
        </is>
      </c>
      <c r="E296" s="33" t="inlineStr">
        <is>
          <t>Observation</t>
        </is>
      </c>
      <c r="F296" s="30" t="inlineStr">
        <is>
          <t>No question-style headings</t>
        </is>
      </c>
      <c r="G296" s="30" t="n">
        <v>37</v>
      </c>
      <c r="H296" s="30" t="n">
        <v>0</v>
      </c>
      <c r="I296" s="30" t="inlineStr">
        <is>
          <t>&gt;=1 where intent is informational</t>
        </is>
      </c>
      <c r="J296" s="30" t="inlineStr">
        <is>
          <t>Add at least one natural question heading (H2/H3) matching user intent. (Taxonomy/Archive page: navigate via AIOSEO → Search Appearance → Taxonomies.)</t>
        </is>
      </c>
      <c r="K296" s="30" t="inlineStr">
        <is>
          <t>AEO</t>
        </is>
      </c>
      <c r="L296" s="30" t="inlineStr">
        <is>
          <t>Question Heading Count</t>
        </is>
      </c>
      <c r="M296" s="30" t="inlineStr">
        <is>
          <t>No</t>
        </is>
      </c>
      <c r="N296" s="30" t="inlineStr">
        <is>
          <t>Copy Writer</t>
        </is>
      </c>
      <c r="O296" s="36" t="inlineStr">
        <is>
          <t>Open</t>
        </is>
      </c>
      <c r="P296" s="30" t="n">
        <v>4</v>
      </c>
      <c r="Q296" s="30" t="inlineStr">
        <is>
          <t>https://africanmarketingconfederation.org/smoke-archive/page-72::aioseo_no_question-style_headings</t>
        </is>
      </c>
      <c r="R296" s="30" t="inlineStr">
        <is>
          <t>Question headings better align with query phrasing and snippet extraction.</t>
        </is>
      </c>
      <c r="S296" s="38">
        <f>IFERROR(HYPERLINK("#'Main'!B"&amp;MATCH(TRIM(A296),'Main'!B:B,0),"Open"),HYPERLINK("#'Main'!B1","Open"))</f>
        <v/>
      </c>
      <c r="T296" s="38">
        <f>IFERROR(HYPERLINK("#'Technical Diagnostics'!A"&amp;MATCH(A296,'Technical Diagnostics'!A:A,0),"Open"),HYPERLINK("#'Technical Diagnostics'!A1","Open"))</f>
        <v/>
      </c>
    </row>
    <row r="297" ht="60" customHeight="1">
      <c r="A297" s="35" t="inlineStr">
        <is>
          <t>https://africanmarketingconfederation.org/smoke-archive/page-9</t>
        </is>
      </c>
      <c r="B297" s="28" t="inlineStr"/>
      <c r="C297" s="28" t="inlineStr"/>
      <c r="D297" s="28" t="inlineStr">
        <is>
          <t>Readability</t>
        </is>
      </c>
      <c r="E297" s="33" t="inlineStr">
        <is>
          <t>Observation</t>
        </is>
      </c>
      <c r="F297" s="28" t="inlineStr">
        <is>
          <t>No question-style headings</t>
        </is>
      </c>
      <c r="G297" s="28" t="n">
        <v>37</v>
      </c>
      <c r="H297" s="28" t="n">
        <v>0</v>
      </c>
      <c r="I297" s="28" t="inlineStr">
        <is>
          <t>&gt;=1 where intent is informational</t>
        </is>
      </c>
      <c r="J297" s="28" t="inlineStr">
        <is>
          <t>Add at least one natural question heading (H2/H3) matching user intent. (Taxonomy/Archive page: navigate via AIOSEO → Search Appearance → Taxonomies.)</t>
        </is>
      </c>
      <c r="K297" s="28" t="inlineStr">
        <is>
          <t>AEO</t>
        </is>
      </c>
      <c r="L297" s="28" t="inlineStr">
        <is>
          <t>Question Heading Count</t>
        </is>
      </c>
      <c r="M297" s="28" t="inlineStr">
        <is>
          <t>No</t>
        </is>
      </c>
      <c r="N297" s="28" t="inlineStr">
        <is>
          <t>Copy Writer</t>
        </is>
      </c>
      <c r="O297" s="36" t="inlineStr">
        <is>
          <t>Open</t>
        </is>
      </c>
      <c r="P297" s="28" t="n">
        <v>4</v>
      </c>
      <c r="Q297" s="28" t="inlineStr">
        <is>
          <t>https://africanmarketingconfederation.org/smoke-archive/page-9::aioseo_no_question-style_headings</t>
        </is>
      </c>
      <c r="R297" s="28" t="inlineStr">
        <is>
          <t>Question headings better align with query phrasing and snippet extraction.</t>
        </is>
      </c>
      <c r="S297">
        <f>IFERROR(HYPERLINK("#'Main'!B"&amp;MATCH(TRIM(A297),'Main'!B:B,0),"Open"),HYPERLINK("#'Main'!B1","Open"))</f>
        <v/>
      </c>
      <c r="T297">
        <f>IFERROR(HYPERLINK("#'Technical Diagnostics'!A"&amp;MATCH(A297,'Technical Diagnostics'!A:A,0),"Open"),HYPERLINK("#'Technical Diagnostics'!A1","Open"))</f>
        <v/>
      </c>
    </row>
    <row r="298" ht="60" customHeight="1">
      <c r="A298" s="37" t="inlineStr">
        <is>
          <t>https://africanmarketingconfederation.org/discovered-via-bfs-1</t>
        </is>
      </c>
      <c r="B298" s="30" t="inlineStr"/>
      <c r="C298" s="30" t="inlineStr"/>
      <c r="D298" s="30" t="inlineStr">
        <is>
          <t>Schema</t>
        </is>
      </c>
      <c r="E298" s="33" t="inlineStr">
        <is>
          <t>Observation</t>
        </is>
      </c>
      <c r="F298" s="30" t="inlineStr">
        <is>
          <t>No FAQ/QA schema</t>
        </is>
      </c>
      <c r="G298" s="30" t="n">
        <v>37</v>
      </c>
      <c r="H298" s="30" t="b">
        <v>0</v>
      </c>
      <c r="I298" s="30" t="inlineStr">
        <is>
          <t>True when page has Q&amp;A intent</t>
        </is>
      </c>
      <c r="J298" s="30" t="inlineStr">
        <is>
          <t>If content is Q&amp;A style, add FAQPage/QAPage schema in AIOSEO and keep markup aligned with on-page content. (Taxonomy/Archive page: navigate via AIOSEO → Search Appearance → Taxonomies.)</t>
        </is>
      </c>
      <c r="K298" s="30" t="inlineStr">
        <is>
          <t>AEO</t>
        </is>
      </c>
      <c r="L298" s="30" t="inlineStr">
        <is>
          <t>QAPage/FAQ Schema Present</t>
        </is>
      </c>
      <c r="M298" s="30" t="inlineStr">
        <is>
          <t>No</t>
        </is>
      </c>
      <c r="N298" s="30" t="inlineStr">
        <is>
          <t>Copy Writer</t>
        </is>
      </c>
      <c r="O298" s="36" t="inlineStr">
        <is>
          <t>Open</t>
        </is>
      </c>
      <c r="P298" s="30" t="n">
        <v>4</v>
      </c>
      <c r="Q298" s="30" t="inlineStr">
        <is>
          <t>https://africanmarketingconfederation.org/discovered-via-bfs-1::aioseo_no_faq_qa_schema</t>
        </is>
      </c>
      <c r="R298" s="30" t="inlineStr">
        <is>
          <t>Q&amp;A schema can improve eligibility for answer-rich results.</t>
        </is>
      </c>
      <c r="S298" s="38">
        <f>IFERROR(HYPERLINK("#'Main'!B"&amp;MATCH(TRIM(A298),'Main'!B:B,0),"Open"),HYPERLINK("#'Main'!B1","Open"))</f>
        <v/>
      </c>
      <c r="T298" s="38">
        <f>IFERROR(HYPERLINK("#'Technical Diagnostics'!A"&amp;MATCH(A298,'Technical Diagnostics'!A:A,0),"Open"),HYPERLINK("#'Technical Diagnostics'!A1","Open"))</f>
        <v/>
      </c>
    </row>
    <row r="299" ht="60" customHeight="1">
      <c r="A299" s="35" t="inlineStr">
        <is>
          <t>https://africanmarketingconfederation.org/smoke-archive/page-18</t>
        </is>
      </c>
      <c r="B299" s="28" t="inlineStr"/>
      <c r="C299" s="28" t="inlineStr"/>
      <c r="D299" s="28" t="inlineStr">
        <is>
          <t>Schema</t>
        </is>
      </c>
      <c r="E299" s="33" t="inlineStr">
        <is>
          <t>Observation</t>
        </is>
      </c>
      <c r="F299" s="28" t="inlineStr">
        <is>
          <t>No FAQ/QA schema</t>
        </is>
      </c>
      <c r="G299" s="28" t="n">
        <v>37</v>
      </c>
      <c r="H299" s="28" t="b">
        <v>0</v>
      </c>
      <c r="I299" s="28" t="inlineStr">
        <is>
          <t>True when page has Q&amp;A intent</t>
        </is>
      </c>
      <c r="J299" s="28" t="inlineStr">
        <is>
          <t>If content is Q&amp;A style, add FAQPage/QAPage schema in AIOSEO and keep markup aligned with on-page content. (Taxonomy/Archive page: navigate via AIOSEO → Search Appearance → Taxonomies.)</t>
        </is>
      </c>
      <c r="K299" s="28" t="inlineStr">
        <is>
          <t>AEO</t>
        </is>
      </c>
      <c r="L299" s="28" t="inlineStr">
        <is>
          <t>QAPage/FAQ Schema Present</t>
        </is>
      </c>
      <c r="M299" s="28" t="inlineStr">
        <is>
          <t>No</t>
        </is>
      </c>
      <c r="N299" s="28" t="inlineStr">
        <is>
          <t>Copy Writer</t>
        </is>
      </c>
      <c r="O299" s="36" t="inlineStr">
        <is>
          <t>Open</t>
        </is>
      </c>
      <c r="P299" s="28" t="n">
        <v>4</v>
      </c>
      <c r="Q299" s="28" t="inlineStr">
        <is>
          <t>https://africanmarketingconfederation.org/smoke-archive/page-18::aioseo_no_faq_qa_schema</t>
        </is>
      </c>
      <c r="R299" s="28" t="inlineStr">
        <is>
          <t>Q&amp;A schema can improve eligibility for answer-rich results.</t>
        </is>
      </c>
      <c r="S299">
        <f>IFERROR(HYPERLINK("#'Main'!B"&amp;MATCH(TRIM(A299),'Main'!B:B,0),"Open"),HYPERLINK("#'Main'!B1","Open"))</f>
        <v/>
      </c>
      <c r="T299">
        <f>IFERROR(HYPERLINK("#'Technical Diagnostics'!A"&amp;MATCH(A299,'Technical Diagnostics'!A:A,0),"Open"),HYPERLINK("#'Technical Diagnostics'!A1","Open"))</f>
        <v/>
      </c>
    </row>
    <row r="300" ht="60" customHeight="1">
      <c r="A300" s="37" t="inlineStr">
        <is>
          <t>https://africanmarketingconfederation.org/smoke-archive/page-27</t>
        </is>
      </c>
      <c r="B300" s="30" t="inlineStr"/>
      <c r="C300" s="30" t="inlineStr"/>
      <c r="D300" s="30" t="inlineStr">
        <is>
          <t>Schema</t>
        </is>
      </c>
      <c r="E300" s="33" t="inlineStr">
        <is>
          <t>Observation</t>
        </is>
      </c>
      <c r="F300" s="30" t="inlineStr">
        <is>
          <t>No FAQ/QA schema</t>
        </is>
      </c>
      <c r="G300" s="30" t="n">
        <v>37</v>
      </c>
      <c r="H300" s="30" t="b">
        <v>0</v>
      </c>
      <c r="I300" s="30" t="inlineStr">
        <is>
          <t>True when page has Q&amp;A intent</t>
        </is>
      </c>
      <c r="J300" s="30" t="inlineStr">
        <is>
          <t>If content is Q&amp;A style, add FAQPage/QAPage schema in AIOSEO and keep markup aligned with on-page content. (Taxonomy/Archive page: navigate via AIOSEO → Search Appearance → Taxonomies.)</t>
        </is>
      </c>
      <c r="K300" s="30" t="inlineStr">
        <is>
          <t>AEO</t>
        </is>
      </c>
      <c r="L300" s="30" t="inlineStr">
        <is>
          <t>QAPage/FAQ Schema Present</t>
        </is>
      </c>
      <c r="M300" s="30" t="inlineStr">
        <is>
          <t>No</t>
        </is>
      </c>
      <c r="N300" s="30" t="inlineStr">
        <is>
          <t>Copy Writer</t>
        </is>
      </c>
      <c r="O300" s="36" t="inlineStr">
        <is>
          <t>Open</t>
        </is>
      </c>
      <c r="P300" s="30" t="n">
        <v>4</v>
      </c>
      <c r="Q300" s="30" t="inlineStr">
        <is>
          <t>https://africanmarketingconfederation.org/smoke-archive/page-27::aioseo_no_faq_qa_schema</t>
        </is>
      </c>
      <c r="R300" s="30" t="inlineStr">
        <is>
          <t>Q&amp;A schema can improve eligibility for answer-rich results.</t>
        </is>
      </c>
      <c r="S300" s="38">
        <f>IFERROR(HYPERLINK("#'Main'!B"&amp;MATCH(TRIM(A300),'Main'!B:B,0),"Open"),HYPERLINK("#'Main'!B1","Open"))</f>
        <v/>
      </c>
      <c r="T300" s="38">
        <f>IFERROR(HYPERLINK("#'Technical Diagnostics'!A"&amp;MATCH(A300,'Technical Diagnostics'!A:A,0),"Open"),HYPERLINK("#'Technical Diagnostics'!A1","Open"))</f>
        <v/>
      </c>
    </row>
    <row r="301" ht="60" customHeight="1">
      <c r="A301" s="35" t="inlineStr">
        <is>
          <t>https://africanmarketingconfederation.org/smoke-archive/page-36</t>
        </is>
      </c>
      <c r="B301" s="28" t="inlineStr"/>
      <c r="C301" s="28" t="inlineStr"/>
      <c r="D301" s="28" t="inlineStr">
        <is>
          <t>Schema</t>
        </is>
      </c>
      <c r="E301" s="33" t="inlineStr">
        <is>
          <t>Observation</t>
        </is>
      </c>
      <c r="F301" s="28" t="inlineStr">
        <is>
          <t>No FAQ/QA schema</t>
        </is>
      </c>
      <c r="G301" s="28" t="n">
        <v>37</v>
      </c>
      <c r="H301" s="28" t="b">
        <v>0</v>
      </c>
      <c r="I301" s="28" t="inlineStr">
        <is>
          <t>True when page has Q&amp;A intent</t>
        </is>
      </c>
      <c r="J301" s="28" t="inlineStr">
        <is>
          <t>If content is Q&amp;A style, add FAQPage/QAPage schema in AIOSEO and keep markup aligned with on-page content. (Taxonomy/Archive page: navigate via AIOSEO → Search Appearance → Taxonomies.)</t>
        </is>
      </c>
      <c r="K301" s="28" t="inlineStr">
        <is>
          <t>AEO</t>
        </is>
      </c>
      <c r="L301" s="28" t="inlineStr">
        <is>
          <t>QAPage/FAQ Schema Present</t>
        </is>
      </c>
      <c r="M301" s="28" t="inlineStr">
        <is>
          <t>No</t>
        </is>
      </c>
      <c r="N301" s="28" t="inlineStr">
        <is>
          <t>Copy Writer</t>
        </is>
      </c>
      <c r="O301" s="36" t="inlineStr">
        <is>
          <t>Open</t>
        </is>
      </c>
      <c r="P301" s="28" t="n">
        <v>4</v>
      </c>
      <c r="Q301" s="28" t="inlineStr">
        <is>
          <t>https://africanmarketingconfederation.org/smoke-archive/page-36::aioseo_no_faq_qa_schema</t>
        </is>
      </c>
      <c r="R301" s="28" t="inlineStr">
        <is>
          <t>Q&amp;A schema can improve eligibility for answer-rich results.</t>
        </is>
      </c>
      <c r="S301">
        <f>IFERROR(HYPERLINK("#'Main'!B"&amp;MATCH(TRIM(A301),'Main'!B:B,0),"Open"),HYPERLINK("#'Main'!B1","Open"))</f>
        <v/>
      </c>
      <c r="T301">
        <f>IFERROR(HYPERLINK("#'Technical Diagnostics'!A"&amp;MATCH(A301,'Technical Diagnostics'!A:A,0),"Open"),HYPERLINK("#'Technical Diagnostics'!A1","Open"))</f>
        <v/>
      </c>
    </row>
    <row r="302" ht="60" customHeight="1">
      <c r="A302" s="37" t="inlineStr">
        <is>
          <t>https://africanmarketingconfederation.org/smoke-archive/page-45</t>
        </is>
      </c>
      <c r="B302" s="30" t="inlineStr"/>
      <c r="C302" s="30" t="inlineStr"/>
      <c r="D302" s="30" t="inlineStr">
        <is>
          <t>Schema</t>
        </is>
      </c>
      <c r="E302" s="33" t="inlineStr">
        <is>
          <t>Observation</t>
        </is>
      </c>
      <c r="F302" s="30" t="inlineStr">
        <is>
          <t>No FAQ/QA schema</t>
        </is>
      </c>
      <c r="G302" s="30" t="n">
        <v>37</v>
      </c>
      <c r="H302" s="30" t="b">
        <v>0</v>
      </c>
      <c r="I302" s="30" t="inlineStr">
        <is>
          <t>True when page has Q&amp;A intent</t>
        </is>
      </c>
      <c r="J302" s="30" t="inlineStr">
        <is>
          <t>If content is Q&amp;A style, add FAQPage/QAPage schema in AIOSEO and keep markup aligned with on-page content. (Taxonomy/Archive page: navigate via AIOSEO → Search Appearance → Taxonomies.)</t>
        </is>
      </c>
      <c r="K302" s="30" t="inlineStr">
        <is>
          <t>AEO</t>
        </is>
      </c>
      <c r="L302" s="30" t="inlineStr">
        <is>
          <t>QAPage/FAQ Schema Present</t>
        </is>
      </c>
      <c r="M302" s="30" t="inlineStr">
        <is>
          <t>No</t>
        </is>
      </c>
      <c r="N302" s="30" t="inlineStr">
        <is>
          <t>Copy Writer</t>
        </is>
      </c>
      <c r="O302" s="36" t="inlineStr">
        <is>
          <t>Open</t>
        </is>
      </c>
      <c r="P302" s="30" t="n">
        <v>4</v>
      </c>
      <c r="Q302" s="30" t="inlineStr">
        <is>
          <t>https://africanmarketingconfederation.org/smoke-archive/page-45::aioseo_no_faq_qa_schema</t>
        </is>
      </c>
      <c r="R302" s="30" t="inlineStr">
        <is>
          <t>Q&amp;A schema can improve eligibility for answer-rich results.</t>
        </is>
      </c>
      <c r="S302" s="38">
        <f>IFERROR(HYPERLINK("#'Main'!B"&amp;MATCH(TRIM(A302),'Main'!B:B,0),"Open"),HYPERLINK("#'Main'!B1","Open"))</f>
        <v/>
      </c>
      <c r="T302" s="38">
        <f>IFERROR(HYPERLINK("#'Technical Diagnostics'!A"&amp;MATCH(A302,'Technical Diagnostics'!A:A,0),"Open"),HYPERLINK("#'Technical Diagnostics'!A1","Open"))</f>
        <v/>
      </c>
    </row>
    <row r="303" ht="60" customHeight="1">
      <c r="A303" s="35" t="inlineStr">
        <is>
          <t>https://africanmarketingconfederation.org/smoke-archive/page-54</t>
        </is>
      </c>
      <c r="B303" s="28" t="inlineStr"/>
      <c r="C303" s="28" t="inlineStr"/>
      <c r="D303" s="28" t="inlineStr">
        <is>
          <t>Schema</t>
        </is>
      </c>
      <c r="E303" s="33" t="inlineStr">
        <is>
          <t>Observation</t>
        </is>
      </c>
      <c r="F303" s="28" t="inlineStr">
        <is>
          <t>No FAQ/QA schema</t>
        </is>
      </c>
      <c r="G303" s="28" t="n">
        <v>37</v>
      </c>
      <c r="H303" s="28" t="b">
        <v>0</v>
      </c>
      <c r="I303" s="28" t="inlineStr">
        <is>
          <t>True when page has Q&amp;A intent</t>
        </is>
      </c>
      <c r="J303" s="28" t="inlineStr">
        <is>
          <t>If content is Q&amp;A style, add FAQPage/QAPage schema in AIOSEO and keep markup aligned with on-page content. (Taxonomy/Archive page: navigate via AIOSEO → Search Appearance → Taxonomies.)</t>
        </is>
      </c>
      <c r="K303" s="28" t="inlineStr">
        <is>
          <t>AEO</t>
        </is>
      </c>
      <c r="L303" s="28" t="inlineStr">
        <is>
          <t>QAPage/FAQ Schema Present</t>
        </is>
      </c>
      <c r="M303" s="28" t="inlineStr">
        <is>
          <t>No</t>
        </is>
      </c>
      <c r="N303" s="28" t="inlineStr">
        <is>
          <t>Copy Writer</t>
        </is>
      </c>
      <c r="O303" s="36" t="inlineStr">
        <is>
          <t>Open</t>
        </is>
      </c>
      <c r="P303" s="28" t="n">
        <v>4</v>
      </c>
      <c r="Q303" s="28" t="inlineStr">
        <is>
          <t>https://africanmarketingconfederation.org/smoke-archive/page-54::aioseo_no_faq_qa_schema</t>
        </is>
      </c>
      <c r="R303" s="28" t="inlineStr">
        <is>
          <t>Q&amp;A schema can improve eligibility for answer-rich results.</t>
        </is>
      </c>
      <c r="S303">
        <f>IFERROR(HYPERLINK("#'Main'!B"&amp;MATCH(TRIM(A303),'Main'!B:B,0),"Open"),HYPERLINK("#'Main'!B1","Open"))</f>
        <v/>
      </c>
      <c r="T303">
        <f>IFERROR(HYPERLINK("#'Technical Diagnostics'!A"&amp;MATCH(A303,'Technical Diagnostics'!A:A,0),"Open"),HYPERLINK("#'Technical Diagnostics'!A1","Open"))</f>
        <v/>
      </c>
    </row>
    <row r="304" ht="60" customHeight="1">
      <c r="A304" s="37" t="inlineStr">
        <is>
          <t>https://africanmarketingconfederation.org/smoke-archive/page-63</t>
        </is>
      </c>
      <c r="B304" s="30" t="inlineStr"/>
      <c r="C304" s="30" t="inlineStr"/>
      <c r="D304" s="30" t="inlineStr">
        <is>
          <t>Schema</t>
        </is>
      </c>
      <c r="E304" s="33" t="inlineStr">
        <is>
          <t>Observation</t>
        </is>
      </c>
      <c r="F304" s="30" t="inlineStr">
        <is>
          <t>No FAQ/QA schema</t>
        </is>
      </c>
      <c r="G304" s="30" t="n">
        <v>37</v>
      </c>
      <c r="H304" s="30" t="b">
        <v>0</v>
      </c>
      <c r="I304" s="30" t="inlineStr">
        <is>
          <t>True when page has Q&amp;A intent</t>
        </is>
      </c>
      <c r="J304" s="30" t="inlineStr">
        <is>
          <t>If content is Q&amp;A style, add FAQPage/QAPage schema in AIOSEO and keep markup aligned with on-page content. (Taxonomy/Archive page: navigate via AIOSEO → Search Appearance → Taxonomies.)</t>
        </is>
      </c>
      <c r="K304" s="30" t="inlineStr">
        <is>
          <t>AEO</t>
        </is>
      </c>
      <c r="L304" s="30" t="inlineStr">
        <is>
          <t>QAPage/FAQ Schema Present</t>
        </is>
      </c>
      <c r="M304" s="30" t="inlineStr">
        <is>
          <t>No</t>
        </is>
      </c>
      <c r="N304" s="30" t="inlineStr">
        <is>
          <t>Copy Writer</t>
        </is>
      </c>
      <c r="O304" s="36" t="inlineStr">
        <is>
          <t>Open</t>
        </is>
      </c>
      <c r="P304" s="30" t="n">
        <v>4</v>
      </c>
      <c r="Q304" s="30" t="inlineStr">
        <is>
          <t>https://africanmarketingconfederation.org/smoke-archive/page-63::aioseo_no_faq_qa_schema</t>
        </is>
      </c>
      <c r="R304" s="30" t="inlineStr">
        <is>
          <t>Q&amp;A schema can improve eligibility for answer-rich results.</t>
        </is>
      </c>
      <c r="S304" s="38">
        <f>IFERROR(HYPERLINK("#'Main'!B"&amp;MATCH(TRIM(A304),'Main'!B:B,0),"Open"),HYPERLINK("#'Main'!B1","Open"))</f>
        <v/>
      </c>
      <c r="T304" s="38">
        <f>IFERROR(HYPERLINK("#'Technical Diagnostics'!A"&amp;MATCH(A304,'Technical Diagnostics'!A:A,0),"Open"),HYPERLINK("#'Technical Diagnostics'!A1","Open"))</f>
        <v/>
      </c>
    </row>
    <row r="305" ht="60" customHeight="1">
      <c r="A305" s="35" t="inlineStr">
        <is>
          <t>https://africanmarketingconfederation.org/smoke-archive/page-72</t>
        </is>
      </c>
      <c r="B305" s="28" t="inlineStr"/>
      <c r="C305" s="28" t="inlineStr"/>
      <c r="D305" s="28" t="inlineStr">
        <is>
          <t>Schema</t>
        </is>
      </c>
      <c r="E305" s="33" t="inlineStr">
        <is>
          <t>Observation</t>
        </is>
      </c>
      <c r="F305" s="28" t="inlineStr">
        <is>
          <t>No FAQ/QA schema</t>
        </is>
      </c>
      <c r="G305" s="28" t="n">
        <v>37</v>
      </c>
      <c r="H305" s="28" t="b">
        <v>0</v>
      </c>
      <c r="I305" s="28" t="inlineStr">
        <is>
          <t>True when page has Q&amp;A intent</t>
        </is>
      </c>
      <c r="J305" s="28" t="inlineStr">
        <is>
          <t>If content is Q&amp;A style, add FAQPage/QAPage schema in AIOSEO and keep markup aligned with on-page content. (Taxonomy/Archive page: navigate via AIOSEO → Search Appearance → Taxonomies.)</t>
        </is>
      </c>
      <c r="K305" s="28" t="inlineStr">
        <is>
          <t>AEO</t>
        </is>
      </c>
      <c r="L305" s="28" t="inlineStr">
        <is>
          <t>QAPage/FAQ Schema Present</t>
        </is>
      </c>
      <c r="M305" s="28" t="inlineStr">
        <is>
          <t>No</t>
        </is>
      </c>
      <c r="N305" s="28" t="inlineStr">
        <is>
          <t>Copy Writer</t>
        </is>
      </c>
      <c r="O305" s="36" t="inlineStr">
        <is>
          <t>Open</t>
        </is>
      </c>
      <c r="P305" s="28" t="n">
        <v>4</v>
      </c>
      <c r="Q305" s="28" t="inlineStr">
        <is>
          <t>https://africanmarketingconfederation.org/smoke-archive/page-72::aioseo_no_faq_qa_schema</t>
        </is>
      </c>
      <c r="R305" s="28" t="inlineStr">
        <is>
          <t>Q&amp;A schema can improve eligibility for answer-rich results.</t>
        </is>
      </c>
      <c r="S305">
        <f>IFERROR(HYPERLINK("#'Main'!B"&amp;MATCH(TRIM(A305),'Main'!B:B,0),"Open"),HYPERLINK("#'Main'!B1","Open"))</f>
        <v/>
      </c>
      <c r="T305">
        <f>IFERROR(HYPERLINK("#'Technical Diagnostics'!A"&amp;MATCH(A305,'Technical Diagnostics'!A:A,0),"Open"),HYPERLINK("#'Technical Diagnostics'!A1","Open"))</f>
        <v/>
      </c>
    </row>
    <row r="306" ht="60" customHeight="1">
      <c r="A306" s="37" t="inlineStr">
        <is>
          <t>https://africanmarketingconfederation.org/smoke-archive/page-9</t>
        </is>
      </c>
      <c r="B306" s="30" t="inlineStr"/>
      <c r="C306" s="30" t="inlineStr"/>
      <c r="D306" s="30" t="inlineStr">
        <is>
          <t>Schema</t>
        </is>
      </c>
      <c r="E306" s="33" t="inlineStr">
        <is>
          <t>Observation</t>
        </is>
      </c>
      <c r="F306" s="30" t="inlineStr">
        <is>
          <t>No FAQ/QA schema</t>
        </is>
      </c>
      <c r="G306" s="30" t="n">
        <v>37</v>
      </c>
      <c r="H306" s="30" t="b">
        <v>0</v>
      </c>
      <c r="I306" s="30" t="inlineStr">
        <is>
          <t>True when page has Q&amp;A intent</t>
        </is>
      </c>
      <c r="J306" s="30" t="inlineStr">
        <is>
          <t>If content is Q&amp;A style, add FAQPage/QAPage schema in AIOSEO and keep markup aligned with on-page content. (Taxonomy/Archive page: navigate via AIOSEO → Search Appearance → Taxonomies.)</t>
        </is>
      </c>
      <c r="K306" s="30" t="inlineStr">
        <is>
          <t>AEO</t>
        </is>
      </c>
      <c r="L306" s="30" t="inlineStr">
        <is>
          <t>QAPage/FAQ Schema Present</t>
        </is>
      </c>
      <c r="M306" s="30" t="inlineStr">
        <is>
          <t>No</t>
        </is>
      </c>
      <c r="N306" s="30" t="inlineStr">
        <is>
          <t>Copy Writer</t>
        </is>
      </c>
      <c r="O306" s="36" t="inlineStr">
        <is>
          <t>Open</t>
        </is>
      </c>
      <c r="P306" s="30" t="n">
        <v>4</v>
      </c>
      <c r="Q306" s="30" t="inlineStr">
        <is>
          <t>https://africanmarketingconfederation.org/smoke-archive/page-9::aioseo_no_faq_qa_schema</t>
        </is>
      </c>
      <c r="R306" s="30" t="inlineStr">
        <is>
          <t>Q&amp;A schema can improve eligibility for answer-rich results.</t>
        </is>
      </c>
      <c r="S306" s="38">
        <f>IFERROR(HYPERLINK("#'Main'!B"&amp;MATCH(TRIM(A306),'Main'!B:B,0),"Open"),HYPERLINK("#'Main'!B1","Open"))</f>
        <v/>
      </c>
      <c r="T306" s="38">
        <f>IFERROR(HYPERLINK("#'Technical Diagnostics'!A"&amp;MATCH(A306,'Technical Diagnostics'!A:A,0),"Open"),HYPERLINK("#'Technical Diagnostics'!A1","Open"))</f>
        <v/>
      </c>
    </row>
    <row r="307" ht="30" customHeight="1">
      <c r="A307" s="35" t="inlineStr">
        <is>
          <t>https://africanmarketingconfederation.org/</t>
        </is>
      </c>
      <c r="B307" s="28" t="inlineStr"/>
      <c r="C307" s="28" t="inlineStr"/>
      <c r="D307" s="28" t="inlineStr">
        <is>
          <t>Title</t>
        </is>
      </c>
      <c r="E307" s="33" t="inlineStr">
        <is>
          <t>Observation</t>
        </is>
      </c>
      <c r="F307" s="28" t="inlineStr">
        <is>
          <t>SEO title too short</t>
        </is>
      </c>
      <c r="G307" s="28" t="n">
        <v>37</v>
      </c>
      <c r="H307" s="28" t="n">
        <v>13</v>
      </c>
      <c r="I307" s="28" t="inlineStr">
        <is>
          <t>40-60 characters</t>
        </is>
      </c>
      <c r="J307" s="28" t="inlineStr">
        <is>
          <t>Expand title in AIOSEO snippet editor with clearer intent and value proposition.</t>
        </is>
      </c>
      <c r="K307" s="39" t="inlineStr">
        <is>
          <t>Main</t>
        </is>
      </c>
      <c r="L307" s="28" t="inlineStr">
        <is>
          <t>Title</t>
        </is>
      </c>
      <c r="M307" s="28" t="inlineStr">
        <is>
          <t>No</t>
        </is>
      </c>
      <c r="N307" s="28" t="inlineStr">
        <is>
          <t>Copy Writer</t>
        </is>
      </c>
      <c r="O307" s="36" t="inlineStr">
        <is>
          <t>Open</t>
        </is>
      </c>
      <c r="P307" s="28" t="n">
        <v>4</v>
      </c>
      <c r="Q307" s="28" t="inlineStr">
        <is>
          <t>https://africanmarketingconfederation.org/::aioseo_seo_title_too_short</t>
        </is>
      </c>
      <c r="R307" s="28" t="inlineStr">
        <is>
          <t>Very short titles often under-describe page intent.</t>
        </is>
      </c>
      <c r="S307">
        <f>IFERROR(HYPERLINK("#'Main'!B"&amp;MATCH(TRIM(A307),'Main'!B:B,0),"Open"),HYPERLINK("#'Main'!B1","Open"))</f>
        <v/>
      </c>
      <c r="T307">
        <f>IFERROR(HYPERLINK("#'Technical Diagnostics'!A"&amp;MATCH(A307,'Technical Diagnostics'!A:A,0),"Open"),HYPERLINK("#'Technical Diagnostics'!A1","Open"))</f>
        <v/>
      </c>
    </row>
    <row r="308" ht="60" customHeight="1">
      <c r="A308" s="37" t="inlineStr">
        <is>
          <t>https://africanmarketingconfederation.org/discovered-via-bfs-1</t>
        </is>
      </c>
      <c r="B308" s="30" t="inlineStr"/>
      <c r="C308" s="30" t="inlineStr"/>
      <c r="D308" s="30" t="inlineStr">
        <is>
          <t>Title</t>
        </is>
      </c>
      <c r="E308" s="33" t="inlineStr">
        <is>
          <t>Observation</t>
        </is>
      </c>
      <c r="F308" s="30" t="inlineStr">
        <is>
          <t>SEO title too short</t>
        </is>
      </c>
      <c r="G308" s="30" t="n">
        <v>37</v>
      </c>
      <c r="H308" s="30" t="n">
        <v>14</v>
      </c>
      <c r="I308" s="30" t="inlineStr">
        <is>
          <t>40-60 characters</t>
        </is>
      </c>
      <c r="J308" s="30" t="inlineStr">
        <is>
          <t>Expand title in AIOSEO snippet editor with clearer intent and value proposition. (Taxonomy/Archive page: navigate via AIOSEO → Search Appearance → Taxonomies.)</t>
        </is>
      </c>
      <c r="K308" s="41" t="inlineStr">
        <is>
          <t>Main</t>
        </is>
      </c>
      <c r="L308" s="30" t="inlineStr">
        <is>
          <t>Title</t>
        </is>
      </c>
      <c r="M308" s="30" t="inlineStr">
        <is>
          <t>No</t>
        </is>
      </c>
      <c r="N308" s="30" t="inlineStr">
        <is>
          <t>Copy Writer</t>
        </is>
      </c>
      <c r="O308" s="36" t="inlineStr">
        <is>
          <t>Open</t>
        </is>
      </c>
      <c r="P308" s="30" t="n">
        <v>4</v>
      </c>
      <c r="Q308" s="30" t="inlineStr">
        <is>
          <t>https://africanmarketingconfederation.org/discovered-via-bfs-1::aioseo_seo_title_too_short</t>
        </is>
      </c>
      <c r="R308" s="30" t="inlineStr">
        <is>
          <t>Very short titles often under-describe page intent.</t>
        </is>
      </c>
      <c r="S308" s="38">
        <f>IFERROR(HYPERLINK("#'Main'!B"&amp;MATCH(TRIM(A308),'Main'!B:B,0),"Open"),HYPERLINK("#'Main'!B1","Open"))</f>
        <v/>
      </c>
      <c r="T308" s="38">
        <f>IFERROR(HYPERLINK("#'Technical Diagnostics'!A"&amp;MATCH(A308,'Technical Diagnostics'!A:A,0),"Open"),HYPERLINK("#'Technical Diagnostics'!A1","Open"))</f>
        <v/>
      </c>
    </row>
    <row r="309" ht="60" customHeight="1">
      <c r="A309" s="35" t="inlineStr">
        <is>
          <t>https://africanmarketingconfederation.org/discovered-via-bfs-2</t>
        </is>
      </c>
      <c r="B309" s="28" t="inlineStr"/>
      <c r="C309" s="28" t="inlineStr"/>
      <c r="D309" s="28" t="inlineStr">
        <is>
          <t>Title</t>
        </is>
      </c>
      <c r="E309" s="33" t="inlineStr">
        <is>
          <t>Observation</t>
        </is>
      </c>
      <c r="F309" s="28" t="inlineStr">
        <is>
          <t>SEO title too short</t>
        </is>
      </c>
      <c r="G309" s="28" t="n">
        <v>37</v>
      </c>
      <c r="H309" s="28" t="n">
        <v>14</v>
      </c>
      <c r="I309" s="28" t="inlineStr">
        <is>
          <t>40-60 characters</t>
        </is>
      </c>
      <c r="J309" s="28" t="inlineStr">
        <is>
          <t>Expand title in AIOSEO snippet editor with clearer intent and value proposition. (Taxonomy/Archive page: navigate via AIOSEO → Search Appearance → Taxonomies.)</t>
        </is>
      </c>
      <c r="K309" s="39" t="inlineStr">
        <is>
          <t>Main</t>
        </is>
      </c>
      <c r="L309" s="28" t="inlineStr">
        <is>
          <t>Title</t>
        </is>
      </c>
      <c r="M309" s="28" t="inlineStr">
        <is>
          <t>No</t>
        </is>
      </c>
      <c r="N309" s="28" t="inlineStr">
        <is>
          <t>Copy Writer</t>
        </is>
      </c>
      <c r="O309" s="36" t="inlineStr">
        <is>
          <t>Open</t>
        </is>
      </c>
      <c r="P309" s="28" t="n">
        <v>4</v>
      </c>
      <c r="Q309" s="28" t="inlineStr">
        <is>
          <t>https://africanmarketingconfederation.org/discovered-via-bfs-2::aioseo_seo_title_too_short</t>
        </is>
      </c>
      <c r="R309" s="28" t="inlineStr">
        <is>
          <t>Very short titles often under-describe page intent.</t>
        </is>
      </c>
      <c r="S309">
        <f>IFERROR(HYPERLINK("#'Main'!B"&amp;MATCH(TRIM(A309),'Main'!B:B,0),"Open"),HYPERLINK("#'Main'!B1","Open"))</f>
        <v/>
      </c>
      <c r="T309">
        <f>IFERROR(HYPERLINK("#'Technical Diagnostics'!A"&amp;MATCH(A309,'Technical Diagnostics'!A:A,0),"Open"),HYPERLINK("#'Technical Diagnostics'!A1","Open"))</f>
        <v/>
      </c>
    </row>
    <row r="310" ht="60" customHeight="1">
      <c r="A310" s="37" t="inlineStr">
        <is>
          <t>https://africanmarketingconfederation.org/discovered-via-bfs-3</t>
        </is>
      </c>
      <c r="B310" s="30" t="inlineStr"/>
      <c r="C310" s="30" t="inlineStr"/>
      <c r="D310" s="30" t="inlineStr">
        <is>
          <t>Title</t>
        </is>
      </c>
      <c r="E310" s="33" t="inlineStr">
        <is>
          <t>Observation</t>
        </is>
      </c>
      <c r="F310" s="30" t="inlineStr">
        <is>
          <t>SEO title too short</t>
        </is>
      </c>
      <c r="G310" s="30" t="n">
        <v>37</v>
      </c>
      <c r="H310" s="30" t="n">
        <v>14</v>
      </c>
      <c r="I310" s="30" t="inlineStr">
        <is>
          <t>40-60 characters</t>
        </is>
      </c>
      <c r="J310" s="30" t="inlineStr">
        <is>
          <t>Expand title in AIOSEO snippet editor with clearer intent and value proposition. (Taxonomy/Archive page: navigate via AIOSEO → Search Appearance → Taxonomies.)</t>
        </is>
      </c>
      <c r="K310" s="41" t="inlineStr">
        <is>
          <t>Main</t>
        </is>
      </c>
      <c r="L310" s="30" t="inlineStr">
        <is>
          <t>Title</t>
        </is>
      </c>
      <c r="M310" s="30" t="inlineStr">
        <is>
          <t>No</t>
        </is>
      </c>
      <c r="N310" s="30" t="inlineStr">
        <is>
          <t>Copy Writer</t>
        </is>
      </c>
      <c r="O310" s="36" t="inlineStr">
        <is>
          <t>Open</t>
        </is>
      </c>
      <c r="P310" s="30" t="n">
        <v>4</v>
      </c>
      <c r="Q310" s="30" t="inlineStr">
        <is>
          <t>https://africanmarketingconfederation.org/discovered-via-bfs-3::aioseo_seo_title_too_short</t>
        </is>
      </c>
      <c r="R310" s="30" t="inlineStr">
        <is>
          <t>Very short titles often under-describe page intent.</t>
        </is>
      </c>
      <c r="S310" s="38">
        <f>IFERROR(HYPERLINK("#'Main'!B"&amp;MATCH(TRIM(A310),'Main'!B:B,0),"Open"),HYPERLINK("#'Main'!B1","Open"))</f>
        <v/>
      </c>
      <c r="T310" s="38">
        <f>IFERROR(HYPERLINK("#'Technical Diagnostics'!A"&amp;MATCH(A310,'Technical Diagnostics'!A:A,0),"Open"),HYPERLINK("#'Technical Diagnostics'!A1","Open"))</f>
        <v/>
      </c>
    </row>
    <row r="311" ht="60" customHeight="1">
      <c r="A311" s="35" t="inlineStr">
        <is>
          <t>https://africanmarketingconfederation.org/smoke-archive/page-1</t>
        </is>
      </c>
      <c r="B311" s="28" t="inlineStr"/>
      <c r="C311" s="28" t="inlineStr"/>
      <c r="D311" s="28" t="inlineStr">
        <is>
          <t>Title</t>
        </is>
      </c>
      <c r="E311" s="33" t="inlineStr">
        <is>
          <t>Observation</t>
        </is>
      </c>
      <c r="F311" s="28" t="inlineStr">
        <is>
          <t>SEO title too short</t>
        </is>
      </c>
      <c r="G311" s="28" t="n">
        <v>37</v>
      </c>
      <c r="H311" s="28" t="n">
        <v>13</v>
      </c>
      <c r="I311" s="28" t="inlineStr">
        <is>
          <t>40-60 characters</t>
        </is>
      </c>
      <c r="J311" s="28" t="inlineStr">
        <is>
          <t>Expand title in AIOSEO snippet editor with clearer intent and value proposition. (Taxonomy/Archive page: navigate via AIOSEO → Search Appearance → Taxonomies.)</t>
        </is>
      </c>
      <c r="K311" s="39" t="inlineStr">
        <is>
          <t>Main</t>
        </is>
      </c>
      <c r="L311" s="28" t="inlineStr">
        <is>
          <t>Title</t>
        </is>
      </c>
      <c r="M311" s="28" t="inlineStr">
        <is>
          <t>No</t>
        </is>
      </c>
      <c r="N311" s="28" t="inlineStr">
        <is>
          <t>Copy Writer</t>
        </is>
      </c>
      <c r="O311" s="36" t="inlineStr">
        <is>
          <t>Open</t>
        </is>
      </c>
      <c r="P311" s="28" t="n">
        <v>4</v>
      </c>
      <c r="Q311" s="28" t="inlineStr">
        <is>
          <t>https://africanmarketingconfederation.org/smoke-archive/page-1::aioseo_seo_title_too_short</t>
        </is>
      </c>
      <c r="R311" s="28" t="inlineStr">
        <is>
          <t>Very short titles often under-describe page intent.</t>
        </is>
      </c>
      <c r="S311">
        <f>IFERROR(HYPERLINK("#'Main'!B"&amp;MATCH(TRIM(A311),'Main'!B:B,0),"Open"),HYPERLINK("#'Main'!B1","Open"))</f>
        <v/>
      </c>
      <c r="T311">
        <f>IFERROR(HYPERLINK("#'Technical Diagnostics'!A"&amp;MATCH(A311,'Technical Diagnostics'!A:A,0),"Open"),HYPERLINK("#'Technical Diagnostics'!A1","Open"))</f>
        <v/>
      </c>
    </row>
    <row r="312" ht="60" customHeight="1">
      <c r="A312" s="37" t="inlineStr">
        <is>
          <t>https://africanmarketingconfederation.org/smoke-archive/page-10</t>
        </is>
      </c>
      <c r="B312" s="30" t="inlineStr"/>
      <c r="C312" s="30" t="inlineStr"/>
      <c r="D312" s="30" t="inlineStr">
        <is>
          <t>Title</t>
        </is>
      </c>
      <c r="E312" s="33" t="inlineStr">
        <is>
          <t>Observation</t>
        </is>
      </c>
      <c r="F312" s="30" t="inlineStr">
        <is>
          <t>SEO title too short</t>
        </is>
      </c>
      <c r="G312" s="30" t="n">
        <v>37</v>
      </c>
      <c r="H312" s="30" t="n">
        <v>14</v>
      </c>
      <c r="I312" s="30" t="inlineStr">
        <is>
          <t>40-60 characters</t>
        </is>
      </c>
      <c r="J312" s="30" t="inlineStr">
        <is>
          <t>Expand title in AIOSEO snippet editor with clearer intent and value proposition. (Taxonomy/Archive page: navigate via AIOSEO → Search Appearance → Taxonomies.)</t>
        </is>
      </c>
      <c r="K312" s="41" t="inlineStr">
        <is>
          <t>Main</t>
        </is>
      </c>
      <c r="L312" s="30" t="inlineStr">
        <is>
          <t>Title</t>
        </is>
      </c>
      <c r="M312" s="30" t="inlineStr">
        <is>
          <t>No</t>
        </is>
      </c>
      <c r="N312" s="30" t="inlineStr">
        <is>
          <t>Copy Writer</t>
        </is>
      </c>
      <c r="O312" s="36" t="inlineStr">
        <is>
          <t>Open</t>
        </is>
      </c>
      <c r="P312" s="30" t="n">
        <v>4</v>
      </c>
      <c r="Q312" s="30" t="inlineStr">
        <is>
          <t>https://africanmarketingconfederation.org/smoke-archive/page-10::aioseo_seo_title_too_short</t>
        </is>
      </c>
      <c r="R312" s="30" t="inlineStr">
        <is>
          <t>Very short titles often under-describe page intent.</t>
        </is>
      </c>
      <c r="S312" s="38">
        <f>IFERROR(HYPERLINK("#'Main'!B"&amp;MATCH(TRIM(A312),'Main'!B:B,0),"Open"),HYPERLINK("#'Main'!B1","Open"))</f>
        <v/>
      </c>
      <c r="T312" s="38">
        <f>IFERROR(HYPERLINK("#'Technical Diagnostics'!A"&amp;MATCH(A312,'Technical Diagnostics'!A:A,0),"Open"),HYPERLINK("#'Technical Diagnostics'!A1","Open"))</f>
        <v/>
      </c>
    </row>
    <row r="313" ht="60" customHeight="1">
      <c r="A313" s="35" t="inlineStr">
        <is>
          <t>https://africanmarketingconfederation.org/smoke-archive/page-11</t>
        </is>
      </c>
      <c r="B313" s="28" t="inlineStr"/>
      <c r="C313" s="28" t="inlineStr"/>
      <c r="D313" s="28" t="inlineStr">
        <is>
          <t>Title</t>
        </is>
      </c>
      <c r="E313" s="33" t="inlineStr">
        <is>
          <t>Observation</t>
        </is>
      </c>
      <c r="F313" s="28" t="inlineStr">
        <is>
          <t>SEO title too short</t>
        </is>
      </c>
      <c r="G313" s="28" t="n">
        <v>37</v>
      </c>
      <c r="H313" s="28" t="n">
        <v>14</v>
      </c>
      <c r="I313" s="28" t="inlineStr">
        <is>
          <t>40-60 characters</t>
        </is>
      </c>
      <c r="J313" s="28" t="inlineStr">
        <is>
          <t>Expand title in AIOSEO snippet editor with clearer intent and value proposition. (Taxonomy/Archive page: navigate via AIOSEO → Search Appearance → Taxonomies.)</t>
        </is>
      </c>
      <c r="K313" s="39" t="inlineStr">
        <is>
          <t>Main</t>
        </is>
      </c>
      <c r="L313" s="28" t="inlineStr">
        <is>
          <t>Title</t>
        </is>
      </c>
      <c r="M313" s="28" t="inlineStr">
        <is>
          <t>No</t>
        </is>
      </c>
      <c r="N313" s="28" t="inlineStr">
        <is>
          <t>Copy Writer</t>
        </is>
      </c>
      <c r="O313" s="36" t="inlineStr">
        <is>
          <t>Open</t>
        </is>
      </c>
      <c r="P313" s="28" t="n">
        <v>4</v>
      </c>
      <c r="Q313" s="28" t="inlineStr">
        <is>
          <t>https://africanmarketingconfederation.org/smoke-archive/page-11::aioseo_seo_title_too_short</t>
        </is>
      </c>
      <c r="R313" s="28" t="inlineStr">
        <is>
          <t>Very short titles often under-describe page intent.</t>
        </is>
      </c>
      <c r="S313">
        <f>IFERROR(HYPERLINK("#'Main'!B"&amp;MATCH(TRIM(A313),'Main'!B:B,0),"Open"),HYPERLINK("#'Main'!B1","Open"))</f>
        <v/>
      </c>
      <c r="T313">
        <f>IFERROR(HYPERLINK("#'Technical Diagnostics'!A"&amp;MATCH(A313,'Technical Diagnostics'!A:A,0),"Open"),HYPERLINK("#'Technical Diagnostics'!A1","Open"))</f>
        <v/>
      </c>
    </row>
    <row r="314" ht="60" customHeight="1">
      <c r="A314" s="37" t="inlineStr">
        <is>
          <t>https://africanmarketingconfederation.org/smoke-archive/page-12</t>
        </is>
      </c>
      <c r="B314" s="30" t="inlineStr"/>
      <c r="C314" s="30" t="inlineStr"/>
      <c r="D314" s="30" t="inlineStr">
        <is>
          <t>Title</t>
        </is>
      </c>
      <c r="E314" s="33" t="inlineStr">
        <is>
          <t>Observation</t>
        </is>
      </c>
      <c r="F314" s="30" t="inlineStr">
        <is>
          <t>SEO title too short</t>
        </is>
      </c>
      <c r="G314" s="30" t="n">
        <v>37</v>
      </c>
      <c r="H314" s="30" t="n">
        <v>14</v>
      </c>
      <c r="I314" s="30" t="inlineStr">
        <is>
          <t>40-60 characters</t>
        </is>
      </c>
      <c r="J314" s="30" t="inlineStr">
        <is>
          <t>Expand title in AIOSEO snippet editor with clearer intent and value proposition. (Taxonomy/Archive page: navigate via AIOSEO → Search Appearance → Taxonomies.)</t>
        </is>
      </c>
      <c r="K314" s="41" t="inlineStr">
        <is>
          <t>Main</t>
        </is>
      </c>
      <c r="L314" s="30" t="inlineStr">
        <is>
          <t>Title</t>
        </is>
      </c>
      <c r="M314" s="30" t="inlineStr">
        <is>
          <t>No</t>
        </is>
      </c>
      <c r="N314" s="30" t="inlineStr">
        <is>
          <t>Copy Writer</t>
        </is>
      </c>
      <c r="O314" s="36" t="inlineStr">
        <is>
          <t>Open</t>
        </is>
      </c>
      <c r="P314" s="30" t="n">
        <v>4</v>
      </c>
      <c r="Q314" s="30" t="inlineStr">
        <is>
          <t>https://africanmarketingconfederation.org/smoke-archive/page-12::aioseo_seo_title_too_short</t>
        </is>
      </c>
      <c r="R314" s="30" t="inlineStr">
        <is>
          <t>Very short titles often under-describe page intent.</t>
        </is>
      </c>
      <c r="S314" s="38">
        <f>IFERROR(HYPERLINK("#'Main'!B"&amp;MATCH(TRIM(A314),'Main'!B:B,0),"Open"),HYPERLINK("#'Main'!B1","Open"))</f>
        <v/>
      </c>
      <c r="T314" s="38">
        <f>IFERROR(HYPERLINK("#'Technical Diagnostics'!A"&amp;MATCH(A314,'Technical Diagnostics'!A:A,0),"Open"),HYPERLINK("#'Technical Diagnostics'!A1","Open"))</f>
        <v/>
      </c>
    </row>
    <row r="315" ht="60" customHeight="1">
      <c r="A315" s="35" t="inlineStr">
        <is>
          <t>https://africanmarketingconfederation.org/smoke-archive/page-13</t>
        </is>
      </c>
      <c r="B315" s="28" t="inlineStr"/>
      <c r="C315" s="28" t="inlineStr"/>
      <c r="D315" s="28" t="inlineStr">
        <is>
          <t>Title</t>
        </is>
      </c>
      <c r="E315" s="33" t="inlineStr">
        <is>
          <t>Observation</t>
        </is>
      </c>
      <c r="F315" s="28" t="inlineStr">
        <is>
          <t>SEO title too short</t>
        </is>
      </c>
      <c r="G315" s="28" t="n">
        <v>37</v>
      </c>
      <c r="H315" s="28" t="n">
        <v>14</v>
      </c>
      <c r="I315" s="28" t="inlineStr">
        <is>
          <t>40-60 characters</t>
        </is>
      </c>
      <c r="J315" s="28" t="inlineStr">
        <is>
          <t>Expand title in AIOSEO snippet editor with clearer intent and value proposition. (Taxonomy/Archive page: navigate via AIOSEO → Search Appearance → Taxonomies.)</t>
        </is>
      </c>
      <c r="K315" s="39" t="inlineStr">
        <is>
          <t>Main</t>
        </is>
      </c>
      <c r="L315" s="28" t="inlineStr">
        <is>
          <t>Title</t>
        </is>
      </c>
      <c r="M315" s="28" t="inlineStr">
        <is>
          <t>No</t>
        </is>
      </c>
      <c r="N315" s="28" t="inlineStr">
        <is>
          <t>Copy Writer</t>
        </is>
      </c>
      <c r="O315" s="36" t="inlineStr">
        <is>
          <t>Open</t>
        </is>
      </c>
      <c r="P315" s="28" t="n">
        <v>4</v>
      </c>
      <c r="Q315" s="28" t="inlineStr">
        <is>
          <t>https://africanmarketingconfederation.org/smoke-archive/page-13::aioseo_seo_title_too_short</t>
        </is>
      </c>
      <c r="R315" s="28" t="inlineStr">
        <is>
          <t>Very short titles often under-describe page intent.</t>
        </is>
      </c>
      <c r="S315">
        <f>IFERROR(HYPERLINK("#'Main'!B"&amp;MATCH(TRIM(A315),'Main'!B:B,0),"Open"),HYPERLINK("#'Main'!B1","Open"))</f>
        <v/>
      </c>
      <c r="T315">
        <f>IFERROR(HYPERLINK("#'Technical Diagnostics'!A"&amp;MATCH(A315,'Technical Diagnostics'!A:A,0),"Open"),HYPERLINK("#'Technical Diagnostics'!A1","Open"))</f>
        <v/>
      </c>
    </row>
    <row r="316" ht="60" customHeight="1">
      <c r="A316" s="37" t="inlineStr">
        <is>
          <t>https://africanmarketingconfederation.org/smoke-archive/page-14</t>
        </is>
      </c>
      <c r="B316" s="30" t="inlineStr"/>
      <c r="C316" s="30" t="inlineStr"/>
      <c r="D316" s="30" t="inlineStr">
        <is>
          <t>Title</t>
        </is>
      </c>
      <c r="E316" s="33" t="inlineStr">
        <is>
          <t>Observation</t>
        </is>
      </c>
      <c r="F316" s="30" t="inlineStr">
        <is>
          <t>SEO title too short</t>
        </is>
      </c>
      <c r="G316" s="30" t="n">
        <v>37</v>
      </c>
      <c r="H316" s="30" t="n">
        <v>14</v>
      </c>
      <c r="I316" s="30" t="inlineStr">
        <is>
          <t>40-60 characters</t>
        </is>
      </c>
      <c r="J316" s="30" t="inlineStr">
        <is>
          <t>Expand title in AIOSEO snippet editor with clearer intent and value proposition. (Taxonomy/Archive page: navigate via AIOSEO → Search Appearance → Taxonomies.)</t>
        </is>
      </c>
      <c r="K316" s="41" t="inlineStr">
        <is>
          <t>Main</t>
        </is>
      </c>
      <c r="L316" s="30" t="inlineStr">
        <is>
          <t>Title</t>
        </is>
      </c>
      <c r="M316" s="30" t="inlineStr">
        <is>
          <t>No</t>
        </is>
      </c>
      <c r="N316" s="30" t="inlineStr">
        <is>
          <t>Copy Writer</t>
        </is>
      </c>
      <c r="O316" s="36" t="inlineStr">
        <is>
          <t>Open</t>
        </is>
      </c>
      <c r="P316" s="30" t="n">
        <v>4</v>
      </c>
      <c r="Q316" s="30" t="inlineStr">
        <is>
          <t>https://africanmarketingconfederation.org/smoke-archive/page-14::aioseo_seo_title_too_short</t>
        </is>
      </c>
      <c r="R316" s="30" t="inlineStr">
        <is>
          <t>Very short titles often under-describe page intent.</t>
        </is>
      </c>
      <c r="S316" s="38">
        <f>IFERROR(HYPERLINK("#'Main'!B"&amp;MATCH(TRIM(A316),'Main'!B:B,0),"Open"),HYPERLINK("#'Main'!B1","Open"))</f>
        <v/>
      </c>
      <c r="T316" s="38">
        <f>IFERROR(HYPERLINK("#'Technical Diagnostics'!A"&amp;MATCH(A316,'Technical Diagnostics'!A:A,0),"Open"),HYPERLINK("#'Technical Diagnostics'!A1","Open"))</f>
        <v/>
      </c>
    </row>
    <row r="317" ht="60" customHeight="1">
      <c r="A317" s="35" t="inlineStr">
        <is>
          <t>https://africanmarketingconfederation.org/smoke-archive/page-15</t>
        </is>
      </c>
      <c r="B317" s="28" t="inlineStr"/>
      <c r="C317" s="28" t="inlineStr"/>
      <c r="D317" s="28" t="inlineStr">
        <is>
          <t>Title</t>
        </is>
      </c>
      <c r="E317" s="33" t="inlineStr">
        <is>
          <t>Observation</t>
        </is>
      </c>
      <c r="F317" s="28" t="inlineStr">
        <is>
          <t>SEO title too short</t>
        </is>
      </c>
      <c r="G317" s="28" t="n">
        <v>37</v>
      </c>
      <c r="H317" s="28" t="n">
        <v>14</v>
      </c>
      <c r="I317" s="28" t="inlineStr">
        <is>
          <t>40-60 characters</t>
        </is>
      </c>
      <c r="J317" s="28" t="inlineStr">
        <is>
          <t>Expand title in AIOSEO snippet editor with clearer intent and value proposition. (Taxonomy/Archive page: navigate via AIOSEO → Search Appearance → Taxonomies.)</t>
        </is>
      </c>
      <c r="K317" s="39" t="inlineStr">
        <is>
          <t>Main</t>
        </is>
      </c>
      <c r="L317" s="28" t="inlineStr">
        <is>
          <t>Title</t>
        </is>
      </c>
      <c r="M317" s="28" t="inlineStr">
        <is>
          <t>No</t>
        </is>
      </c>
      <c r="N317" s="28" t="inlineStr">
        <is>
          <t>Copy Writer</t>
        </is>
      </c>
      <c r="O317" s="36" t="inlineStr">
        <is>
          <t>Open</t>
        </is>
      </c>
      <c r="P317" s="28" t="n">
        <v>4</v>
      </c>
      <c r="Q317" s="28" t="inlineStr">
        <is>
          <t>https://africanmarketingconfederation.org/smoke-archive/page-15::aioseo_seo_title_too_short</t>
        </is>
      </c>
      <c r="R317" s="28" t="inlineStr">
        <is>
          <t>Very short titles often under-describe page intent.</t>
        </is>
      </c>
      <c r="S317">
        <f>IFERROR(HYPERLINK("#'Main'!B"&amp;MATCH(TRIM(A317),'Main'!B:B,0),"Open"),HYPERLINK("#'Main'!B1","Open"))</f>
        <v/>
      </c>
      <c r="T317">
        <f>IFERROR(HYPERLINK("#'Technical Diagnostics'!A"&amp;MATCH(A317,'Technical Diagnostics'!A:A,0),"Open"),HYPERLINK("#'Technical Diagnostics'!A1","Open"))</f>
        <v/>
      </c>
    </row>
    <row r="318" ht="60" customHeight="1">
      <c r="A318" s="37" t="inlineStr">
        <is>
          <t>https://africanmarketingconfederation.org/smoke-archive/page-16</t>
        </is>
      </c>
      <c r="B318" s="30" t="inlineStr"/>
      <c r="C318" s="30" t="inlineStr"/>
      <c r="D318" s="30" t="inlineStr">
        <is>
          <t>Title</t>
        </is>
      </c>
      <c r="E318" s="33" t="inlineStr">
        <is>
          <t>Observation</t>
        </is>
      </c>
      <c r="F318" s="30" t="inlineStr">
        <is>
          <t>SEO title too short</t>
        </is>
      </c>
      <c r="G318" s="30" t="n">
        <v>37</v>
      </c>
      <c r="H318" s="30" t="n">
        <v>14</v>
      </c>
      <c r="I318" s="30" t="inlineStr">
        <is>
          <t>40-60 characters</t>
        </is>
      </c>
      <c r="J318" s="30" t="inlineStr">
        <is>
          <t>Expand title in AIOSEO snippet editor with clearer intent and value proposition. (Taxonomy/Archive page: navigate via AIOSEO → Search Appearance → Taxonomies.)</t>
        </is>
      </c>
      <c r="K318" s="41" t="inlineStr">
        <is>
          <t>Main</t>
        </is>
      </c>
      <c r="L318" s="30" t="inlineStr">
        <is>
          <t>Title</t>
        </is>
      </c>
      <c r="M318" s="30" t="inlineStr">
        <is>
          <t>No</t>
        </is>
      </c>
      <c r="N318" s="30" t="inlineStr">
        <is>
          <t>Copy Writer</t>
        </is>
      </c>
      <c r="O318" s="36" t="inlineStr">
        <is>
          <t>Open</t>
        </is>
      </c>
      <c r="P318" s="30" t="n">
        <v>4</v>
      </c>
      <c r="Q318" s="30" t="inlineStr">
        <is>
          <t>https://africanmarketingconfederation.org/smoke-archive/page-16::aioseo_seo_title_too_short</t>
        </is>
      </c>
      <c r="R318" s="30" t="inlineStr">
        <is>
          <t>Very short titles often under-describe page intent.</t>
        </is>
      </c>
      <c r="S318" s="38">
        <f>IFERROR(HYPERLINK("#'Main'!B"&amp;MATCH(TRIM(A318),'Main'!B:B,0),"Open"),HYPERLINK("#'Main'!B1","Open"))</f>
        <v/>
      </c>
      <c r="T318" s="38">
        <f>IFERROR(HYPERLINK("#'Technical Diagnostics'!A"&amp;MATCH(A318,'Technical Diagnostics'!A:A,0),"Open"),HYPERLINK("#'Technical Diagnostics'!A1","Open"))</f>
        <v/>
      </c>
    </row>
    <row r="319" ht="60" customHeight="1">
      <c r="A319" s="35" t="inlineStr">
        <is>
          <t>https://africanmarketingconfederation.org/smoke-archive/page-17</t>
        </is>
      </c>
      <c r="B319" s="28" t="inlineStr"/>
      <c r="C319" s="28" t="inlineStr"/>
      <c r="D319" s="28" t="inlineStr">
        <is>
          <t>Title</t>
        </is>
      </c>
      <c r="E319" s="33" t="inlineStr">
        <is>
          <t>Observation</t>
        </is>
      </c>
      <c r="F319" s="28" t="inlineStr">
        <is>
          <t>SEO title too short</t>
        </is>
      </c>
      <c r="G319" s="28" t="n">
        <v>37</v>
      </c>
      <c r="H319" s="28" t="n">
        <v>14</v>
      </c>
      <c r="I319" s="28" t="inlineStr">
        <is>
          <t>40-60 characters</t>
        </is>
      </c>
      <c r="J319" s="28" t="inlineStr">
        <is>
          <t>Expand title in AIOSEO snippet editor with clearer intent and value proposition. (Taxonomy/Archive page: navigate via AIOSEO → Search Appearance → Taxonomies.)</t>
        </is>
      </c>
      <c r="K319" s="39" t="inlineStr">
        <is>
          <t>Main</t>
        </is>
      </c>
      <c r="L319" s="28" t="inlineStr">
        <is>
          <t>Title</t>
        </is>
      </c>
      <c r="M319" s="28" t="inlineStr">
        <is>
          <t>No</t>
        </is>
      </c>
      <c r="N319" s="28" t="inlineStr">
        <is>
          <t>Copy Writer</t>
        </is>
      </c>
      <c r="O319" s="36" t="inlineStr">
        <is>
          <t>Open</t>
        </is>
      </c>
      <c r="P319" s="28" t="n">
        <v>4</v>
      </c>
      <c r="Q319" s="28" t="inlineStr">
        <is>
          <t>https://africanmarketingconfederation.org/smoke-archive/page-17::aioseo_seo_title_too_short</t>
        </is>
      </c>
      <c r="R319" s="28" t="inlineStr">
        <is>
          <t>Very short titles often under-describe page intent.</t>
        </is>
      </c>
      <c r="S319">
        <f>IFERROR(HYPERLINK("#'Main'!B"&amp;MATCH(TRIM(A319),'Main'!B:B,0),"Open"),HYPERLINK("#'Main'!B1","Open"))</f>
        <v/>
      </c>
      <c r="T319">
        <f>IFERROR(HYPERLINK("#'Technical Diagnostics'!A"&amp;MATCH(A319,'Technical Diagnostics'!A:A,0),"Open"),HYPERLINK("#'Technical Diagnostics'!A1","Open"))</f>
        <v/>
      </c>
    </row>
    <row r="320" ht="60" customHeight="1">
      <c r="A320" s="37" t="inlineStr">
        <is>
          <t>https://africanmarketingconfederation.org/smoke-archive/page-18</t>
        </is>
      </c>
      <c r="B320" s="30" t="inlineStr"/>
      <c r="C320" s="30" t="inlineStr"/>
      <c r="D320" s="30" t="inlineStr">
        <is>
          <t>Title</t>
        </is>
      </c>
      <c r="E320" s="33" t="inlineStr">
        <is>
          <t>Observation</t>
        </is>
      </c>
      <c r="F320" s="30" t="inlineStr">
        <is>
          <t>SEO title too short</t>
        </is>
      </c>
      <c r="G320" s="30" t="n">
        <v>37</v>
      </c>
      <c r="H320" s="30" t="n">
        <v>14</v>
      </c>
      <c r="I320" s="30" t="inlineStr">
        <is>
          <t>40-60 characters</t>
        </is>
      </c>
      <c r="J320" s="30" t="inlineStr">
        <is>
          <t>Expand title in AIOSEO snippet editor with clearer intent and value proposition. (Taxonomy/Archive page: navigate via AIOSEO → Search Appearance → Taxonomies.)</t>
        </is>
      </c>
      <c r="K320" s="41" t="inlineStr">
        <is>
          <t>Main</t>
        </is>
      </c>
      <c r="L320" s="30" t="inlineStr">
        <is>
          <t>Title</t>
        </is>
      </c>
      <c r="M320" s="30" t="inlineStr">
        <is>
          <t>No</t>
        </is>
      </c>
      <c r="N320" s="30" t="inlineStr">
        <is>
          <t>Copy Writer</t>
        </is>
      </c>
      <c r="O320" s="36" t="inlineStr">
        <is>
          <t>Open</t>
        </is>
      </c>
      <c r="P320" s="30" t="n">
        <v>4</v>
      </c>
      <c r="Q320" s="30" t="inlineStr">
        <is>
          <t>https://africanmarketingconfederation.org/smoke-archive/page-18::aioseo_seo_title_too_short</t>
        </is>
      </c>
      <c r="R320" s="30" t="inlineStr">
        <is>
          <t>Very short titles often under-describe page intent.</t>
        </is>
      </c>
      <c r="S320" s="38">
        <f>IFERROR(HYPERLINK("#'Main'!B"&amp;MATCH(TRIM(A320),'Main'!B:B,0),"Open"),HYPERLINK("#'Main'!B1","Open"))</f>
        <v/>
      </c>
      <c r="T320" s="38">
        <f>IFERROR(HYPERLINK("#'Technical Diagnostics'!A"&amp;MATCH(A320,'Technical Diagnostics'!A:A,0),"Open"),HYPERLINK("#'Technical Diagnostics'!A1","Open"))</f>
        <v/>
      </c>
    </row>
    <row r="321" ht="60" customHeight="1">
      <c r="A321" s="35" t="inlineStr">
        <is>
          <t>https://africanmarketingconfederation.org/smoke-archive/page-19</t>
        </is>
      </c>
      <c r="B321" s="28" t="inlineStr"/>
      <c r="C321" s="28" t="inlineStr"/>
      <c r="D321" s="28" t="inlineStr">
        <is>
          <t>Title</t>
        </is>
      </c>
      <c r="E321" s="33" t="inlineStr">
        <is>
          <t>Observation</t>
        </is>
      </c>
      <c r="F321" s="28" t="inlineStr">
        <is>
          <t>SEO title too short</t>
        </is>
      </c>
      <c r="G321" s="28" t="n">
        <v>37</v>
      </c>
      <c r="H321" s="28" t="n">
        <v>14</v>
      </c>
      <c r="I321" s="28" t="inlineStr">
        <is>
          <t>40-60 characters</t>
        </is>
      </c>
      <c r="J321" s="28" t="inlineStr">
        <is>
          <t>Expand title in AIOSEO snippet editor with clearer intent and value proposition. (Taxonomy/Archive page: navigate via AIOSEO → Search Appearance → Taxonomies.)</t>
        </is>
      </c>
      <c r="K321" s="39" t="inlineStr">
        <is>
          <t>Main</t>
        </is>
      </c>
      <c r="L321" s="28" t="inlineStr">
        <is>
          <t>Title</t>
        </is>
      </c>
      <c r="M321" s="28" t="inlineStr">
        <is>
          <t>No</t>
        </is>
      </c>
      <c r="N321" s="28" t="inlineStr">
        <is>
          <t>Copy Writer</t>
        </is>
      </c>
      <c r="O321" s="36" t="inlineStr">
        <is>
          <t>Open</t>
        </is>
      </c>
      <c r="P321" s="28" t="n">
        <v>4</v>
      </c>
      <c r="Q321" s="28" t="inlineStr">
        <is>
          <t>https://africanmarketingconfederation.org/smoke-archive/page-19::aioseo_seo_title_too_short</t>
        </is>
      </c>
      <c r="R321" s="28" t="inlineStr">
        <is>
          <t>Very short titles often under-describe page intent.</t>
        </is>
      </c>
      <c r="S321">
        <f>IFERROR(HYPERLINK("#'Main'!B"&amp;MATCH(TRIM(A321),'Main'!B:B,0),"Open"),HYPERLINK("#'Main'!B1","Open"))</f>
        <v/>
      </c>
      <c r="T321">
        <f>IFERROR(HYPERLINK("#'Technical Diagnostics'!A"&amp;MATCH(A321,'Technical Diagnostics'!A:A,0),"Open"),HYPERLINK("#'Technical Diagnostics'!A1","Open"))</f>
        <v/>
      </c>
    </row>
    <row r="322" ht="60" customHeight="1">
      <c r="A322" s="37" t="inlineStr">
        <is>
          <t>https://africanmarketingconfederation.org/smoke-archive/page-2</t>
        </is>
      </c>
      <c r="B322" s="30" t="inlineStr"/>
      <c r="C322" s="30" t="inlineStr"/>
      <c r="D322" s="30" t="inlineStr">
        <is>
          <t>Title</t>
        </is>
      </c>
      <c r="E322" s="33" t="inlineStr">
        <is>
          <t>Observation</t>
        </is>
      </c>
      <c r="F322" s="30" t="inlineStr">
        <is>
          <t>SEO title too short</t>
        </is>
      </c>
      <c r="G322" s="30" t="n">
        <v>37</v>
      </c>
      <c r="H322" s="30" t="n">
        <v>13</v>
      </c>
      <c r="I322" s="30" t="inlineStr">
        <is>
          <t>40-60 characters</t>
        </is>
      </c>
      <c r="J322" s="30" t="inlineStr">
        <is>
          <t>Expand title in AIOSEO snippet editor with clearer intent and value proposition. (Taxonomy/Archive page: navigate via AIOSEO → Search Appearance → Taxonomies.)</t>
        </is>
      </c>
      <c r="K322" s="41" t="inlineStr">
        <is>
          <t>Main</t>
        </is>
      </c>
      <c r="L322" s="30" t="inlineStr">
        <is>
          <t>Title</t>
        </is>
      </c>
      <c r="M322" s="30" t="inlineStr">
        <is>
          <t>No</t>
        </is>
      </c>
      <c r="N322" s="30" t="inlineStr">
        <is>
          <t>Copy Writer</t>
        </is>
      </c>
      <c r="O322" s="36" t="inlineStr">
        <is>
          <t>Open</t>
        </is>
      </c>
      <c r="P322" s="30" t="n">
        <v>4</v>
      </c>
      <c r="Q322" s="30" t="inlineStr">
        <is>
          <t>https://africanmarketingconfederation.org/smoke-archive/page-2::aioseo_seo_title_too_short</t>
        </is>
      </c>
      <c r="R322" s="30" t="inlineStr">
        <is>
          <t>Very short titles often under-describe page intent.</t>
        </is>
      </c>
      <c r="S322" s="38">
        <f>IFERROR(HYPERLINK("#'Main'!B"&amp;MATCH(TRIM(A322),'Main'!B:B,0),"Open"),HYPERLINK("#'Main'!B1","Open"))</f>
        <v/>
      </c>
      <c r="T322" s="38">
        <f>IFERROR(HYPERLINK("#'Technical Diagnostics'!A"&amp;MATCH(A322,'Technical Diagnostics'!A:A,0),"Open"),HYPERLINK("#'Technical Diagnostics'!A1","Open"))</f>
        <v/>
      </c>
    </row>
    <row r="323" ht="60" customHeight="1">
      <c r="A323" s="35" t="inlineStr">
        <is>
          <t>https://africanmarketingconfederation.org/smoke-archive/page-20</t>
        </is>
      </c>
      <c r="B323" s="28" t="inlineStr"/>
      <c r="C323" s="28" t="inlineStr"/>
      <c r="D323" s="28" t="inlineStr">
        <is>
          <t>Title</t>
        </is>
      </c>
      <c r="E323" s="33" t="inlineStr">
        <is>
          <t>Observation</t>
        </is>
      </c>
      <c r="F323" s="28" t="inlineStr">
        <is>
          <t>SEO title too short</t>
        </is>
      </c>
      <c r="G323" s="28" t="n">
        <v>37</v>
      </c>
      <c r="H323" s="28" t="n">
        <v>14</v>
      </c>
      <c r="I323" s="28" t="inlineStr">
        <is>
          <t>40-60 characters</t>
        </is>
      </c>
      <c r="J323" s="28" t="inlineStr">
        <is>
          <t>Expand title in AIOSEO snippet editor with clearer intent and value proposition. (Taxonomy/Archive page: navigate via AIOSEO → Search Appearance → Taxonomies.)</t>
        </is>
      </c>
      <c r="K323" s="39" t="inlineStr">
        <is>
          <t>Main</t>
        </is>
      </c>
      <c r="L323" s="28" t="inlineStr">
        <is>
          <t>Title</t>
        </is>
      </c>
      <c r="M323" s="28" t="inlineStr">
        <is>
          <t>No</t>
        </is>
      </c>
      <c r="N323" s="28" t="inlineStr">
        <is>
          <t>Copy Writer</t>
        </is>
      </c>
      <c r="O323" s="36" t="inlineStr">
        <is>
          <t>Open</t>
        </is>
      </c>
      <c r="P323" s="28" t="n">
        <v>4</v>
      </c>
      <c r="Q323" s="28" t="inlineStr">
        <is>
          <t>https://africanmarketingconfederation.org/smoke-archive/page-20::aioseo_seo_title_too_short</t>
        </is>
      </c>
      <c r="R323" s="28" t="inlineStr">
        <is>
          <t>Very short titles often under-describe page intent.</t>
        </is>
      </c>
      <c r="S323">
        <f>IFERROR(HYPERLINK("#'Main'!B"&amp;MATCH(TRIM(A323),'Main'!B:B,0),"Open"),HYPERLINK("#'Main'!B1","Open"))</f>
        <v/>
      </c>
      <c r="T323">
        <f>IFERROR(HYPERLINK("#'Technical Diagnostics'!A"&amp;MATCH(A323,'Technical Diagnostics'!A:A,0),"Open"),HYPERLINK("#'Technical Diagnostics'!A1","Open"))</f>
        <v/>
      </c>
    </row>
    <row r="324" ht="60" customHeight="1">
      <c r="A324" s="37" t="inlineStr">
        <is>
          <t>https://africanmarketingconfederation.org/smoke-archive/page-21</t>
        </is>
      </c>
      <c r="B324" s="30" t="inlineStr"/>
      <c r="C324" s="30" t="inlineStr"/>
      <c r="D324" s="30" t="inlineStr">
        <is>
          <t>Title</t>
        </is>
      </c>
      <c r="E324" s="33" t="inlineStr">
        <is>
          <t>Observation</t>
        </is>
      </c>
      <c r="F324" s="30" t="inlineStr">
        <is>
          <t>SEO title too short</t>
        </is>
      </c>
      <c r="G324" s="30" t="n">
        <v>37</v>
      </c>
      <c r="H324" s="30" t="n">
        <v>14</v>
      </c>
      <c r="I324" s="30" t="inlineStr">
        <is>
          <t>40-60 characters</t>
        </is>
      </c>
      <c r="J324" s="30" t="inlineStr">
        <is>
          <t>Expand title in AIOSEO snippet editor with clearer intent and value proposition. (Taxonomy/Archive page: navigate via AIOSEO → Search Appearance → Taxonomies.)</t>
        </is>
      </c>
      <c r="K324" s="41" t="inlineStr">
        <is>
          <t>Main</t>
        </is>
      </c>
      <c r="L324" s="30" t="inlineStr">
        <is>
          <t>Title</t>
        </is>
      </c>
      <c r="M324" s="30" t="inlineStr">
        <is>
          <t>No</t>
        </is>
      </c>
      <c r="N324" s="30" t="inlineStr">
        <is>
          <t>Copy Writer</t>
        </is>
      </c>
      <c r="O324" s="36" t="inlineStr">
        <is>
          <t>Open</t>
        </is>
      </c>
      <c r="P324" s="30" t="n">
        <v>4</v>
      </c>
      <c r="Q324" s="30" t="inlineStr">
        <is>
          <t>https://africanmarketingconfederation.org/smoke-archive/page-21::aioseo_seo_title_too_short</t>
        </is>
      </c>
      <c r="R324" s="30" t="inlineStr">
        <is>
          <t>Very short titles often under-describe page intent.</t>
        </is>
      </c>
      <c r="S324" s="38">
        <f>IFERROR(HYPERLINK("#'Main'!B"&amp;MATCH(TRIM(A324),'Main'!B:B,0),"Open"),HYPERLINK("#'Main'!B1","Open"))</f>
        <v/>
      </c>
      <c r="T324" s="38">
        <f>IFERROR(HYPERLINK("#'Technical Diagnostics'!A"&amp;MATCH(A324,'Technical Diagnostics'!A:A,0),"Open"),HYPERLINK("#'Technical Diagnostics'!A1","Open"))</f>
        <v/>
      </c>
    </row>
    <row r="325" ht="60" customHeight="1">
      <c r="A325" s="35" t="inlineStr">
        <is>
          <t>https://africanmarketingconfederation.org/smoke-archive/page-22</t>
        </is>
      </c>
      <c r="B325" s="28" t="inlineStr"/>
      <c r="C325" s="28" t="inlineStr"/>
      <c r="D325" s="28" t="inlineStr">
        <is>
          <t>Title</t>
        </is>
      </c>
      <c r="E325" s="33" t="inlineStr">
        <is>
          <t>Observation</t>
        </is>
      </c>
      <c r="F325" s="28" t="inlineStr">
        <is>
          <t>SEO title too short</t>
        </is>
      </c>
      <c r="G325" s="28" t="n">
        <v>37</v>
      </c>
      <c r="H325" s="28" t="n">
        <v>14</v>
      </c>
      <c r="I325" s="28" t="inlineStr">
        <is>
          <t>40-60 characters</t>
        </is>
      </c>
      <c r="J325" s="28" t="inlineStr">
        <is>
          <t>Expand title in AIOSEO snippet editor with clearer intent and value proposition. (Taxonomy/Archive page: navigate via AIOSEO → Search Appearance → Taxonomies.)</t>
        </is>
      </c>
      <c r="K325" s="39" t="inlineStr">
        <is>
          <t>Main</t>
        </is>
      </c>
      <c r="L325" s="28" t="inlineStr">
        <is>
          <t>Title</t>
        </is>
      </c>
      <c r="M325" s="28" t="inlineStr">
        <is>
          <t>No</t>
        </is>
      </c>
      <c r="N325" s="28" t="inlineStr">
        <is>
          <t>Copy Writer</t>
        </is>
      </c>
      <c r="O325" s="36" t="inlineStr">
        <is>
          <t>Open</t>
        </is>
      </c>
      <c r="P325" s="28" t="n">
        <v>4</v>
      </c>
      <c r="Q325" s="28" t="inlineStr">
        <is>
          <t>https://africanmarketingconfederation.org/smoke-archive/page-22::aioseo_seo_title_too_short</t>
        </is>
      </c>
      <c r="R325" s="28" t="inlineStr">
        <is>
          <t>Very short titles often under-describe page intent.</t>
        </is>
      </c>
      <c r="S325">
        <f>IFERROR(HYPERLINK("#'Main'!B"&amp;MATCH(TRIM(A325),'Main'!B:B,0),"Open"),HYPERLINK("#'Main'!B1","Open"))</f>
        <v/>
      </c>
      <c r="T325">
        <f>IFERROR(HYPERLINK("#'Technical Diagnostics'!A"&amp;MATCH(A325,'Technical Diagnostics'!A:A,0),"Open"),HYPERLINK("#'Technical Diagnostics'!A1","Open"))</f>
        <v/>
      </c>
    </row>
    <row r="326" ht="60" customHeight="1">
      <c r="A326" s="37" t="inlineStr">
        <is>
          <t>https://africanmarketingconfederation.org/smoke-archive/page-23</t>
        </is>
      </c>
      <c r="B326" s="30" t="inlineStr"/>
      <c r="C326" s="30" t="inlineStr"/>
      <c r="D326" s="30" t="inlineStr">
        <is>
          <t>Title</t>
        </is>
      </c>
      <c r="E326" s="33" t="inlineStr">
        <is>
          <t>Observation</t>
        </is>
      </c>
      <c r="F326" s="30" t="inlineStr">
        <is>
          <t>SEO title too short</t>
        </is>
      </c>
      <c r="G326" s="30" t="n">
        <v>37</v>
      </c>
      <c r="H326" s="30" t="n">
        <v>14</v>
      </c>
      <c r="I326" s="30" t="inlineStr">
        <is>
          <t>40-60 characters</t>
        </is>
      </c>
      <c r="J326" s="30" t="inlineStr">
        <is>
          <t>Expand title in AIOSEO snippet editor with clearer intent and value proposition. (Taxonomy/Archive page: navigate via AIOSEO → Search Appearance → Taxonomies.)</t>
        </is>
      </c>
      <c r="K326" s="41" t="inlineStr">
        <is>
          <t>Main</t>
        </is>
      </c>
      <c r="L326" s="30" t="inlineStr">
        <is>
          <t>Title</t>
        </is>
      </c>
      <c r="M326" s="30" t="inlineStr">
        <is>
          <t>No</t>
        </is>
      </c>
      <c r="N326" s="30" t="inlineStr">
        <is>
          <t>Copy Writer</t>
        </is>
      </c>
      <c r="O326" s="36" t="inlineStr">
        <is>
          <t>Open</t>
        </is>
      </c>
      <c r="P326" s="30" t="n">
        <v>4</v>
      </c>
      <c r="Q326" s="30" t="inlineStr">
        <is>
          <t>https://africanmarketingconfederation.org/smoke-archive/page-23::aioseo_seo_title_too_short</t>
        </is>
      </c>
      <c r="R326" s="30" t="inlineStr">
        <is>
          <t>Very short titles often under-describe page intent.</t>
        </is>
      </c>
      <c r="S326" s="38">
        <f>IFERROR(HYPERLINK("#'Main'!B"&amp;MATCH(TRIM(A326),'Main'!B:B,0),"Open"),HYPERLINK("#'Main'!B1","Open"))</f>
        <v/>
      </c>
      <c r="T326" s="38">
        <f>IFERROR(HYPERLINK("#'Technical Diagnostics'!A"&amp;MATCH(A326,'Technical Diagnostics'!A:A,0),"Open"),HYPERLINK("#'Technical Diagnostics'!A1","Open"))</f>
        <v/>
      </c>
    </row>
    <row r="327" ht="60" customHeight="1">
      <c r="A327" s="35" t="inlineStr">
        <is>
          <t>https://africanmarketingconfederation.org/smoke-archive/page-24</t>
        </is>
      </c>
      <c r="B327" s="28" t="inlineStr"/>
      <c r="C327" s="28" t="inlineStr"/>
      <c r="D327" s="28" t="inlineStr">
        <is>
          <t>Title</t>
        </is>
      </c>
      <c r="E327" s="33" t="inlineStr">
        <is>
          <t>Observation</t>
        </is>
      </c>
      <c r="F327" s="28" t="inlineStr">
        <is>
          <t>SEO title too short</t>
        </is>
      </c>
      <c r="G327" s="28" t="n">
        <v>37</v>
      </c>
      <c r="H327" s="28" t="n">
        <v>14</v>
      </c>
      <c r="I327" s="28" t="inlineStr">
        <is>
          <t>40-60 characters</t>
        </is>
      </c>
      <c r="J327" s="28" t="inlineStr">
        <is>
          <t>Expand title in AIOSEO snippet editor with clearer intent and value proposition. (Taxonomy/Archive page: navigate via AIOSEO → Search Appearance → Taxonomies.)</t>
        </is>
      </c>
      <c r="K327" s="39" t="inlineStr">
        <is>
          <t>Main</t>
        </is>
      </c>
      <c r="L327" s="28" t="inlineStr">
        <is>
          <t>Title</t>
        </is>
      </c>
      <c r="M327" s="28" t="inlineStr">
        <is>
          <t>No</t>
        </is>
      </c>
      <c r="N327" s="28" t="inlineStr">
        <is>
          <t>Copy Writer</t>
        </is>
      </c>
      <c r="O327" s="36" t="inlineStr">
        <is>
          <t>Open</t>
        </is>
      </c>
      <c r="P327" s="28" t="n">
        <v>4</v>
      </c>
      <c r="Q327" s="28" t="inlineStr">
        <is>
          <t>https://africanmarketingconfederation.org/smoke-archive/page-24::aioseo_seo_title_too_short</t>
        </is>
      </c>
      <c r="R327" s="28" t="inlineStr">
        <is>
          <t>Very short titles often under-describe page intent.</t>
        </is>
      </c>
      <c r="S327">
        <f>IFERROR(HYPERLINK("#'Main'!B"&amp;MATCH(TRIM(A327),'Main'!B:B,0),"Open"),HYPERLINK("#'Main'!B1","Open"))</f>
        <v/>
      </c>
      <c r="T327">
        <f>IFERROR(HYPERLINK("#'Technical Diagnostics'!A"&amp;MATCH(A327,'Technical Diagnostics'!A:A,0),"Open"),HYPERLINK("#'Technical Diagnostics'!A1","Open"))</f>
        <v/>
      </c>
    </row>
    <row r="328" ht="60" customHeight="1">
      <c r="A328" s="37" t="inlineStr">
        <is>
          <t>https://africanmarketingconfederation.org/smoke-archive/page-25</t>
        </is>
      </c>
      <c r="B328" s="30" t="inlineStr"/>
      <c r="C328" s="30" t="inlineStr"/>
      <c r="D328" s="30" t="inlineStr">
        <is>
          <t>Title</t>
        </is>
      </c>
      <c r="E328" s="33" t="inlineStr">
        <is>
          <t>Observation</t>
        </is>
      </c>
      <c r="F328" s="30" t="inlineStr">
        <is>
          <t>SEO title too short</t>
        </is>
      </c>
      <c r="G328" s="30" t="n">
        <v>37</v>
      </c>
      <c r="H328" s="30" t="n">
        <v>14</v>
      </c>
      <c r="I328" s="30" t="inlineStr">
        <is>
          <t>40-60 characters</t>
        </is>
      </c>
      <c r="J328" s="30" t="inlineStr">
        <is>
          <t>Expand title in AIOSEO snippet editor with clearer intent and value proposition. (Taxonomy/Archive page: navigate via AIOSEO → Search Appearance → Taxonomies.)</t>
        </is>
      </c>
      <c r="K328" s="41" t="inlineStr">
        <is>
          <t>Main</t>
        </is>
      </c>
      <c r="L328" s="30" t="inlineStr">
        <is>
          <t>Title</t>
        </is>
      </c>
      <c r="M328" s="30" t="inlineStr">
        <is>
          <t>No</t>
        </is>
      </c>
      <c r="N328" s="30" t="inlineStr">
        <is>
          <t>Copy Writer</t>
        </is>
      </c>
      <c r="O328" s="36" t="inlineStr">
        <is>
          <t>Open</t>
        </is>
      </c>
      <c r="P328" s="30" t="n">
        <v>4</v>
      </c>
      <c r="Q328" s="30" t="inlineStr">
        <is>
          <t>https://africanmarketingconfederation.org/smoke-archive/page-25::aioseo_seo_title_too_short</t>
        </is>
      </c>
      <c r="R328" s="30" t="inlineStr">
        <is>
          <t>Very short titles often under-describe page intent.</t>
        </is>
      </c>
      <c r="S328" s="38">
        <f>IFERROR(HYPERLINK("#'Main'!B"&amp;MATCH(TRIM(A328),'Main'!B:B,0),"Open"),HYPERLINK("#'Main'!B1","Open"))</f>
        <v/>
      </c>
      <c r="T328" s="38">
        <f>IFERROR(HYPERLINK("#'Technical Diagnostics'!A"&amp;MATCH(A328,'Technical Diagnostics'!A:A,0),"Open"),HYPERLINK("#'Technical Diagnostics'!A1","Open"))</f>
        <v/>
      </c>
    </row>
    <row r="329" ht="60" customHeight="1">
      <c r="A329" s="35" t="inlineStr">
        <is>
          <t>https://africanmarketingconfederation.org/smoke-archive/page-26</t>
        </is>
      </c>
      <c r="B329" s="28" t="inlineStr"/>
      <c r="C329" s="28" t="inlineStr"/>
      <c r="D329" s="28" t="inlineStr">
        <is>
          <t>Title</t>
        </is>
      </c>
      <c r="E329" s="33" t="inlineStr">
        <is>
          <t>Observation</t>
        </is>
      </c>
      <c r="F329" s="28" t="inlineStr">
        <is>
          <t>SEO title too short</t>
        </is>
      </c>
      <c r="G329" s="28" t="n">
        <v>37</v>
      </c>
      <c r="H329" s="28" t="n">
        <v>14</v>
      </c>
      <c r="I329" s="28" t="inlineStr">
        <is>
          <t>40-60 characters</t>
        </is>
      </c>
      <c r="J329" s="28" t="inlineStr">
        <is>
          <t>Expand title in AIOSEO snippet editor with clearer intent and value proposition. (Taxonomy/Archive page: navigate via AIOSEO → Search Appearance → Taxonomies.)</t>
        </is>
      </c>
      <c r="K329" s="39" t="inlineStr">
        <is>
          <t>Main</t>
        </is>
      </c>
      <c r="L329" s="28" t="inlineStr">
        <is>
          <t>Title</t>
        </is>
      </c>
      <c r="M329" s="28" t="inlineStr">
        <is>
          <t>No</t>
        </is>
      </c>
      <c r="N329" s="28" t="inlineStr">
        <is>
          <t>Copy Writer</t>
        </is>
      </c>
      <c r="O329" s="36" t="inlineStr">
        <is>
          <t>Open</t>
        </is>
      </c>
      <c r="P329" s="28" t="n">
        <v>4</v>
      </c>
      <c r="Q329" s="28" t="inlineStr">
        <is>
          <t>https://africanmarketingconfederation.org/smoke-archive/page-26::aioseo_seo_title_too_short</t>
        </is>
      </c>
      <c r="R329" s="28" t="inlineStr">
        <is>
          <t>Very short titles often under-describe page intent.</t>
        </is>
      </c>
      <c r="S329">
        <f>IFERROR(HYPERLINK("#'Main'!B"&amp;MATCH(TRIM(A329),'Main'!B:B,0),"Open"),HYPERLINK("#'Main'!B1","Open"))</f>
        <v/>
      </c>
      <c r="T329">
        <f>IFERROR(HYPERLINK("#'Technical Diagnostics'!A"&amp;MATCH(A329,'Technical Diagnostics'!A:A,0),"Open"),HYPERLINK("#'Technical Diagnostics'!A1","Open"))</f>
        <v/>
      </c>
    </row>
    <row r="330" ht="60" customHeight="1">
      <c r="A330" s="37" t="inlineStr">
        <is>
          <t>https://africanmarketingconfederation.org/smoke-archive/page-27</t>
        </is>
      </c>
      <c r="B330" s="30" t="inlineStr"/>
      <c r="C330" s="30" t="inlineStr"/>
      <c r="D330" s="30" t="inlineStr">
        <is>
          <t>Title</t>
        </is>
      </c>
      <c r="E330" s="33" t="inlineStr">
        <is>
          <t>Observation</t>
        </is>
      </c>
      <c r="F330" s="30" t="inlineStr">
        <is>
          <t>SEO title too short</t>
        </is>
      </c>
      <c r="G330" s="30" t="n">
        <v>37</v>
      </c>
      <c r="H330" s="30" t="n">
        <v>14</v>
      </c>
      <c r="I330" s="30" t="inlineStr">
        <is>
          <t>40-60 characters</t>
        </is>
      </c>
      <c r="J330" s="30" t="inlineStr">
        <is>
          <t>Expand title in AIOSEO snippet editor with clearer intent and value proposition. (Taxonomy/Archive page: navigate via AIOSEO → Search Appearance → Taxonomies.)</t>
        </is>
      </c>
      <c r="K330" s="41" t="inlineStr">
        <is>
          <t>Main</t>
        </is>
      </c>
      <c r="L330" s="30" t="inlineStr">
        <is>
          <t>Title</t>
        </is>
      </c>
      <c r="M330" s="30" t="inlineStr">
        <is>
          <t>No</t>
        </is>
      </c>
      <c r="N330" s="30" t="inlineStr">
        <is>
          <t>Copy Writer</t>
        </is>
      </c>
      <c r="O330" s="36" t="inlineStr">
        <is>
          <t>Open</t>
        </is>
      </c>
      <c r="P330" s="30" t="n">
        <v>4</v>
      </c>
      <c r="Q330" s="30" t="inlineStr">
        <is>
          <t>https://africanmarketingconfederation.org/smoke-archive/page-27::aioseo_seo_title_too_short</t>
        </is>
      </c>
      <c r="R330" s="30" t="inlineStr">
        <is>
          <t>Very short titles often under-describe page intent.</t>
        </is>
      </c>
      <c r="S330" s="38">
        <f>IFERROR(HYPERLINK("#'Main'!B"&amp;MATCH(TRIM(A330),'Main'!B:B,0),"Open"),HYPERLINK("#'Main'!B1","Open"))</f>
        <v/>
      </c>
      <c r="T330" s="38">
        <f>IFERROR(HYPERLINK("#'Technical Diagnostics'!A"&amp;MATCH(A330,'Technical Diagnostics'!A:A,0),"Open"),HYPERLINK("#'Technical Diagnostics'!A1","Open"))</f>
        <v/>
      </c>
    </row>
    <row r="331" ht="60" customHeight="1">
      <c r="A331" s="35" t="inlineStr">
        <is>
          <t>https://africanmarketingconfederation.org/smoke-archive/page-28</t>
        </is>
      </c>
      <c r="B331" s="28" t="inlineStr"/>
      <c r="C331" s="28" t="inlineStr"/>
      <c r="D331" s="28" t="inlineStr">
        <is>
          <t>Title</t>
        </is>
      </c>
      <c r="E331" s="33" t="inlineStr">
        <is>
          <t>Observation</t>
        </is>
      </c>
      <c r="F331" s="28" t="inlineStr">
        <is>
          <t>SEO title too short</t>
        </is>
      </c>
      <c r="G331" s="28" t="n">
        <v>37</v>
      </c>
      <c r="H331" s="28" t="n">
        <v>14</v>
      </c>
      <c r="I331" s="28" t="inlineStr">
        <is>
          <t>40-60 characters</t>
        </is>
      </c>
      <c r="J331" s="28" t="inlineStr">
        <is>
          <t>Expand title in AIOSEO snippet editor with clearer intent and value proposition. (Taxonomy/Archive page: navigate via AIOSEO → Search Appearance → Taxonomies.)</t>
        </is>
      </c>
      <c r="K331" s="39" t="inlineStr">
        <is>
          <t>Main</t>
        </is>
      </c>
      <c r="L331" s="28" t="inlineStr">
        <is>
          <t>Title</t>
        </is>
      </c>
      <c r="M331" s="28" t="inlineStr">
        <is>
          <t>No</t>
        </is>
      </c>
      <c r="N331" s="28" t="inlineStr">
        <is>
          <t>Copy Writer</t>
        </is>
      </c>
      <c r="O331" s="36" t="inlineStr">
        <is>
          <t>Open</t>
        </is>
      </c>
      <c r="P331" s="28" t="n">
        <v>4</v>
      </c>
      <c r="Q331" s="28" t="inlineStr">
        <is>
          <t>https://africanmarketingconfederation.org/smoke-archive/page-28::aioseo_seo_title_too_short</t>
        </is>
      </c>
      <c r="R331" s="28" t="inlineStr">
        <is>
          <t>Very short titles often under-describe page intent.</t>
        </is>
      </c>
      <c r="S331">
        <f>IFERROR(HYPERLINK("#'Main'!B"&amp;MATCH(TRIM(A331),'Main'!B:B,0),"Open"),HYPERLINK("#'Main'!B1","Open"))</f>
        <v/>
      </c>
      <c r="T331">
        <f>IFERROR(HYPERLINK("#'Technical Diagnostics'!A"&amp;MATCH(A331,'Technical Diagnostics'!A:A,0),"Open"),HYPERLINK("#'Technical Diagnostics'!A1","Open"))</f>
        <v/>
      </c>
    </row>
    <row r="332" ht="60" customHeight="1">
      <c r="A332" s="37" t="inlineStr">
        <is>
          <t>https://africanmarketingconfederation.org/smoke-archive/page-29</t>
        </is>
      </c>
      <c r="B332" s="30" t="inlineStr"/>
      <c r="C332" s="30" t="inlineStr"/>
      <c r="D332" s="30" t="inlineStr">
        <is>
          <t>Title</t>
        </is>
      </c>
      <c r="E332" s="33" t="inlineStr">
        <is>
          <t>Observation</t>
        </is>
      </c>
      <c r="F332" s="30" t="inlineStr">
        <is>
          <t>SEO title too short</t>
        </is>
      </c>
      <c r="G332" s="30" t="n">
        <v>37</v>
      </c>
      <c r="H332" s="30" t="n">
        <v>14</v>
      </c>
      <c r="I332" s="30" t="inlineStr">
        <is>
          <t>40-60 characters</t>
        </is>
      </c>
      <c r="J332" s="30" t="inlineStr">
        <is>
          <t>Expand title in AIOSEO snippet editor with clearer intent and value proposition. (Taxonomy/Archive page: navigate via AIOSEO → Search Appearance → Taxonomies.)</t>
        </is>
      </c>
      <c r="K332" s="41" t="inlineStr">
        <is>
          <t>Main</t>
        </is>
      </c>
      <c r="L332" s="30" t="inlineStr">
        <is>
          <t>Title</t>
        </is>
      </c>
      <c r="M332" s="30" t="inlineStr">
        <is>
          <t>No</t>
        </is>
      </c>
      <c r="N332" s="30" t="inlineStr">
        <is>
          <t>Copy Writer</t>
        </is>
      </c>
      <c r="O332" s="36" t="inlineStr">
        <is>
          <t>Open</t>
        </is>
      </c>
      <c r="P332" s="30" t="n">
        <v>4</v>
      </c>
      <c r="Q332" s="30" t="inlineStr">
        <is>
          <t>https://africanmarketingconfederation.org/smoke-archive/page-29::aioseo_seo_title_too_short</t>
        </is>
      </c>
      <c r="R332" s="30" t="inlineStr">
        <is>
          <t>Very short titles often under-describe page intent.</t>
        </is>
      </c>
      <c r="S332" s="38">
        <f>IFERROR(HYPERLINK("#'Main'!B"&amp;MATCH(TRIM(A332),'Main'!B:B,0),"Open"),HYPERLINK("#'Main'!B1","Open"))</f>
        <v/>
      </c>
      <c r="T332" s="38">
        <f>IFERROR(HYPERLINK("#'Technical Diagnostics'!A"&amp;MATCH(A332,'Technical Diagnostics'!A:A,0),"Open"),HYPERLINK("#'Technical Diagnostics'!A1","Open"))</f>
        <v/>
      </c>
    </row>
    <row r="333" ht="60" customHeight="1">
      <c r="A333" s="35" t="inlineStr">
        <is>
          <t>https://africanmarketingconfederation.org/smoke-archive/page-3</t>
        </is>
      </c>
      <c r="B333" s="28" t="inlineStr"/>
      <c r="C333" s="28" t="inlineStr"/>
      <c r="D333" s="28" t="inlineStr">
        <is>
          <t>Title</t>
        </is>
      </c>
      <c r="E333" s="33" t="inlineStr">
        <is>
          <t>Observation</t>
        </is>
      </c>
      <c r="F333" s="28" t="inlineStr">
        <is>
          <t>SEO title too short</t>
        </is>
      </c>
      <c r="G333" s="28" t="n">
        <v>37</v>
      </c>
      <c r="H333" s="28" t="n">
        <v>13</v>
      </c>
      <c r="I333" s="28" t="inlineStr">
        <is>
          <t>40-60 characters</t>
        </is>
      </c>
      <c r="J333" s="28" t="inlineStr">
        <is>
          <t>Expand title in AIOSEO snippet editor with clearer intent and value proposition. (Taxonomy/Archive page: navigate via AIOSEO → Search Appearance → Taxonomies.)</t>
        </is>
      </c>
      <c r="K333" s="39" t="inlineStr">
        <is>
          <t>Main</t>
        </is>
      </c>
      <c r="L333" s="28" t="inlineStr">
        <is>
          <t>Title</t>
        </is>
      </c>
      <c r="M333" s="28" t="inlineStr">
        <is>
          <t>No</t>
        </is>
      </c>
      <c r="N333" s="28" t="inlineStr">
        <is>
          <t>Copy Writer</t>
        </is>
      </c>
      <c r="O333" s="36" t="inlineStr">
        <is>
          <t>Open</t>
        </is>
      </c>
      <c r="P333" s="28" t="n">
        <v>4</v>
      </c>
      <c r="Q333" s="28" t="inlineStr">
        <is>
          <t>https://africanmarketingconfederation.org/smoke-archive/page-3::aioseo_seo_title_too_short</t>
        </is>
      </c>
      <c r="R333" s="28" t="inlineStr">
        <is>
          <t>Very short titles often under-describe page intent.</t>
        </is>
      </c>
      <c r="S333">
        <f>IFERROR(HYPERLINK("#'Main'!B"&amp;MATCH(TRIM(A333),'Main'!B:B,0),"Open"),HYPERLINK("#'Main'!B1","Open"))</f>
        <v/>
      </c>
      <c r="T333">
        <f>IFERROR(HYPERLINK("#'Technical Diagnostics'!A"&amp;MATCH(A333,'Technical Diagnostics'!A:A,0),"Open"),HYPERLINK("#'Technical Diagnostics'!A1","Open"))</f>
        <v/>
      </c>
    </row>
    <row r="334" ht="60" customHeight="1">
      <c r="A334" s="37" t="inlineStr">
        <is>
          <t>https://africanmarketingconfederation.org/smoke-archive/page-30</t>
        </is>
      </c>
      <c r="B334" s="30" t="inlineStr"/>
      <c r="C334" s="30" t="inlineStr"/>
      <c r="D334" s="30" t="inlineStr">
        <is>
          <t>Title</t>
        </is>
      </c>
      <c r="E334" s="33" t="inlineStr">
        <is>
          <t>Observation</t>
        </is>
      </c>
      <c r="F334" s="30" t="inlineStr">
        <is>
          <t>SEO title too short</t>
        </is>
      </c>
      <c r="G334" s="30" t="n">
        <v>37</v>
      </c>
      <c r="H334" s="30" t="n">
        <v>14</v>
      </c>
      <c r="I334" s="30" t="inlineStr">
        <is>
          <t>40-60 characters</t>
        </is>
      </c>
      <c r="J334" s="30" t="inlineStr">
        <is>
          <t>Expand title in AIOSEO snippet editor with clearer intent and value proposition. (Taxonomy/Archive page: navigate via AIOSEO → Search Appearance → Taxonomies.)</t>
        </is>
      </c>
      <c r="K334" s="41" t="inlineStr">
        <is>
          <t>Main</t>
        </is>
      </c>
      <c r="L334" s="30" t="inlineStr">
        <is>
          <t>Title</t>
        </is>
      </c>
      <c r="M334" s="30" t="inlineStr">
        <is>
          <t>No</t>
        </is>
      </c>
      <c r="N334" s="30" t="inlineStr">
        <is>
          <t>Copy Writer</t>
        </is>
      </c>
      <c r="O334" s="36" t="inlineStr">
        <is>
          <t>Open</t>
        </is>
      </c>
      <c r="P334" s="30" t="n">
        <v>4</v>
      </c>
      <c r="Q334" s="30" t="inlineStr">
        <is>
          <t>https://africanmarketingconfederation.org/smoke-archive/page-30::aioseo_seo_title_too_short</t>
        </is>
      </c>
      <c r="R334" s="30" t="inlineStr">
        <is>
          <t>Very short titles often under-describe page intent.</t>
        </is>
      </c>
      <c r="S334" s="38">
        <f>IFERROR(HYPERLINK("#'Main'!B"&amp;MATCH(TRIM(A334),'Main'!B:B,0),"Open"),HYPERLINK("#'Main'!B1","Open"))</f>
        <v/>
      </c>
      <c r="T334" s="38">
        <f>IFERROR(HYPERLINK("#'Technical Diagnostics'!A"&amp;MATCH(A334,'Technical Diagnostics'!A:A,0),"Open"),HYPERLINK("#'Technical Diagnostics'!A1","Open"))</f>
        <v/>
      </c>
    </row>
    <row r="335" ht="60" customHeight="1">
      <c r="A335" s="35" t="inlineStr">
        <is>
          <t>https://africanmarketingconfederation.org/smoke-archive/page-31</t>
        </is>
      </c>
      <c r="B335" s="28" t="inlineStr"/>
      <c r="C335" s="28" t="inlineStr"/>
      <c r="D335" s="28" t="inlineStr">
        <is>
          <t>Title</t>
        </is>
      </c>
      <c r="E335" s="33" t="inlineStr">
        <is>
          <t>Observation</t>
        </is>
      </c>
      <c r="F335" s="28" t="inlineStr">
        <is>
          <t>SEO title too short</t>
        </is>
      </c>
      <c r="G335" s="28" t="n">
        <v>37</v>
      </c>
      <c r="H335" s="28" t="n">
        <v>14</v>
      </c>
      <c r="I335" s="28" t="inlineStr">
        <is>
          <t>40-60 characters</t>
        </is>
      </c>
      <c r="J335" s="28" t="inlineStr">
        <is>
          <t>Expand title in AIOSEO snippet editor with clearer intent and value proposition. (Taxonomy/Archive page: navigate via AIOSEO → Search Appearance → Taxonomies.)</t>
        </is>
      </c>
      <c r="K335" s="39" t="inlineStr">
        <is>
          <t>Main</t>
        </is>
      </c>
      <c r="L335" s="28" t="inlineStr">
        <is>
          <t>Title</t>
        </is>
      </c>
      <c r="M335" s="28" t="inlineStr">
        <is>
          <t>No</t>
        </is>
      </c>
      <c r="N335" s="28" t="inlineStr">
        <is>
          <t>Copy Writer</t>
        </is>
      </c>
      <c r="O335" s="36" t="inlineStr">
        <is>
          <t>Open</t>
        </is>
      </c>
      <c r="P335" s="28" t="n">
        <v>4</v>
      </c>
      <c r="Q335" s="28" t="inlineStr">
        <is>
          <t>https://africanmarketingconfederation.org/smoke-archive/page-31::aioseo_seo_title_too_short</t>
        </is>
      </c>
      <c r="R335" s="28" t="inlineStr">
        <is>
          <t>Very short titles often under-describe page intent.</t>
        </is>
      </c>
      <c r="S335">
        <f>IFERROR(HYPERLINK("#'Main'!B"&amp;MATCH(TRIM(A335),'Main'!B:B,0),"Open"),HYPERLINK("#'Main'!B1","Open"))</f>
        <v/>
      </c>
      <c r="T335">
        <f>IFERROR(HYPERLINK("#'Technical Diagnostics'!A"&amp;MATCH(A335,'Technical Diagnostics'!A:A,0),"Open"),HYPERLINK("#'Technical Diagnostics'!A1","Open"))</f>
        <v/>
      </c>
    </row>
    <row r="336" ht="60" customHeight="1">
      <c r="A336" s="37" t="inlineStr">
        <is>
          <t>https://africanmarketingconfederation.org/smoke-archive/page-32</t>
        </is>
      </c>
      <c r="B336" s="30" t="inlineStr"/>
      <c r="C336" s="30" t="inlineStr"/>
      <c r="D336" s="30" t="inlineStr">
        <is>
          <t>Title</t>
        </is>
      </c>
      <c r="E336" s="33" t="inlineStr">
        <is>
          <t>Observation</t>
        </is>
      </c>
      <c r="F336" s="30" t="inlineStr">
        <is>
          <t>SEO title too short</t>
        </is>
      </c>
      <c r="G336" s="30" t="n">
        <v>37</v>
      </c>
      <c r="H336" s="30" t="n">
        <v>14</v>
      </c>
      <c r="I336" s="30" t="inlineStr">
        <is>
          <t>40-60 characters</t>
        </is>
      </c>
      <c r="J336" s="30" t="inlineStr">
        <is>
          <t>Expand title in AIOSEO snippet editor with clearer intent and value proposition. (Taxonomy/Archive page: navigate via AIOSEO → Search Appearance → Taxonomies.)</t>
        </is>
      </c>
      <c r="K336" s="41" t="inlineStr">
        <is>
          <t>Main</t>
        </is>
      </c>
      <c r="L336" s="30" t="inlineStr">
        <is>
          <t>Title</t>
        </is>
      </c>
      <c r="M336" s="30" t="inlineStr">
        <is>
          <t>No</t>
        </is>
      </c>
      <c r="N336" s="30" t="inlineStr">
        <is>
          <t>Copy Writer</t>
        </is>
      </c>
      <c r="O336" s="36" t="inlineStr">
        <is>
          <t>Open</t>
        </is>
      </c>
      <c r="P336" s="30" t="n">
        <v>4</v>
      </c>
      <c r="Q336" s="30" t="inlineStr">
        <is>
          <t>https://africanmarketingconfederation.org/smoke-archive/page-32::aioseo_seo_title_too_short</t>
        </is>
      </c>
      <c r="R336" s="30" t="inlineStr">
        <is>
          <t>Very short titles often under-describe page intent.</t>
        </is>
      </c>
      <c r="S336" s="38">
        <f>IFERROR(HYPERLINK("#'Main'!B"&amp;MATCH(TRIM(A336),'Main'!B:B,0),"Open"),HYPERLINK("#'Main'!B1","Open"))</f>
        <v/>
      </c>
      <c r="T336" s="38">
        <f>IFERROR(HYPERLINK("#'Technical Diagnostics'!A"&amp;MATCH(A336,'Technical Diagnostics'!A:A,0),"Open"),HYPERLINK("#'Technical Diagnostics'!A1","Open"))</f>
        <v/>
      </c>
    </row>
    <row r="337" ht="60" customHeight="1">
      <c r="A337" s="35" t="inlineStr">
        <is>
          <t>https://africanmarketingconfederation.org/smoke-archive/page-33</t>
        </is>
      </c>
      <c r="B337" s="28" t="inlineStr"/>
      <c r="C337" s="28" t="inlineStr"/>
      <c r="D337" s="28" t="inlineStr">
        <is>
          <t>Title</t>
        </is>
      </c>
      <c r="E337" s="33" t="inlineStr">
        <is>
          <t>Observation</t>
        </is>
      </c>
      <c r="F337" s="28" t="inlineStr">
        <is>
          <t>SEO title too short</t>
        </is>
      </c>
      <c r="G337" s="28" t="n">
        <v>37</v>
      </c>
      <c r="H337" s="28" t="n">
        <v>14</v>
      </c>
      <c r="I337" s="28" t="inlineStr">
        <is>
          <t>40-60 characters</t>
        </is>
      </c>
      <c r="J337" s="28" t="inlineStr">
        <is>
          <t>Expand title in AIOSEO snippet editor with clearer intent and value proposition. (Taxonomy/Archive page: navigate via AIOSEO → Search Appearance → Taxonomies.)</t>
        </is>
      </c>
      <c r="K337" s="39" t="inlineStr">
        <is>
          <t>Main</t>
        </is>
      </c>
      <c r="L337" s="28" t="inlineStr">
        <is>
          <t>Title</t>
        </is>
      </c>
      <c r="M337" s="28" t="inlineStr">
        <is>
          <t>No</t>
        </is>
      </c>
      <c r="N337" s="28" t="inlineStr">
        <is>
          <t>Copy Writer</t>
        </is>
      </c>
      <c r="O337" s="36" t="inlineStr">
        <is>
          <t>Open</t>
        </is>
      </c>
      <c r="P337" s="28" t="n">
        <v>4</v>
      </c>
      <c r="Q337" s="28" t="inlineStr">
        <is>
          <t>https://africanmarketingconfederation.org/smoke-archive/page-33::aioseo_seo_title_too_short</t>
        </is>
      </c>
      <c r="R337" s="28" t="inlineStr">
        <is>
          <t>Very short titles often under-describe page intent.</t>
        </is>
      </c>
      <c r="S337">
        <f>IFERROR(HYPERLINK("#'Main'!B"&amp;MATCH(TRIM(A337),'Main'!B:B,0),"Open"),HYPERLINK("#'Main'!B1","Open"))</f>
        <v/>
      </c>
      <c r="T337">
        <f>IFERROR(HYPERLINK("#'Technical Diagnostics'!A"&amp;MATCH(A337,'Technical Diagnostics'!A:A,0),"Open"),HYPERLINK("#'Technical Diagnostics'!A1","Open"))</f>
        <v/>
      </c>
    </row>
    <row r="338" ht="60" customHeight="1">
      <c r="A338" s="37" t="inlineStr">
        <is>
          <t>https://africanmarketingconfederation.org/smoke-archive/page-34</t>
        </is>
      </c>
      <c r="B338" s="30" t="inlineStr"/>
      <c r="C338" s="30" t="inlineStr"/>
      <c r="D338" s="30" t="inlineStr">
        <is>
          <t>Title</t>
        </is>
      </c>
      <c r="E338" s="33" t="inlineStr">
        <is>
          <t>Observation</t>
        </is>
      </c>
      <c r="F338" s="30" t="inlineStr">
        <is>
          <t>SEO title too short</t>
        </is>
      </c>
      <c r="G338" s="30" t="n">
        <v>37</v>
      </c>
      <c r="H338" s="30" t="n">
        <v>14</v>
      </c>
      <c r="I338" s="30" t="inlineStr">
        <is>
          <t>40-60 characters</t>
        </is>
      </c>
      <c r="J338" s="30" t="inlineStr">
        <is>
          <t>Expand title in AIOSEO snippet editor with clearer intent and value proposition. (Taxonomy/Archive page: navigate via AIOSEO → Search Appearance → Taxonomies.)</t>
        </is>
      </c>
      <c r="K338" s="41" t="inlineStr">
        <is>
          <t>Main</t>
        </is>
      </c>
      <c r="L338" s="30" t="inlineStr">
        <is>
          <t>Title</t>
        </is>
      </c>
      <c r="M338" s="30" t="inlineStr">
        <is>
          <t>No</t>
        </is>
      </c>
      <c r="N338" s="30" t="inlineStr">
        <is>
          <t>Copy Writer</t>
        </is>
      </c>
      <c r="O338" s="36" t="inlineStr">
        <is>
          <t>Open</t>
        </is>
      </c>
      <c r="P338" s="30" t="n">
        <v>4</v>
      </c>
      <c r="Q338" s="30" t="inlineStr">
        <is>
          <t>https://africanmarketingconfederation.org/smoke-archive/page-34::aioseo_seo_title_too_short</t>
        </is>
      </c>
      <c r="R338" s="30" t="inlineStr">
        <is>
          <t>Very short titles often under-describe page intent.</t>
        </is>
      </c>
      <c r="S338" s="38">
        <f>IFERROR(HYPERLINK("#'Main'!B"&amp;MATCH(TRIM(A338),'Main'!B:B,0),"Open"),HYPERLINK("#'Main'!B1","Open"))</f>
        <v/>
      </c>
      <c r="T338" s="38">
        <f>IFERROR(HYPERLINK("#'Technical Diagnostics'!A"&amp;MATCH(A338,'Technical Diagnostics'!A:A,0),"Open"),HYPERLINK("#'Technical Diagnostics'!A1","Open"))</f>
        <v/>
      </c>
    </row>
    <row r="339" ht="60" customHeight="1">
      <c r="A339" s="35" t="inlineStr">
        <is>
          <t>https://africanmarketingconfederation.org/smoke-archive/page-35</t>
        </is>
      </c>
      <c r="B339" s="28" t="inlineStr"/>
      <c r="C339" s="28" t="inlineStr"/>
      <c r="D339" s="28" t="inlineStr">
        <is>
          <t>Title</t>
        </is>
      </c>
      <c r="E339" s="33" t="inlineStr">
        <is>
          <t>Observation</t>
        </is>
      </c>
      <c r="F339" s="28" t="inlineStr">
        <is>
          <t>SEO title too short</t>
        </is>
      </c>
      <c r="G339" s="28" t="n">
        <v>37</v>
      </c>
      <c r="H339" s="28" t="n">
        <v>14</v>
      </c>
      <c r="I339" s="28" t="inlineStr">
        <is>
          <t>40-60 characters</t>
        </is>
      </c>
      <c r="J339" s="28" t="inlineStr">
        <is>
          <t>Expand title in AIOSEO snippet editor with clearer intent and value proposition. (Taxonomy/Archive page: navigate via AIOSEO → Search Appearance → Taxonomies.)</t>
        </is>
      </c>
      <c r="K339" s="39" t="inlineStr">
        <is>
          <t>Main</t>
        </is>
      </c>
      <c r="L339" s="28" t="inlineStr">
        <is>
          <t>Title</t>
        </is>
      </c>
      <c r="M339" s="28" t="inlineStr">
        <is>
          <t>No</t>
        </is>
      </c>
      <c r="N339" s="28" t="inlineStr">
        <is>
          <t>Copy Writer</t>
        </is>
      </c>
      <c r="O339" s="36" t="inlineStr">
        <is>
          <t>Open</t>
        </is>
      </c>
      <c r="P339" s="28" t="n">
        <v>4</v>
      </c>
      <c r="Q339" s="28" t="inlineStr">
        <is>
          <t>https://africanmarketingconfederation.org/smoke-archive/page-35::aioseo_seo_title_too_short</t>
        </is>
      </c>
      <c r="R339" s="28" t="inlineStr">
        <is>
          <t>Very short titles often under-describe page intent.</t>
        </is>
      </c>
      <c r="S339">
        <f>IFERROR(HYPERLINK("#'Main'!B"&amp;MATCH(TRIM(A339),'Main'!B:B,0),"Open"),HYPERLINK("#'Main'!B1","Open"))</f>
        <v/>
      </c>
      <c r="T339">
        <f>IFERROR(HYPERLINK("#'Technical Diagnostics'!A"&amp;MATCH(A339,'Technical Diagnostics'!A:A,0),"Open"),HYPERLINK("#'Technical Diagnostics'!A1","Open"))</f>
        <v/>
      </c>
    </row>
    <row r="340" ht="60" customHeight="1">
      <c r="A340" s="37" t="inlineStr">
        <is>
          <t>https://africanmarketingconfederation.org/smoke-archive/page-36</t>
        </is>
      </c>
      <c r="B340" s="30" t="inlineStr"/>
      <c r="C340" s="30" t="inlineStr"/>
      <c r="D340" s="30" t="inlineStr">
        <is>
          <t>Title</t>
        </is>
      </c>
      <c r="E340" s="33" t="inlineStr">
        <is>
          <t>Observation</t>
        </is>
      </c>
      <c r="F340" s="30" t="inlineStr">
        <is>
          <t>SEO title too short</t>
        </is>
      </c>
      <c r="G340" s="30" t="n">
        <v>37</v>
      </c>
      <c r="H340" s="30" t="n">
        <v>14</v>
      </c>
      <c r="I340" s="30" t="inlineStr">
        <is>
          <t>40-60 characters</t>
        </is>
      </c>
      <c r="J340" s="30" t="inlineStr">
        <is>
          <t>Expand title in AIOSEO snippet editor with clearer intent and value proposition. (Taxonomy/Archive page: navigate via AIOSEO → Search Appearance → Taxonomies.)</t>
        </is>
      </c>
      <c r="K340" s="41" t="inlineStr">
        <is>
          <t>Main</t>
        </is>
      </c>
      <c r="L340" s="30" t="inlineStr">
        <is>
          <t>Title</t>
        </is>
      </c>
      <c r="M340" s="30" t="inlineStr">
        <is>
          <t>No</t>
        </is>
      </c>
      <c r="N340" s="30" t="inlineStr">
        <is>
          <t>Copy Writer</t>
        </is>
      </c>
      <c r="O340" s="36" t="inlineStr">
        <is>
          <t>Open</t>
        </is>
      </c>
      <c r="P340" s="30" t="n">
        <v>4</v>
      </c>
      <c r="Q340" s="30" t="inlineStr">
        <is>
          <t>https://africanmarketingconfederation.org/smoke-archive/page-36::aioseo_seo_title_too_short</t>
        </is>
      </c>
      <c r="R340" s="30" t="inlineStr">
        <is>
          <t>Very short titles often under-describe page intent.</t>
        </is>
      </c>
      <c r="S340" s="38">
        <f>IFERROR(HYPERLINK("#'Main'!B"&amp;MATCH(TRIM(A340),'Main'!B:B,0),"Open"),HYPERLINK("#'Main'!B1","Open"))</f>
        <v/>
      </c>
      <c r="T340" s="38">
        <f>IFERROR(HYPERLINK("#'Technical Diagnostics'!A"&amp;MATCH(A340,'Technical Diagnostics'!A:A,0),"Open"),HYPERLINK("#'Technical Diagnostics'!A1","Open"))</f>
        <v/>
      </c>
    </row>
    <row r="341" ht="60" customHeight="1">
      <c r="A341" s="35" t="inlineStr">
        <is>
          <t>https://africanmarketingconfederation.org/smoke-archive/page-37</t>
        </is>
      </c>
      <c r="B341" s="28" t="inlineStr"/>
      <c r="C341" s="28" t="inlineStr"/>
      <c r="D341" s="28" t="inlineStr">
        <is>
          <t>Title</t>
        </is>
      </c>
      <c r="E341" s="33" t="inlineStr">
        <is>
          <t>Observation</t>
        </is>
      </c>
      <c r="F341" s="28" t="inlineStr">
        <is>
          <t>SEO title too short</t>
        </is>
      </c>
      <c r="G341" s="28" t="n">
        <v>37</v>
      </c>
      <c r="H341" s="28" t="n">
        <v>14</v>
      </c>
      <c r="I341" s="28" t="inlineStr">
        <is>
          <t>40-60 characters</t>
        </is>
      </c>
      <c r="J341" s="28" t="inlineStr">
        <is>
          <t>Expand title in AIOSEO snippet editor with clearer intent and value proposition. (Taxonomy/Archive page: navigate via AIOSEO → Search Appearance → Taxonomies.)</t>
        </is>
      </c>
      <c r="K341" s="39" t="inlineStr">
        <is>
          <t>Main</t>
        </is>
      </c>
      <c r="L341" s="28" t="inlineStr">
        <is>
          <t>Title</t>
        </is>
      </c>
      <c r="M341" s="28" t="inlineStr">
        <is>
          <t>No</t>
        </is>
      </c>
      <c r="N341" s="28" t="inlineStr">
        <is>
          <t>Copy Writer</t>
        </is>
      </c>
      <c r="O341" s="36" t="inlineStr">
        <is>
          <t>Open</t>
        </is>
      </c>
      <c r="P341" s="28" t="n">
        <v>4</v>
      </c>
      <c r="Q341" s="28" t="inlineStr">
        <is>
          <t>https://africanmarketingconfederation.org/smoke-archive/page-37::aioseo_seo_title_too_short</t>
        </is>
      </c>
      <c r="R341" s="28" t="inlineStr">
        <is>
          <t>Very short titles often under-describe page intent.</t>
        </is>
      </c>
      <c r="S341">
        <f>IFERROR(HYPERLINK("#'Main'!B"&amp;MATCH(TRIM(A341),'Main'!B:B,0),"Open"),HYPERLINK("#'Main'!B1","Open"))</f>
        <v/>
      </c>
      <c r="T341">
        <f>IFERROR(HYPERLINK("#'Technical Diagnostics'!A"&amp;MATCH(A341,'Technical Diagnostics'!A:A,0),"Open"),HYPERLINK("#'Technical Diagnostics'!A1","Open"))</f>
        <v/>
      </c>
    </row>
    <row r="342" ht="60" customHeight="1">
      <c r="A342" s="37" t="inlineStr">
        <is>
          <t>https://africanmarketingconfederation.org/smoke-archive/page-38</t>
        </is>
      </c>
      <c r="B342" s="30" t="inlineStr"/>
      <c r="C342" s="30" t="inlineStr"/>
      <c r="D342" s="30" t="inlineStr">
        <is>
          <t>Title</t>
        </is>
      </c>
      <c r="E342" s="33" t="inlineStr">
        <is>
          <t>Observation</t>
        </is>
      </c>
      <c r="F342" s="30" t="inlineStr">
        <is>
          <t>SEO title too short</t>
        </is>
      </c>
      <c r="G342" s="30" t="n">
        <v>37</v>
      </c>
      <c r="H342" s="30" t="n">
        <v>14</v>
      </c>
      <c r="I342" s="30" t="inlineStr">
        <is>
          <t>40-60 characters</t>
        </is>
      </c>
      <c r="J342" s="30" t="inlineStr">
        <is>
          <t>Expand title in AIOSEO snippet editor with clearer intent and value proposition. (Taxonomy/Archive page: navigate via AIOSEO → Search Appearance → Taxonomies.)</t>
        </is>
      </c>
      <c r="K342" s="41" t="inlineStr">
        <is>
          <t>Main</t>
        </is>
      </c>
      <c r="L342" s="30" t="inlineStr">
        <is>
          <t>Title</t>
        </is>
      </c>
      <c r="M342" s="30" t="inlineStr">
        <is>
          <t>No</t>
        </is>
      </c>
      <c r="N342" s="30" t="inlineStr">
        <is>
          <t>Copy Writer</t>
        </is>
      </c>
      <c r="O342" s="36" t="inlineStr">
        <is>
          <t>Open</t>
        </is>
      </c>
      <c r="P342" s="30" t="n">
        <v>4</v>
      </c>
      <c r="Q342" s="30" t="inlineStr">
        <is>
          <t>https://africanmarketingconfederation.org/smoke-archive/page-38::aioseo_seo_title_too_short</t>
        </is>
      </c>
      <c r="R342" s="30" t="inlineStr">
        <is>
          <t>Very short titles often under-describe page intent.</t>
        </is>
      </c>
      <c r="S342" s="38">
        <f>IFERROR(HYPERLINK("#'Main'!B"&amp;MATCH(TRIM(A342),'Main'!B:B,0),"Open"),HYPERLINK("#'Main'!B1","Open"))</f>
        <v/>
      </c>
      <c r="T342" s="38">
        <f>IFERROR(HYPERLINK("#'Technical Diagnostics'!A"&amp;MATCH(A342,'Technical Diagnostics'!A:A,0),"Open"),HYPERLINK("#'Technical Diagnostics'!A1","Open"))</f>
        <v/>
      </c>
    </row>
    <row r="343" ht="60" customHeight="1">
      <c r="A343" s="35" t="inlineStr">
        <is>
          <t>https://africanmarketingconfederation.org/smoke-archive/page-39</t>
        </is>
      </c>
      <c r="B343" s="28" t="inlineStr"/>
      <c r="C343" s="28" t="inlineStr"/>
      <c r="D343" s="28" t="inlineStr">
        <is>
          <t>Title</t>
        </is>
      </c>
      <c r="E343" s="33" t="inlineStr">
        <is>
          <t>Observation</t>
        </is>
      </c>
      <c r="F343" s="28" t="inlineStr">
        <is>
          <t>SEO title too short</t>
        </is>
      </c>
      <c r="G343" s="28" t="n">
        <v>37</v>
      </c>
      <c r="H343" s="28" t="n">
        <v>14</v>
      </c>
      <c r="I343" s="28" t="inlineStr">
        <is>
          <t>40-60 characters</t>
        </is>
      </c>
      <c r="J343" s="28" t="inlineStr">
        <is>
          <t>Expand title in AIOSEO snippet editor with clearer intent and value proposition. (Taxonomy/Archive page: navigate via AIOSEO → Search Appearance → Taxonomies.)</t>
        </is>
      </c>
      <c r="K343" s="39" t="inlineStr">
        <is>
          <t>Main</t>
        </is>
      </c>
      <c r="L343" s="28" t="inlineStr">
        <is>
          <t>Title</t>
        </is>
      </c>
      <c r="M343" s="28" t="inlineStr">
        <is>
          <t>No</t>
        </is>
      </c>
      <c r="N343" s="28" t="inlineStr">
        <is>
          <t>Copy Writer</t>
        </is>
      </c>
      <c r="O343" s="36" t="inlineStr">
        <is>
          <t>Open</t>
        </is>
      </c>
      <c r="P343" s="28" t="n">
        <v>4</v>
      </c>
      <c r="Q343" s="28" t="inlineStr">
        <is>
          <t>https://africanmarketingconfederation.org/smoke-archive/page-39::aioseo_seo_title_too_short</t>
        </is>
      </c>
      <c r="R343" s="28" t="inlineStr">
        <is>
          <t>Very short titles often under-describe page intent.</t>
        </is>
      </c>
      <c r="S343">
        <f>IFERROR(HYPERLINK("#'Main'!B"&amp;MATCH(TRIM(A343),'Main'!B:B,0),"Open"),HYPERLINK("#'Main'!B1","Open"))</f>
        <v/>
      </c>
      <c r="T343">
        <f>IFERROR(HYPERLINK("#'Technical Diagnostics'!A"&amp;MATCH(A343,'Technical Diagnostics'!A:A,0),"Open"),HYPERLINK("#'Technical Diagnostics'!A1","Open"))</f>
        <v/>
      </c>
    </row>
    <row r="344" ht="60" customHeight="1">
      <c r="A344" s="37" t="inlineStr">
        <is>
          <t>https://africanmarketingconfederation.org/smoke-archive/page-4</t>
        </is>
      </c>
      <c r="B344" s="30" t="inlineStr"/>
      <c r="C344" s="30" t="inlineStr"/>
      <c r="D344" s="30" t="inlineStr">
        <is>
          <t>Title</t>
        </is>
      </c>
      <c r="E344" s="33" t="inlineStr">
        <is>
          <t>Observation</t>
        </is>
      </c>
      <c r="F344" s="30" t="inlineStr">
        <is>
          <t>SEO title too short</t>
        </is>
      </c>
      <c r="G344" s="30" t="n">
        <v>37</v>
      </c>
      <c r="H344" s="30" t="n">
        <v>13</v>
      </c>
      <c r="I344" s="30" t="inlineStr">
        <is>
          <t>40-60 characters</t>
        </is>
      </c>
      <c r="J344" s="30" t="inlineStr">
        <is>
          <t>Expand title in AIOSEO snippet editor with clearer intent and value proposition. (Taxonomy/Archive page: navigate via AIOSEO → Search Appearance → Taxonomies.)</t>
        </is>
      </c>
      <c r="K344" s="41" t="inlineStr">
        <is>
          <t>Main</t>
        </is>
      </c>
      <c r="L344" s="30" t="inlineStr">
        <is>
          <t>Title</t>
        </is>
      </c>
      <c r="M344" s="30" t="inlineStr">
        <is>
          <t>No</t>
        </is>
      </c>
      <c r="N344" s="30" t="inlineStr">
        <is>
          <t>Copy Writer</t>
        </is>
      </c>
      <c r="O344" s="36" t="inlineStr">
        <is>
          <t>Open</t>
        </is>
      </c>
      <c r="P344" s="30" t="n">
        <v>4</v>
      </c>
      <c r="Q344" s="30" t="inlineStr">
        <is>
          <t>https://africanmarketingconfederation.org/smoke-archive/page-4::aioseo_seo_title_too_short</t>
        </is>
      </c>
      <c r="R344" s="30" t="inlineStr">
        <is>
          <t>Very short titles often under-describe page intent.</t>
        </is>
      </c>
      <c r="S344" s="38">
        <f>IFERROR(HYPERLINK("#'Main'!B"&amp;MATCH(TRIM(A344),'Main'!B:B,0),"Open"),HYPERLINK("#'Main'!B1","Open"))</f>
        <v/>
      </c>
      <c r="T344" s="38">
        <f>IFERROR(HYPERLINK("#'Technical Diagnostics'!A"&amp;MATCH(A344,'Technical Diagnostics'!A:A,0),"Open"),HYPERLINK("#'Technical Diagnostics'!A1","Open"))</f>
        <v/>
      </c>
    </row>
    <row r="345" ht="60" customHeight="1">
      <c r="A345" s="35" t="inlineStr">
        <is>
          <t>https://africanmarketingconfederation.org/smoke-archive/page-40</t>
        </is>
      </c>
      <c r="B345" s="28" t="inlineStr"/>
      <c r="C345" s="28" t="inlineStr"/>
      <c r="D345" s="28" t="inlineStr">
        <is>
          <t>Title</t>
        </is>
      </c>
      <c r="E345" s="33" t="inlineStr">
        <is>
          <t>Observation</t>
        </is>
      </c>
      <c r="F345" s="28" t="inlineStr">
        <is>
          <t>SEO title too short</t>
        </is>
      </c>
      <c r="G345" s="28" t="n">
        <v>37</v>
      </c>
      <c r="H345" s="28" t="n">
        <v>14</v>
      </c>
      <c r="I345" s="28" t="inlineStr">
        <is>
          <t>40-60 characters</t>
        </is>
      </c>
      <c r="J345" s="28" t="inlineStr">
        <is>
          <t>Expand title in AIOSEO snippet editor with clearer intent and value proposition. (Taxonomy/Archive page: navigate via AIOSEO → Search Appearance → Taxonomies.)</t>
        </is>
      </c>
      <c r="K345" s="39" t="inlineStr">
        <is>
          <t>Main</t>
        </is>
      </c>
      <c r="L345" s="28" t="inlineStr">
        <is>
          <t>Title</t>
        </is>
      </c>
      <c r="M345" s="28" t="inlineStr">
        <is>
          <t>No</t>
        </is>
      </c>
      <c r="N345" s="28" t="inlineStr">
        <is>
          <t>Copy Writer</t>
        </is>
      </c>
      <c r="O345" s="36" t="inlineStr">
        <is>
          <t>Open</t>
        </is>
      </c>
      <c r="P345" s="28" t="n">
        <v>4</v>
      </c>
      <c r="Q345" s="28" t="inlineStr">
        <is>
          <t>https://africanmarketingconfederation.org/smoke-archive/page-40::aioseo_seo_title_too_short</t>
        </is>
      </c>
      <c r="R345" s="28" t="inlineStr">
        <is>
          <t>Very short titles often under-describe page intent.</t>
        </is>
      </c>
      <c r="S345">
        <f>IFERROR(HYPERLINK("#'Main'!B"&amp;MATCH(TRIM(A345),'Main'!B:B,0),"Open"),HYPERLINK("#'Main'!B1","Open"))</f>
        <v/>
      </c>
      <c r="T345">
        <f>IFERROR(HYPERLINK("#'Technical Diagnostics'!A"&amp;MATCH(A345,'Technical Diagnostics'!A:A,0),"Open"),HYPERLINK("#'Technical Diagnostics'!A1","Open"))</f>
        <v/>
      </c>
    </row>
    <row r="346" ht="60" customHeight="1">
      <c r="A346" s="37" t="inlineStr">
        <is>
          <t>https://africanmarketingconfederation.org/smoke-archive/page-41</t>
        </is>
      </c>
      <c r="B346" s="30" t="inlineStr"/>
      <c r="C346" s="30" t="inlineStr"/>
      <c r="D346" s="30" t="inlineStr">
        <is>
          <t>Title</t>
        </is>
      </c>
      <c r="E346" s="33" t="inlineStr">
        <is>
          <t>Observation</t>
        </is>
      </c>
      <c r="F346" s="30" t="inlineStr">
        <is>
          <t>SEO title too short</t>
        </is>
      </c>
      <c r="G346" s="30" t="n">
        <v>37</v>
      </c>
      <c r="H346" s="30" t="n">
        <v>14</v>
      </c>
      <c r="I346" s="30" t="inlineStr">
        <is>
          <t>40-60 characters</t>
        </is>
      </c>
      <c r="J346" s="30" t="inlineStr">
        <is>
          <t>Expand title in AIOSEO snippet editor with clearer intent and value proposition. (Taxonomy/Archive page: navigate via AIOSEO → Search Appearance → Taxonomies.)</t>
        </is>
      </c>
      <c r="K346" s="41" t="inlineStr">
        <is>
          <t>Main</t>
        </is>
      </c>
      <c r="L346" s="30" t="inlineStr">
        <is>
          <t>Title</t>
        </is>
      </c>
      <c r="M346" s="30" t="inlineStr">
        <is>
          <t>No</t>
        </is>
      </c>
      <c r="N346" s="30" t="inlineStr">
        <is>
          <t>Copy Writer</t>
        </is>
      </c>
      <c r="O346" s="36" t="inlineStr">
        <is>
          <t>Open</t>
        </is>
      </c>
      <c r="P346" s="30" t="n">
        <v>4</v>
      </c>
      <c r="Q346" s="30" t="inlineStr">
        <is>
          <t>https://africanmarketingconfederation.org/smoke-archive/page-41::aioseo_seo_title_too_short</t>
        </is>
      </c>
      <c r="R346" s="30" t="inlineStr">
        <is>
          <t>Very short titles often under-describe page intent.</t>
        </is>
      </c>
      <c r="S346" s="38">
        <f>IFERROR(HYPERLINK("#'Main'!B"&amp;MATCH(TRIM(A346),'Main'!B:B,0),"Open"),HYPERLINK("#'Main'!B1","Open"))</f>
        <v/>
      </c>
      <c r="T346" s="38">
        <f>IFERROR(HYPERLINK("#'Technical Diagnostics'!A"&amp;MATCH(A346,'Technical Diagnostics'!A:A,0),"Open"),HYPERLINK("#'Technical Diagnostics'!A1","Open"))</f>
        <v/>
      </c>
    </row>
    <row r="347" ht="60" customHeight="1">
      <c r="A347" s="35" t="inlineStr">
        <is>
          <t>https://africanmarketingconfederation.org/smoke-archive/page-42</t>
        </is>
      </c>
      <c r="B347" s="28" t="inlineStr"/>
      <c r="C347" s="28" t="inlineStr"/>
      <c r="D347" s="28" t="inlineStr">
        <is>
          <t>Title</t>
        </is>
      </c>
      <c r="E347" s="33" t="inlineStr">
        <is>
          <t>Observation</t>
        </is>
      </c>
      <c r="F347" s="28" t="inlineStr">
        <is>
          <t>SEO title too short</t>
        </is>
      </c>
      <c r="G347" s="28" t="n">
        <v>37</v>
      </c>
      <c r="H347" s="28" t="n">
        <v>14</v>
      </c>
      <c r="I347" s="28" t="inlineStr">
        <is>
          <t>40-60 characters</t>
        </is>
      </c>
      <c r="J347" s="28" t="inlineStr">
        <is>
          <t>Expand title in AIOSEO snippet editor with clearer intent and value proposition. (Taxonomy/Archive page: navigate via AIOSEO → Search Appearance → Taxonomies.)</t>
        </is>
      </c>
      <c r="K347" s="39" t="inlineStr">
        <is>
          <t>Main</t>
        </is>
      </c>
      <c r="L347" s="28" t="inlineStr">
        <is>
          <t>Title</t>
        </is>
      </c>
      <c r="M347" s="28" t="inlineStr">
        <is>
          <t>No</t>
        </is>
      </c>
      <c r="N347" s="28" t="inlineStr">
        <is>
          <t>Copy Writer</t>
        </is>
      </c>
      <c r="O347" s="36" t="inlineStr">
        <is>
          <t>Open</t>
        </is>
      </c>
      <c r="P347" s="28" t="n">
        <v>4</v>
      </c>
      <c r="Q347" s="28" t="inlineStr">
        <is>
          <t>https://africanmarketingconfederation.org/smoke-archive/page-42::aioseo_seo_title_too_short</t>
        </is>
      </c>
      <c r="R347" s="28" t="inlineStr">
        <is>
          <t>Very short titles often under-describe page intent.</t>
        </is>
      </c>
      <c r="S347">
        <f>IFERROR(HYPERLINK("#'Main'!B"&amp;MATCH(TRIM(A347),'Main'!B:B,0),"Open"),HYPERLINK("#'Main'!B1","Open"))</f>
        <v/>
      </c>
      <c r="T347">
        <f>IFERROR(HYPERLINK("#'Technical Diagnostics'!A"&amp;MATCH(A347,'Technical Diagnostics'!A:A,0),"Open"),HYPERLINK("#'Technical Diagnostics'!A1","Open"))</f>
        <v/>
      </c>
    </row>
    <row r="348" ht="60" customHeight="1">
      <c r="A348" s="37" t="inlineStr">
        <is>
          <t>https://africanmarketingconfederation.org/smoke-archive/page-43</t>
        </is>
      </c>
      <c r="B348" s="30" t="inlineStr"/>
      <c r="C348" s="30" t="inlineStr"/>
      <c r="D348" s="30" t="inlineStr">
        <is>
          <t>Title</t>
        </is>
      </c>
      <c r="E348" s="33" t="inlineStr">
        <is>
          <t>Observation</t>
        </is>
      </c>
      <c r="F348" s="30" t="inlineStr">
        <is>
          <t>SEO title too short</t>
        </is>
      </c>
      <c r="G348" s="30" t="n">
        <v>37</v>
      </c>
      <c r="H348" s="30" t="n">
        <v>14</v>
      </c>
      <c r="I348" s="30" t="inlineStr">
        <is>
          <t>40-60 characters</t>
        </is>
      </c>
      <c r="J348" s="30" t="inlineStr">
        <is>
          <t>Expand title in AIOSEO snippet editor with clearer intent and value proposition. (Taxonomy/Archive page: navigate via AIOSEO → Search Appearance → Taxonomies.)</t>
        </is>
      </c>
      <c r="K348" s="41" t="inlineStr">
        <is>
          <t>Main</t>
        </is>
      </c>
      <c r="L348" s="30" t="inlineStr">
        <is>
          <t>Title</t>
        </is>
      </c>
      <c r="M348" s="30" t="inlineStr">
        <is>
          <t>No</t>
        </is>
      </c>
      <c r="N348" s="30" t="inlineStr">
        <is>
          <t>Copy Writer</t>
        </is>
      </c>
      <c r="O348" s="36" t="inlineStr">
        <is>
          <t>Open</t>
        </is>
      </c>
      <c r="P348" s="30" t="n">
        <v>4</v>
      </c>
      <c r="Q348" s="30" t="inlineStr">
        <is>
          <t>https://africanmarketingconfederation.org/smoke-archive/page-43::aioseo_seo_title_too_short</t>
        </is>
      </c>
      <c r="R348" s="30" t="inlineStr">
        <is>
          <t>Very short titles often under-describe page intent.</t>
        </is>
      </c>
      <c r="S348" s="38">
        <f>IFERROR(HYPERLINK("#'Main'!B"&amp;MATCH(TRIM(A348),'Main'!B:B,0),"Open"),HYPERLINK("#'Main'!B1","Open"))</f>
        <v/>
      </c>
      <c r="T348" s="38">
        <f>IFERROR(HYPERLINK("#'Technical Diagnostics'!A"&amp;MATCH(A348,'Technical Diagnostics'!A:A,0),"Open"),HYPERLINK("#'Technical Diagnostics'!A1","Open"))</f>
        <v/>
      </c>
    </row>
    <row r="349" ht="60" customHeight="1">
      <c r="A349" s="35" t="inlineStr">
        <is>
          <t>https://africanmarketingconfederation.org/smoke-archive/page-44</t>
        </is>
      </c>
      <c r="B349" s="28" t="inlineStr"/>
      <c r="C349" s="28" t="inlineStr"/>
      <c r="D349" s="28" t="inlineStr">
        <is>
          <t>Title</t>
        </is>
      </c>
      <c r="E349" s="33" t="inlineStr">
        <is>
          <t>Observation</t>
        </is>
      </c>
      <c r="F349" s="28" t="inlineStr">
        <is>
          <t>SEO title too short</t>
        </is>
      </c>
      <c r="G349" s="28" t="n">
        <v>37</v>
      </c>
      <c r="H349" s="28" t="n">
        <v>14</v>
      </c>
      <c r="I349" s="28" t="inlineStr">
        <is>
          <t>40-60 characters</t>
        </is>
      </c>
      <c r="J349" s="28" t="inlineStr">
        <is>
          <t>Expand title in AIOSEO snippet editor with clearer intent and value proposition. (Taxonomy/Archive page: navigate via AIOSEO → Search Appearance → Taxonomies.)</t>
        </is>
      </c>
      <c r="K349" s="39" t="inlineStr">
        <is>
          <t>Main</t>
        </is>
      </c>
      <c r="L349" s="28" t="inlineStr">
        <is>
          <t>Title</t>
        </is>
      </c>
      <c r="M349" s="28" t="inlineStr">
        <is>
          <t>No</t>
        </is>
      </c>
      <c r="N349" s="28" t="inlineStr">
        <is>
          <t>Copy Writer</t>
        </is>
      </c>
      <c r="O349" s="36" t="inlineStr">
        <is>
          <t>Open</t>
        </is>
      </c>
      <c r="P349" s="28" t="n">
        <v>4</v>
      </c>
      <c r="Q349" s="28" t="inlineStr">
        <is>
          <t>https://africanmarketingconfederation.org/smoke-archive/page-44::aioseo_seo_title_too_short</t>
        </is>
      </c>
      <c r="R349" s="28" t="inlineStr">
        <is>
          <t>Very short titles often under-describe page intent.</t>
        </is>
      </c>
      <c r="S349">
        <f>IFERROR(HYPERLINK("#'Main'!B"&amp;MATCH(TRIM(A349),'Main'!B:B,0),"Open"),HYPERLINK("#'Main'!B1","Open"))</f>
        <v/>
      </c>
      <c r="T349">
        <f>IFERROR(HYPERLINK("#'Technical Diagnostics'!A"&amp;MATCH(A349,'Technical Diagnostics'!A:A,0),"Open"),HYPERLINK("#'Technical Diagnostics'!A1","Open"))</f>
        <v/>
      </c>
    </row>
    <row r="350" ht="60" customHeight="1">
      <c r="A350" s="37" t="inlineStr">
        <is>
          <t>https://africanmarketingconfederation.org/smoke-archive/page-45</t>
        </is>
      </c>
      <c r="B350" s="30" t="inlineStr"/>
      <c r="C350" s="30" t="inlineStr"/>
      <c r="D350" s="30" t="inlineStr">
        <is>
          <t>Title</t>
        </is>
      </c>
      <c r="E350" s="33" t="inlineStr">
        <is>
          <t>Observation</t>
        </is>
      </c>
      <c r="F350" s="30" t="inlineStr">
        <is>
          <t>SEO title too short</t>
        </is>
      </c>
      <c r="G350" s="30" t="n">
        <v>37</v>
      </c>
      <c r="H350" s="30" t="n">
        <v>14</v>
      </c>
      <c r="I350" s="30" t="inlineStr">
        <is>
          <t>40-60 characters</t>
        </is>
      </c>
      <c r="J350" s="30" t="inlineStr">
        <is>
          <t>Expand title in AIOSEO snippet editor with clearer intent and value proposition. (Taxonomy/Archive page: navigate via AIOSEO → Search Appearance → Taxonomies.)</t>
        </is>
      </c>
      <c r="K350" s="41" t="inlineStr">
        <is>
          <t>Main</t>
        </is>
      </c>
      <c r="L350" s="30" t="inlineStr">
        <is>
          <t>Title</t>
        </is>
      </c>
      <c r="M350" s="30" t="inlineStr">
        <is>
          <t>No</t>
        </is>
      </c>
      <c r="N350" s="30" t="inlineStr">
        <is>
          <t>Copy Writer</t>
        </is>
      </c>
      <c r="O350" s="36" t="inlineStr">
        <is>
          <t>Open</t>
        </is>
      </c>
      <c r="P350" s="30" t="n">
        <v>4</v>
      </c>
      <c r="Q350" s="30" t="inlineStr">
        <is>
          <t>https://africanmarketingconfederation.org/smoke-archive/page-45::aioseo_seo_title_too_short</t>
        </is>
      </c>
      <c r="R350" s="30" t="inlineStr">
        <is>
          <t>Very short titles often under-describe page intent.</t>
        </is>
      </c>
      <c r="S350" s="38">
        <f>IFERROR(HYPERLINK("#'Main'!B"&amp;MATCH(TRIM(A350),'Main'!B:B,0),"Open"),HYPERLINK("#'Main'!B1","Open"))</f>
        <v/>
      </c>
      <c r="T350" s="38">
        <f>IFERROR(HYPERLINK("#'Technical Diagnostics'!A"&amp;MATCH(A350,'Technical Diagnostics'!A:A,0),"Open"),HYPERLINK("#'Technical Diagnostics'!A1","Open"))</f>
        <v/>
      </c>
    </row>
    <row r="351" ht="60" customHeight="1">
      <c r="A351" s="35" t="inlineStr">
        <is>
          <t>https://africanmarketingconfederation.org/smoke-archive/page-46</t>
        </is>
      </c>
      <c r="B351" s="28" t="inlineStr"/>
      <c r="C351" s="28" t="inlineStr"/>
      <c r="D351" s="28" t="inlineStr">
        <is>
          <t>Title</t>
        </is>
      </c>
      <c r="E351" s="33" t="inlineStr">
        <is>
          <t>Observation</t>
        </is>
      </c>
      <c r="F351" s="28" t="inlineStr">
        <is>
          <t>SEO title too short</t>
        </is>
      </c>
      <c r="G351" s="28" t="n">
        <v>37</v>
      </c>
      <c r="H351" s="28" t="n">
        <v>14</v>
      </c>
      <c r="I351" s="28" t="inlineStr">
        <is>
          <t>40-60 characters</t>
        </is>
      </c>
      <c r="J351" s="28" t="inlineStr">
        <is>
          <t>Expand title in AIOSEO snippet editor with clearer intent and value proposition. (Taxonomy/Archive page: navigate via AIOSEO → Search Appearance → Taxonomies.)</t>
        </is>
      </c>
      <c r="K351" s="39" t="inlineStr">
        <is>
          <t>Main</t>
        </is>
      </c>
      <c r="L351" s="28" t="inlineStr">
        <is>
          <t>Title</t>
        </is>
      </c>
      <c r="M351" s="28" t="inlineStr">
        <is>
          <t>No</t>
        </is>
      </c>
      <c r="N351" s="28" t="inlineStr">
        <is>
          <t>Copy Writer</t>
        </is>
      </c>
      <c r="O351" s="36" t="inlineStr">
        <is>
          <t>Open</t>
        </is>
      </c>
      <c r="P351" s="28" t="n">
        <v>4</v>
      </c>
      <c r="Q351" s="28" t="inlineStr">
        <is>
          <t>https://africanmarketingconfederation.org/smoke-archive/page-46::aioseo_seo_title_too_short</t>
        </is>
      </c>
      <c r="R351" s="28" t="inlineStr">
        <is>
          <t>Very short titles often under-describe page intent.</t>
        </is>
      </c>
      <c r="S351">
        <f>IFERROR(HYPERLINK("#'Main'!B"&amp;MATCH(TRIM(A351),'Main'!B:B,0),"Open"),HYPERLINK("#'Main'!B1","Open"))</f>
        <v/>
      </c>
      <c r="T351">
        <f>IFERROR(HYPERLINK("#'Technical Diagnostics'!A"&amp;MATCH(A351,'Technical Diagnostics'!A:A,0),"Open"),HYPERLINK("#'Technical Diagnostics'!A1","Open"))</f>
        <v/>
      </c>
    </row>
    <row r="352" ht="60" customHeight="1">
      <c r="A352" s="37" t="inlineStr">
        <is>
          <t>https://africanmarketingconfederation.org/smoke-archive/page-47</t>
        </is>
      </c>
      <c r="B352" s="30" t="inlineStr"/>
      <c r="C352" s="30" t="inlineStr"/>
      <c r="D352" s="30" t="inlineStr">
        <is>
          <t>Title</t>
        </is>
      </c>
      <c r="E352" s="33" t="inlineStr">
        <is>
          <t>Observation</t>
        </is>
      </c>
      <c r="F352" s="30" t="inlineStr">
        <is>
          <t>SEO title too short</t>
        </is>
      </c>
      <c r="G352" s="30" t="n">
        <v>37</v>
      </c>
      <c r="H352" s="30" t="n">
        <v>14</v>
      </c>
      <c r="I352" s="30" t="inlineStr">
        <is>
          <t>40-60 characters</t>
        </is>
      </c>
      <c r="J352" s="30" t="inlineStr">
        <is>
          <t>Expand title in AIOSEO snippet editor with clearer intent and value proposition. (Taxonomy/Archive page: navigate via AIOSEO → Search Appearance → Taxonomies.)</t>
        </is>
      </c>
      <c r="K352" s="41" t="inlineStr">
        <is>
          <t>Main</t>
        </is>
      </c>
      <c r="L352" s="30" t="inlineStr">
        <is>
          <t>Title</t>
        </is>
      </c>
      <c r="M352" s="30" t="inlineStr">
        <is>
          <t>No</t>
        </is>
      </c>
      <c r="N352" s="30" t="inlineStr">
        <is>
          <t>Copy Writer</t>
        </is>
      </c>
      <c r="O352" s="36" t="inlineStr">
        <is>
          <t>Open</t>
        </is>
      </c>
      <c r="P352" s="30" t="n">
        <v>4</v>
      </c>
      <c r="Q352" s="30" t="inlineStr">
        <is>
          <t>https://africanmarketingconfederation.org/smoke-archive/page-47::aioseo_seo_title_too_short</t>
        </is>
      </c>
      <c r="R352" s="30" t="inlineStr">
        <is>
          <t>Very short titles often under-describe page intent.</t>
        </is>
      </c>
      <c r="S352" s="38">
        <f>IFERROR(HYPERLINK("#'Main'!B"&amp;MATCH(TRIM(A352),'Main'!B:B,0),"Open"),HYPERLINK("#'Main'!B1","Open"))</f>
        <v/>
      </c>
      <c r="T352" s="38">
        <f>IFERROR(HYPERLINK("#'Technical Diagnostics'!A"&amp;MATCH(A352,'Technical Diagnostics'!A:A,0),"Open"),HYPERLINK("#'Technical Diagnostics'!A1","Open"))</f>
        <v/>
      </c>
    </row>
    <row r="353" ht="60" customHeight="1">
      <c r="A353" s="35" t="inlineStr">
        <is>
          <t>https://africanmarketingconfederation.org/smoke-archive/page-48</t>
        </is>
      </c>
      <c r="B353" s="28" t="inlineStr"/>
      <c r="C353" s="28" t="inlineStr"/>
      <c r="D353" s="28" t="inlineStr">
        <is>
          <t>Title</t>
        </is>
      </c>
      <c r="E353" s="33" t="inlineStr">
        <is>
          <t>Observation</t>
        </is>
      </c>
      <c r="F353" s="28" t="inlineStr">
        <is>
          <t>SEO title too short</t>
        </is>
      </c>
      <c r="G353" s="28" t="n">
        <v>37</v>
      </c>
      <c r="H353" s="28" t="n">
        <v>14</v>
      </c>
      <c r="I353" s="28" t="inlineStr">
        <is>
          <t>40-60 characters</t>
        </is>
      </c>
      <c r="J353" s="28" t="inlineStr">
        <is>
          <t>Expand title in AIOSEO snippet editor with clearer intent and value proposition. (Taxonomy/Archive page: navigate via AIOSEO → Search Appearance → Taxonomies.)</t>
        </is>
      </c>
      <c r="K353" s="39" t="inlineStr">
        <is>
          <t>Main</t>
        </is>
      </c>
      <c r="L353" s="28" t="inlineStr">
        <is>
          <t>Title</t>
        </is>
      </c>
      <c r="M353" s="28" t="inlineStr">
        <is>
          <t>No</t>
        </is>
      </c>
      <c r="N353" s="28" t="inlineStr">
        <is>
          <t>Copy Writer</t>
        </is>
      </c>
      <c r="O353" s="36" t="inlineStr">
        <is>
          <t>Open</t>
        </is>
      </c>
      <c r="P353" s="28" t="n">
        <v>4</v>
      </c>
      <c r="Q353" s="28" t="inlineStr">
        <is>
          <t>https://africanmarketingconfederation.org/smoke-archive/page-48::aioseo_seo_title_too_short</t>
        </is>
      </c>
      <c r="R353" s="28" t="inlineStr">
        <is>
          <t>Very short titles often under-describe page intent.</t>
        </is>
      </c>
      <c r="S353">
        <f>IFERROR(HYPERLINK("#'Main'!B"&amp;MATCH(TRIM(A353),'Main'!B:B,0),"Open"),HYPERLINK("#'Main'!B1","Open"))</f>
        <v/>
      </c>
      <c r="T353">
        <f>IFERROR(HYPERLINK("#'Technical Diagnostics'!A"&amp;MATCH(A353,'Technical Diagnostics'!A:A,0),"Open"),HYPERLINK("#'Technical Diagnostics'!A1","Open"))</f>
        <v/>
      </c>
    </row>
    <row r="354" ht="60" customHeight="1">
      <c r="A354" s="37" t="inlineStr">
        <is>
          <t>https://africanmarketingconfederation.org/smoke-archive/page-49</t>
        </is>
      </c>
      <c r="B354" s="30" t="inlineStr"/>
      <c r="C354" s="30" t="inlineStr"/>
      <c r="D354" s="30" t="inlineStr">
        <is>
          <t>Title</t>
        </is>
      </c>
      <c r="E354" s="33" t="inlineStr">
        <is>
          <t>Observation</t>
        </is>
      </c>
      <c r="F354" s="30" t="inlineStr">
        <is>
          <t>SEO title too short</t>
        </is>
      </c>
      <c r="G354" s="30" t="n">
        <v>37</v>
      </c>
      <c r="H354" s="30" t="n">
        <v>14</v>
      </c>
      <c r="I354" s="30" t="inlineStr">
        <is>
          <t>40-60 characters</t>
        </is>
      </c>
      <c r="J354" s="30" t="inlineStr">
        <is>
          <t>Expand title in AIOSEO snippet editor with clearer intent and value proposition. (Taxonomy/Archive page: navigate via AIOSEO → Search Appearance → Taxonomies.)</t>
        </is>
      </c>
      <c r="K354" s="41" t="inlineStr">
        <is>
          <t>Main</t>
        </is>
      </c>
      <c r="L354" s="30" t="inlineStr">
        <is>
          <t>Title</t>
        </is>
      </c>
      <c r="M354" s="30" t="inlineStr">
        <is>
          <t>No</t>
        </is>
      </c>
      <c r="N354" s="30" t="inlineStr">
        <is>
          <t>Copy Writer</t>
        </is>
      </c>
      <c r="O354" s="36" t="inlineStr">
        <is>
          <t>Open</t>
        </is>
      </c>
      <c r="P354" s="30" t="n">
        <v>4</v>
      </c>
      <c r="Q354" s="30" t="inlineStr">
        <is>
          <t>https://africanmarketingconfederation.org/smoke-archive/page-49::aioseo_seo_title_too_short</t>
        </is>
      </c>
      <c r="R354" s="30" t="inlineStr">
        <is>
          <t>Very short titles often under-describe page intent.</t>
        </is>
      </c>
      <c r="S354" s="38">
        <f>IFERROR(HYPERLINK("#'Main'!B"&amp;MATCH(TRIM(A354),'Main'!B:B,0),"Open"),HYPERLINK("#'Main'!B1","Open"))</f>
        <v/>
      </c>
      <c r="T354" s="38">
        <f>IFERROR(HYPERLINK("#'Technical Diagnostics'!A"&amp;MATCH(A354,'Technical Diagnostics'!A:A,0),"Open"),HYPERLINK("#'Technical Diagnostics'!A1","Open"))</f>
        <v/>
      </c>
    </row>
    <row r="355" ht="60" customHeight="1">
      <c r="A355" s="35" t="inlineStr">
        <is>
          <t>https://africanmarketingconfederation.org/smoke-archive/page-5</t>
        </is>
      </c>
      <c r="B355" s="28" t="inlineStr"/>
      <c r="C355" s="28" t="inlineStr"/>
      <c r="D355" s="28" t="inlineStr">
        <is>
          <t>Title</t>
        </is>
      </c>
      <c r="E355" s="33" t="inlineStr">
        <is>
          <t>Observation</t>
        </is>
      </c>
      <c r="F355" s="28" t="inlineStr">
        <is>
          <t>SEO title too short</t>
        </is>
      </c>
      <c r="G355" s="28" t="n">
        <v>37</v>
      </c>
      <c r="H355" s="28" t="n">
        <v>13</v>
      </c>
      <c r="I355" s="28" t="inlineStr">
        <is>
          <t>40-60 characters</t>
        </is>
      </c>
      <c r="J355" s="28" t="inlineStr">
        <is>
          <t>Expand title in AIOSEO snippet editor with clearer intent and value proposition. (Taxonomy/Archive page: navigate via AIOSEO → Search Appearance → Taxonomies.)</t>
        </is>
      </c>
      <c r="K355" s="39" t="inlineStr">
        <is>
          <t>Main</t>
        </is>
      </c>
      <c r="L355" s="28" t="inlineStr">
        <is>
          <t>Title</t>
        </is>
      </c>
      <c r="M355" s="28" t="inlineStr">
        <is>
          <t>No</t>
        </is>
      </c>
      <c r="N355" s="28" t="inlineStr">
        <is>
          <t>Copy Writer</t>
        </is>
      </c>
      <c r="O355" s="36" t="inlineStr">
        <is>
          <t>Open</t>
        </is>
      </c>
      <c r="P355" s="28" t="n">
        <v>4</v>
      </c>
      <c r="Q355" s="28" t="inlineStr">
        <is>
          <t>https://africanmarketingconfederation.org/smoke-archive/page-5::aioseo_seo_title_too_short</t>
        </is>
      </c>
      <c r="R355" s="28" t="inlineStr">
        <is>
          <t>Very short titles often under-describe page intent.</t>
        </is>
      </c>
      <c r="S355">
        <f>IFERROR(HYPERLINK("#'Main'!B"&amp;MATCH(TRIM(A355),'Main'!B:B,0),"Open"),HYPERLINK("#'Main'!B1","Open"))</f>
        <v/>
      </c>
      <c r="T355">
        <f>IFERROR(HYPERLINK("#'Technical Diagnostics'!A"&amp;MATCH(A355,'Technical Diagnostics'!A:A,0),"Open"),HYPERLINK("#'Technical Diagnostics'!A1","Open"))</f>
        <v/>
      </c>
    </row>
    <row r="356" ht="60" customHeight="1">
      <c r="A356" s="37" t="inlineStr">
        <is>
          <t>https://africanmarketingconfederation.org/smoke-archive/page-50</t>
        </is>
      </c>
      <c r="B356" s="30" t="inlineStr"/>
      <c r="C356" s="30" t="inlineStr"/>
      <c r="D356" s="30" t="inlineStr">
        <is>
          <t>Title</t>
        </is>
      </c>
      <c r="E356" s="33" t="inlineStr">
        <is>
          <t>Observation</t>
        </is>
      </c>
      <c r="F356" s="30" t="inlineStr">
        <is>
          <t>SEO title too short</t>
        </is>
      </c>
      <c r="G356" s="30" t="n">
        <v>37</v>
      </c>
      <c r="H356" s="30" t="n">
        <v>14</v>
      </c>
      <c r="I356" s="30" t="inlineStr">
        <is>
          <t>40-60 characters</t>
        </is>
      </c>
      <c r="J356" s="30" t="inlineStr">
        <is>
          <t>Expand title in AIOSEO snippet editor with clearer intent and value proposition. (Taxonomy/Archive page: navigate via AIOSEO → Search Appearance → Taxonomies.)</t>
        </is>
      </c>
      <c r="K356" s="41" t="inlineStr">
        <is>
          <t>Main</t>
        </is>
      </c>
      <c r="L356" s="30" t="inlineStr">
        <is>
          <t>Title</t>
        </is>
      </c>
      <c r="M356" s="30" t="inlineStr">
        <is>
          <t>No</t>
        </is>
      </c>
      <c r="N356" s="30" t="inlineStr">
        <is>
          <t>Copy Writer</t>
        </is>
      </c>
      <c r="O356" s="36" t="inlineStr">
        <is>
          <t>Open</t>
        </is>
      </c>
      <c r="P356" s="30" t="n">
        <v>4</v>
      </c>
      <c r="Q356" s="30" t="inlineStr">
        <is>
          <t>https://africanmarketingconfederation.org/smoke-archive/page-50::aioseo_seo_title_too_short</t>
        </is>
      </c>
      <c r="R356" s="30" t="inlineStr">
        <is>
          <t>Very short titles often under-describe page intent.</t>
        </is>
      </c>
      <c r="S356" s="38">
        <f>IFERROR(HYPERLINK("#'Main'!B"&amp;MATCH(TRIM(A356),'Main'!B:B,0),"Open"),HYPERLINK("#'Main'!B1","Open"))</f>
        <v/>
      </c>
      <c r="T356" s="38">
        <f>IFERROR(HYPERLINK("#'Technical Diagnostics'!A"&amp;MATCH(A356,'Technical Diagnostics'!A:A,0),"Open"),HYPERLINK("#'Technical Diagnostics'!A1","Open"))</f>
        <v/>
      </c>
    </row>
    <row r="357" ht="60" customHeight="1">
      <c r="A357" s="35" t="inlineStr">
        <is>
          <t>https://africanmarketingconfederation.org/smoke-archive/page-51</t>
        </is>
      </c>
      <c r="B357" s="28" t="inlineStr"/>
      <c r="C357" s="28" t="inlineStr"/>
      <c r="D357" s="28" t="inlineStr">
        <is>
          <t>Title</t>
        </is>
      </c>
      <c r="E357" s="33" t="inlineStr">
        <is>
          <t>Observation</t>
        </is>
      </c>
      <c r="F357" s="28" t="inlineStr">
        <is>
          <t>SEO title too short</t>
        </is>
      </c>
      <c r="G357" s="28" t="n">
        <v>37</v>
      </c>
      <c r="H357" s="28" t="n">
        <v>14</v>
      </c>
      <c r="I357" s="28" t="inlineStr">
        <is>
          <t>40-60 characters</t>
        </is>
      </c>
      <c r="J357" s="28" t="inlineStr">
        <is>
          <t>Expand title in AIOSEO snippet editor with clearer intent and value proposition. (Taxonomy/Archive page: navigate via AIOSEO → Search Appearance → Taxonomies.)</t>
        </is>
      </c>
      <c r="K357" s="39" t="inlineStr">
        <is>
          <t>Main</t>
        </is>
      </c>
      <c r="L357" s="28" t="inlineStr">
        <is>
          <t>Title</t>
        </is>
      </c>
      <c r="M357" s="28" t="inlineStr">
        <is>
          <t>No</t>
        </is>
      </c>
      <c r="N357" s="28" t="inlineStr">
        <is>
          <t>Copy Writer</t>
        </is>
      </c>
      <c r="O357" s="36" t="inlineStr">
        <is>
          <t>Open</t>
        </is>
      </c>
      <c r="P357" s="28" t="n">
        <v>4</v>
      </c>
      <c r="Q357" s="28" t="inlineStr">
        <is>
          <t>https://africanmarketingconfederation.org/smoke-archive/page-51::aioseo_seo_title_too_short</t>
        </is>
      </c>
      <c r="R357" s="28" t="inlineStr">
        <is>
          <t>Very short titles often under-describe page intent.</t>
        </is>
      </c>
      <c r="S357">
        <f>IFERROR(HYPERLINK("#'Main'!B"&amp;MATCH(TRIM(A357),'Main'!B:B,0),"Open"),HYPERLINK("#'Main'!B1","Open"))</f>
        <v/>
      </c>
      <c r="T357">
        <f>IFERROR(HYPERLINK("#'Technical Diagnostics'!A"&amp;MATCH(A357,'Technical Diagnostics'!A:A,0),"Open"),HYPERLINK("#'Technical Diagnostics'!A1","Open"))</f>
        <v/>
      </c>
    </row>
    <row r="358" ht="60" customHeight="1">
      <c r="A358" s="37" t="inlineStr">
        <is>
          <t>https://africanmarketingconfederation.org/smoke-archive/page-52</t>
        </is>
      </c>
      <c r="B358" s="30" t="inlineStr"/>
      <c r="C358" s="30" t="inlineStr"/>
      <c r="D358" s="30" t="inlineStr">
        <is>
          <t>Title</t>
        </is>
      </c>
      <c r="E358" s="33" t="inlineStr">
        <is>
          <t>Observation</t>
        </is>
      </c>
      <c r="F358" s="30" t="inlineStr">
        <is>
          <t>SEO title too short</t>
        </is>
      </c>
      <c r="G358" s="30" t="n">
        <v>37</v>
      </c>
      <c r="H358" s="30" t="n">
        <v>14</v>
      </c>
      <c r="I358" s="30" t="inlineStr">
        <is>
          <t>40-60 characters</t>
        </is>
      </c>
      <c r="J358" s="30" t="inlineStr">
        <is>
          <t>Expand title in AIOSEO snippet editor with clearer intent and value proposition. (Taxonomy/Archive page: navigate via AIOSEO → Search Appearance → Taxonomies.)</t>
        </is>
      </c>
      <c r="K358" s="41" t="inlineStr">
        <is>
          <t>Main</t>
        </is>
      </c>
      <c r="L358" s="30" t="inlineStr">
        <is>
          <t>Title</t>
        </is>
      </c>
      <c r="M358" s="30" t="inlineStr">
        <is>
          <t>No</t>
        </is>
      </c>
      <c r="N358" s="30" t="inlineStr">
        <is>
          <t>Copy Writer</t>
        </is>
      </c>
      <c r="O358" s="36" t="inlineStr">
        <is>
          <t>Open</t>
        </is>
      </c>
      <c r="P358" s="30" t="n">
        <v>4</v>
      </c>
      <c r="Q358" s="30" t="inlineStr">
        <is>
          <t>https://africanmarketingconfederation.org/smoke-archive/page-52::aioseo_seo_title_too_short</t>
        </is>
      </c>
      <c r="R358" s="30" t="inlineStr">
        <is>
          <t>Very short titles often under-describe page intent.</t>
        </is>
      </c>
      <c r="S358" s="38">
        <f>IFERROR(HYPERLINK("#'Main'!B"&amp;MATCH(TRIM(A358),'Main'!B:B,0),"Open"),HYPERLINK("#'Main'!B1","Open"))</f>
        <v/>
      </c>
      <c r="T358" s="38">
        <f>IFERROR(HYPERLINK("#'Technical Diagnostics'!A"&amp;MATCH(A358,'Technical Diagnostics'!A:A,0),"Open"),HYPERLINK("#'Technical Diagnostics'!A1","Open"))</f>
        <v/>
      </c>
    </row>
    <row r="359" ht="60" customHeight="1">
      <c r="A359" s="35" t="inlineStr">
        <is>
          <t>https://africanmarketingconfederation.org/smoke-archive/page-53</t>
        </is>
      </c>
      <c r="B359" s="28" t="inlineStr"/>
      <c r="C359" s="28" t="inlineStr"/>
      <c r="D359" s="28" t="inlineStr">
        <is>
          <t>Title</t>
        </is>
      </c>
      <c r="E359" s="33" t="inlineStr">
        <is>
          <t>Observation</t>
        </is>
      </c>
      <c r="F359" s="28" t="inlineStr">
        <is>
          <t>SEO title too short</t>
        </is>
      </c>
      <c r="G359" s="28" t="n">
        <v>37</v>
      </c>
      <c r="H359" s="28" t="n">
        <v>14</v>
      </c>
      <c r="I359" s="28" t="inlineStr">
        <is>
          <t>40-60 characters</t>
        </is>
      </c>
      <c r="J359" s="28" t="inlineStr">
        <is>
          <t>Expand title in AIOSEO snippet editor with clearer intent and value proposition. (Taxonomy/Archive page: navigate via AIOSEO → Search Appearance → Taxonomies.)</t>
        </is>
      </c>
      <c r="K359" s="39" t="inlineStr">
        <is>
          <t>Main</t>
        </is>
      </c>
      <c r="L359" s="28" t="inlineStr">
        <is>
          <t>Title</t>
        </is>
      </c>
      <c r="M359" s="28" t="inlineStr">
        <is>
          <t>No</t>
        </is>
      </c>
      <c r="N359" s="28" t="inlineStr">
        <is>
          <t>Copy Writer</t>
        </is>
      </c>
      <c r="O359" s="36" t="inlineStr">
        <is>
          <t>Open</t>
        </is>
      </c>
      <c r="P359" s="28" t="n">
        <v>4</v>
      </c>
      <c r="Q359" s="28" t="inlineStr">
        <is>
          <t>https://africanmarketingconfederation.org/smoke-archive/page-53::aioseo_seo_title_too_short</t>
        </is>
      </c>
      <c r="R359" s="28" t="inlineStr">
        <is>
          <t>Very short titles often under-describe page intent.</t>
        </is>
      </c>
      <c r="S359">
        <f>IFERROR(HYPERLINK("#'Main'!B"&amp;MATCH(TRIM(A359),'Main'!B:B,0),"Open"),HYPERLINK("#'Main'!B1","Open"))</f>
        <v/>
      </c>
      <c r="T359">
        <f>IFERROR(HYPERLINK("#'Technical Diagnostics'!A"&amp;MATCH(A359,'Technical Diagnostics'!A:A,0),"Open"),HYPERLINK("#'Technical Diagnostics'!A1","Open"))</f>
        <v/>
      </c>
    </row>
    <row r="360" ht="60" customHeight="1">
      <c r="A360" s="37" t="inlineStr">
        <is>
          <t>https://africanmarketingconfederation.org/smoke-archive/page-54</t>
        </is>
      </c>
      <c r="B360" s="30" t="inlineStr"/>
      <c r="C360" s="30" t="inlineStr"/>
      <c r="D360" s="30" t="inlineStr">
        <is>
          <t>Title</t>
        </is>
      </c>
      <c r="E360" s="33" t="inlineStr">
        <is>
          <t>Observation</t>
        </is>
      </c>
      <c r="F360" s="30" t="inlineStr">
        <is>
          <t>SEO title too short</t>
        </is>
      </c>
      <c r="G360" s="30" t="n">
        <v>37</v>
      </c>
      <c r="H360" s="30" t="n">
        <v>14</v>
      </c>
      <c r="I360" s="30" t="inlineStr">
        <is>
          <t>40-60 characters</t>
        </is>
      </c>
      <c r="J360" s="30" t="inlineStr">
        <is>
          <t>Expand title in AIOSEO snippet editor with clearer intent and value proposition. (Taxonomy/Archive page: navigate via AIOSEO → Search Appearance → Taxonomies.)</t>
        </is>
      </c>
      <c r="K360" s="41" t="inlineStr">
        <is>
          <t>Main</t>
        </is>
      </c>
      <c r="L360" s="30" t="inlineStr">
        <is>
          <t>Title</t>
        </is>
      </c>
      <c r="M360" s="30" t="inlineStr">
        <is>
          <t>No</t>
        </is>
      </c>
      <c r="N360" s="30" t="inlineStr">
        <is>
          <t>Copy Writer</t>
        </is>
      </c>
      <c r="O360" s="36" t="inlineStr">
        <is>
          <t>Open</t>
        </is>
      </c>
      <c r="P360" s="30" t="n">
        <v>4</v>
      </c>
      <c r="Q360" s="30" t="inlineStr">
        <is>
          <t>https://africanmarketingconfederation.org/smoke-archive/page-54::aioseo_seo_title_too_short</t>
        </is>
      </c>
      <c r="R360" s="30" t="inlineStr">
        <is>
          <t>Very short titles often under-describe page intent.</t>
        </is>
      </c>
      <c r="S360" s="38">
        <f>IFERROR(HYPERLINK("#'Main'!B"&amp;MATCH(TRIM(A360),'Main'!B:B,0),"Open"),HYPERLINK("#'Main'!B1","Open"))</f>
        <v/>
      </c>
      <c r="T360" s="38">
        <f>IFERROR(HYPERLINK("#'Technical Diagnostics'!A"&amp;MATCH(A360,'Technical Diagnostics'!A:A,0),"Open"),HYPERLINK("#'Technical Diagnostics'!A1","Open"))</f>
        <v/>
      </c>
    </row>
    <row r="361" ht="60" customHeight="1">
      <c r="A361" s="35" t="inlineStr">
        <is>
          <t>https://africanmarketingconfederation.org/smoke-archive/page-55</t>
        </is>
      </c>
      <c r="B361" s="28" t="inlineStr"/>
      <c r="C361" s="28" t="inlineStr"/>
      <c r="D361" s="28" t="inlineStr">
        <is>
          <t>Title</t>
        </is>
      </c>
      <c r="E361" s="33" t="inlineStr">
        <is>
          <t>Observation</t>
        </is>
      </c>
      <c r="F361" s="28" t="inlineStr">
        <is>
          <t>SEO title too short</t>
        </is>
      </c>
      <c r="G361" s="28" t="n">
        <v>37</v>
      </c>
      <c r="H361" s="28" t="n">
        <v>14</v>
      </c>
      <c r="I361" s="28" t="inlineStr">
        <is>
          <t>40-60 characters</t>
        </is>
      </c>
      <c r="J361" s="28" t="inlineStr">
        <is>
          <t>Expand title in AIOSEO snippet editor with clearer intent and value proposition. (Taxonomy/Archive page: navigate via AIOSEO → Search Appearance → Taxonomies.)</t>
        </is>
      </c>
      <c r="K361" s="39" t="inlineStr">
        <is>
          <t>Main</t>
        </is>
      </c>
      <c r="L361" s="28" t="inlineStr">
        <is>
          <t>Title</t>
        </is>
      </c>
      <c r="M361" s="28" t="inlineStr">
        <is>
          <t>No</t>
        </is>
      </c>
      <c r="N361" s="28" t="inlineStr">
        <is>
          <t>Copy Writer</t>
        </is>
      </c>
      <c r="O361" s="36" t="inlineStr">
        <is>
          <t>Open</t>
        </is>
      </c>
      <c r="P361" s="28" t="n">
        <v>4</v>
      </c>
      <c r="Q361" s="28" t="inlineStr">
        <is>
          <t>https://africanmarketingconfederation.org/smoke-archive/page-55::aioseo_seo_title_too_short</t>
        </is>
      </c>
      <c r="R361" s="28" t="inlineStr">
        <is>
          <t>Very short titles often under-describe page intent.</t>
        </is>
      </c>
      <c r="S361">
        <f>IFERROR(HYPERLINK("#'Main'!B"&amp;MATCH(TRIM(A361),'Main'!B:B,0),"Open"),HYPERLINK("#'Main'!B1","Open"))</f>
        <v/>
      </c>
      <c r="T361">
        <f>IFERROR(HYPERLINK("#'Technical Diagnostics'!A"&amp;MATCH(A361,'Technical Diagnostics'!A:A,0),"Open"),HYPERLINK("#'Technical Diagnostics'!A1","Open"))</f>
        <v/>
      </c>
    </row>
    <row r="362" ht="60" customHeight="1">
      <c r="A362" s="37" t="inlineStr">
        <is>
          <t>https://africanmarketingconfederation.org/smoke-archive/page-56</t>
        </is>
      </c>
      <c r="B362" s="30" t="inlineStr"/>
      <c r="C362" s="30" t="inlineStr"/>
      <c r="D362" s="30" t="inlineStr">
        <is>
          <t>Title</t>
        </is>
      </c>
      <c r="E362" s="33" t="inlineStr">
        <is>
          <t>Observation</t>
        </is>
      </c>
      <c r="F362" s="30" t="inlineStr">
        <is>
          <t>SEO title too short</t>
        </is>
      </c>
      <c r="G362" s="30" t="n">
        <v>37</v>
      </c>
      <c r="H362" s="30" t="n">
        <v>14</v>
      </c>
      <c r="I362" s="30" t="inlineStr">
        <is>
          <t>40-60 characters</t>
        </is>
      </c>
      <c r="J362" s="30" t="inlineStr">
        <is>
          <t>Expand title in AIOSEO snippet editor with clearer intent and value proposition. (Taxonomy/Archive page: navigate via AIOSEO → Search Appearance → Taxonomies.)</t>
        </is>
      </c>
      <c r="K362" s="41" t="inlineStr">
        <is>
          <t>Main</t>
        </is>
      </c>
      <c r="L362" s="30" t="inlineStr">
        <is>
          <t>Title</t>
        </is>
      </c>
      <c r="M362" s="30" t="inlineStr">
        <is>
          <t>No</t>
        </is>
      </c>
      <c r="N362" s="30" t="inlineStr">
        <is>
          <t>Copy Writer</t>
        </is>
      </c>
      <c r="O362" s="36" t="inlineStr">
        <is>
          <t>Open</t>
        </is>
      </c>
      <c r="P362" s="30" t="n">
        <v>4</v>
      </c>
      <c r="Q362" s="30" t="inlineStr">
        <is>
          <t>https://africanmarketingconfederation.org/smoke-archive/page-56::aioseo_seo_title_too_short</t>
        </is>
      </c>
      <c r="R362" s="30" t="inlineStr">
        <is>
          <t>Very short titles often under-describe page intent.</t>
        </is>
      </c>
      <c r="S362" s="38">
        <f>IFERROR(HYPERLINK("#'Main'!B"&amp;MATCH(TRIM(A362),'Main'!B:B,0),"Open"),HYPERLINK("#'Main'!B1","Open"))</f>
        <v/>
      </c>
      <c r="T362" s="38">
        <f>IFERROR(HYPERLINK("#'Technical Diagnostics'!A"&amp;MATCH(A362,'Technical Diagnostics'!A:A,0),"Open"),HYPERLINK("#'Technical Diagnostics'!A1","Open"))</f>
        <v/>
      </c>
    </row>
    <row r="363" ht="60" customHeight="1">
      <c r="A363" s="35" t="inlineStr">
        <is>
          <t>https://africanmarketingconfederation.org/smoke-archive/page-57</t>
        </is>
      </c>
      <c r="B363" s="28" t="inlineStr"/>
      <c r="C363" s="28" t="inlineStr"/>
      <c r="D363" s="28" t="inlineStr">
        <is>
          <t>Title</t>
        </is>
      </c>
      <c r="E363" s="33" t="inlineStr">
        <is>
          <t>Observation</t>
        </is>
      </c>
      <c r="F363" s="28" t="inlineStr">
        <is>
          <t>SEO title too short</t>
        </is>
      </c>
      <c r="G363" s="28" t="n">
        <v>37</v>
      </c>
      <c r="H363" s="28" t="n">
        <v>14</v>
      </c>
      <c r="I363" s="28" t="inlineStr">
        <is>
          <t>40-60 characters</t>
        </is>
      </c>
      <c r="J363" s="28" t="inlineStr">
        <is>
          <t>Expand title in AIOSEO snippet editor with clearer intent and value proposition. (Taxonomy/Archive page: navigate via AIOSEO → Search Appearance → Taxonomies.)</t>
        </is>
      </c>
      <c r="K363" s="39" t="inlineStr">
        <is>
          <t>Main</t>
        </is>
      </c>
      <c r="L363" s="28" t="inlineStr">
        <is>
          <t>Title</t>
        </is>
      </c>
      <c r="M363" s="28" t="inlineStr">
        <is>
          <t>No</t>
        </is>
      </c>
      <c r="N363" s="28" t="inlineStr">
        <is>
          <t>Copy Writer</t>
        </is>
      </c>
      <c r="O363" s="36" t="inlineStr">
        <is>
          <t>Open</t>
        </is>
      </c>
      <c r="P363" s="28" t="n">
        <v>4</v>
      </c>
      <c r="Q363" s="28" t="inlineStr">
        <is>
          <t>https://africanmarketingconfederation.org/smoke-archive/page-57::aioseo_seo_title_too_short</t>
        </is>
      </c>
      <c r="R363" s="28" t="inlineStr">
        <is>
          <t>Very short titles often under-describe page intent.</t>
        </is>
      </c>
      <c r="S363">
        <f>IFERROR(HYPERLINK("#'Main'!B"&amp;MATCH(TRIM(A363),'Main'!B:B,0),"Open"),HYPERLINK("#'Main'!B1","Open"))</f>
        <v/>
      </c>
      <c r="T363">
        <f>IFERROR(HYPERLINK("#'Technical Diagnostics'!A"&amp;MATCH(A363,'Technical Diagnostics'!A:A,0),"Open"),HYPERLINK("#'Technical Diagnostics'!A1","Open"))</f>
        <v/>
      </c>
    </row>
    <row r="364" ht="60" customHeight="1">
      <c r="A364" s="37" t="inlineStr">
        <is>
          <t>https://africanmarketingconfederation.org/smoke-archive/page-58</t>
        </is>
      </c>
      <c r="B364" s="30" t="inlineStr"/>
      <c r="C364" s="30" t="inlineStr"/>
      <c r="D364" s="30" t="inlineStr">
        <is>
          <t>Title</t>
        </is>
      </c>
      <c r="E364" s="33" t="inlineStr">
        <is>
          <t>Observation</t>
        </is>
      </c>
      <c r="F364" s="30" t="inlineStr">
        <is>
          <t>SEO title too short</t>
        </is>
      </c>
      <c r="G364" s="30" t="n">
        <v>37</v>
      </c>
      <c r="H364" s="30" t="n">
        <v>14</v>
      </c>
      <c r="I364" s="30" t="inlineStr">
        <is>
          <t>40-60 characters</t>
        </is>
      </c>
      <c r="J364" s="30" t="inlineStr">
        <is>
          <t>Expand title in AIOSEO snippet editor with clearer intent and value proposition. (Taxonomy/Archive page: navigate via AIOSEO → Search Appearance → Taxonomies.)</t>
        </is>
      </c>
      <c r="K364" s="41" t="inlineStr">
        <is>
          <t>Main</t>
        </is>
      </c>
      <c r="L364" s="30" t="inlineStr">
        <is>
          <t>Title</t>
        </is>
      </c>
      <c r="M364" s="30" t="inlineStr">
        <is>
          <t>No</t>
        </is>
      </c>
      <c r="N364" s="30" t="inlineStr">
        <is>
          <t>Copy Writer</t>
        </is>
      </c>
      <c r="O364" s="36" t="inlineStr">
        <is>
          <t>Open</t>
        </is>
      </c>
      <c r="P364" s="30" t="n">
        <v>4</v>
      </c>
      <c r="Q364" s="30" t="inlineStr">
        <is>
          <t>https://africanmarketingconfederation.org/smoke-archive/page-58::aioseo_seo_title_too_short</t>
        </is>
      </c>
      <c r="R364" s="30" t="inlineStr">
        <is>
          <t>Very short titles often under-describe page intent.</t>
        </is>
      </c>
      <c r="S364" s="38">
        <f>IFERROR(HYPERLINK("#'Main'!B"&amp;MATCH(TRIM(A364),'Main'!B:B,0),"Open"),HYPERLINK("#'Main'!B1","Open"))</f>
        <v/>
      </c>
      <c r="T364" s="38">
        <f>IFERROR(HYPERLINK("#'Technical Diagnostics'!A"&amp;MATCH(A364,'Technical Diagnostics'!A:A,0),"Open"),HYPERLINK("#'Technical Diagnostics'!A1","Open"))</f>
        <v/>
      </c>
    </row>
    <row r="365" ht="60" customHeight="1">
      <c r="A365" s="35" t="inlineStr">
        <is>
          <t>https://africanmarketingconfederation.org/smoke-archive/page-59</t>
        </is>
      </c>
      <c r="B365" s="28" t="inlineStr"/>
      <c r="C365" s="28" t="inlineStr"/>
      <c r="D365" s="28" t="inlineStr">
        <is>
          <t>Title</t>
        </is>
      </c>
      <c r="E365" s="33" t="inlineStr">
        <is>
          <t>Observation</t>
        </is>
      </c>
      <c r="F365" s="28" t="inlineStr">
        <is>
          <t>SEO title too short</t>
        </is>
      </c>
      <c r="G365" s="28" t="n">
        <v>37</v>
      </c>
      <c r="H365" s="28" t="n">
        <v>14</v>
      </c>
      <c r="I365" s="28" t="inlineStr">
        <is>
          <t>40-60 characters</t>
        </is>
      </c>
      <c r="J365" s="28" t="inlineStr">
        <is>
          <t>Expand title in AIOSEO snippet editor with clearer intent and value proposition. (Taxonomy/Archive page: navigate via AIOSEO → Search Appearance → Taxonomies.)</t>
        </is>
      </c>
      <c r="K365" s="39" t="inlineStr">
        <is>
          <t>Main</t>
        </is>
      </c>
      <c r="L365" s="28" t="inlineStr">
        <is>
          <t>Title</t>
        </is>
      </c>
      <c r="M365" s="28" t="inlineStr">
        <is>
          <t>No</t>
        </is>
      </c>
      <c r="N365" s="28" t="inlineStr">
        <is>
          <t>Copy Writer</t>
        </is>
      </c>
      <c r="O365" s="36" t="inlineStr">
        <is>
          <t>Open</t>
        </is>
      </c>
      <c r="P365" s="28" t="n">
        <v>4</v>
      </c>
      <c r="Q365" s="28" t="inlineStr">
        <is>
          <t>https://africanmarketingconfederation.org/smoke-archive/page-59::aioseo_seo_title_too_short</t>
        </is>
      </c>
      <c r="R365" s="28" t="inlineStr">
        <is>
          <t>Very short titles often under-describe page intent.</t>
        </is>
      </c>
      <c r="S365">
        <f>IFERROR(HYPERLINK("#'Main'!B"&amp;MATCH(TRIM(A365),'Main'!B:B,0),"Open"),HYPERLINK("#'Main'!B1","Open"))</f>
        <v/>
      </c>
      <c r="T365">
        <f>IFERROR(HYPERLINK("#'Technical Diagnostics'!A"&amp;MATCH(A365,'Technical Diagnostics'!A:A,0),"Open"),HYPERLINK("#'Technical Diagnostics'!A1","Open"))</f>
        <v/>
      </c>
    </row>
    <row r="366" ht="60" customHeight="1">
      <c r="A366" s="37" t="inlineStr">
        <is>
          <t>https://africanmarketingconfederation.org/smoke-archive/page-6</t>
        </is>
      </c>
      <c r="B366" s="30" t="inlineStr"/>
      <c r="C366" s="30" t="inlineStr"/>
      <c r="D366" s="30" t="inlineStr">
        <is>
          <t>Title</t>
        </is>
      </c>
      <c r="E366" s="33" t="inlineStr">
        <is>
          <t>Observation</t>
        </is>
      </c>
      <c r="F366" s="30" t="inlineStr">
        <is>
          <t>SEO title too short</t>
        </is>
      </c>
      <c r="G366" s="30" t="n">
        <v>37</v>
      </c>
      <c r="H366" s="30" t="n">
        <v>13</v>
      </c>
      <c r="I366" s="30" t="inlineStr">
        <is>
          <t>40-60 characters</t>
        </is>
      </c>
      <c r="J366" s="30" t="inlineStr">
        <is>
          <t>Expand title in AIOSEO snippet editor with clearer intent and value proposition. (Taxonomy/Archive page: navigate via AIOSEO → Search Appearance → Taxonomies.)</t>
        </is>
      </c>
      <c r="K366" s="41" t="inlineStr">
        <is>
          <t>Main</t>
        </is>
      </c>
      <c r="L366" s="30" t="inlineStr">
        <is>
          <t>Title</t>
        </is>
      </c>
      <c r="M366" s="30" t="inlineStr">
        <is>
          <t>No</t>
        </is>
      </c>
      <c r="N366" s="30" t="inlineStr">
        <is>
          <t>Copy Writer</t>
        </is>
      </c>
      <c r="O366" s="36" t="inlineStr">
        <is>
          <t>Open</t>
        </is>
      </c>
      <c r="P366" s="30" t="n">
        <v>4</v>
      </c>
      <c r="Q366" s="30" t="inlineStr">
        <is>
          <t>https://africanmarketingconfederation.org/smoke-archive/page-6::aioseo_seo_title_too_short</t>
        </is>
      </c>
      <c r="R366" s="30" t="inlineStr">
        <is>
          <t>Very short titles often under-describe page intent.</t>
        </is>
      </c>
      <c r="S366" s="38">
        <f>IFERROR(HYPERLINK("#'Main'!B"&amp;MATCH(TRIM(A366),'Main'!B:B,0),"Open"),HYPERLINK("#'Main'!B1","Open"))</f>
        <v/>
      </c>
      <c r="T366" s="38">
        <f>IFERROR(HYPERLINK("#'Technical Diagnostics'!A"&amp;MATCH(A366,'Technical Diagnostics'!A:A,0),"Open"),HYPERLINK("#'Technical Diagnostics'!A1","Open"))</f>
        <v/>
      </c>
    </row>
    <row r="367" ht="60" customHeight="1">
      <c r="A367" s="35" t="inlineStr">
        <is>
          <t>https://africanmarketingconfederation.org/smoke-archive/page-60</t>
        </is>
      </c>
      <c r="B367" s="28" t="inlineStr"/>
      <c r="C367" s="28" t="inlineStr"/>
      <c r="D367" s="28" t="inlineStr">
        <is>
          <t>Title</t>
        </is>
      </c>
      <c r="E367" s="33" t="inlineStr">
        <is>
          <t>Observation</t>
        </is>
      </c>
      <c r="F367" s="28" t="inlineStr">
        <is>
          <t>SEO title too short</t>
        </is>
      </c>
      <c r="G367" s="28" t="n">
        <v>37</v>
      </c>
      <c r="H367" s="28" t="n">
        <v>14</v>
      </c>
      <c r="I367" s="28" t="inlineStr">
        <is>
          <t>40-60 characters</t>
        </is>
      </c>
      <c r="J367" s="28" t="inlineStr">
        <is>
          <t>Expand title in AIOSEO snippet editor with clearer intent and value proposition. (Taxonomy/Archive page: navigate via AIOSEO → Search Appearance → Taxonomies.)</t>
        </is>
      </c>
      <c r="K367" s="39" t="inlineStr">
        <is>
          <t>Main</t>
        </is>
      </c>
      <c r="L367" s="28" t="inlineStr">
        <is>
          <t>Title</t>
        </is>
      </c>
      <c r="M367" s="28" t="inlineStr">
        <is>
          <t>No</t>
        </is>
      </c>
      <c r="N367" s="28" t="inlineStr">
        <is>
          <t>Copy Writer</t>
        </is>
      </c>
      <c r="O367" s="36" t="inlineStr">
        <is>
          <t>Open</t>
        </is>
      </c>
      <c r="P367" s="28" t="n">
        <v>4</v>
      </c>
      <c r="Q367" s="28" t="inlineStr">
        <is>
          <t>https://africanmarketingconfederation.org/smoke-archive/page-60::aioseo_seo_title_too_short</t>
        </is>
      </c>
      <c r="R367" s="28" t="inlineStr">
        <is>
          <t>Very short titles often under-describe page intent.</t>
        </is>
      </c>
      <c r="S367">
        <f>IFERROR(HYPERLINK("#'Main'!B"&amp;MATCH(TRIM(A367),'Main'!B:B,0),"Open"),HYPERLINK("#'Main'!B1","Open"))</f>
        <v/>
      </c>
      <c r="T367">
        <f>IFERROR(HYPERLINK("#'Technical Diagnostics'!A"&amp;MATCH(A367,'Technical Diagnostics'!A:A,0),"Open"),HYPERLINK("#'Technical Diagnostics'!A1","Open"))</f>
        <v/>
      </c>
    </row>
    <row r="368" ht="60" customHeight="1">
      <c r="A368" s="37" t="inlineStr">
        <is>
          <t>https://africanmarketingconfederation.org/smoke-archive/page-61</t>
        </is>
      </c>
      <c r="B368" s="30" t="inlineStr"/>
      <c r="C368" s="30" t="inlineStr"/>
      <c r="D368" s="30" t="inlineStr">
        <is>
          <t>Title</t>
        </is>
      </c>
      <c r="E368" s="33" t="inlineStr">
        <is>
          <t>Observation</t>
        </is>
      </c>
      <c r="F368" s="30" t="inlineStr">
        <is>
          <t>SEO title too short</t>
        </is>
      </c>
      <c r="G368" s="30" t="n">
        <v>37</v>
      </c>
      <c r="H368" s="30" t="n">
        <v>14</v>
      </c>
      <c r="I368" s="30" t="inlineStr">
        <is>
          <t>40-60 characters</t>
        </is>
      </c>
      <c r="J368" s="30" t="inlineStr">
        <is>
          <t>Expand title in AIOSEO snippet editor with clearer intent and value proposition. (Taxonomy/Archive page: navigate via AIOSEO → Search Appearance → Taxonomies.)</t>
        </is>
      </c>
      <c r="K368" s="41" t="inlineStr">
        <is>
          <t>Main</t>
        </is>
      </c>
      <c r="L368" s="30" t="inlineStr">
        <is>
          <t>Title</t>
        </is>
      </c>
      <c r="M368" s="30" t="inlineStr">
        <is>
          <t>No</t>
        </is>
      </c>
      <c r="N368" s="30" t="inlineStr">
        <is>
          <t>Copy Writer</t>
        </is>
      </c>
      <c r="O368" s="36" t="inlineStr">
        <is>
          <t>Open</t>
        </is>
      </c>
      <c r="P368" s="30" t="n">
        <v>4</v>
      </c>
      <c r="Q368" s="30" t="inlineStr">
        <is>
          <t>https://africanmarketingconfederation.org/smoke-archive/page-61::aioseo_seo_title_too_short</t>
        </is>
      </c>
      <c r="R368" s="30" t="inlineStr">
        <is>
          <t>Very short titles often under-describe page intent.</t>
        </is>
      </c>
      <c r="S368" s="38">
        <f>IFERROR(HYPERLINK("#'Main'!B"&amp;MATCH(TRIM(A368),'Main'!B:B,0),"Open"),HYPERLINK("#'Main'!B1","Open"))</f>
        <v/>
      </c>
      <c r="T368" s="38">
        <f>IFERROR(HYPERLINK("#'Technical Diagnostics'!A"&amp;MATCH(A368,'Technical Diagnostics'!A:A,0),"Open"),HYPERLINK("#'Technical Diagnostics'!A1","Open"))</f>
        <v/>
      </c>
    </row>
    <row r="369" ht="60" customHeight="1">
      <c r="A369" s="35" t="inlineStr">
        <is>
          <t>https://africanmarketingconfederation.org/smoke-archive/page-62</t>
        </is>
      </c>
      <c r="B369" s="28" t="inlineStr"/>
      <c r="C369" s="28" t="inlineStr"/>
      <c r="D369" s="28" t="inlineStr">
        <is>
          <t>Title</t>
        </is>
      </c>
      <c r="E369" s="33" t="inlineStr">
        <is>
          <t>Observation</t>
        </is>
      </c>
      <c r="F369" s="28" t="inlineStr">
        <is>
          <t>SEO title too short</t>
        </is>
      </c>
      <c r="G369" s="28" t="n">
        <v>37</v>
      </c>
      <c r="H369" s="28" t="n">
        <v>14</v>
      </c>
      <c r="I369" s="28" t="inlineStr">
        <is>
          <t>40-60 characters</t>
        </is>
      </c>
      <c r="J369" s="28" t="inlineStr">
        <is>
          <t>Expand title in AIOSEO snippet editor with clearer intent and value proposition. (Taxonomy/Archive page: navigate via AIOSEO → Search Appearance → Taxonomies.)</t>
        </is>
      </c>
      <c r="K369" s="39" t="inlineStr">
        <is>
          <t>Main</t>
        </is>
      </c>
      <c r="L369" s="28" t="inlineStr">
        <is>
          <t>Title</t>
        </is>
      </c>
      <c r="M369" s="28" t="inlineStr">
        <is>
          <t>No</t>
        </is>
      </c>
      <c r="N369" s="28" t="inlineStr">
        <is>
          <t>Copy Writer</t>
        </is>
      </c>
      <c r="O369" s="36" t="inlineStr">
        <is>
          <t>Open</t>
        </is>
      </c>
      <c r="P369" s="28" t="n">
        <v>4</v>
      </c>
      <c r="Q369" s="28" t="inlineStr">
        <is>
          <t>https://africanmarketingconfederation.org/smoke-archive/page-62::aioseo_seo_title_too_short</t>
        </is>
      </c>
      <c r="R369" s="28" t="inlineStr">
        <is>
          <t>Very short titles often under-describe page intent.</t>
        </is>
      </c>
      <c r="S369">
        <f>IFERROR(HYPERLINK("#'Main'!B"&amp;MATCH(TRIM(A369),'Main'!B:B,0),"Open"),HYPERLINK("#'Main'!B1","Open"))</f>
        <v/>
      </c>
      <c r="T369">
        <f>IFERROR(HYPERLINK("#'Technical Diagnostics'!A"&amp;MATCH(A369,'Technical Diagnostics'!A:A,0),"Open"),HYPERLINK("#'Technical Diagnostics'!A1","Open"))</f>
        <v/>
      </c>
    </row>
    <row r="370" ht="60" customHeight="1">
      <c r="A370" s="37" t="inlineStr">
        <is>
          <t>https://africanmarketingconfederation.org/smoke-archive/page-63</t>
        </is>
      </c>
      <c r="B370" s="30" t="inlineStr"/>
      <c r="C370" s="30" t="inlineStr"/>
      <c r="D370" s="30" t="inlineStr">
        <is>
          <t>Title</t>
        </is>
      </c>
      <c r="E370" s="33" t="inlineStr">
        <is>
          <t>Observation</t>
        </is>
      </c>
      <c r="F370" s="30" t="inlineStr">
        <is>
          <t>SEO title too short</t>
        </is>
      </c>
      <c r="G370" s="30" t="n">
        <v>37</v>
      </c>
      <c r="H370" s="30" t="n">
        <v>14</v>
      </c>
      <c r="I370" s="30" t="inlineStr">
        <is>
          <t>40-60 characters</t>
        </is>
      </c>
      <c r="J370" s="30" t="inlineStr">
        <is>
          <t>Expand title in AIOSEO snippet editor with clearer intent and value proposition. (Taxonomy/Archive page: navigate via AIOSEO → Search Appearance → Taxonomies.)</t>
        </is>
      </c>
      <c r="K370" s="41" t="inlineStr">
        <is>
          <t>Main</t>
        </is>
      </c>
      <c r="L370" s="30" t="inlineStr">
        <is>
          <t>Title</t>
        </is>
      </c>
      <c r="M370" s="30" t="inlineStr">
        <is>
          <t>No</t>
        </is>
      </c>
      <c r="N370" s="30" t="inlineStr">
        <is>
          <t>Copy Writer</t>
        </is>
      </c>
      <c r="O370" s="36" t="inlineStr">
        <is>
          <t>Open</t>
        </is>
      </c>
      <c r="P370" s="30" t="n">
        <v>4</v>
      </c>
      <c r="Q370" s="30" t="inlineStr">
        <is>
          <t>https://africanmarketingconfederation.org/smoke-archive/page-63::aioseo_seo_title_too_short</t>
        </is>
      </c>
      <c r="R370" s="30" t="inlineStr">
        <is>
          <t>Very short titles often under-describe page intent.</t>
        </is>
      </c>
      <c r="S370" s="38">
        <f>IFERROR(HYPERLINK("#'Main'!B"&amp;MATCH(TRIM(A370),'Main'!B:B,0),"Open"),HYPERLINK("#'Main'!B1","Open"))</f>
        <v/>
      </c>
      <c r="T370" s="38">
        <f>IFERROR(HYPERLINK("#'Technical Diagnostics'!A"&amp;MATCH(A370,'Technical Diagnostics'!A:A,0),"Open"),HYPERLINK("#'Technical Diagnostics'!A1","Open"))</f>
        <v/>
      </c>
    </row>
    <row r="371" ht="60" customHeight="1">
      <c r="A371" s="35" t="inlineStr">
        <is>
          <t>https://africanmarketingconfederation.org/smoke-archive/page-64</t>
        </is>
      </c>
      <c r="B371" s="28" t="inlineStr"/>
      <c r="C371" s="28" t="inlineStr"/>
      <c r="D371" s="28" t="inlineStr">
        <is>
          <t>Title</t>
        </is>
      </c>
      <c r="E371" s="33" t="inlineStr">
        <is>
          <t>Observation</t>
        </is>
      </c>
      <c r="F371" s="28" t="inlineStr">
        <is>
          <t>SEO title too short</t>
        </is>
      </c>
      <c r="G371" s="28" t="n">
        <v>37</v>
      </c>
      <c r="H371" s="28" t="n">
        <v>14</v>
      </c>
      <c r="I371" s="28" t="inlineStr">
        <is>
          <t>40-60 characters</t>
        </is>
      </c>
      <c r="J371" s="28" t="inlineStr">
        <is>
          <t>Expand title in AIOSEO snippet editor with clearer intent and value proposition. (Taxonomy/Archive page: navigate via AIOSEO → Search Appearance → Taxonomies.)</t>
        </is>
      </c>
      <c r="K371" s="39" t="inlineStr">
        <is>
          <t>Main</t>
        </is>
      </c>
      <c r="L371" s="28" t="inlineStr">
        <is>
          <t>Title</t>
        </is>
      </c>
      <c r="M371" s="28" t="inlineStr">
        <is>
          <t>No</t>
        </is>
      </c>
      <c r="N371" s="28" t="inlineStr">
        <is>
          <t>Copy Writer</t>
        </is>
      </c>
      <c r="O371" s="36" t="inlineStr">
        <is>
          <t>Open</t>
        </is>
      </c>
      <c r="P371" s="28" t="n">
        <v>4</v>
      </c>
      <c r="Q371" s="28" t="inlineStr">
        <is>
          <t>https://africanmarketingconfederation.org/smoke-archive/page-64::aioseo_seo_title_too_short</t>
        </is>
      </c>
      <c r="R371" s="28" t="inlineStr">
        <is>
          <t>Very short titles often under-describe page intent.</t>
        </is>
      </c>
      <c r="S371">
        <f>IFERROR(HYPERLINK("#'Main'!B"&amp;MATCH(TRIM(A371),'Main'!B:B,0),"Open"),HYPERLINK("#'Main'!B1","Open"))</f>
        <v/>
      </c>
      <c r="T371">
        <f>IFERROR(HYPERLINK("#'Technical Diagnostics'!A"&amp;MATCH(A371,'Technical Diagnostics'!A:A,0),"Open"),HYPERLINK("#'Technical Diagnostics'!A1","Open"))</f>
        <v/>
      </c>
    </row>
    <row r="372" ht="60" customHeight="1">
      <c r="A372" s="37" t="inlineStr">
        <is>
          <t>https://africanmarketingconfederation.org/smoke-archive/page-65</t>
        </is>
      </c>
      <c r="B372" s="30" t="inlineStr"/>
      <c r="C372" s="30" t="inlineStr"/>
      <c r="D372" s="30" t="inlineStr">
        <is>
          <t>Title</t>
        </is>
      </c>
      <c r="E372" s="33" t="inlineStr">
        <is>
          <t>Observation</t>
        </is>
      </c>
      <c r="F372" s="30" t="inlineStr">
        <is>
          <t>SEO title too short</t>
        </is>
      </c>
      <c r="G372" s="30" t="n">
        <v>37</v>
      </c>
      <c r="H372" s="30" t="n">
        <v>14</v>
      </c>
      <c r="I372" s="30" t="inlineStr">
        <is>
          <t>40-60 characters</t>
        </is>
      </c>
      <c r="J372" s="30" t="inlineStr">
        <is>
          <t>Expand title in AIOSEO snippet editor with clearer intent and value proposition. (Taxonomy/Archive page: navigate via AIOSEO → Search Appearance → Taxonomies.)</t>
        </is>
      </c>
      <c r="K372" s="41" t="inlineStr">
        <is>
          <t>Main</t>
        </is>
      </c>
      <c r="L372" s="30" t="inlineStr">
        <is>
          <t>Title</t>
        </is>
      </c>
      <c r="M372" s="30" t="inlineStr">
        <is>
          <t>No</t>
        </is>
      </c>
      <c r="N372" s="30" t="inlineStr">
        <is>
          <t>Copy Writer</t>
        </is>
      </c>
      <c r="O372" s="36" t="inlineStr">
        <is>
          <t>Open</t>
        </is>
      </c>
      <c r="P372" s="30" t="n">
        <v>4</v>
      </c>
      <c r="Q372" s="30" t="inlineStr">
        <is>
          <t>https://africanmarketingconfederation.org/smoke-archive/page-65::aioseo_seo_title_too_short</t>
        </is>
      </c>
      <c r="R372" s="30" t="inlineStr">
        <is>
          <t>Very short titles often under-describe page intent.</t>
        </is>
      </c>
      <c r="S372" s="38">
        <f>IFERROR(HYPERLINK("#'Main'!B"&amp;MATCH(TRIM(A372),'Main'!B:B,0),"Open"),HYPERLINK("#'Main'!B1","Open"))</f>
        <v/>
      </c>
      <c r="T372" s="38">
        <f>IFERROR(HYPERLINK("#'Technical Diagnostics'!A"&amp;MATCH(A372,'Technical Diagnostics'!A:A,0),"Open"),HYPERLINK("#'Technical Diagnostics'!A1","Open"))</f>
        <v/>
      </c>
    </row>
    <row r="373" ht="60" customHeight="1">
      <c r="A373" s="35" t="inlineStr">
        <is>
          <t>https://africanmarketingconfederation.org/smoke-archive/page-66</t>
        </is>
      </c>
      <c r="B373" s="28" t="inlineStr"/>
      <c r="C373" s="28" t="inlineStr"/>
      <c r="D373" s="28" t="inlineStr">
        <is>
          <t>Title</t>
        </is>
      </c>
      <c r="E373" s="33" t="inlineStr">
        <is>
          <t>Observation</t>
        </is>
      </c>
      <c r="F373" s="28" t="inlineStr">
        <is>
          <t>SEO title too short</t>
        </is>
      </c>
      <c r="G373" s="28" t="n">
        <v>37</v>
      </c>
      <c r="H373" s="28" t="n">
        <v>14</v>
      </c>
      <c r="I373" s="28" t="inlineStr">
        <is>
          <t>40-60 characters</t>
        </is>
      </c>
      <c r="J373" s="28" t="inlineStr">
        <is>
          <t>Expand title in AIOSEO snippet editor with clearer intent and value proposition. (Taxonomy/Archive page: navigate via AIOSEO → Search Appearance → Taxonomies.)</t>
        </is>
      </c>
      <c r="K373" s="39" t="inlineStr">
        <is>
          <t>Main</t>
        </is>
      </c>
      <c r="L373" s="28" t="inlineStr">
        <is>
          <t>Title</t>
        </is>
      </c>
      <c r="M373" s="28" t="inlineStr">
        <is>
          <t>No</t>
        </is>
      </c>
      <c r="N373" s="28" t="inlineStr">
        <is>
          <t>Copy Writer</t>
        </is>
      </c>
      <c r="O373" s="36" t="inlineStr">
        <is>
          <t>Open</t>
        </is>
      </c>
      <c r="P373" s="28" t="n">
        <v>4</v>
      </c>
      <c r="Q373" s="28" t="inlineStr">
        <is>
          <t>https://africanmarketingconfederation.org/smoke-archive/page-66::aioseo_seo_title_too_short</t>
        </is>
      </c>
      <c r="R373" s="28" t="inlineStr">
        <is>
          <t>Very short titles often under-describe page intent.</t>
        </is>
      </c>
      <c r="S373">
        <f>IFERROR(HYPERLINK("#'Main'!B"&amp;MATCH(TRIM(A373),'Main'!B:B,0),"Open"),HYPERLINK("#'Main'!B1","Open"))</f>
        <v/>
      </c>
      <c r="T373">
        <f>IFERROR(HYPERLINK("#'Technical Diagnostics'!A"&amp;MATCH(A373,'Technical Diagnostics'!A:A,0),"Open"),HYPERLINK("#'Technical Diagnostics'!A1","Open"))</f>
        <v/>
      </c>
    </row>
    <row r="374" ht="60" customHeight="1">
      <c r="A374" s="37" t="inlineStr">
        <is>
          <t>https://africanmarketingconfederation.org/smoke-archive/page-67</t>
        </is>
      </c>
      <c r="B374" s="30" t="inlineStr"/>
      <c r="C374" s="30" t="inlineStr"/>
      <c r="D374" s="30" t="inlineStr">
        <is>
          <t>Title</t>
        </is>
      </c>
      <c r="E374" s="33" t="inlineStr">
        <is>
          <t>Observation</t>
        </is>
      </c>
      <c r="F374" s="30" t="inlineStr">
        <is>
          <t>SEO title too short</t>
        </is>
      </c>
      <c r="G374" s="30" t="n">
        <v>37</v>
      </c>
      <c r="H374" s="30" t="n">
        <v>14</v>
      </c>
      <c r="I374" s="30" t="inlineStr">
        <is>
          <t>40-60 characters</t>
        </is>
      </c>
      <c r="J374" s="30" t="inlineStr">
        <is>
          <t>Expand title in AIOSEO snippet editor with clearer intent and value proposition. (Taxonomy/Archive page: navigate via AIOSEO → Search Appearance → Taxonomies.)</t>
        </is>
      </c>
      <c r="K374" s="41" t="inlineStr">
        <is>
          <t>Main</t>
        </is>
      </c>
      <c r="L374" s="30" t="inlineStr">
        <is>
          <t>Title</t>
        </is>
      </c>
      <c r="M374" s="30" t="inlineStr">
        <is>
          <t>No</t>
        </is>
      </c>
      <c r="N374" s="30" t="inlineStr">
        <is>
          <t>Copy Writer</t>
        </is>
      </c>
      <c r="O374" s="36" t="inlineStr">
        <is>
          <t>Open</t>
        </is>
      </c>
      <c r="P374" s="30" t="n">
        <v>4</v>
      </c>
      <c r="Q374" s="30" t="inlineStr">
        <is>
          <t>https://africanmarketingconfederation.org/smoke-archive/page-67::aioseo_seo_title_too_short</t>
        </is>
      </c>
      <c r="R374" s="30" t="inlineStr">
        <is>
          <t>Very short titles often under-describe page intent.</t>
        </is>
      </c>
      <c r="S374" s="38">
        <f>IFERROR(HYPERLINK("#'Main'!B"&amp;MATCH(TRIM(A374),'Main'!B:B,0),"Open"),HYPERLINK("#'Main'!B1","Open"))</f>
        <v/>
      </c>
      <c r="T374" s="38">
        <f>IFERROR(HYPERLINK("#'Technical Diagnostics'!A"&amp;MATCH(A374,'Technical Diagnostics'!A:A,0),"Open"),HYPERLINK("#'Technical Diagnostics'!A1","Open"))</f>
        <v/>
      </c>
    </row>
    <row r="375" ht="60" customHeight="1">
      <c r="A375" s="35" t="inlineStr">
        <is>
          <t>https://africanmarketingconfederation.org/smoke-archive/page-68</t>
        </is>
      </c>
      <c r="B375" s="28" t="inlineStr"/>
      <c r="C375" s="28" t="inlineStr"/>
      <c r="D375" s="28" t="inlineStr">
        <is>
          <t>Title</t>
        </is>
      </c>
      <c r="E375" s="33" t="inlineStr">
        <is>
          <t>Observation</t>
        </is>
      </c>
      <c r="F375" s="28" t="inlineStr">
        <is>
          <t>SEO title too short</t>
        </is>
      </c>
      <c r="G375" s="28" t="n">
        <v>37</v>
      </c>
      <c r="H375" s="28" t="n">
        <v>14</v>
      </c>
      <c r="I375" s="28" t="inlineStr">
        <is>
          <t>40-60 characters</t>
        </is>
      </c>
      <c r="J375" s="28" t="inlineStr">
        <is>
          <t>Expand title in AIOSEO snippet editor with clearer intent and value proposition. (Taxonomy/Archive page: navigate via AIOSEO → Search Appearance → Taxonomies.)</t>
        </is>
      </c>
      <c r="K375" s="39" t="inlineStr">
        <is>
          <t>Main</t>
        </is>
      </c>
      <c r="L375" s="28" t="inlineStr">
        <is>
          <t>Title</t>
        </is>
      </c>
      <c r="M375" s="28" t="inlineStr">
        <is>
          <t>No</t>
        </is>
      </c>
      <c r="N375" s="28" t="inlineStr">
        <is>
          <t>Copy Writer</t>
        </is>
      </c>
      <c r="O375" s="36" t="inlineStr">
        <is>
          <t>Open</t>
        </is>
      </c>
      <c r="P375" s="28" t="n">
        <v>4</v>
      </c>
      <c r="Q375" s="28" t="inlineStr">
        <is>
          <t>https://africanmarketingconfederation.org/smoke-archive/page-68::aioseo_seo_title_too_short</t>
        </is>
      </c>
      <c r="R375" s="28" t="inlineStr">
        <is>
          <t>Very short titles often under-describe page intent.</t>
        </is>
      </c>
      <c r="S375">
        <f>IFERROR(HYPERLINK("#'Main'!B"&amp;MATCH(TRIM(A375),'Main'!B:B,0),"Open"),HYPERLINK("#'Main'!B1","Open"))</f>
        <v/>
      </c>
      <c r="T375">
        <f>IFERROR(HYPERLINK("#'Technical Diagnostics'!A"&amp;MATCH(A375,'Technical Diagnostics'!A:A,0),"Open"),HYPERLINK("#'Technical Diagnostics'!A1","Open"))</f>
        <v/>
      </c>
    </row>
    <row r="376" ht="60" customHeight="1">
      <c r="A376" s="37" t="inlineStr">
        <is>
          <t>https://africanmarketingconfederation.org/smoke-archive/page-69</t>
        </is>
      </c>
      <c r="B376" s="30" t="inlineStr"/>
      <c r="C376" s="30" t="inlineStr"/>
      <c r="D376" s="30" t="inlineStr">
        <is>
          <t>Title</t>
        </is>
      </c>
      <c r="E376" s="33" t="inlineStr">
        <is>
          <t>Observation</t>
        </is>
      </c>
      <c r="F376" s="30" t="inlineStr">
        <is>
          <t>SEO title too short</t>
        </is>
      </c>
      <c r="G376" s="30" t="n">
        <v>37</v>
      </c>
      <c r="H376" s="30" t="n">
        <v>14</v>
      </c>
      <c r="I376" s="30" t="inlineStr">
        <is>
          <t>40-60 characters</t>
        </is>
      </c>
      <c r="J376" s="30" t="inlineStr">
        <is>
          <t>Expand title in AIOSEO snippet editor with clearer intent and value proposition. (Taxonomy/Archive page: navigate via AIOSEO → Search Appearance → Taxonomies.)</t>
        </is>
      </c>
      <c r="K376" s="41" t="inlineStr">
        <is>
          <t>Main</t>
        </is>
      </c>
      <c r="L376" s="30" t="inlineStr">
        <is>
          <t>Title</t>
        </is>
      </c>
      <c r="M376" s="30" t="inlineStr">
        <is>
          <t>No</t>
        </is>
      </c>
      <c r="N376" s="30" t="inlineStr">
        <is>
          <t>Copy Writer</t>
        </is>
      </c>
      <c r="O376" s="36" t="inlineStr">
        <is>
          <t>Open</t>
        </is>
      </c>
      <c r="P376" s="30" t="n">
        <v>4</v>
      </c>
      <c r="Q376" s="30" t="inlineStr">
        <is>
          <t>https://africanmarketingconfederation.org/smoke-archive/page-69::aioseo_seo_title_too_short</t>
        </is>
      </c>
      <c r="R376" s="30" t="inlineStr">
        <is>
          <t>Very short titles often under-describe page intent.</t>
        </is>
      </c>
      <c r="S376" s="38">
        <f>IFERROR(HYPERLINK("#'Main'!B"&amp;MATCH(TRIM(A376),'Main'!B:B,0),"Open"),HYPERLINK("#'Main'!B1","Open"))</f>
        <v/>
      </c>
      <c r="T376" s="38">
        <f>IFERROR(HYPERLINK("#'Technical Diagnostics'!A"&amp;MATCH(A376,'Technical Diagnostics'!A:A,0),"Open"),HYPERLINK("#'Technical Diagnostics'!A1","Open"))</f>
        <v/>
      </c>
    </row>
    <row r="377" ht="60" customHeight="1">
      <c r="A377" s="35" t="inlineStr">
        <is>
          <t>https://africanmarketingconfederation.org/smoke-archive/page-7</t>
        </is>
      </c>
      <c r="B377" s="28" t="inlineStr"/>
      <c r="C377" s="28" t="inlineStr"/>
      <c r="D377" s="28" t="inlineStr">
        <is>
          <t>Title</t>
        </is>
      </c>
      <c r="E377" s="33" t="inlineStr">
        <is>
          <t>Observation</t>
        </is>
      </c>
      <c r="F377" s="28" t="inlineStr">
        <is>
          <t>SEO title too short</t>
        </is>
      </c>
      <c r="G377" s="28" t="n">
        <v>37</v>
      </c>
      <c r="H377" s="28" t="n">
        <v>13</v>
      </c>
      <c r="I377" s="28" t="inlineStr">
        <is>
          <t>40-60 characters</t>
        </is>
      </c>
      <c r="J377" s="28" t="inlineStr">
        <is>
          <t>Expand title in AIOSEO snippet editor with clearer intent and value proposition. (Taxonomy/Archive page: navigate via AIOSEO → Search Appearance → Taxonomies.)</t>
        </is>
      </c>
      <c r="K377" s="39" t="inlineStr">
        <is>
          <t>Main</t>
        </is>
      </c>
      <c r="L377" s="28" t="inlineStr">
        <is>
          <t>Title</t>
        </is>
      </c>
      <c r="M377" s="28" t="inlineStr">
        <is>
          <t>No</t>
        </is>
      </c>
      <c r="N377" s="28" t="inlineStr">
        <is>
          <t>Copy Writer</t>
        </is>
      </c>
      <c r="O377" s="36" t="inlineStr">
        <is>
          <t>Open</t>
        </is>
      </c>
      <c r="P377" s="28" t="n">
        <v>4</v>
      </c>
      <c r="Q377" s="28" t="inlineStr">
        <is>
          <t>https://africanmarketingconfederation.org/smoke-archive/page-7::aioseo_seo_title_too_short</t>
        </is>
      </c>
      <c r="R377" s="28" t="inlineStr">
        <is>
          <t>Very short titles often under-describe page intent.</t>
        </is>
      </c>
      <c r="S377">
        <f>IFERROR(HYPERLINK("#'Main'!B"&amp;MATCH(TRIM(A377),'Main'!B:B,0),"Open"),HYPERLINK("#'Main'!B1","Open"))</f>
        <v/>
      </c>
      <c r="T377">
        <f>IFERROR(HYPERLINK("#'Technical Diagnostics'!A"&amp;MATCH(A377,'Technical Diagnostics'!A:A,0),"Open"),HYPERLINK("#'Technical Diagnostics'!A1","Open"))</f>
        <v/>
      </c>
    </row>
    <row r="378" ht="60" customHeight="1">
      <c r="A378" s="37" t="inlineStr">
        <is>
          <t>https://africanmarketingconfederation.org/smoke-archive/page-70</t>
        </is>
      </c>
      <c r="B378" s="30" t="inlineStr"/>
      <c r="C378" s="30" t="inlineStr"/>
      <c r="D378" s="30" t="inlineStr">
        <is>
          <t>Title</t>
        </is>
      </c>
      <c r="E378" s="33" t="inlineStr">
        <is>
          <t>Observation</t>
        </is>
      </c>
      <c r="F378" s="30" t="inlineStr">
        <is>
          <t>SEO title too short</t>
        </is>
      </c>
      <c r="G378" s="30" t="n">
        <v>37</v>
      </c>
      <c r="H378" s="30" t="n">
        <v>14</v>
      </c>
      <c r="I378" s="30" t="inlineStr">
        <is>
          <t>40-60 characters</t>
        </is>
      </c>
      <c r="J378" s="30" t="inlineStr">
        <is>
          <t>Expand title in AIOSEO snippet editor with clearer intent and value proposition. (Taxonomy/Archive page: navigate via AIOSEO → Search Appearance → Taxonomies.)</t>
        </is>
      </c>
      <c r="K378" s="41" t="inlineStr">
        <is>
          <t>Main</t>
        </is>
      </c>
      <c r="L378" s="30" t="inlineStr">
        <is>
          <t>Title</t>
        </is>
      </c>
      <c r="M378" s="30" t="inlineStr">
        <is>
          <t>No</t>
        </is>
      </c>
      <c r="N378" s="30" t="inlineStr">
        <is>
          <t>Copy Writer</t>
        </is>
      </c>
      <c r="O378" s="36" t="inlineStr">
        <is>
          <t>Open</t>
        </is>
      </c>
      <c r="P378" s="30" t="n">
        <v>4</v>
      </c>
      <c r="Q378" s="30" t="inlineStr">
        <is>
          <t>https://africanmarketingconfederation.org/smoke-archive/page-70::aioseo_seo_title_too_short</t>
        </is>
      </c>
      <c r="R378" s="30" t="inlineStr">
        <is>
          <t>Very short titles often under-describe page intent.</t>
        </is>
      </c>
      <c r="S378" s="38">
        <f>IFERROR(HYPERLINK("#'Main'!B"&amp;MATCH(TRIM(A378),'Main'!B:B,0),"Open"),HYPERLINK("#'Main'!B1","Open"))</f>
        <v/>
      </c>
      <c r="T378" s="38">
        <f>IFERROR(HYPERLINK("#'Technical Diagnostics'!A"&amp;MATCH(A378,'Technical Diagnostics'!A:A,0),"Open"),HYPERLINK("#'Technical Diagnostics'!A1","Open"))</f>
        <v/>
      </c>
    </row>
    <row r="379" ht="60" customHeight="1">
      <c r="A379" s="35" t="inlineStr">
        <is>
          <t>https://africanmarketingconfederation.org/smoke-archive/page-71</t>
        </is>
      </c>
      <c r="B379" s="28" t="inlineStr"/>
      <c r="C379" s="28" t="inlineStr"/>
      <c r="D379" s="28" t="inlineStr">
        <is>
          <t>Title</t>
        </is>
      </c>
      <c r="E379" s="33" t="inlineStr">
        <is>
          <t>Observation</t>
        </is>
      </c>
      <c r="F379" s="28" t="inlineStr">
        <is>
          <t>SEO title too short</t>
        </is>
      </c>
      <c r="G379" s="28" t="n">
        <v>37</v>
      </c>
      <c r="H379" s="28" t="n">
        <v>14</v>
      </c>
      <c r="I379" s="28" t="inlineStr">
        <is>
          <t>40-60 characters</t>
        </is>
      </c>
      <c r="J379" s="28" t="inlineStr">
        <is>
          <t>Expand title in AIOSEO snippet editor with clearer intent and value proposition. (Taxonomy/Archive page: navigate via AIOSEO → Search Appearance → Taxonomies.)</t>
        </is>
      </c>
      <c r="K379" s="39" t="inlineStr">
        <is>
          <t>Main</t>
        </is>
      </c>
      <c r="L379" s="28" t="inlineStr">
        <is>
          <t>Title</t>
        </is>
      </c>
      <c r="M379" s="28" t="inlineStr">
        <is>
          <t>No</t>
        </is>
      </c>
      <c r="N379" s="28" t="inlineStr">
        <is>
          <t>Copy Writer</t>
        </is>
      </c>
      <c r="O379" s="36" t="inlineStr">
        <is>
          <t>Open</t>
        </is>
      </c>
      <c r="P379" s="28" t="n">
        <v>4</v>
      </c>
      <c r="Q379" s="28" t="inlineStr">
        <is>
          <t>https://africanmarketingconfederation.org/smoke-archive/page-71::aioseo_seo_title_too_short</t>
        </is>
      </c>
      <c r="R379" s="28" t="inlineStr">
        <is>
          <t>Very short titles often under-describe page intent.</t>
        </is>
      </c>
      <c r="S379">
        <f>IFERROR(HYPERLINK("#'Main'!B"&amp;MATCH(TRIM(A379),'Main'!B:B,0),"Open"),HYPERLINK("#'Main'!B1","Open"))</f>
        <v/>
      </c>
      <c r="T379">
        <f>IFERROR(HYPERLINK("#'Technical Diagnostics'!A"&amp;MATCH(A379,'Technical Diagnostics'!A:A,0),"Open"),HYPERLINK("#'Technical Diagnostics'!A1","Open"))</f>
        <v/>
      </c>
    </row>
    <row r="380" ht="60" customHeight="1">
      <c r="A380" s="37" t="inlineStr">
        <is>
          <t>https://africanmarketingconfederation.org/smoke-archive/page-72</t>
        </is>
      </c>
      <c r="B380" s="30" t="inlineStr"/>
      <c r="C380" s="30" t="inlineStr"/>
      <c r="D380" s="30" t="inlineStr">
        <is>
          <t>Title</t>
        </is>
      </c>
      <c r="E380" s="33" t="inlineStr">
        <is>
          <t>Observation</t>
        </is>
      </c>
      <c r="F380" s="30" t="inlineStr">
        <is>
          <t>SEO title too short</t>
        </is>
      </c>
      <c r="G380" s="30" t="n">
        <v>37</v>
      </c>
      <c r="H380" s="30" t="n">
        <v>14</v>
      </c>
      <c r="I380" s="30" t="inlineStr">
        <is>
          <t>40-60 characters</t>
        </is>
      </c>
      <c r="J380" s="30" t="inlineStr">
        <is>
          <t>Expand title in AIOSEO snippet editor with clearer intent and value proposition. (Taxonomy/Archive page: navigate via AIOSEO → Search Appearance → Taxonomies.)</t>
        </is>
      </c>
      <c r="K380" s="41" t="inlineStr">
        <is>
          <t>Main</t>
        </is>
      </c>
      <c r="L380" s="30" t="inlineStr">
        <is>
          <t>Title</t>
        </is>
      </c>
      <c r="M380" s="30" t="inlineStr">
        <is>
          <t>No</t>
        </is>
      </c>
      <c r="N380" s="30" t="inlineStr">
        <is>
          <t>Copy Writer</t>
        </is>
      </c>
      <c r="O380" s="36" t="inlineStr">
        <is>
          <t>Open</t>
        </is>
      </c>
      <c r="P380" s="30" t="n">
        <v>4</v>
      </c>
      <c r="Q380" s="30" t="inlineStr">
        <is>
          <t>https://africanmarketingconfederation.org/smoke-archive/page-72::aioseo_seo_title_too_short</t>
        </is>
      </c>
      <c r="R380" s="30" t="inlineStr">
        <is>
          <t>Very short titles often under-describe page intent.</t>
        </is>
      </c>
      <c r="S380" s="38">
        <f>IFERROR(HYPERLINK("#'Main'!B"&amp;MATCH(TRIM(A380),'Main'!B:B,0),"Open"),HYPERLINK("#'Main'!B1","Open"))</f>
        <v/>
      </c>
      <c r="T380" s="38">
        <f>IFERROR(HYPERLINK("#'Technical Diagnostics'!A"&amp;MATCH(A380,'Technical Diagnostics'!A:A,0),"Open"),HYPERLINK("#'Technical Diagnostics'!A1","Open"))</f>
        <v/>
      </c>
    </row>
    <row r="381" ht="60" customHeight="1">
      <c r="A381" s="35" t="inlineStr">
        <is>
          <t>https://africanmarketingconfederation.org/smoke-archive/page-73</t>
        </is>
      </c>
      <c r="B381" s="28" t="inlineStr"/>
      <c r="C381" s="28" t="inlineStr"/>
      <c r="D381" s="28" t="inlineStr">
        <is>
          <t>Title</t>
        </is>
      </c>
      <c r="E381" s="33" t="inlineStr">
        <is>
          <t>Observation</t>
        </is>
      </c>
      <c r="F381" s="28" t="inlineStr">
        <is>
          <t>SEO title too short</t>
        </is>
      </c>
      <c r="G381" s="28" t="n">
        <v>37</v>
      </c>
      <c r="H381" s="28" t="n">
        <v>14</v>
      </c>
      <c r="I381" s="28" t="inlineStr">
        <is>
          <t>40-60 characters</t>
        </is>
      </c>
      <c r="J381" s="28" t="inlineStr">
        <is>
          <t>Expand title in AIOSEO snippet editor with clearer intent and value proposition. (Taxonomy/Archive page: navigate via AIOSEO → Search Appearance → Taxonomies.)</t>
        </is>
      </c>
      <c r="K381" s="39" t="inlineStr">
        <is>
          <t>Main</t>
        </is>
      </c>
      <c r="L381" s="28" t="inlineStr">
        <is>
          <t>Title</t>
        </is>
      </c>
      <c r="M381" s="28" t="inlineStr">
        <is>
          <t>No</t>
        </is>
      </c>
      <c r="N381" s="28" t="inlineStr">
        <is>
          <t>Copy Writer</t>
        </is>
      </c>
      <c r="O381" s="36" t="inlineStr">
        <is>
          <t>Open</t>
        </is>
      </c>
      <c r="P381" s="28" t="n">
        <v>4</v>
      </c>
      <c r="Q381" s="28" t="inlineStr">
        <is>
          <t>https://africanmarketingconfederation.org/smoke-archive/page-73::aioseo_seo_title_too_short</t>
        </is>
      </c>
      <c r="R381" s="28" t="inlineStr">
        <is>
          <t>Very short titles often under-describe page intent.</t>
        </is>
      </c>
      <c r="S381">
        <f>IFERROR(HYPERLINK("#'Main'!B"&amp;MATCH(TRIM(A381),'Main'!B:B,0),"Open"),HYPERLINK("#'Main'!B1","Open"))</f>
        <v/>
      </c>
      <c r="T381">
        <f>IFERROR(HYPERLINK("#'Technical Diagnostics'!A"&amp;MATCH(A381,'Technical Diagnostics'!A:A,0),"Open"),HYPERLINK("#'Technical Diagnostics'!A1","Open"))</f>
        <v/>
      </c>
    </row>
    <row r="382" ht="60" customHeight="1">
      <c r="A382" s="37" t="inlineStr">
        <is>
          <t>https://africanmarketingconfederation.org/smoke-archive/page-74</t>
        </is>
      </c>
      <c r="B382" s="30" t="inlineStr"/>
      <c r="C382" s="30" t="inlineStr"/>
      <c r="D382" s="30" t="inlineStr">
        <is>
          <t>Title</t>
        </is>
      </c>
      <c r="E382" s="33" t="inlineStr">
        <is>
          <t>Observation</t>
        </is>
      </c>
      <c r="F382" s="30" t="inlineStr">
        <is>
          <t>SEO title too short</t>
        </is>
      </c>
      <c r="G382" s="30" t="n">
        <v>37</v>
      </c>
      <c r="H382" s="30" t="n">
        <v>14</v>
      </c>
      <c r="I382" s="30" t="inlineStr">
        <is>
          <t>40-60 characters</t>
        </is>
      </c>
      <c r="J382" s="30" t="inlineStr">
        <is>
          <t>Expand title in AIOSEO snippet editor with clearer intent and value proposition. (Taxonomy/Archive page: navigate via AIOSEO → Search Appearance → Taxonomies.)</t>
        </is>
      </c>
      <c r="K382" s="41" t="inlineStr">
        <is>
          <t>Main</t>
        </is>
      </c>
      <c r="L382" s="30" t="inlineStr">
        <is>
          <t>Title</t>
        </is>
      </c>
      <c r="M382" s="30" t="inlineStr">
        <is>
          <t>No</t>
        </is>
      </c>
      <c r="N382" s="30" t="inlineStr">
        <is>
          <t>Copy Writer</t>
        </is>
      </c>
      <c r="O382" s="36" t="inlineStr">
        <is>
          <t>Open</t>
        </is>
      </c>
      <c r="P382" s="30" t="n">
        <v>4</v>
      </c>
      <c r="Q382" s="30" t="inlineStr">
        <is>
          <t>https://africanmarketingconfederation.org/smoke-archive/page-74::aioseo_seo_title_too_short</t>
        </is>
      </c>
      <c r="R382" s="30" t="inlineStr">
        <is>
          <t>Very short titles often under-describe page intent.</t>
        </is>
      </c>
      <c r="S382" s="38">
        <f>IFERROR(HYPERLINK("#'Main'!B"&amp;MATCH(TRIM(A382),'Main'!B:B,0),"Open"),HYPERLINK("#'Main'!B1","Open"))</f>
        <v/>
      </c>
      <c r="T382" s="38">
        <f>IFERROR(HYPERLINK("#'Technical Diagnostics'!A"&amp;MATCH(A382,'Technical Diagnostics'!A:A,0),"Open"),HYPERLINK("#'Technical Diagnostics'!A1","Open"))</f>
        <v/>
      </c>
    </row>
    <row r="383" ht="60" customHeight="1">
      <c r="A383" s="35" t="inlineStr">
        <is>
          <t>https://africanmarketingconfederation.org/smoke-archive/page-75</t>
        </is>
      </c>
      <c r="B383" s="28" t="inlineStr"/>
      <c r="C383" s="28" t="inlineStr"/>
      <c r="D383" s="28" t="inlineStr">
        <is>
          <t>Title</t>
        </is>
      </c>
      <c r="E383" s="33" t="inlineStr">
        <is>
          <t>Observation</t>
        </is>
      </c>
      <c r="F383" s="28" t="inlineStr">
        <is>
          <t>SEO title too short</t>
        </is>
      </c>
      <c r="G383" s="28" t="n">
        <v>37</v>
      </c>
      <c r="H383" s="28" t="n">
        <v>14</v>
      </c>
      <c r="I383" s="28" t="inlineStr">
        <is>
          <t>40-60 characters</t>
        </is>
      </c>
      <c r="J383" s="28" t="inlineStr">
        <is>
          <t>Expand title in AIOSEO snippet editor with clearer intent and value proposition. (Taxonomy/Archive page: navigate via AIOSEO → Search Appearance → Taxonomies.)</t>
        </is>
      </c>
      <c r="K383" s="39" t="inlineStr">
        <is>
          <t>Main</t>
        </is>
      </c>
      <c r="L383" s="28" t="inlineStr">
        <is>
          <t>Title</t>
        </is>
      </c>
      <c r="M383" s="28" t="inlineStr">
        <is>
          <t>No</t>
        </is>
      </c>
      <c r="N383" s="28" t="inlineStr">
        <is>
          <t>Copy Writer</t>
        </is>
      </c>
      <c r="O383" s="36" t="inlineStr">
        <is>
          <t>Open</t>
        </is>
      </c>
      <c r="P383" s="28" t="n">
        <v>4</v>
      </c>
      <c r="Q383" s="28" t="inlineStr">
        <is>
          <t>https://africanmarketingconfederation.org/smoke-archive/page-75::aioseo_seo_title_too_short</t>
        </is>
      </c>
      <c r="R383" s="28" t="inlineStr">
        <is>
          <t>Very short titles often under-describe page intent.</t>
        </is>
      </c>
      <c r="S383">
        <f>IFERROR(HYPERLINK("#'Main'!B"&amp;MATCH(TRIM(A383),'Main'!B:B,0),"Open"),HYPERLINK("#'Main'!B1","Open"))</f>
        <v/>
      </c>
      <c r="T383">
        <f>IFERROR(HYPERLINK("#'Technical Diagnostics'!A"&amp;MATCH(A383,'Technical Diagnostics'!A:A,0),"Open"),HYPERLINK("#'Technical Diagnostics'!A1","Open"))</f>
        <v/>
      </c>
    </row>
    <row r="384" ht="60" customHeight="1">
      <c r="A384" s="37" t="inlineStr">
        <is>
          <t>https://africanmarketingconfederation.org/smoke-archive/page-76</t>
        </is>
      </c>
      <c r="B384" s="30" t="inlineStr"/>
      <c r="C384" s="30" t="inlineStr"/>
      <c r="D384" s="30" t="inlineStr">
        <is>
          <t>Title</t>
        </is>
      </c>
      <c r="E384" s="33" t="inlineStr">
        <is>
          <t>Observation</t>
        </is>
      </c>
      <c r="F384" s="30" t="inlineStr">
        <is>
          <t>SEO title too short</t>
        </is>
      </c>
      <c r="G384" s="30" t="n">
        <v>37</v>
      </c>
      <c r="H384" s="30" t="n">
        <v>14</v>
      </c>
      <c r="I384" s="30" t="inlineStr">
        <is>
          <t>40-60 characters</t>
        </is>
      </c>
      <c r="J384" s="30" t="inlineStr">
        <is>
          <t>Expand title in AIOSEO snippet editor with clearer intent and value proposition. (Taxonomy/Archive page: navigate via AIOSEO → Search Appearance → Taxonomies.)</t>
        </is>
      </c>
      <c r="K384" s="41" t="inlineStr">
        <is>
          <t>Main</t>
        </is>
      </c>
      <c r="L384" s="30" t="inlineStr">
        <is>
          <t>Title</t>
        </is>
      </c>
      <c r="M384" s="30" t="inlineStr">
        <is>
          <t>No</t>
        </is>
      </c>
      <c r="N384" s="30" t="inlineStr">
        <is>
          <t>Copy Writer</t>
        </is>
      </c>
      <c r="O384" s="36" t="inlineStr">
        <is>
          <t>Open</t>
        </is>
      </c>
      <c r="P384" s="30" t="n">
        <v>4</v>
      </c>
      <c r="Q384" s="30" t="inlineStr">
        <is>
          <t>https://africanmarketingconfederation.org/smoke-archive/page-76::aioseo_seo_title_too_short</t>
        </is>
      </c>
      <c r="R384" s="30" t="inlineStr">
        <is>
          <t>Very short titles often under-describe page intent.</t>
        </is>
      </c>
      <c r="S384" s="38">
        <f>IFERROR(HYPERLINK("#'Main'!B"&amp;MATCH(TRIM(A384),'Main'!B:B,0),"Open"),HYPERLINK("#'Main'!B1","Open"))</f>
        <v/>
      </c>
      <c r="T384" s="38">
        <f>IFERROR(HYPERLINK("#'Technical Diagnostics'!A"&amp;MATCH(A384,'Technical Diagnostics'!A:A,0),"Open"),HYPERLINK("#'Technical Diagnostics'!A1","Open"))</f>
        <v/>
      </c>
    </row>
    <row r="385" ht="60" customHeight="1">
      <c r="A385" s="35" t="inlineStr">
        <is>
          <t>https://africanmarketingconfederation.org/smoke-archive/page-77</t>
        </is>
      </c>
      <c r="B385" s="28" t="inlineStr"/>
      <c r="C385" s="28" t="inlineStr"/>
      <c r="D385" s="28" t="inlineStr">
        <is>
          <t>Title</t>
        </is>
      </c>
      <c r="E385" s="33" t="inlineStr">
        <is>
          <t>Observation</t>
        </is>
      </c>
      <c r="F385" s="28" t="inlineStr">
        <is>
          <t>SEO title too short</t>
        </is>
      </c>
      <c r="G385" s="28" t="n">
        <v>37</v>
      </c>
      <c r="H385" s="28" t="n">
        <v>14</v>
      </c>
      <c r="I385" s="28" t="inlineStr">
        <is>
          <t>40-60 characters</t>
        </is>
      </c>
      <c r="J385" s="28" t="inlineStr">
        <is>
          <t>Expand title in AIOSEO snippet editor with clearer intent and value proposition. (Taxonomy/Archive page: navigate via AIOSEO → Search Appearance → Taxonomies.)</t>
        </is>
      </c>
      <c r="K385" s="39" t="inlineStr">
        <is>
          <t>Main</t>
        </is>
      </c>
      <c r="L385" s="28" t="inlineStr">
        <is>
          <t>Title</t>
        </is>
      </c>
      <c r="M385" s="28" t="inlineStr">
        <is>
          <t>No</t>
        </is>
      </c>
      <c r="N385" s="28" t="inlineStr">
        <is>
          <t>Copy Writer</t>
        </is>
      </c>
      <c r="O385" s="36" t="inlineStr">
        <is>
          <t>Open</t>
        </is>
      </c>
      <c r="P385" s="28" t="n">
        <v>4</v>
      </c>
      <c r="Q385" s="28" t="inlineStr">
        <is>
          <t>https://africanmarketingconfederation.org/smoke-archive/page-77::aioseo_seo_title_too_short</t>
        </is>
      </c>
      <c r="R385" s="28" t="inlineStr">
        <is>
          <t>Very short titles often under-describe page intent.</t>
        </is>
      </c>
      <c r="S385">
        <f>IFERROR(HYPERLINK("#'Main'!B"&amp;MATCH(TRIM(A385),'Main'!B:B,0),"Open"),HYPERLINK("#'Main'!B1","Open"))</f>
        <v/>
      </c>
      <c r="T385">
        <f>IFERROR(HYPERLINK("#'Technical Diagnostics'!A"&amp;MATCH(A385,'Technical Diagnostics'!A:A,0),"Open"),HYPERLINK("#'Technical Diagnostics'!A1","Open"))</f>
        <v/>
      </c>
    </row>
    <row r="386" ht="60" customHeight="1">
      <c r="A386" s="37" t="inlineStr">
        <is>
          <t>https://africanmarketingconfederation.org/smoke-archive/page-78</t>
        </is>
      </c>
      <c r="B386" s="30" t="inlineStr"/>
      <c r="C386" s="30" t="inlineStr"/>
      <c r="D386" s="30" t="inlineStr">
        <is>
          <t>Title</t>
        </is>
      </c>
      <c r="E386" s="33" t="inlineStr">
        <is>
          <t>Observation</t>
        </is>
      </c>
      <c r="F386" s="30" t="inlineStr">
        <is>
          <t>SEO title too short</t>
        </is>
      </c>
      <c r="G386" s="30" t="n">
        <v>37</v>
      </c>
      <c r="H386" s="30" t="n">
        <v>14</v>
      </c>
      <c r="I386" s="30" t="inlineStr">
        <is>
          <t>40-60 characters</t>
        </is>
      </c>
      <c r="J386" s="30" t="inlineStr">
        <is>
          <t>Expand title in AIOSEO snippet editor with clearer intent and value proposition. (Taxonomy/Archive page: navigate via AIOSEO → Search Appearance → Taxonomies.)</t>
        </is>
      </c>
      <c r="K386" s="41" t="inlineStr">
        <is>
          <t>Main</t>
        </is>
      </c>
      <c r="L386" s="30" t="inlineStr">
        <is>
          <t>Title</t>
        </is>
      </c>
      <c r="M386" s="30" t="inlineStr">
        <is>
          <t>No</t>
        </is>
      </c>
      <c r="N386" s="30" t="inlineStr">
        <is>
          <t>Copy Writer</t>
        </is>
      </c>
      <c r="O386" s="36" t="inlineStr">
        <is>
          <t>Open</t>
        </is>
      </c>
      <c r="P386" s="30" t="n">
        <v>4</v>
      </c>
      <c r="Q386" s="30" t="inlineStr">
        <is>
          <t>https://africanmarketingconfederation.org/smoke-archive/page-78::aioseo_seo_title_too_short</t>
        </is>
      </c>
      <c r="R386" s="30" t="inlineStr">
        <is>
          <t>Very short titles often under-describe page intent.</t>
        </is>
      </c>
      <c r="S386" s="38">
        <f>IFERROR(HYPERLINK("#'Main'!B"&amp;MATCH(TRIM(A386),'Main'!B:B,0),"Open"),HYPERLINK("#'Main'!B1","Open"))</f>
        <v/>
      </c>
      <c r="T386" s="38">
        <f>IFERROR(HYPERLINK("#'Technical Diagnostics'!A"&amp;MATCH(A386,'Technical Diagnostics'!A:A,0),"Open"),HYPERLINK("#'Technical Diagnostics'!A1","Open"))</f>
        <v/>
      </c>
    </row>
    <row r="387" ht="60" customHeight="1">
      <c r="A387" s="35" t="inlineStr">
        <is>
          <t>https://africanmarketingconfederation.org/smoke-archive/page-79</t>
        </is>
      </c>
      <c r="B387" s="28" t="inlineStr"/>
      <c r="C387" s="28" t="inlineStr"/>
      <c r="D387" s="28" t="inlineStr">
        <is>
          <t>Title</t>
        </is>
      </c>
      <c r="E387" s="33" t="inlineStr">
        <is>
          <t>Observation</t>
        </is>
      </c>
      <c r="F387" s="28" t="inlineStr">
        <is>
          <t>SEO title too short</t>
        </is>
      </c>
      <c r="G387" s="28" t="n">
        <v>37</v>
      </c>
      <c r="H387" s="28" t="n">
        <v>14</v>
      </c>
      <c r="I387" s="28" t="inlineStr">
        <is>
          <t>40-60 characters</t>
        </is>
      </c>
      <c r="J387" s="28" t="inlineStr">
        <is>
          <t>Expand title in AIOSEO snippet editor with clearer intent and value proposition. (Taxonomy/Archive page: navigate via AIOSEO → Search Appearance → Taxonomies.)</t>
        </is>
      </c>
      <c r="K387" s="39" t="inlineStr">
        <is>
          <t>Main</t>
        </is>
      </c>
      <c r="L387" s="28" t="inlineStr">
        <is>
          <t>Title</t>
        </is>
      </c>
      <c r="M387" s="28" t="inlineStr">
        <is>
          <t>No</t>
        </is>
      </c>
      <c r="N387" s="28" t="inlineStr">
        <is>
          <t>Copy Writer</t>
        </is>
      </c>
      <c r="O387" s="36" t="inlineStr">
        <is>
          <t>Open</t>
        </is>
      </c>
      <c r="P387" s="28" t="n">
        <v>4</v>
      </c>
      <c r="Q387" s="28" t="inlineStr">
        <is>
          <t>https://africanmarketingconfederation.org/smoke-archive/page-79::aioseo_seo_title_too_short</t>
        </is>
      </c>
      <c r="R387" s="28" t="inlineStr">
        <is>
          <t>Very short titles often under-describe page intent.</t>
        </is>
      </c>
      <c r="S387">
        <f>IFERROR(HYPERLINK("#'Main'!B"&amp;MATCH(TRIM(A387),'Main'!B:B,0),"Open"),HYPERLINK("#'Main'!B1","Open"))</f>
        <v/>
      </c>
      <c r="T387">
        <f>IFERROR(HYPERLINK("#'Technical Diagnostics'!A"&amp;MATCH(A387,'Technical Diagnostics'!A:A,0),"Open"),HYPERLINK("#'Technical Diagnostics'!A1","Open"))</f>
        <v/>
      </c>
    </row>
    <row r="388" ht="60" customHeight="1">
      <c r="A388" s="37" t="inlineStr">
        <is>
          <t>https://africanmarketingconfederation.org/smoke-archive/page-8</t>
        </is>
      </c>
      <c r="B388" s="30" t="inlineStr"/>
      <c r="C388" s="30" t="inlineStr"/>
      <c r="D388" s="30" t="inlineStr">
        <is>
          <t>Title</t>
        </is>
      </c>
      <c r="E388" s="33" t="inlineStr">
        <is>
          <t>Observation</t>
        </is>
      </c>
      <c r="F388" s="30" t="inlineStr">
        <is>
          <t>SEO title too short</t>
        </is>
      </c>
      <c r="G388" s="30" t="n">
        <v>37</v>
      </c>
      <c r="H388" s="30" t="n">
        <v>13</v>
      </c>
      <c r="I388" s="30" t="inlineStr">
        <is>
          <t>40-60 characters</t>
        </is>
      </c>
      <c r="J388" s="30" t="inlineStr">
        <is>
          <t>Expand title in AIOSEO snippet editor with clearer intent and value proposition. (Taxonomy/Archive page: navigate via AIOSEO → Search Appearance → Taxonomies.)</t>
        </is>
      </c>
      <c r="K388" s="41" t="inlineStr">
        <is>
          <t>Main</t>
        </is>
      </c>
      <c r="L388" s="30" t="inlineStr">
        <is>
          <t>Title</t>
        </is>
      </c>
      <c r="M388" s="30" t="inlineStr">
        <is>
          <t>No</t>
        </is>
      </c>
      <c r="N388" s="30" t="inlineStr">
        <is>
          <t>Copy Writer</t>
        </is>
      </c>
      <c r="O388" s="36" t="inlineStr">
        <is>
          <t>Open</t>
        </is>
      </c>
      <c r="P388" s="30" t="n">
        <v>4</v>
      </c>
      <c r="Q388" s="30" t="inlineStr">
        <is>
          <t>https://africanmarketingconfederation.org/smoke-archive/page-8::aioseo_seo_title_too_short</t>
        </is>
      </c>
      <c r="R388" s="30" t="inlineStr">
        <is>
          <t>Very short titles often under-describe page intent.</t>
        </is>
      </c>
      <c r="S388" s="38">
        <f>IFERROR(HYPERLINK("#'Main'!B"&amp;MATCH(TRIM(A388),'Main'!B:B,0),"Open"),HYPERLINK("#'Main'!B1","Open"))</f>
        <v/>
      </c>
      <c r="T388" s="38">
        <f>IFERROR(HYPERLINK("#'Technical Diagnostics'!A"&amp;MATCH(A388,'Technical Diagnostics'!A:A,0),"Open"),HYPERLINK("#'Technical Diagnostics'!A1","Open"))</f>
        <v/>
      </c>
    </row>
    <row r="389" ht="60" customHeight="1">
      <c r="A389" s="35" t="inlineStr">
        <is>
          <t>https://africanmarketingconfederation.org/smoke-archive/page-9</t>
        </is>
      </c>
      <c r="B389" s="28" t="inlineStr"/>
      <c r="C389" s="28" t="inlineStr"/>
      <c r="D389" s="28" t="inlineStr">
        <is>
          <t>Title</t>
        </is>
      </c>
      <c r="E389" s="33" t="inlineStr">
        <is>
          <t>Observation</t>
        </is>
      </c>
      <c r="F389" s="28" t="inlineStr">
        <is>
          <t>SEO title too short</t>
        </is>
      </c>
      <c r="G389" s="28" t="n">
        <v>37</v>
      </c>
      <c r="H389" s="28" t="n">
        <v>13</v>
      </c>
      <c r="I389" s="28" t="inlineStr">
        <is>
          <t>40-60 characters</t>
        </is>
      </c>
      <c r="J389" s="28" t="inlineStr">
        <is>
          <t>Expand title in AIOSEO snippet editor with clearer intent and value proposition. (Taxonomy/Archive page: navigate via AIOSEO → Search Appearance → Taxonomies.)</t>
        </is>
      </c>
      <c r="K389" s="39" t="inlineStr">
        <is>
          <t>Main</t>
        </is>
      </c>
      <c r="L389" s="28" t="inlineStr">
        <is>
          <t>Title</t>
        </is>
      </c>
      <c r="M389" s="28" t="inlineStr">
        <is>
          <t>No</t>
        </is>
      </c>
      <c r="N389" s="28" t="inlineStr">
        <is>
          <t>Copy Writer</t>
        </is>
      </c>
      <c r="O389" s="36" t="inlineStr">
        <is>
          <t>Open</t>
        </is>
      </c>
      <c r="P389" s="28" t="n">
        <v>4</v>
      </c>
      <c r="Q389" s="28" t="inlineStr">
        <is>
          <t>https://africanmarketingconfederation.org/smoke-archive/page-9::aioseo_seo_title_too_short</t>
        </is>
      </c>
      <c r="R389" s="28" t="inlineStr">
        <is>
          <t>Very short titles often under-describe page intent.</t>
        </is>
      </c>
      <c r="S389">
        <f>IFERROR(HYPERLINK("#'Main'!B"&amp;MATCH(TRIM(A389),'Main'!B:B,0),"Open"),HYPERLINK("#'Main'!B1","Open"))</f>
        <v/>
      </c>
      <c r="T389">
        <f>IFERROR(HYPERLINK("#'Technical Diagnostics'!A"&amp;MATCH(A389,'Technical Diagnostics'!A:A,0),"Open"),HYPERLINK("#'Technical Diagnostics'!A1","Open"))</f>
        <v/>
      </c>
    </row>
  </sheetData>
  <autoFilter ref="A2:T389"/>
  <mergeCells count="2">
    <mergeCell ref="A1:B1"/>
    <mergeCell ref="C1:H1"/>
  </mergeCells>
  <conditionalFormatting sqref="G3:G389">
    <cfRule type="cellIs" priority="1" operator="greaterThanOrEqual" dxfId="7">
      <formula>85</formula>
    </cfRule>
    <cfRule type="cellIs" priority="2" operator="between" dxfId="8">
      <formula>65</formula>
      <formula>84</formula>
    </cfRule>
  </conditionalFormatting>
  <conditionalFormatting sqref="M3:M389">
    <cfRule type="expression" priority="3" dxfId="0" stopIfTrue="1">
      <formula>LOWER(M2)="yes"</formula>
    </cfRule>
    <cfRule type="expression" priority="4" dxfId="2" stopIfTrue="1">
      <formula>LOWER(M2)="no"</formula>
    </cfRule>
  </conditionalFormatting>
  <conditionalFormatting sqref="E3:E389">
    <cfRule type="expression" priority="5" dxfId="0" stopIfTrue="1">
      <formula>LOWER(E2)="critical"</formula>
    </cfRule>
    <cfRule type="expression" priority="6" dxfId="1" stopIfTrue="1">
      <formula>LOWER(E2)="warning"</formula>
    </cfRule>
    <cfRule type="expression" priority="7" dxfId="2" stopIfTrue="1">
      <formula>OR(LOWER(E2)="pass",LOWER(E2)="observation")</formula>
    </cfRule>
  </conditionalFormatting>
  <conditionalFormatting sqref="O3:O389">
    <cfRule type="expression" priority="8" dxfId="4" stopIfTrue="1">
      <formula>OR(LOWER(O3)="done",LOWER(O3)="completed",LOWER(O3)="fixed",LOWER(O3)="closed")</formula>
    </cfRule>
    <cfRule type="expression" priority="9" dxfId="5" stopIfTrue="1">
      <formula>OR(LOWER(O3)="in progress",LOWER(O3)="in review",LOWER(O3)="review")</formula>
    </cfRule>
    <cfRule type="expression" priority="10" dxfId="6" stopIfTrue="1">
      <formula>OR(LOWER(O3)="to do",LOWER(O3)="open")</formula>
    </cfRule>
  </conditionalFormatting>
  <conditionalFormatting sqref="A3:R389">
    <cfRule type="expression" priority="11" dxfId="3" stopIfTrue="0">
      <formula>MOD(ROW(),2)=0</formula>
    </cfRule>
  </conditionalFormatting>
  <dataValidations count="1">
    <dataValidation sqref="O3:O389" showDropDown="0" showInputMessage="1" showErrorMessage="1" allowBlank="1" errorTitle="Invalid Status" error="Select a value from the dropdown list." promptTitle="Workflow status" prompt="Track workflow state: To Do → In Progress → In Review → Done" type="list">
      <formula1>"To Do,In Progress,In Review,Done"</formula1>
    </dataValidation>
  </dataValidations>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K8" r:id="rId9"/>
    <hyperlink xmlns:r="http://schemas.openxmlformats.org/officeDocument/2006/relationships" ref="A10" r:id="rId10"/>
    <hyperlink xmlns:r="http://schemas.openxmlformats.org/officeDocument/2006/relationships" ref="K9" r:id="rId11"/>
    <hyperlink xmlns:r="http://schemas.openxmlformats.org/officeDocument/2006/relationships" ref="A11" r:id="rId12"/>
    <hyperlink xmlns:r="http://schemas.openxmlformats.org/officeDocument/2006/relationships" ref="K10" r:id="rId13"/>
    <hyperlink xmlns:r="http://schemas.openxmlformats.org/officeDocument/2006/relationships" ref="A12" r:id="rId14"/>
    <hyperlink xmlns:r="http://schemas.openxmlformats.org/officeDocument/2006/relationships" ref="K11" r:id="rId15"/>
    <hyperlink xmlns:r="http://schemas.openxmlformats.org/officeDocument/2006/relationships" ref="A13" r:id="rId16"/>
    <hyperlink xmlns:r="http://schemas.openxmlformats.org/officeDocument/2006/relationships" ref="K12" r:id="rId17"/>
    <hyperlink xmlns:r="http://schemas.openxmlformats.org/officeDocument/2006/relationships" ref="A14" r:id="rId18"/>
    <hyperlink xmlns:r="http://schemas.openxmlformats.org/officeDocument/2006/relationships" ref="K13" r:id="rId19"/>
    <hyperlink xmlns:r="http://schemas.openxmlformats.org/officeDocument/2006/relationships" ref="A15" r:id="rId20"/>
    <hyperlink xmlns:r="http://schemas.openxmlformats.org/officeDocument/2006/relationships" ref="K14" r:id="rId21"/>
    <hyperlink xmlns:r="http://schemas.openxmlformats.org/officeDocument/2006/relationships" ref="A16" r:id="rId22"/>
    <hyperlink xmlns:r="http://schemas.openxmlformats.org/officeDocument/2006/relationships" ref="K15" r:id="rId23"/>
    <hyperlink xmlns:r="http://schemas.openxmlformats.org/officeDocument/2006/relationships" ref="A17" r:id="rId24"/>
    <hyperlink xmlns:r="http://schemas.openxmlformats.org/officeDocument/2006/relationships" ref="K16" r:id="rId25"/>
    <hyperlink xmlns:r="http://schemas.openxmlformats.org/officeDocument/2006/relationships" ref="A18" r:id="rId26"/>
    <hyperlink xmlns:r="http://schemas.openxmlformats.org/officeDocument/2006/relationships" ref="K17" r:id="rId27"/>
    <hyperlink xmlns:r="http://schemas.openxmlformats.org/officeDocument/2006/relationships" ref="A19" r:id="rId28"/>
    <hyperlink xmlns:r="http://schemas.openxmlformats.org/officeDocument/2006/relationships" ref="K18" r:id="rId29"/>
    <hyperlink xmlns:r="http://schemas.openxmlformats.org/officeDocument/2006/relationships" ref="A20" r:id="rId30"/>
    <hyperlink xmlns:r="http://schemas.openxmlformats.org/officeDocument/2006/relationships" ref="K19" r:id="rId31"/>
    <hyperlink xmlns:r="http://schemas.openxmlformats.org/officeDocument/2006/relationships" ref="A21" r:id="rId32"/>
    <hyperlink xmlns:r="http://schemas.openxmlformats.org/officeDocument/2006/relationships" ref="K20" r:id="rId33"/>
    <hyperlink xmlns:r="http://schemas.openxmlformats.org/officeDocument/2006/relationships" ref="A22" r:id="rId34"/>
    <hyperlink xmlns:r="http://schemas.openxmlformats.org/officeDocument/2006/relationships" ref="K21" r:id="rId35"/>
    <hyperlink xmlns:r="http://schemas.openxmlformats.org/officeDocument/2006/relationships" ref="A23" r:id="rId36"/>
    <hyperlink xmlns:r="http://schemas.openxmlformats.org/officeDocument/2006/relationships" ref="K22" r:id="rId37"/>
    <hyperlink xmlns:r="http://schemas.openxmlformats.org/officeDocument/2006/relationships" ref="A24" r:id="rId38"/>
    <hyperlink xmlns:r="http://schemas.openxmlformats.org/officeDocument/2006/relationships" ref="A25" r:id="rId39"/>
    <hyperlink xmlns:r="http://schemas.openxmlformats.org/officeDocument/2006/relationships" ref="A26" r:id="rId40"/>
    <hyperlink xmlns:r="http://schemas.openxmlformats.org/officeDocument/2006/relationships" ref="A27" r:id="rId41"/>
    <hyperlink xmlns:r="http://schemas.openxmlformats.org/officeDocument/2006/relationships" ref="A28" r:id="rId42"/>
    <hyperlink xmlns:r="http://schemas.openxmlformats.org/officeDocument/2006/relationships" ref="A29" r:id="rId43"/>
    <hyperlink xmlns:r="http://schemas.openxmlformats.org/officeDocument/2006/relationships" ref="A30" r:id="rId44"/>
    <hyperlink xmlns:r="http://schemas.openxmlformats.org/officeDocument/2006/relationships" ref="A31" r:id="rId45"/>
    <hyperlink xmlns:r="http://schemas.openxmlformats.org/officeDocument/2006/relationships" ref="A32" r:id="rId46"/>
    <hyperlink xmlns:r="http://schemas.openxmlformats.org/officeDocument/2006/relationships" ref="A33" r:id="rId47"/>
    <hyperlink xmlns:r="http://schemas.openxmlformats.org/officeDocument/2006/relationships" ref="A34" r:id="rId48"/>
    <hyperlink xmlns:r="http://schemas.openxmlformats.org/officeDocument/2006/relationships" ref="A35" r:id="rId49"/>
    <hyperlink xmlns:r="http://schemas.openxmlformats.org/officeDocument/2006/relationships" ref="A36" r:id="rId50"/>
    <hyperlink xmlns:r="http://schemas.openxmlformats.org/officeDocument/2006/relationships" ref="A37" r:id="rId51"/>
    <hyperlink xmlns:r="http://schemas.openxmlformats.org/officeDocument/2006/relationships" ref="A38" r:id="rId52"/>
    <hyperlink xmlns:r="http://schemas.openxmlformats.org/officeDocument/2006/relationships" ref="A39" r:id="rId53"/>
    <hyperlink xmlns:r="http://schemas.openxmlformats.org/officeDocument/2006/relationships" ref="A40" r:id="rId54"/>
    <hyperlink xmlns:r="http://schemas.openxmlformats.org/officeDocument/2006/relationships" ref="A41" r:id="rId55"/>
    <hyperlink xmlns:r="http://schemas.openxmlformats.org/officeDocument/2006/relationships" ref="A42" r:id="rId56"/>
    <hyperlink xmlns:r="http://schemas.openxmlformats.org/officeDocument/2006/relationships" ref="A43" r:id="rId57"/>
    <hyperlink xmlns:r="http://schemas.openxmlformats.org/officeDocument/2006/relationships" ref="A44" r:id="rId58"/>
    <hyperlink xmlns:r="http://schemas.openxmlformats.org/officeDocument/2006/relationships" ref="A45" r:id="rId59"/>
    <hyperlink xmlns:r="http://schemas.openxmlformats.org/officeDocument/2006/relationships" ref="A46" r:id="rId60"/>
    <hyperlink xmlns:r="http://schemas.openxmlformats.org/officeDocument/2006/relationships" ref="A47" r:id="rId61"/>
    <hyperlink xmlns:r="http://schemas.openxmlformats.org/officeDocument/2006/relationships" ref="A48" r:id="rId62"/>
    <hyperlink xmlns:r="http://schemas.openxmlformats.org/officeDocument/2006/relationships" ref="A49" r:id="rId63"/>
    <hyperlink xmlns:r="http://schemas.openxmlformats.org/officeDocument/2006/relationships" ref="A50" r:id="rId64"/>
    <hyperlink xmlns:r="http://schemas.openxmlformats.org/officeDocument/2006/relationships" ref="A51" r:id="rId65"/>
    <hyperlink xmlns:r="http://schemas.openxmlformats.org/officeDocument/2006/relationships" ref="A52" r:id="rId66"/>
    <hyperlink xmlns:r="http://schemas.openxmlformats.org/officeDocument/2006/relationships" ref="A53" r:id="rId67"/>
    <hyperlink xmlns:r="http://schemas.openxmlformats.org/officeDocument/2006/relationships" ref="A54" r:id="rId68"/>
    <hyperlink xmlns:r="http://schemas.openxmlformats.org/officeDocument/2006/relationships" ref="A55" r:id="rId69"/>
    <hyperlink xmlns:r="http://schemas.openxmlformats.org/officeDocument/2006/relationships" ref="A56" r:id="rId70"/>
    <hyperlink xmlns:r="http://schemas.openxmlformats.org/officeDocument/2006/relationships" ref="A57" r:id="rId71"/>
    <hyperlink xmlns:r="http://schemas.openxmlformats.org/officeDocument/2006/relationships" ref="A58" r:id="rId72"/>
    <hyperlink xmlns:r="http://schemas.openxmlformats.org/officeDocument/2006/relationships" ref="A59" r:id="rId73"/>
    <hyperlink xmlns:r="http://schemas.openxmlformats.org/officeDocument/2006/relationships" ref="A60" r:id="rId74"/>
    <hyperlink xmlns:r="http://schemas.openxmlformats.org/officeDocument/2006/relationships" ref="A61" r:id="rId75"/>
    <hyperlink xmlns:r="http://schemas.openxmlformats.org/officeDocument/2006/relationships" ref="A62" r:id="rId76"/>
    <hyperlink xmlns:r="http://schemas.openxmlformats.org/officeDocument/2006/relationships" ref="A63" r:id="rId77"/>
    <hyperlink xmlns:r="http://schemas.openxmlformats.org/officeDocument/2006/relationships" ref="A64" r:id="rId78"/>
    <hyperlink xmlns:r="http://schemas.openxmlformats.org/officeDocument/2006/relationships" ref="A65" r:id="rId79"/>
    <hyperlink xmlns:r="http://schemas.openxmlformats.org/officeDocument/2006/relationships" ref="A66" r:id="rId80"/>
    <hyperlink xmlns:r="http://schemas.openxmlformats.org/officeDocument/2006/relationships" ref="A67" r:id="rId81"/>
    <hyperlink xmlns:r="http://schemas.openxmlformats.org/officeDocument/2006/relationships" ref="A68" r:id="rId82"/>
    <hyperlink xmlns:r="http://schemas.openxmlformats.org/officeDocument/2006/relationships" ref="A69" r:id="rId83"/>
    <hyperlink xmlns:r="http://schemas.openxmlformats.org/officeDocument/2006/relationships" ref="A70" r:id="rId84"/>
    <hyperlink xmlns:r="http://schemas.openxmlformats.org/officeDocument/2006/relationships" ref="A71" r:id="rId85"/>
    <hyperlink xmlns:r="http://schemas.openxmlformats.org/officeDocument/2006/relationships" ref="A72" r:id="rId86"/>
    <hyperlink xmlns:r="http://schemas.openxmlformats.org/officeDocument/2006/relationships" ref="A73" r:id="rId87"/>
    <hyperlink xmlns:r="http://schemas.openxmlformats.org/officeDocument/2006/relationships" ref="A74" r:id="rId88"/>
    <hyperlink xmlns:r="http://schemas.openxmlformats.org/officeDocument/2006/relationships" ref="A75" r:id="rId89"/>
    <hyperlink xmlns:r="http://schemas.openxmlformats.org/officeDocument/2006/relationships" ref="A76" r:id="rId90"/>
    <hyperlink xmlns:r="http://schemas.openxmlformats.org/officeDocument/2006/relationships" ref="A77" r:id="rId91"/>
    <hyperlink xmlns:r="http://schemas.openxmlformats.org/officeDocument/2006/relationships" ref="A78" r:id="rId92"/>
    <hyperlink xmlns:r="http://schemas.openxmlformats.org/officeDocument/2006/relationships" ref="A79" r:id="rId93"/>
    <hyperlink xmlns:r="http://schemas.openxmlformats.org/officeDocument/2006/relationships" ref="A80" r:id="rId94"/>
    <hyperlink xmlns:r="http://schemas.openxmlformats.org/officeDocument/2006/relationships" ref="A81" r:id="rId95"/>
    <hyperlink xmlns:r="http://schemas.openxmlformats.org/officeDocument/2006/relationships" ref="A82" r:id="rId96"/>
    <hyperlink xmlns:r="http://schemas.openxmlformats.org/officeDocument/2006/relationships" ref="A83" r:id="rId97"/>
    <hyperlink xmlns:r="http://schemas.openxmlformats.org/officeDocument/2006/relationships" ref="A84" r:id="rId98"/>
    <hyperlink xmlns:r="http://schemas.openxmlformats.org/officeDocument/2006/relationships" ref="A85" r:id="rId99"/>
    <hyperlink xmlns:r="http://schemas.openxmlformats.org/officeDocument/2006/relationships" ref="A86" r:id="rId100"/>
    <hyperlink xmlns:r="http://schemas.openxmlformats.org/officeDocument/2006/relationships" ref="A87" r:id="rId101"/>
    <hyperlink xmlns:r="http://schemas.openxmlformats.org/officeDocument/2006/relationships" ref="A88" r:id="rId102"/>
    <hyperlink xmlns:r="http://schemas.openxmlformats.org/officeDocument/2006/relationships" ref="A89" r:id="rId103"/>
    <hyperlink xmlns:r="http://schemas.openxmlformats.org/officeDocument/2006/relationships" ref="A90" r:id="rId104"/>
    <hyperlink xmlns:r="http://schemas.openxmlformats.org/officeDocument/2006/relationships" ref="A91" r:id="rId105"/>
    <hyperlink xmlns:r="http://schemas.openxmlformats.org/officeDocument/2006/relationships" ref="A92" r:id="rId106"/>
    <hyperlink xmlns:r="http://schemas.openxmlformats.org/officeDocument/2006/relationships" ref="A93" r:id="rId107"/>
    <hyperlink xmlns:r="http://schemas.openxmlformats.org/officeDocument/2006/relationships" ref="A94" r:id="rId108"/>
    <hyperlink xmlns:r="http://schemas.openxmlformats.org/officeDocument/2006/relationships" ref="A95" r:id="rId109"/>
    <hyperlink xmlns:r="http://schemas.openxmlformats.org/officeDocument/2006/relationships" ref="A96" r:id="rId110"/>
    <hyperlink xmlns:r="http://schemas.openxmlformats.org/officeDocument/2006/relationships" ref="A97" r:id="rId111"/>
    <hyperlink xmlns:r="http://schemas.openxmlformats.org/officeDocument/2006/relationships" ref="A98" r:id="rId112"/>
    <hyperlink xmlns:r="http://schemas.openxmlformats.org/officeDocument/2006/relationships" ref="A99" r:id="rId113"/>
    <hyperlink xmlns:r="http://schemas.openxmlformats.org/officeDocument/2006/relationships" ref="A100" r:id="rId114"/>
    <hyperlink xmlns:r="http://schemas.openxmlformats.org/officeDocument/2006/relationships" ref="A101" r:id="rId115"/>
    <hyperlink xmlns:r="http://schemas.openxmlformats.org/officeDocument/2006/relationships" ref="A102" r:id="rId116"/>
    <hyperlink xmlns:r="http://schemas.openxmlformats.org/officeDocument/2006/relationships" ref="A103" r:id="rId117"/>
    <hyperlink xmlns:r="http://schemas.openxmlformats.org/officeDocument/2006/relationships" ref="A104" r:id="rId118"/>
    <hyperlink xmlns:r="http://schemas.openxmlformats.org/officeDocument/2006/relationships" ref="A105" r:id="rId119"/>
    <hyperlink xmlns:r="http://schemas.openxmlformats.org/officeDocument/2006/relationships" ref="A106" r:id="rId120"/>
    <hyperlink xmlns:r="http://schemas.openxmlformats.org/officeDocument/2006/relationships" ref="A107" r:id="rId121"/>
    <hyperlink xmlns:r="http://schemas.openxmlformats.org/officeDocument/2006/relationships" ref="A108" r:id="rId122"/>
    <hyperlink xmlns:r="http://schemas.openxmlformats.org/officeDocument/2006/relationships" ref="A109" r:id="rId123"/>
    <hyperlink xmlns:r="http://schemas.openxmlformats.org/officeDocument/2006/relationships" ref="A110" r:id="rId124"/>
    <hyperlink xmlns:r="http://schemas.openxmlformats.org/officeDocument/2006/relationships" ref="A111" r:id="rId125"/>
    <hyperlink xmlns:r="http://schemas.openxmlformats.org/officeDocument/2006/relationships" ref="A112" r:id="rId126"/>
    <hyperlink xmlns:r="http://schemas.openxmlformats.org/officeDocument/2006/relationships" ref="A113" r:id="rId127"/>
    <hyperlink xmlns:r="http://schemas.openxmlformats.org/officeDocument/2006/relationships" ref="A114" r:id="rId128"/>
    <hyperlink xmlns:r="http://schemas.openxmlformats.org/officeDocument/2006/relationships" ref="A115" r:id="rId129"/>
    <hyperlink xmlns:r="http://schemas.openxmlformats.org/officeDocument/2006/relationships" ref="A116" r:id="rId130"/>
    <hyperlink xmlns:r="http://schemas.openxmlformats.org/officeDocument/2006/relationships" ref="A117" r:id="rId131"/>
    <hyperlink xmlns:r="http://schemas.openxmlformats.org/officeDocument/2006/relationships" ref="A118" r:id="rId132"/>
    <hyperlink xmlns:r="http://schemas.openxmlformats.org/officeDocument/2006/relationships" ref="A119" r:id="rId133"/>
    <hyperlink xmlns:r="http://schemas.openxmlformats.org/officeDocument/2006/relationships" ref="A120" r:id="rId134"/>
    <hyperlink xmlns:r="http://schemas.openxmlformats.org/officeDocument/2006/relationships" ref="A121" r:id="rId135"/>
    <hyperlink xmlns:r="http://schemas.openxmlformats.org/officeDocument/2006/relationships" ref="A122" r:id="rId136"/>
    <hyperlink xmlns:r="http://schemas.openxmlformats.org/officeDocument/2006/relationships" ref="A123" r:id="rId137"/>
    <hyperlink xmlns:r="http://schemas.openxmlformats.org/officeDocument/2006/relationships" ref="A124" r:id="rId138"/>
    <hyperlink xmlns:r="http://schemas.openxmlformats.org/officeDocument/2006/relationships" ref="A125" r:id="rId139"/>
    <hyperlink xmlns:r="http://schemas.openxmlformats.org/officeDocument/2006/relationships" ref="A126" r:id="rId140"/>
    <hyperlink xmlns:r="http://schemas.openxmlformats.org/officeDocument/2006/relationships" ref="A127" r:id="rId141"/>
    <hyperlink xmlns:r="http://schemas.openxmlformats.org/officeDocument/2006/relationships" ref="A128" r:id="rId142"/>
    <hyperlink xmlns:r="http://schemas.openxmlformats.org/officeDocument/2006/relationships" ref="A129" r:id="rId143"/>
    <hyperlink xmlns:r="http://schemas.openxmlformats.org/officeDocument/2006/relationships" ref="K128" r:id="rId144"/>
    <hyperlink xmlns:r="http://schemas.openxmlformats.org/officeDocument/2006/relationships" ref="A130" r:id="rId145"/>
    <hyperlink xmlns:r="http://schemas.openxmlformats.org/officeDocument/2006/relationships" ref="A131" r:id="rId146"/>
    <hyperlink xmlns:r="http://schemas.openxmlformats.org/officeDocument/2006/relationships" ref="K130" r:id="rId147"/>
    <hyperlink xmlns:r="http://schemas.openxmlformats.org/officeDocument/2006/relationships" ref="A132" r:id="rId148"/>
    <hyperlink xmlns:r="http://schemas.openxmlformats.org/officeDocument/2006/relationships" ref="A133" r:id="rId149"/>
    <hyperlink xmlns:r="http://schemas.openxmlformats.org/officeDocument/2006/relationships" ref="K132" r:id="rId150"/>
    <hyperlink xmlns:r="http://schemas.openxmlformats.org/officeDocument/2006/relationships" ref="A134" r:id="rId151"/>
    <hyperlink xmlns:r="http://schemas.openxmlformats.org/officeDocument/2006/relationships" ref="A135" r:id="rId152"/>
    <hyperlink xmlns:r="http://schemas.openxmlformats.org/officeDocument/2006/relationships" ref="K134" r:id="rId153"/>
    <hyperlink xmlns:r="http://schemas.openxmlformats.org/officeDocument/2006/relationships" ref="A136" r:id="rId154"/>
    <hyperlink xmlns:r="http://schemas.openxmlformats.org/officeDocument/2006/relationships" ref="A137" r:id="rId155"/>
    <hyperlink xmlns:r="http://schemas.openxmlformats.org/officeDocument/2006/relationships" ref="K136" r:id="rId156"/>
    <hyperlink xmlns:r="http://schemas.openxmlformats.org/officeDocument/2006/relationships" ref="A138" r:id="rId157"/>
    <hyperlink xmlns:r="http://schemas.openxmlformats.org/officeDocument/2006/relationships" ref="A139" r:id="rId158"/>
    <hyperlink xmlns:r="http://schemas.openxmlformats.org/officeDocument/2006/relationships" ref="A140" r:id="rId159"/>
    <hyperlink xmlns:r="http://schemas.openxmlformats.org/officeDocument/2006/relationships" ref="K139" r:id="rId160"/>
    <hyperlink xmlns:r="http://schemas.openxmlformats.org/officeDocument/2006/relationships" ref="A141" r:id="rId161"/>
    <hyperlink xmlns:r="http://schemas.openxmlformats.org/officeDocument/2006/relationships" ref="A142" r:id="rId162"/>
    <hyperlink xmlns:r="http://schemas.openxmlformats.org/officeDocument/2006/relationships" ref="K141" r:id="rId163"/>
    <hyperlink xmlns:r="http://schemas.openxmlformats.org/officeDocument/2006/relationships" ref="A143" r:id="rId164"/>
    <hyperlink xmlns:r="http://schemas.openxmlformats.org/officeDocument/2006/relationships" ref="A144" r:id="rId165"/>
    <hyperlink xmlns:r="http://schemas.openxmlformats.org/officeDocument/2006/relationships" ref="K143" r:id="rId166"/>
    <hyperlink xmlns:r="http://schemas.openxmlformats.org/officeDocument/2006/relationships" ref="A145" r:id="rId167"/>
    <hyperlink xmlns:r="http://schemas.openxmlformats.org/officeDocument/2006/relationships" ref="A146" r:id="rId168"/>
    <hyperlink xmlns:r="http://schemas.openxmlformats.org/officeDocument/2006/relationships" ref="K145" r:id="rId169"/>
    <hyperlink xmlns:r="http://schemas.openxmlformats.org/officeDocument/2006/relationships" ref="A147" r:id="rId170"/>
    <hyperlink xmlns:r="http://schemas.openxmlformats.org/officeDocument/2006/relationships" ref="A148" r:id="rId171"/>
    <hyperlink xmlns:r="http://schemas.openxmlformats.org/officeDocument/2006/relationships" ref="A149" r:id="rId172"/>
    <hyperlink xmlns:r="http://schemas.openxmlformats.org/officeDocument/2006/relationships" ref="K148" r:id="rId173"/>
    <hyperlink xmlns:r="http://schemas.openxmlformats.org/officeDocument/2006/relationships" ref="A150" r:id="rId174"/>
    <hyperlink xmlns:r="http://schemas.openxmlformats.org/officeDocument/2006/relationships" ref="A151" r:id="rId175"/>
    <hyperlink xmlns:r="http://schemas.openxmlformats.org/officeDocument/2006/relationships" ref="K150" r:id="rId176"/>
    <hyperlink xmlns:r="http://schemas.openxmlformats.org/officeDocument/2006/relationships" ref="A152" r:id="rId177"/>
    <hyperlink xmlns:r="http://schemas.openxmlformats.org/officeDocument/2006/relationships" ref="A153" r:id="rId178"/>
    <hyperlink xmlns:r="http://schemas.openxmlformats.org/officeDocument/2006/relationships" ref="K152" r:id="rId179"/>
    <hyperlink xmlns:r="http://schemas.openxmlformats.org/officeDocument/2006/relationships" ref="A154" r:id="rId180"/>
    <hyperlink xmlns:r="http://schemas.openxmlformats.org/officeDocument/2006/relationships" ref="A155" r:id="rId181"/>
    <hyperlink xmlns:r="http://schemas.openxmlformats.org/officeDocument/2006/relationships" ref="K154" r:id="rId182"/>
    <hyperlink xmlns:r="http://schemas.openxmlformats.org/officeDocument/2006/relationships" ref="A156" r:id="rId183"/>
    <hyperlink xmlns:r="http://schemas.openxmlformats.org/officeDocument/2006/relationships" ref="A157" r:id="rId184"/>
    <hyperlink xmlns:r="http://schemas.openxmlformats.org/officeDocument/2006/relationships" ref="K156" r:id="rId185"/>
    <hyperlink xmlns:r="http://schemas.openxmlformats.org/officeDocument/2006/relationships" ref="A158" r:id="rId186"/>
    <hyperlink xmlns:r="http://schemas.openxmlformats.org/officeDocument/2006/relationships" ref="A159" r:id="rId187"/>
    <hyperlink xmlns:r="http://schemas.openxmlformats.org/officeDocument/2006/relationships" ref="A160" r:id="rId188"/>
    <hyperlink xmlns:r="http://schemas.openxmlformats.org/officeDocument/2006/relationships" ref="K159" r:id="rId189"/>
    <hyperlink xmlns:r="http://schemas.openxmlformats.org/officeDocument/2006/relationships" ref="A161" r:id="rId190"/>
    <hyperlink xmlns:r="http://schemas.openxmlformats.org/officeDocument/2006/relationships" ref="A162" r:id="rId191"/>
    <hyperlink xmlns:r="http://schemas.openxmlformats.org/officeDocument/2006/relationships" ref="K161" r:id="rId192"/>
    <hyperlink xmlns:r="http://schemas.openxmlformats.org/officeDocument/2006/relationships" ref="A163" r:id="rId193"/>
    <hyperlink xmlns:r="http://schemas.openxmlformats.org/officeDocument/2006/relationships" ref="A164" r:id="rId194"/>
    <hyperlink xmlns:r="http://schemas.openxmlformats.org/officeDocument/2006/relationships" ref="K163" r:id="rId195"/>
    <hyperlink xmlns:r="http://schemas.openxmlformats.org/officeDocument/2006/relationships" ref="A165" r:id="rId196"/>
    <hyperlink xmlns:r="http://schemas.openxmlformats.org/officeDocument/2006/relationships" ref="A166" r:id="rId197"/>
    <hyperlink xmlns:r="http://schemas.openxmlformats.org/officeDocument/2006/relationships" ref="K165" r:id="rId198"/>
    <hyperlink xmlns:r="http://schemas.openxmlformats.org/officeDocument/2006/relationships" ref="A167" r:id="rId199"/>
    <hyperlink xmlns:r="http://schemas.openxmlformats.org/officeDocument/2006/relationships" ref="A168" r:id="rId200"/>
    <hyperlink xmlns:r="http://schemas.openxmlformats.org/officeDocument/2006/relationships" ref="A169" r:id="rId201"/>
    <hyperlink xmlns:r="http://schemas.openxmlformats.org/officeDocument/2006/relationships" ref="K168" r:id="rId202"/>
    <hyperlink xmlns:r="http://schemas.openxmlformats.org/officeDocument/2006/relationships" ref="A170" r:id="rId203"/>
    <hyperlink xmlns:r="http://schemas.openxmlformats.org/officeDocument/2006/relationships" ref="A171" r:id="rId204"/>
    <hyperlink xmlns:r="http://schemas.openxmlformats.org/officeDocument/2006/relationships" ref="K170" r:id="rId205"/>
    <hyperlink xmlns:r="http://schemas.openxmlformats.org/officeDocument/2006/relationships" ref="A172" r:id="rId206"/>
    <hyperlink xmlns:r="http://schemas.openxmlformats.org/officeDocument/2006/relationships" ref="A173" r:id="rId207"/>
    <hyperlink xmlns:r="http://schemas.openxmlformats.org/officeDocument/2006/relationships" ref="K172" r:id="rId208"/>
    <hyperlink xmlns:r="http://schemas.openxmlformats.org/officeDocument/2006/relationships" ref="A174" r:id="rId209"/>
    <hyperlink xmlns:r="http://schemas.openxmlformats.org/officeDocument/2006/relationships" ref="A175" r:id="rId210"/>
    <hyperlink xmlns:r="http://schemas.openxmlformats.org/officeDocument/2006/relationships" ref="K174" r:id="rId211"/>
    <hyperlink xmlns:r="http://schemas.openxmlformats.org/officeDocument/2006/relationships" ref="A176" r:id="rId212"/>
    <hyperlink xmlns:r="http://schemas.openxmlformats.org/officeDocument/2006/relationships" ref="A177" r:id="rId213"/>
    <hyperlink xmlns:r="http://schemas.openxmlformats.org/officeDocument/2006/relationships" ref="K176" r:id="rId214"/>
    <hyperlink xmlns:r="http://schemas.openxmlformats.org/officeDocument/2006/relationships" ref="A178" r:id="rId215"/>
    <hyperlink xmlns:r="http://schemas.openxmlformats.org/officeDocument/2006/relationships" ref="A179" r:id="rId216"/>
    <hyperlink xmlns:r="http://schemas.openxmlformats.org/officeDocument/2006/relationships" ref="A180" r:id="rId217"/>
    <hyperlink xmlns:r="http://schemas.openxmlformats.org/officeDocument/2006/relationships" ref="K179" r:id="rId218"/>
    <hyperlink xmlns:r="http://schemas.openxmlformats.org/officeDocument/2006/relationships" ref="A181" r:id="rId219"/>
    <hyperlink xmlns:r="http://schemas.openxmlformats.org/officeDocument/2006/relationships" ref="A182" r:id="rId220"/>
    <hyperlink xmlns:r="http://schemas.openxmlformats.org/officeDocument/2006/relationships" ref="K181" r:id="rId221"/>
    <hyperlink xmlns:r="http://schemas.openxmlformats.org/officeDocument/2006/relationships" ref="A183" r:id="rId222"/>
    <hyperlink xmlns:r="http://schemas.openxmlformats.org/officeDocument/2006/relationships" ref="A184" r:id="rId223"/>
    <hyperlink xmlns:r="http://schemas.openxmlformats.org/officeDocument/2006/relationships" ref="K183" r:id="rId224"/>
    <hyperlink xmlns:r="http://schemas.openxmlformats.org/officeDocument/2006/relationships" ref="A185" r:id="rId225"/>
    <hyperlink xmlns:r="http://schemas.openxmlformats.org/officeDocument/2006/relationships" ref="A186" r:id="rId226"/>
    <hyperlink xmlns:r="http://schemas.openxmlformats.org/officeDocument/2006/relationships" ref="K185" r:id="rId227"/>
    <hyperlink xmlns:r="http://schemas.openxmlformats.org/officeDocument/2006/relationships" ref="A187" r:id="rId228"/>
    <hyperlink xmlns:r="http://schemas.openxmlformats.org/officeDocument/2006/relationships" ref="A188" r:id="rId229"/>
    <hyperlink xmlns:r="http://schemas.openxmlformats.org/officeDocument/2006/relationships" ref="A189" r:id="rId230"/>
    <hyperlink xmlns:r="http://schemas.openxmlformats.org/officeDocument/2006/relationships" ref="K188" r:id="rId231"/>
    <hyperlink xmlns:r="http://schemas.openxmlformats.org/officeDocument/2006/relationships" ref="A190" r:id="rId232"/>
    <hyperlink xmlns:r="http://schemas.openxmlformats.org/officeDocument/2006/relationships" ref="A191" r:id="rId233"/>
    <hyperlink xmlns:r="http://schemas.openxmlformats.org/officeDocument/2006/relationships" ref="K190" r:id="rId234"/>
    <hyperlink xmlns:r="http://schemas.openxmlformats.org/officeDocument/2006/relationships" ref="A192" r:id="rId235"/>
    <hyperlink xmlns:r="http://schemas.openxmlformats.org/officeDocument/2006/relationships" ref="A193" r:id="rId236"/>
    <hyperlink xmlns:r="http://schemas.openxmlformats.org/officeDocument/2006/relationships" ref="K192" r:id="rId237"/>
    <hyperlink xmlns:r="http://schemas.openxmlformats.org/officeDocument/2006/relationships" ref="A194" r:id="rId238"/>
    <hyperlink xmlns:r="http://schemas.openxmlformats.org/officeDocument/2006/relationships" ref="A195" r:id="rId239"/>
    <hyperlink xmlns:r="http://schemas.openxmlformats.org/officeDocument/2006/relationships" ref="K194" r:id="rId240"/>
    <hyperlink xmlns:r="http://schemas.openxmlformats.org/officeDocument/2006/relationships" ref="A196" r:id="rId241"/>
    <hyperlink xmlns:r="http://schemas.openxmlformats.org/officeDocument/2006/relationships" ref="A197" r:id="rId242"/>
    <hyperlink xmlns:r="http://schemas.openxmlformats.org/officeDocument/2006/relationships" ref="K196" r:id="rId243"/>
    <hyperlink xmlns:r="http://schemas.openxmlformats.org/officeDocument/2006/relationships" ref="A198" r:id="rId244"/>
    <hyperlink xmlns:r="http://schemas.openxmlformats.org/officeDocument/2006/relationships" ref="A199" r:id="rId245"/>
    <hyperlink xmlns:r="http://schemas.openxmlformats.org/officeDocument/2006/relationships" ref="A200" r:id="rId246"/>
    <hyperlink xmlns:r="http://schemas.openxmlformats.org/officeDocument/2006/relationships" ref="K199" r:id="rId247"/>
    <hyperlink xmlns:r="http://schemas.openxmlformats.org/officeDocument/2006/relationships" ref="A201" r:id="rId248"/>
    <hyperlink xmlns:r="http://schemas.openxmlformats.org/officeDocument/2006/relationships" ref="A202" r:id="rId249"/>
    <hyperlink xmlns:r="http://schemas.openxmlformats.org/officeDocument/2006/relationships" ref="K201" r:id="rId250"/>
    <hyperlink xmlns:r="http://schemas.openxmlformats.org/officeDocument/2006/relationships" ref="A203" r:id="rId251"/>
    <hyperlink xmlns:r="http://schemas.openxmlformats.org/officeDocument/2006/relationships" ref="A204" r:id="rId252"/>
    <hyperlink xmlns:r="http://schemas.openxmlformats.org/officeDocument/2006/relationships" ref="K203" r:id="rId253"/>
    <hyperlink xmlns:r="http://schemas.openxmlformats.org/officeDocument/2006/relationships" ref="A205" r:id="rId254"/>
    <hyperlink xmlns:r="http://schemas.openxmlformats.org/officeDocument/2006/relationships" ref="A206" r:id="rId255"/>
    <hyperlink xmlns:r="http://schemas.openxmlformats.org/officeDocument/2006/relationships" ref="K205" r:id="rId256"/>
    <hyperlink xmlns:r="http://schemas.openxmlformats.org/officeDocument/2006/relationships" ref="A207" r:id="rId257"/>
    <hyperlink xmlns:r="http://schemas.openxmlformats.org/officeDocument/2006/relationships" ref="A208" r:id="rId258"/>
    <hyperlink xmlns:r="http://schemas.openxmlformats.org/officeDocument/2006/relationships" ref="A209" r:id="rId259"/>
    <hyperlink xmlns:r="http://schemas.openxmlformats.org/officeDocument/2006/relationships" ref="K208" r:id="rId260"/>
    <hyperlink xmlns:r="http://schemas.openxmlformats.org/officeDocument/2006/relationships" ref="A210" r:id="rId261"/>
    <hyperlink xmlns:r="http://schemas.openxmlformats.org/officeDocument/2006/relationships" ref="A211" r:id="rId262"/>
    <hyperlink xmlns:r="http://schemas.openxmlformats.org/officeDocument/2006/relationships" ref="K210" r:id="rId263"/>
    <hyperlink xmlns:r="http://schemas.openxmlformats.org/officeDocument/2006/relationships" ref="A212" r:id="rId264"/>
    <hyperlink xmlns:r="http://schemas.openxmlformats.org/officeDocument/2006/relationships" ref="A213" r:id="rId265"/>
    <hyperlink xmlns:r="http://schemas.openxmlformats.org/officeDocument/2006/relationships" ref="K212" r:id="rId266"/>
    <hyperlink xmlns:r="http://schemas.openxmlformats.org/officeDocument/2006/relationships" ref="A214" r:id="rId267"/>
    <hyperlink xmlns:r="http://schemas.openxmlformats.org/officeDocument/2006/relationships" ref="A215" r:id="rId268"/>
    <hyperlink xmlns:r="http://schemas.openxmlformats.org/officeDocument/2006/relationships" ref="K214" r:id="rId269"/>
    <hyperlink xmlns:r="http://schemas.openxmlformats.org/officeDocument/2006/relationships" ref="A216" r:id="rId270"/>
    <hyperlink xmlns:r="http://schemas.openxmlformats.org/officeDocument/2006/relationships" ref="A217" r:id="rId271"/>
    <hyperlink xmlns:r="http://schemas.openxmlformats.org/officeDocument/2006/relationships" ref="A218" r:id="rId272"/>
    <hyperlink xmlns:r="http://schemas.openxmlformats.org/officeDocument/2006/relationships" ref="A219" r:id="rId273"/>
    <hyperlink xmlns:r="http://schemas.openxmlformats.org/officeDocument/2006/relationships" ref="K218" r:id="rId274"/>
    <hyperlink xmlns:r="http://schemas.openxmlformats.org/officeDocument/2006/relationships" ref="A220" r:id="rId275"/>
    <hyperlink xmlns:r="http://schemas.openxmlformats.org/officeDocument/2006/relationships" ref="A221" r:id="rId276"/>
    <hyperlink xmlns:r="http://schemas.openxmlformats.org/officeDocument/2006/relationships" ref="K220" r:id="rId277"/>
    <hyperlink xmlns:r="http://schemas.openxmlformats.org/officeDocument/2006/relationships" ref="A222" r:id="rId278"/>
    <hyperlink xmlns:r="http://schemas.openxmlformats.org/officeDocument/2006/relationships" ref="A223" r:id="rId279"/>
    <hyperlink xmlns:r="http://schemas.openxmlformats.org/officeDocument/2006/relationships" ref="K222" r:id="rId280"/>
    <hyperlink xmlns:r="http://schemas.openxmlformats.org/officeDocument/2006/relationships" ref="A224" r:id="rId281"/>
    <hyperlink xmlns:r="http://schemas.openxmlformats.org/officeDocument/2006/relationships" ref="A225" r:id="rId282"/>
    <hyperlink xmlns:r="http://schemas.openxmlformats.org/officeDocument/2006/relationships" ref="K224" r:id="rId283"/>
    <hyperlink xmlns:r="http://schemas.openxmlformats.org/officeDocument/2006/relationships" ref="A226" r:id="rId284"/>
    <hyperlink xmlns:r="http://schemas.openxmlformats.org/officeDocument/2006/relationships" ref="A227" r:id="rId285"/>
    <hyperlink xmlns:r="http://schemas.openxmlformats.org/officeDocument/2006/relationships" ref="A228" r:id="rId286"/>
    <hyperlink xmlns:r="http://schemas.openxmlformats.org/officeDocument/2006/relationships" ref="K227" r:id="rId287"/>
    <hyperlink xmlns:r="http://schemas.openxmlformats.org/officeDocument/2006/relationships" ref="A229" r:id="rId288"/>
    <hyperlink xmlns:r="http://schemas.openxmlformats.org/officeDocument/2006/relationships" ref="A230" r:id="rId289"/>
    <hyperlink xmlns:r="http://schemas.openxmlformats.org/officeDocument/2006/relationships" ref="K229" r:id="rId290"/>
    <hyperlink xmlns:r="http://schemas.openxmlformats.org/officeDocument/2006/relationships" ref="A231" r:id="rId291"/>
    <hyperlink xmlns:r="http://schemas.openxmlformats.org/officeDocument/2006/relationships" ref="A232" r:id="rId292"/>
    <hyperlink xmlns:r="http://schemas.openxmlformats.org/officeDocument/2006/relationships" ref="K231" r:id="rId293"/>
    <hyperlink xmlns:r="http://schemas.openxmlformats.org/officeDocument/2006/relationships" ref="A233" r:id="rId294"/>
    <hyperlink xmlns:r="http://schemas.openxmlformats.org/officeDocument/2006/relationships" ref="A234" r:id="rId295"/>
    <hyperlink xmlns:r="http://schemas.openxmlformats.org/officeDocument/2006/relationships" ref="K233" r:id="rId296"/>
    <hyperlink xmlns:r="http://schemas.openxmlformats.org/officeDocument/2006/relationships" ref="A235" r:id="rId297"/>
    <hyperlink xmlns:r="http://schemas.openxmlformats.org/officeDocument/2006/relationships" ref="A236" r:id="rId298"/>
    <hyperlink xmlns:r="http://schemas.openxmlformats.org/officeDocument/2006/relationships" ref="K235" r:id="rId299"/>
    <hyperlink xmlns:r="http://schemas.openxmlformats.org/officeDocument/2006/relationships" ref="A237" r:id="rId300"/>
    <hyperlink xmlns:r="http://schemas.openxmlformats.org/officeDocument/2006/relationships" ref="A238" r:id="rId301"/>
    <hyperlink xmlns:r="http://schemas.openxmlformats.org/officeDocument/2006/relationships" ref="A239" r:id="rId302"/>
    <hyperlink xmlns:r="http://schemas.openxmlformats.org/officeDocument/2006/relationships" ref="K238" r:id="rId303"/>
    <hyperlink xmlns:r="http://schemas.openxmlformats.org/officeDocument/2006/relationships" ref="A240" r:id="rId304"/>
    <hyperlink xmlns:r="http://schemas.openxmlformats.org/officeDocument/2006/relationships" ref="A241" r:id="rId305"/>
    <hyperlink xmlns:r="http://schemas.openxmlformats.org/officeDocument/2006/relationships" ref="K240" r:id="rId306"/>
    <hyperlink xmlns:r="http://schemas.openxmlformats.org/officeDocument/2006/relationships" ref="A242" r:id="rId307"/>
    <hyperlink xmlns:r="http://schemas.openxmlformats.org/officeDocument/2006/relationships" ref="A243" r:id="rId308"/>
    <hyperlink xmlns:r="http://schemas.openxmlformats.org/officeDocument/2006/relationships" ref="K242" r:id="rId309"/>
    <hyperlink xmlns:r="http://schemas.openxmlformats.org/officeDocument/2006/relationships" ref="A244" r:id="rId310"/>
    <hyperlink xmlns:r="http://schemas.openxmlformats.org/officeDocument/2006/relationships" ref="A245" r:id="rId311"/>
    <hyperlink xmlns:r="http://schemas.openxmlformats.org/officeDocument/2006/relationships" ref="K244" r:id="rId312"/>
    <hyperlink xmlns:r="http://schemas.openxmlformats.org/officeDocument/2006/relationships" ref="A246" r:id="rId313"/>
    <hyperlink xmlns:r="http://schemas.openxmlformats.org/officeDocument/2006/relationships" ref="A247" r:id="rId314"/>
    <hyperlink xmlns:r="http://schemas.openxmlformats.org/officeDocument/2006/relationships" ref="A248" r:id="rId315"/>
    <hyperlink xmlns:r="http://schemas.openxmlformats.org/officeDocument/2006/relationships" ref="K247" r:id="rId316"/>
    <hyperlink xmlns:r="http://schemas.openxmlformats.org/officeDocument/2006/relationships" ref="A249" r:id="rId317"/>
    <hyperlink xmlns:r="http://schemas.openxmlformats.org/officeDocument/2006/relationships" ref="A250" r:id="rId318"/>
    <hyperlink xmlns:r="http://schemas.openxmlformats.org/officeDocument/2006/relationships" ref="K249" r:id="rId319"/>
    <hyperlink xmlns:r="http://schemas.openxmlformats.org/officeDocument/2006/relationships" ref="A251" r:id="rId320"/>
    <hyperlink xmlns:r="http://schemas.openxmlformats.org/officeDocument/2006/relationships" ref="A252" r:id="rId321"/>
    <hyperlink xmlns:r="http://schemas.openxmlformats.org/officeDocument/2006/relationships" ref="K251" r:id="rId322"/>
    <hyperlink xmlns:r="http://schemas.openxmlformats.org/officeDocument/2006/relationships" ref="A253" r:id="rId323"/>
    <hyperlink xmlns:r="http://schemas.openxmlformats.org/officeDocument/2006/relationships" ref="A254" r:id="rId324"/>
    <hyperlink xmlns:r="http://schemas.openxmlformats.org/officeDocument/2006/relationships" ref="K253" r:id="rId325"/>
    <hyperlink xmlns:r="http://schemas.openxmlformats.org/officeDocument/2006/relationships" ref="A255" r:id="rId326"/>
    <hyperlink xmlns:r="http://schemas.openxmlformats.org/officeDocument/2006/relationships" ref="A256" r:id="rId327"/>
    <hyperlink xmlns:r="http://schemas.openxmlformats.org/officeDocument/2006/relationships" ref="K255" r:id="rId328"/>
    <hyperlink xmlns:r="http://schemas.openxmlformats.org/officeDocument/2006/relationships" ref="A257" r:id="rId329"/>
    <hyperlink xmlns:r="http://schemas.openxmlformats.org/officeDocument/2006/relationships" ref="A258" r:id="rId330"/>
    <hyperlink xmlns:r="http://schemas.openxmlformats.org/officeDocument/2006/relationships" ref="A259" r:id="rId331"/>
    <hyperlink xmlns:r="http://schemas.openxmlformats.org/officeDocument/2006/relationships" ref="K258" r:id="rId332"/>
    <hyperlink xmlns:r="http://schemas.openxmlformats.org/officeDocument/2006/relationships" ref="A260" r:id="rId333"/>
    <hyperlink xmlns:r="http://schemas.openxmlformats.org/officeDocument/2006/relationships" ref="A261" r:id="rId334"/>
    <hyperlink xmlns:r="http://schemas.openxmlformats.org/officeDocument/2006/relationships" ref="K260" r:id="rId335"/>
    <hyperlink xmlns:r="http://schemas.openxmlformats.org/officeDocument/2006/relationships" ref="A262" r:id="rId336"/>
    <hyperlink xmlns:r="http://schemas.openxmlformats.org/officeDocument/2006/relationships" ref="A263" r:id="rId337"/>
    <hyperlink xmlns:r="http://schemas.openxmlformats.org/officeDocument/2006/relationships" ref="K262" r:id="rId338"/>
    <hyperlink xmlns:r="http://schemas.openxmlformats.org/officeDocument/2006/relationships" ref="A264" r:id="rId339"/>
    <hyperlink xmlns:r="http://schemas.openxmlformats.org/officeDocument/2006/relationships" ref="A265" r:id="rId340"/>
    <hyperlink xmlns:r="http://schemas.openxmlformats.org/officeDocument/2006/relationships" ref="K264" r:id="rId341"/>
    <hyperlink xmlns:r="http://schemas.openxmlformats.org/officeDocument/2006/relationships" ref="A266" r:id="rId342"/>
    <hyperlink xmlns:r="http://schemas.openxmlformats.org/officeDocument/2006/relationships" ref="A267" r:id="rId343"/>
    <hyperlink xmlns:r="http://schemas.openxmlformats.org/officeDocument/2006/relationships" ref="A268" r:id="rId344"/>
    <hyperlink xmlns:r="http://schemas.openxmlformats.org/officeDocument/2006/relationships" ref="K267" r:id="rId345"/>
    <hyperlink xmlns:r="http://schemas.openxmlformats.org/officeDocument/2006/relationships" ref="A269" r:id="rId346"/>
    <hyperlink xmlns:r="http://schemas.openxmlformats.org/officeDocument/2006/relationships" ref="A270" r:id="rId347"/>
    <hyperlink xmlns:r="http://schemas.openxmlformats.org/officeDocument/2006/relationships" ref="K269" r:id="rId348"/>
    <hyperlink xmlns:r="http://schemas.openxmlformats.org/officeDocument/2006/relationships" ref="A271" r:id="rId349"/>
    <hyperlink xmlns:r="http://schemas.openxmlformats.org/officeDocument/2006/relationships" ref="A272" r:id="rId350"/>
    <hyperlink xmlns:r="http://schemas.openxmlformats.org/officeDocument/2006/relationships" ref="K271" r:id="rId351"/>
    <hyperlink xmlns:r="http://schemas.openxmlformats.org/officeDocument/2006/relationships" ref="A273" r:id="rId352"/>
    <hyperlink xmlns:r="http://schemas.openxmlformats.org/officeDocument/2006/relationships" ref="A274" r:id="rId353"/>
    <hyperlink xmlns:r="http://schemas.openxmlformats.org/officeDocument/2006/relationships" ref="K273" r:id="rId354"/>
    <hyperlink xmlns:r="http://schemas.openxmlformats.org/officeDocument/2006/relationships" ref="A275" r:id="rId355"/>
    <hyperlink xmlns:r="http://schemas.openxmlformats.org/officeDocument/2006/relationships" ref="A276" r:id="rId356"/>
    <hyperlink xmlns:r="http://schemas.openxmlformats.org/officeDocument/2006/relationships" ref="K275" r:id="rId357"/>
    <hyperlink xmlns:r="http://schemas.openxmlformats.org/officeDocument/2006/relationships" ref="A277" r:id="rId358"/>
    <hyperlink xmlns:r="http://schemas.openxmlformats.org/officeDocument/2006/relationships" ref="A278" r:id="rId359"/>
    <hyperlink xmlns:r="http://schemas.openxmlformats.org/officeDocument/2006/relationships" ref="K277" r:id="rId360"/>
    <hyperlink xmlns:r="http://schemas.openxmlformats.org/officeDocument/2006/relationships" ref="A279" r:id="rId361"/>
    <hyperlink xmlns:r="http://schemas.openxmlformats.org/officeDocument/2006/relationships" ref="A280" r:id="rId362"/>
    <hyperlink xmlns:r="http://schemas.openxmlformats.org/officeDocument/2006/relationships" ref="A281" r:id="rId363"/>
    <hyperlink xmlns:r="http://schemas.openxmlformats.org/officeDocument/2006/relationships" ref="A282" r:id="rId364"/>
    <hyperlink xmlns:r="http://schemas.openxmlformats.org/officeDocument/2006/relationships" ref="A283" r:id="rId365"/>
    <hyperlink xmlns:r="http://schemas.openxmlformats.org/officeDocument/2006/relationships" ref="A284" r:id="rId366"/>
    <hyperlink xmlns:r="http://schemas.openxmlformats.org/officeDocument/2006/relationships" ref="A285" r:id="rId367"/>
    <hyperlink xmlns:r="http://schemas.openxmlformats.org/officeDocument/2006/relationships" ref="A286" r:id="rId368"/>
    <hyperlink xmlns:r="http://schemas.openxmlformats.org/officeDocument/2006/relationships" ref="A287" r:id="rId369"/>
    <hyperlink xmlns:r="http://schemas.openxmlformats.org/officeDocument/2006/relationships" ref="A288" r:id="rId370"/>
    <hyperlink xmlns:r="http://schemas.openxmlformats.org/officeDocument/2006/relationships" ref="A289" r:id="rId371"/>
    <hyperlink xmlns:r="http://schemas.openxmlformats.org/officeDocument/2006/relationships" ref="A290" r:id="rId372"/>
    <hyperlink xmlns:r="http://schemas.openxmlformats.org/officeDocument/2006/relationships" ref="A291" r:id="rId373"/>
    <hyperlink xmlns:r="http://schemas.openxmlformats.org/officeDocument/2006/relationships" ref="A292" r:id="rId374"/>
    <hyperlink xmlns:r="http://schemas.openxmlformats.org/officeDocument/2006/relationships" ref="A293" r:id="rId375"/>
    <hyperlink xmlns:r="http://schemas.openxmlformats.org/officeDocument/2006/relationships" ref="A294" r:id="rId376"/>
    <hyperlink xmlns:r="http://schemas.openxmlformats.org/officeDocument/2006/relationships" ref="A295" r:id="rId377"/>
    <hyperlink xmlns:r="http://schemas.openxmlformats.org/officeDocument/2006/relationships" ref="A296" r:id="rId378"/>
    <hyperlink xmlns:r="http://schemas.openxmlformats.org/officeDocument/2006/relationships" ref="A297" r:id="rId379"/>
    <hyperlink xmlns:r="http://schemas.openxmlformats.org/officeDocument/2006/relationships" ref="A298" r:id="rId380"/>
    <hyperlink xmlns:r="http://schemas.openxmlformats.org/officeDocument/2006/relationships" ref="A299" r:id="rId381"/>
    <hyperlink xmlns:r="http://schemas.openxmlformats.org/officeDocument/2006/relationships" ref="A300" r:id="rId382"/>
    <hyperlink xmlns:r="http://schemas.openxmlformats.org/officeDocument/2006/relationships" ref="A301" r:id="rId383"/>
    <hyperlink xmlns:r="http://schemas.openxmlformats.org/officeDocument/2006/relationships" ref="A302" r:id="rId384"/>
    <hyperlink xmlns:r="http://schemas.openxmlformats.org/officeDocument/2006/relationships" ref="A303" r:id="rId385"/>
    <hyperlink xmlns:r="http://schemas.openxmlformats.org/officeDocument/2006/relationships" ref="A304" r:id="rId386"/>
    <hyperlink xmlns:r="http://schemas.openxmlformats.org/officeDocument/2006/relationships" ref="A305" r:id="rId387"/>
    <hyperlink xmlns:r="http://schemas.openxmlformats.org/officeDocument/2006/relationships" ref="A306" r:id="rId388"/>
    <hyperlink xmlns:r="http://schemas.openxmlformats.org/officeDocument/2006/relationships" ref="A307" r:id="rId389"/>
    <hyperlink xmlns:r="http://schemas.openxmlformats.org/officeDocument/2006/relationships" ref="K306" r:id="rId390"/>
    <hyperlink xmlns:r="http://schemas.openxmlformats.org/officeDocument/2006/relationships" ref="A308" r:id="rId391"/>
    <hyperlink xmlns:r="http://schemas.openxmlformats.org/officeDocument/2006/relationships" ref="K307" r:id="rId392"/>
    <hyperlink xmlns:r="http://schemas.openxmlformats.org/officeDocument/2006/relationships" ref="A309" r:id="rId393"/>
    <hyperlink xmlns:r="http://schemas.openxmlformats.org/officeDocument/2006/relationships" ref="K308" r:id="rId394"/>
    <hyperlink xmlns:r="http://schemas.openxmlformats.org/officeDocument/2006/relationships" ref="A310" r:id="rId395"/>
    <hyperlink xmlns:r="http://schemas.openxmlformats.org/officeDocument/2006/relationships" ref="K309" r:id="rId396"/>
    <hyperlink xmlns:r="http://schemas.openxmlformats.org/officeDocument/2006/relationships" ref="A311" r:id="rId397"/>
    <hyperlink xmlns:r="http://schemas.openxmlformats.org/officeDocument/2006/relationships" ref="K310" r:id="rId398"/>
    <hyperlink xmlns:r="http://schemas.openxmlformats.org/officeDocument/2006/relationships" ref="A312" r:id="rId399"/>
    <hyperlink xmlns:r="http://schemas.openxmlformats.org/officeDocument/2006/relationships" ref="K311" r:id="rId400"/>
    <hyperlink xmlns:r="http://schemas.openxmlformats.org/officeDocument/2006/relationships" ref="A313" r:id="rId401"/>
    <hyperlink xmlns:r="http://schemas.openxmlformats.org/officeDocument/2006/relationships" ref="K312" r:id="rId402"/>
    <hyperlink xmlns:r="http://schemas.openxmlformats.org/officeDocument/2006/relationships" ref="A314" r:id="rId403"/>
    <hyperlink xmlns:r="http://schemas.openxmlformats.org/officeDocument/2006/relationships" ref="K313" r:id="rId404"/>
    <hyperlink xmlns:r="http://schemas.openxmlformats.org/officeDocument/2006/relationships" ref="A315" r:id="rId405"/>
    <hyperlink xmlns:r="http://schemas.openxmlformats.org/officeDocument/2006/relationships" ref="K314" r:id="rId406"/>
    <hyperlink xmlns:r="http://schemas.openxmlformats.org/officeDocument/2006/relationships" ref="A316" r:id="rId407"/>
    <hyperlink xmlns:r="http://schemas.openxmlformats.org/officeDocument/2006/relationships" ref="K315" r:id="rId408"/>
    <hyperlink xmlns:r="http://schemas.openxmlformats.org/officeDocument/2006/relationships" ref="A317" r:id="rId409"/>
    <hyperlink xmlns:r="http://schemas.openxmlformats.org/officeDocument/2006/relationships" ref="K316" r:id="rId410"/>
    <hyperlink xmlns:r="http://schemas.openxmlformats.org/officeDocument/2006/relationships" ref="A318" r:id="rId411"/>
    <hyperlink xmlns:r="http://schemas.openxmlformats.org/officeDocument/2006/relationships" ref="K317" r:id="rId412"/>
    <hyperlink xmlns:r="http://schemas.openxmlformats.org/officeDocument/2006/relationships" ref="A319" r:id="rId413"/>
    <hyperlink xmlns:r="http://schemas.openxmlformats.org/officeDocument/2006/relationships" ref="K318" r:id="rId414"/>
    <hyperlink xmlns:r="http://schemas.openxmlformats.org/officeDocument/2006/relationships" ref="A320" r:id="rId415"/>
    <hyperlink xmlns:r="http://schemas.openxmlformats.org/officeDocument/2006/relationships" ref="K319" r:id="rId416"/>
    <hyperlink xmlns:r="http://schemas.openxmlformats.org/officeDocument/2006/relationships" ref="A321" r:id="rId417"/>
    <hyperlink xmlns:r="http://schemas.openxmlformats.org/officeDocument/2006/relationships" ref="K320" r:id="rId418"/>
    <hyperlink xmlns:r="http://schemas.openxmlformats.org/officeDocument/2006/relationships" ref="A322" r:id="rId419"/>
    <hyperlink xmlns:r="http://schemas.openxmlformats.org/officeDocument/2006/relationships" ref="K321" r:id="rId420"/>
    <hyperlink xmlns:r="http://schemas.openxmlformats.org/officeDocument/2006/relationships" ref="A323" r:id="rId421"/>
    <hyperlink xmlns:r="http://schemas.openxmlformats.org/officeDocument/2006/relationships" ref="K322" r:id="rId422"/>
    <hyperlink xmlns:r="http://schemas.openxmlformats.org/officeDocument/2006/relationships" ref="A324" r:id="rId423"/>
    <hyperlink xmlns:r="http://schemas.openxmlformats.org/officeDocument/2006/relationships" ref="K323" r:id="rId424"/>
    <hyperlink xmlns:r="http://schemas.openxmlformats.org/officeDocument/2006/relationships" ref="A325" r:id="rId425"/>
    <hyperlink xmlns:r="http://schemas.openxmlformats.org/officeDocument/2006/relationships" ref="K324" r:id="rId426"/>
    <hyperlink xmlns:r="http://schemas.openxmlformats.org/officeDocument/2006/relationships" ref="A326" r:id="rId427"/>
    <hyperlink xmlns:r="http://schemas.openxmlformats.org/officeDocument/2006/relationships" ref="K325" r:id="rId428"/>
    <hyperlink xmlns:r="http://schemas.openxmlformats.org/officeDocument/2006/relationships" ref="A327" r:id="rId429"/>
    <hyperlink xmlns:r="http://schemas.openxmlformats.org/officeDocument/2006/relationships" ref="K326" r:id="rId430"/>
    <hyperlink xmlns:r="http://schemas.openxmlformats.org/officeDocument/2006/relationships" ref="A328" r:id="rId431"/>
    <hyperlink xmlns:r="http://schemas.openxmlformats.org/officeDocument/2006/relationships" ref="K327" r:id="rId432"/>
    <hyperlink xmlns:r="http://schemas.openxmlformats.org/officeDocument/2006/relationships" ref="A329" r:id="rId433"/>
    <hyperlink xmlns:r="http://schemas.openxmlformats.org/officeDocument/2006/relationships" ref="K328" r:id="rId434"/>
    <hyperlink xmlns:r="http://schemas.openxmlformats.org/officeDocument/2006/relationships" ref="A330" r:id="rId435"/>
    <hyperlink xmlns:r="http://schemas.openxmlformats.org/officeDocument/2006/relationships" ref="K329" r:id="rId436"/>
    <hyperlink xmlns:r="http://schemas.openxmlformats.org/officeDocument/2006/relationships" ref="A331" r:id="rId437"/>
    <hyperlink xmlns:r="http://schemas.openxmlformats.org/officeDocument/2006/relationships" ref="K330" r:id="rId438"/>
    <hyperlink xmlns:r="http://schemas.openxmlformats.org/officeDocument/2006/relationships" ref="A332" r:id="rId439"/>
    <hyperlink xmlns:r="http://schemas.openxmlformats.org/officeDocument/2006/relationships" ref="K331" r:id="rId440"/>
    <hyperlink xmlns:r="http://schemas.openxmlformats.org/officeDocument/2006/relationships" ref="A333" r:id="rId441"/>
    <hyperlink xmlns:r="http://schemas.openxmlformats.org/officeDocument/2006/relationships" ref="K332" r:id="rId442"/>
    <hyperlink xmlns:r="http://schemas.openxmlformats.org/officeDocument/2006/relationships" ref="A334" r:id="rId443"/>
    <hyperlink xmlns:r="http://schemas.openxmlformats.org/officeDocument/2006/relationships" ref="K333" r:id="rId444"/>
    <hyperlink xmlns:r="http://schemas.openxmlformats.org/officeDocument/2006/relationships" ref="A335" r:id="rId445"/>
    <hyperlink xmlns:r="http://schemas.openxmlformats.org/officeDocument/2006/relationships" ref="K334" r:id="rId446"/>
    <hyperlink xmlns:r="http://schemas.openxmlformats.org/officeDocument/2006/relationships" ref="A336" r:id="rId447"/>
    <hyperlink xmlns:r="http://schemas.openxmlformats.org/officeDocument/2006/relationships" ref="K335" r:id="rId448"/>
    <hyperlink xmlns:r="http://schemas.openxmlformats.org/officeDocument/2006/relationships" ref="A337" r:id="rId449"/>
    <hyperlink xmlns:r="http://schemas.openxmlformats.org/officeDocument/2006/relationships" ref="K336" r:id="rId450"/>
    <hyperlink xmlns:r="http://schemas.openxmlformats.org/officeDocument/2006/relationships" ref="A338" r:id="rId451"/>
    <hyperlink xmlns:r="http://schemas.openxmlformats.org/officeDocument/2006/relationships" ref="K337" r:id="rId452"/>
    <hyperlink xmlns:r="http://schemas.openxmlformats.org/officeDocument/2006/relationships" ref="A339" r:id="rId453"/>
    <hyperlink xmlns:r="http://schemas.openxmlformats.org/officeDocument/2006/relationships" ref="K338" r:id="rId454"/>
    <hyperlink xmlns:r="http://schemas.openxmlformats.org/officeDocument/2006/relationships" ref="A340" r:id="rId455"/>
    <hyperlink xmlns:r="http://schemas.openxmlformats.org/officeDocument/2006/relationships" ref="K339" r:id="rId456"/>
    <hyperlink xmlns:r="http://schemas.openxmlformats.org/officeDocument/2006/relationships" ref="A341" r:id="rId457"/>
    <hyperlink xmlns:r="http://schemas.openxmlformats.org/officeDocument/2006/relationships" ref="K340" r:id="rId458"/>
    <hyperlink xmlns:r="http://schemas.openxmlformats.org/officeDocument/2006/relationships" ref="A342" r:id="rId459"/>
    <hyperlink xmlns:r="http://schemas.openxmlformats.org/officeDocument/2006/relationships" ref="K341" r:id="rId460"/>
    <hyperlink xmlns:r="http://schemas.openxmlformats.org/officeDocument/2006/relationships" ref="A343" r:id="rId461"/>
    <hyperlink xmlns:r="http://schemas.openxmlformats.org/officeDocument/2006/relationships" ref="K342" r:id="rId462"/>
    <hyperlink xmlns:r="http://schemas.openxmlformats.org/officeDocument/2006/relationships" ref="A344" r:id="rId463"/>
    <hyperlink xmlns:r="http://schemas.openxmlformats.org/officeDocument/2006/relationships" ref="K343" r:id="rId464"/>
    <hyperlink xmlns:r="http://schemas.openxmlformats.org/officeDocument/2006/relationships" ref="A345" r:id="rId465"/>
    <hyperlink xmlns:r="http://schemas.openxmlformats.org/officeDocument/2006/relationships" ref="K344" r:id="rId466"/>
    <hyperlink xmlns:r="http://schemas.openxmlformats.org/officeDocument/2006/relationships" ref="A346" r:id="rId467"/>
    <hyperlink xmlns:r="http://schemas.openxmlformats.org/officeDocument/2006/relationships" ref="K345" r:id="rId468"/>
    <hyperlink xmlns:r="http://schemas.openxmlformats.org/officeDocument/2006/relationships" ref="A347" r:id="rId469"/>
    <hyperlink xmlns:r="http://schemas.openxmlformats.org/officeDocument/2006/relationships" ref="K346" r:id="rId470"/>
    <hyperlink xmlns:r="http://schemas.openxmlformats.org/officeDocument/2006/relationships" ref="A348" r:id="rId471"/>
    <hyperlink xmlns:r="http://schemas.openxmlformats.org/officeDocument/2006/relationships" ref="K347" r:id="rId472"/>
    <hyperlink xmlns:r="http://schemas.openxmlformats.org/officeDocument/2006/relationships" ref="A349" r:id="rId473"/>
    <hyperlink xmlns:r="http://schemas.openxmlformats.org/officeDocument/2006/relationships" ref="K348" r:id="rId474"/>
    <hyperlink xmlns:r="http://schemas.openxmlformats.org/officeDocument/2006/relationships" ref="A350" r:id="rId475"/>
    <hyperlink xmlns:r="http://schemas.openxmlformats.org/officeDocument/2006/relationships" ref="K349" r:id="rId476"/>
    <hyperlink xmlns:r="http://schemas.openxmlformats.org/officeDocument/2006/relationships" ref="A351" r:id="rId477"/>
    <hyperlink xmlns:r="http://schemas.openxmlformats.org/officeDocument/2006/relationships" ref="K350" r:id="rId478"/>
    <hyperlink xmlns:r="http://schemas.openxmlformats.org/officeDocument/2006/relationships" ref="A352" r:id="rId479"/>
    <hyperlink xmlns:r="http://schemas.openxmlformats.org/officeDocument/2006/relationships" ref="K351" r:id="rId480"/>
    <hyperlink xmlns:r="http://schemas.openxmlformats.org/officeDocument/2006/relationships" ref="A353" r:id="rId481"/>
    <hyperlink xmlns:r="http://schemas.openxmlformats.org/officeDocument/2006/relationships" ref="K352" r:id="rId482"/>
    <hyperlink xmlns:r="http://schemas.openxmlformats.org/officeDocument/2006/relationships" ref="A354" r:id="rId483"/>
    <hyperlink xmlns:r="http://schemas.openxmlformats.org/officeDocument/2006/relationships" ref="K353" r:id="rId484"/>
    <hyperlink xmlns:r="http://schemas.openxmlformats.org/officeDocument/2006/relationships" ref="A355" r:id="rId485"/>
    <hyperlink xmlns:r="http://schemas.openxmlformats.org/officeDocument/2006/relationships" ref="K354" r:id="rId486"/>
    <hyperlink xmlns:r="http://schemas.openxmlformats.org/officeDocument/2006/relationships" ref="A356" r:id="rId487"/>
    <hyperlink xmlns:r="http://schemas.openxmlformats.org/officeDocument/2006/relationships" ref="K355" r:id="rId488"/>
    <hyperlink xmlns:r="http://schemas.openxmlformats.org/officeDocument/2006/relationships" ref="A357" r:id="rId489"/>
    <hyperlink xmlns:r="http://schemas.openxmlformats.org/officeDocument/2006/relationships" ref="K356" r:id="rId490"/>
    <hyperlink xmlns:r="http://schemas.openxmlformats.org/officeDocument/2006/relationships" ref="A358" r:id="rId491"/>
    <hyperlink xmlns:r="http://schemas.openxmlformats.org/officeDocument/2006/relationships" ref="K357" r:id="rId492"/>
    <hyperlink xmlns:r="http://schemas.openxmlformats.org/officeDocument/2006/relationships" ref="A359" r:id="rId493"/>
    <hyperlink xmlns:r="http://schemas.openxmlformats.org/officeDocument/2006/relationships" ref="K358" r:id="rId494"/>
    <hyperlink xmlns:r="http://schemas.openxmlformats.org/officeDocument/2006/relationships" ref="A360" r:id="rId495"/>
    <hyperlink xmlns:r="http://schemas.openxmlformats.org/officeDocument/2006/relationships" ref="K359" r:id="rId496"/>
    <hyperlink xmlns:r="http://schemas.openxmlformats.org/officeDocument/2006/relationships" ref="A361" r:id="rId497"/>
    <hyperlink xmlns:r="http://schemas.openxmlformats.org/officeDocument/2006/relationships" ref="K360" r:id="rId498"/>
    <hyperlink xmlns:r="http://schemas.openxmlformats.org/officeDocument/2006/relationships" ref="A362" r:id="rId499"/>
    <hyperlink xmlns:r="http://schemas.openxmlformats.org/officeDocument/2006/relationships" ref="K361" r:id="rId500"/>
    <hyperlink xmlns:r="http://schemas.openxmlformats.org/officeDocument/2006/relationships" ref="A363" r:id="rId501"/>
    <hyperlink xmlns:r="http://schemas.openxmlformats.org/officeDocument/2006/relationships" ref="K362" r:id="rId502"/>
    <hyperlink xmlns:r="http://schemas.openxmlformats.org/officeDocument/2006/relationships" ref="A364" r:id="rId503"/>
    <hyperlink xmlns:r="http://schemas.openxmlformats.org/officeDocument/2006/relationships" ref="K363" r:id="rId504"/>
    <hyperlink xmlns:r="http://schemas.openxmlformats.org/officeDocument/2006/relationships" ref="A365" r:id="rId505"/>
    <hyperlink xmlns:r="http://schemas.openxmlformats.org/officeDocument/2006/relationships" ref="K364" r:id="rId506"/>
    <hyperlink xmlns:r="http://schemas.openxmlformats.org/officeDocument/2006/relationships" ref="A366" r:id="rId507"/>
    <hyperlink xmlns:r="http://schemas.openxmlformats.org/officeDocument/2006/relationships" ref="K365" r:id="rId508"/>
    <hyperlink xmlns:r="http://schemas.openxmlformats.org/officeDocument/2006/relationships" ref="A367" r:id="rId509"/>
    <hyperlink xmlns:r="http://schemas.openxmlformats.org/officeDocument/2006/relationships" ref="K366" r:id="rId510"/>
    <hyperlink xmlns:r="http://schemas.openxmlformats.org/officeDocument/2006/relationships" ref="A368" r:id="rId511"/>
    <hyperlink xmlns:r="http://schemas.openxmlformats.org/officeDocument/2006/relationships" ref="K367" r:id="rId512"/>
    <hyperlink xmlns:r="http://schemas.openxmlformats.org/officeDocument/2006/relationships" ref="A369" r:id="rId513"/>
    <hyperlink xmlns:r="http://schemas.openxmlformats.org/officeDocument/2006/relationships" ref="K368" r:id="rId514"/>
    <hyperlink xmlns:r="http://schemas.openxmlformats.org/officeDocument/2006/relationships" ref="A370" r:id="rId515"/>
    <hyperlink xmlns:r="http://schemas.openxmlformats.org/officeDocument/2006/relationships" ref="K369" r:id="rId516"/>
    <hyperlink xmlns:r="http://schemas.openxmlformats.org/officeDocument/2006/relationships" ref="A371" r:id="rId517"/>
    <hyperlink xmlns:r="http://schemas.openxmlformats.org/officeDocument/2006/relationships" ref="K370" r:id="rId518"/>
    <hyperlink xmlns:r="http://schemas.openxmlformats.org/officeDocument/2006/relationships" ref="A372" r:id="rId519"/>
    <hyperlink xmlns:r="http://schemas.openxmlformats.org/officeDocument/2006/relationships" ref="K371" r:id="rId520"/>
    <hyperlink xmlns:r="http://schemas.openxmlformats.org/officeDocument/2006/relationships" ref="A373" r:id="rId521"/>
    <hyperlink xmlns:r="http://schemas.openxmlformats.org/officeDocument/2006/relationships" ref="K372" r:id="rId522"/>
    <hyperlink xmlns:r="http://schemas.openxmlformats.org/officeDocument/2006/relationships" ref="A374" r:id="rId523"/>
    <hyperlink xmlns:r="http://schemas.openxmlformats.org/officeDocument/2006/relationships" ref="K373" r:id="rId524"/>
    <hyperlink xmlns:r="http://schemas.openxmlformats.org/officeDocument/2006/relationships" ref="A375" r:id="rId525"/>
    <hyperlink xmlns:r="http://schemas.openxmlformats.org/officeDocument/2006/relationships" ref="K374" r:id="rId526"/>
    <hyperlink xmlns:r="http://schemas.openxmlformats.org/officeDocument/2006/relationships" ref="A376" r:id="rId527"/>
    <hyperlink xmlns:r="http://schemas.openxmlformats.org/officeDocument/2006/relationships" ref="K375" r:id="rId528"/>
    <hyperlink xmlns:r="http://schemas.openxmlformats.org/officeDocument/2006/relationships" ref="A377" r:id="rId529"/>
    <hyperlink xmlns:r="http://schemas.openxmlformats.org/officeDocument/2006/relationships" ref="K376" r:id="rId530"/>
    <hyperlink xmlns:r="http://schemas.openxmlformats.org/officeDocument/2006/relationships" ref="A378" r:id="rId531"/>
    <hyperlink xmlns:r="http://schemas.openxmlformats.org/officeDocument/2006/relationships" ref="K377" r:id="rId532"/>
    <hyperlink xmlns:r="http://schemas.openxmlformats.org/officeDocument/2006/relationships" ref="A379" r:id="rId533"/>
    <hyperlink xmlns:r="http://schemas.openxmlformats.org/officeDocument/2006/relationships" ref="K378" r:id="rId534"/>
    <hyperlink xmlns:r="http://schemas.openxmlformats.org/officeDocument/2006/relationships" ref="A380" r:id="rId535"/>
    <hyperlink xmlns:r="http://schemas.openxmlformats.org/officeDocument/2006/relationships" ref="K379" r:id="rId536"/>
    <hyperlink xmlns:r="http://schemas.openxmlformats.org/officeDocument/2006/relationships" ref="A381" r:id="rId537"/>
    <hyperlink xmlns:r="http://schemas.openxmlformats.org/officeDocument/2006/relationships" ref="K380" r:id="rId538"/>
    <hyperlink xmlns:r="http://schemas.openxmlformats.org/officeDocument/2006/relationships" ref="A382" r:id="rId539"/>
    <hyperlink xmlns:r="http://schemas.openxmlformats.org/officeDocument/2006/relationships" ref="K381" r:id="rId540"/>
    <hyperlink xmlns:r="http://schemas.openxmlformats.org/officeDocument/2006/relationships" ref="A383" r:id="rId541"/>
    <hyperlink xmlns:r="http://schemas.openxmlformats.org/officeDocument/2006/relationships" ref="K382" r:id="rId542"/>
    <hyperlink xmlns:r="http://schemas.openxmlformats.org/officeDocument/2006/relationships" ref="A384" r:id="rId543"/>
    <hyperlink xmlns:r="http://schemas.openxmlformats.org/officeDocument/2006/relationships" ref="K383" r:id="rId544"/>
    <hyperlink xmlns:r="http://schemas.openxmlformats.org/officeDocument/2006/relationships" ref="A385" r:id="rId545"/>
    <hyperlink xmlns:r="http://schemas.openxmlformats.org/officeDocument/2006/relationships" ref="K384" r:id="rId546"/>
    <hyperlink xmlns:r="http://schemas.openxmlformats.org/officeDocument/2006/relationships" ref="A386" r:id="rId547"/>
    <hyperlink xmlns:r="http://schemas.openxmlformats.org/officeDocument/2006/relationships" ref="K385" r:id="rId548"/>
    <hyperlink xmlns:r="http://schemas.openxmlformats.org/officeDocument/2006/relationships" ref="A387" r:id="rId549"/>
    <hyperlink xmlns:r="http://schemas.openxmlformats.org/officeDocument/2006/relationships" ref="K386" r:id="rId550"/>
    <hyperlink xmlns:r="http://schemas.openxmlformats.org/officeDocument/2006/relationships" ref="A388" r:id="rId551"/>
    <hyperlink xmlns:r="http://schemas.openxmlformats.org/officeDocument/2006/relationships" ref="K387" r:id="rId552"/>
    <hyperlink xmlns:r="http://schemas.openxmlformats.org/officeDocument/2006/relationships" ref="A389" r:id="rId553"/>
    <hyperlink xmlns:r="http://schemas.openxmlformats.org/officeDocument/2006/relationships" ref="K388" r:id="rId554"/>
  </hyperlink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E67E22"/>
    <outlinePr summaryBelow="1" summaryRight="1"/>
    <pageSetUpPr fitToPage="1"/>
  </sheetPr>
  <dimension ref="A1:G85"/>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50" customWidth="1" min="1" max="1"/>
    <col width="50" customWidth="1" min="2" max="2"/>
    <col width="30" customWidth="1" min="3" max="3"/>
    <col width="15" customWidth="1" min="4" max="4"/>
    <col width="11" customWidth="1" min="5" max="5"/>
    <col width="13" customWidth="1" min="6" max="6"/>
    <col width="16" customWidth="1" min="7" max="7"/>
  </cols>
  <sheetData>
    <row r="1" ht="20" customHeight="1">
      <c r="A1" s="77" t="inlineStr">
        <is>
          <t>← Return to Executive Briefing</t>
        </is>
      </c>
      <c r="B1" s="77" t="n"/>
      <c r="C1" s="77">
        <f>IFERROR(INDEX('Audit Run Details'!$B:$B,MATCH("Target Site",'Audit Run Details'!$A:$A,0)),"") &amp; " — " &amp; IFERROR(INDEX('Audit Run Details'!$B:$B,MATCH("Total URLs",'Audit Run Details'!$A:$A,0)),"") &amp; " URLs crawled — " &amp; LEFT(IFERROR(INDEX('Audit Run Details'!$B:$B,MATCH("Run Timestamp",'Audit Run Details'!$A:$A,0)),""),10)</f>
        <v/>
      </c>
      <c r="D1" s="77" t="n"/>
      <c r="E1" s="77" t="n"/>
      <c r="F1" s="77" t="n"/>
      <c r="G1" s="77" t="n"/>
    </row>
    <row r="2" ht="30" customHeight="1">
      <c r="A2" s="26" t="inlineStr">
        <is>
          <t>Source URL</t>
        </is>
      </c>
      <c r="B2" s="26" t="inlineStr">
        <is>
          <t>Target URL</t>
        </is>
      </c>
      <c r="C2" s="26" t="inlineStr">
        <is>
          <t>Anchor Text</t>
        </is>
      </c>
      <c r="D2" s="26" t="inlineStr">
        <is>
          <t>Rel Attribute</t>
        </is>
      </c>
      <c r="E2" s="26" t="inlineStr">
        <is>
          <t>Link Type</t>
        </is>
      </c>
      <c r="F2" s="27" t="inlineStr">
        <is>
          <t>Status Code</t>
        </is>
      </c>
      <c r="G2" s="26" t="inlineStr">
        <is>
          <t>Generic Anchor</t>
        </is>
      </c>
    </row>
    <row r="3" ht="18" customHeight="1">
      <c r="A3" s="78" t="inlineStr">
        <is>
          <t>https://africanmarketingconfederation.org/</t>
        </is>
      </c>
      <c r="B3" s="20" t="inlineStr">
        <is>
          <t>https://africanmarketingconfederation.org/</t>
        </is>
      </c>
      <c r="C3" s="28" t="inlineStr">
        <is>
          <t>Smoke anchor</t>
        </is>
      </c>
      <c r="D3" s="28" t="inlineStr"/>
      <c r="E3" s="28" t="inlineStr"/>
      <c r="F3" s="32" t="n">
        <v>200</v>
      </c>
      <c r="G3" s="28" t="inlineStr"/>
    </row>
    <row r="4" ht="18" customHeight="1">
      <c r="A4" s="78" t="inlineStr">
        <is>
          <t>https://africanmarketingconfederation.org/smoke-archive/page-1</t>
        </is>
      </c>
      <c r="B4" s="31" t="inlineStr">
        <is>
          <t>https://africanmarketingconfederation.org/discovered-via-bfs-1/</t>
        </is>
      </c>
      <c r="C4" s="30" t="inlineStr">
        <is>
          <t>Smoke anchor</t>
        </is>
      </c>
      <c r="D4" s="30" t="inlineStr"/>
      <c r="E4" s="30" t="inlineStr"/>
      <c r="F4" s="32" t="n">
        <v>200</v>
      </c>
      <c r="G4" s="30" t="inlineStr"/>
    </row>
    <row r="5" ht="18" customHeight="1">
      <c r="A5" s="78" t="inlineStr">
        <is>
          <t>https://africanmarketingconfederation.org/smoke-archive/page-2</t>
        </is>
      </c>
      <c r="B5" s="20" t="inlineStr">
        <is>
          <t>https://africanmarketingconfederation.org/</t>
        </is>
      </c>
      <c r="C5" s="28" t="inlineStr">
        <is>
          <t>Smoke anchor</t>
        </is>
      </c>
      <c r="D5" s="28" t="inlineStr"/>
      <c r="E5" s="28" t="inlineStr"/>
      <c r="F5" s="32" t="n">
        <v>200</v>
      </c>
      <c r="G5" s="28" t="inlineStr"/>
    </row>
    <row r="6" ht="18" customHeight="1">
      <c r="A6" s="78" t="inlineStr">
        <is>
          <t>https://africanmarketingconfederation.org/smoke-archive/page-3</t>
        </is>
      </c>
      <c r="B6" s="31" t="inlineStr">
        <is>
          <t>https://africanmarketingconfederation.org/</t>
        </is>
      </c>
      <c r="C6" s="30" t="inlineStr">
        <is>
          <t>Smoke anchor</t>
        </is>
      </c>
      <c r="D6" s="30" t="inlineStr"/>
      <c r="E6" s="30" t="inlineStr"/>
      <c r="F6" s="32" t="n">
        <v>200</v>
      </c>
      <c r="G6" s="30" t="inlineStr"/>
    </row>
    <row r="7" ht="18" customHeight="1">
      <c r="A7" s="78" t="inlineStr">
        <is>
          <t>https://africanmarketingconfederation.org/smoke-archive/page-4</t>
        </is>
      </c>
      <c r="B7" s="20" t="inlineStr">
        <is>
          <t>https://africanmarketingconfederation.org/</t>
        </is>
      </c>
      <c r="C7" s="28" t="inlineStr">
        <is>
          <t>Smoke anchor</t>
        </is>
      </c>
      <c r="D7" s="28" t="inlineStr"/>
      <c r="E7" s="28" t="inlineStr"/>
      <c r="F7" s="32" t="n">
        <v>200</v>
      </c>
      <c r="G7" s="28" t="inlineStr"/>
    </row>
    <row r="8" ht="18" customHeight="1">
      <c r="A8" s="78" t="inlineStr">
        <is>
          <t>https://africanmarketingconfederation.org/smoke-archive/page-5</t>
        </is>
      </c>
      <c r="B8" s="31" t="inlineStr">
        <is>
          <t>https://africanmarketingconfederation.org/</t>
        </is>
      </c>
      <c r="C8" s="30" t="inlineStr">
        <is>
          <t>Smoke anchor</t>
        </is>
      </c>
      <c r="D8" s="30" t="inlineStr"/>
      <c r="E8" s="30" t="inlineStr"/>
      <c r="F8" s="32" t="n">
        <v>200</v>
      </c>
      <c r="G8" s="30" t="inlineStr"/>
    </row>
    <row r="9" ht="18" customHeight="1">
      <c r="A9" s="78" t="inlineStr">
        <is>
          <t>https://africanmarketingconfederation.org/smoke-archive/page-6</t>
        </is>
      </c>
      <c r="B9" s="20" t="inlineStr">
        <is>
          <t>https://africanmarketingconfederation.org/</t>
        </is>
      </c>
      <c r="C9" s="28" t="inlineStr">
        <is>
          <t>Smoke anchor</t>
        </is>
      </c>
      <c r="D9" s="28" t="inlineStr"/>
      <c r="E9" s="28" t="inlineStr"/>
      <c r="F9" s="32" t="n">
        <v>200</v>
      </c>
      <c r="G9" s="28" t="inlineStr"/>
    </row>
    <row r="10" ht="18" customHeight="1">
      <c r="A10" s="78" t="inlineStr">
        <is>
          <t>https://africanmarketingconfederation.org/smoke-archive/page-7</t>
        </is>
      </c>
      <c r="B10" s="31" t="inlineStr">
        <is>
          <t>https://africanmarketingconfederation.org/</t>
        </is>
      </c>
      <c r="C10" s="30" t="inlineStr">
        <is>
          <t>Smoke anchor</t>
        </is>
      </c>
      <c r="D10" s="30" t="inlineStr"/>
      <c r="E10" s="30" t="inlineStr"/>
      <c r="F10" s="32" t="n">
        <v>200</v>
      </c>
      <c r="G10" s="30" t="inlineStr"/>
    </row>
    <row r="11" ht="18" customHeight="1">
      <c r="A11" s="78" t="inlineStr">
        <is>
          <t>https://africanmarketingconfederation.org/smoke-archive/page-8</t>
        </is>
      </c>
      <c r="B11" s="20" t="inlineStr">
        <is>
          <t>https://africanmarketingconfederation.org/</t>
        </is>
      </c>
      <c r="C11" s="28" t="inlineStr">
        <is>
          <t>Smoke anchor</t>
        </is>
      </c>
      <c r="D11" s="28" t="inlineStr"/>
      <c r="E11" s="28" t="inlineStr"/>
      <c r="F11" s="32" t="n">
        <v>200</v>
      </c>
      <c r="G11" s="28" t="inlineStr"/>
    </row>
    <row r="12" ht="18" customHeight="1">
      <c r="A12" s="78" t="inlineStr">
        <is>
          <t>https://africanmarketingconfederation.org/smoke-archive/page-9</t>
        </is>
      </c>
      <c r="B12" s="31" t="inlineStr">
        <is>
          <t>https://africanmarketingconfederation.org/</t>
        </is>
      </c>
      <c r="C12" s="30" t="inlineStr">
        <is>
          <t>Smoke anchor</t>
        </is>
      </c>
      <c r="D12" s="30" t="inlineStr"/>
      <c r="E12" s="30" t="inlineStr"/>
      <c r="F12" s="32" t="n">
        <v>200</v>
      </c>
      <c r="G12" s="30" t="inlineStr"/>
    </row>
    <row r="13" ht="18" customHeight="1">
      <c r="A13" s="78" t="inlineStr">
        <is>
          <t>https://africanmarketingconfederation.org/smoke-archive/page-10</t>
        </is>
      </c>
      <c r="B13" s="20" t="inlineStr">
        <is>
          <t>https://africanmarketingconfederation.org/</t>
        </is>
      </c>
      <c r="C13" s="28" t="inlineStr">
        <is>
          <t>Smoke anchor</t>
        </is>
      </c>
      <c r="D13" s="28" t="inlineStr"/>
      <c r="E13" s="28" t="inlineStr"/>
      <c r="F13" s="32" t="n">
        <v>200</v>
      </c>
      <c r="G13" s="28" t="inlineStr"/>
    </row>
    <row r="14" ht="18" customHeight="1">
      <c r="A14" s="78" t="inlineStr">
        <is>
          <t>https://africanmarketingconfederation.org/smoke-archive/page-11</t>
        </is>
      </c>
      <c r="B14" s="31" t="inlineStr">
        <is>
          <t>https://africanmarketingconfederation.org/</t>
        </is>
      </c>
      <c r="C14" s="30" t="inlineStr">
        <is>
          <t>Smoke anchor</t>
        </is>
      </c>
      <c r="D14" s="30" t="inlineStr"/>
      <c r="E14" s="30" t="inlineStr"/>
      <c r="F14" s="32" t="n">
        <v>200</v>
      </c>
      <c r="G14" s="30" t="inlineStr"/>
    </row>
    <row r="15" ht="18" customHeight="1">
      <c r="A15" s="78" t="inlineStr">
        <is>
          <t>https://africanmarketingconfederation.org/smoke-archive/page-12</t>
        </is>
      </c>
      <c r="B15" s="20" t="inlineStr">
        <is>
          <t>https://africanmarketingconfederation.org/</t>
        </is>
      </c>
      <c r="C15" s="28" t="inlineStr">
        <is>
          <t>Smoke anchor</t>
        </is>
      </c>
      <c r="D15" s="28" t="inlineStr"/>
      <c r="E15" s="28" t="inlineStr"/>
      <c r="F15" s="32" t="n">
        <v>200</v>
      </c>
      <c r="G15" s="28" t="inlineStr"/>
    </row>
    <row r="16" ht="18" customHeight="1">
      <c r="A16" s="78" t="inlineStr">
        <is>
          <t>https://africanmarketingconfederation.org/smoke-archive/page-13</t>
        </is>
      </c>
      <c r="B16" s="31" t="inlineStr">
        <is>
          <t>https://africanmarketingconfederation.org/</t>
        </is>
      </c>
      <c r="C16" s="30" t="inlineStr">
        <is>
          <t>Smoke anchor</t>
        </is>
      </c>
      <c r="D16" s="30" t="inlineStr"/>
      <c r="E16" s="30" t="inlineStr"/>
      <c r="F16" s="32" t="n">
        <v>200</v>
      </c>
      <c r="G16" s="30" t="inlineStr"/>
    </row>
    <row r="17" ht="18" customHeight="1">
      <c r="A17" s="78" t="inlineStr">
        <is>
          <t>https://africanmarketingconfederation.org/smoke-archive/page-14</t>
        </is>
      </c>
      <c r="B17" s="20" t="inlineStr">
        <is>
          <t>https://africanmarketingconfederation.org/</t>
        </is>
      </c>
      <c r="C17" s="28" t="inlineStr">
        <is>
          <t>Smoke anchor</t>
        </is>
      </c>
      <c r="D17" s="28" t="inlineStr"/>
      <c r="E17" s="28" t="inlineStr"/>
      <c r="F17" s="32" t="n">
        <v>200</v>
      </c>
      <c r="G17" s="28" t="inlineStr"/>
    </row>
    <row r="18" ht="18" customHeight="1">
      <c r="A18" s="78" t="inlineStr">
        <is>
          <t>https://africanmarketingconfederation.org/smoke-archive/page-15</t>
        </is>
      </c>
      <c r="B18" s="31" t="inlineStr">
        <is>
          <t>https://africanmarketingconfederation.org/</t>
        </is>
      </c>
      <c r="C18" s="30" t="inlineStr">
        <is>
          <t>Smoke anchor</t>
        </is>
      </c>
      <c r="D18" s="30" t="inlineStr"/>
      <c r="E18" s="30" t="inlineStr"/>
      <c r="F18" s="32" t="n">
        <v>200</v>
      </c>
      <c r="G18" s="30" t="inlineStr"/>
    </row>
    <row r="19" ht="18" customHeight="1">
      <c r="A19" s="78" t="inlineStr">
        <is>
          <t>https://africanmarketingconfederation.org/smoke-archive/page-16</t>
        </is>
      </c>
      <c r="B19" s="20" t="inlineStr">
        <is>
          <t>https://africanmarketingconfederation.org/</t>
        </is>
      </c>
      <c r="C19" s="28" t="inlineStr">
        <is>
          <t>Smoke anchor</t>
        </is>
      </c>
      <c r="D19" s="28" t="inlineStr"/>
      <c r="E19" s="28" t="inlineStr"/>
      <c r="F19" s="32" t="n">
        <v>200</v>
      </c>
      <c r="G19" s="28" t="inlineStr"/>
    </row>
    <row r="20" ht="18" customHeight="1">
      <c r="A20" s="78" t="inlineStr">
        <is>
          <t>https://africanmarketingconfederation.org/smoke-archive/page-17</t>
        </is>
      </c>
      <c r="B20" s="31" t="inlineStr">
        <is>
          <t>https://africanmarketingconfederation.org/</t>
        </is>
      </c>
      <c r="C20" s="30" t="inlineStr">
        <is>
          <t>Smoke anchor</t>
        </is>
      </c>
      <c r="D20" s="30" t="inlineStr"/>
      <c r="E20" s="30" t="inlineStr"/>
      <c r="F20" s="32" t="n">
        <v>200</v>
      </c>
      <c r="G20" s="30" t="inlineStr"/>
    </row>
    <row r="21" ht="18" customHeight="1">
      <c r="A21" s="78" t="inlineStr">
        <is>
          <t>https://africanmarketingconfederation.org/smoke-archive/page-18</t>
        </is>
      </c>
      <c r="B21" s="20" t="inlineStr">
        <is>
          <t>https://africanmarketingconfederation.org/</t>
        </is>
      </c>
      <c r="C21" s="28" t="inlineStr">
        <is>
          <t>Smoke anchor</t>
        </is>
      </c>
      <c r="D21" s="28" t="inlineStr"/>
      <c r="E21" s="28" t="inlineStr"/>
      <c r="F21" s="32" t="n">
        <v>200</v>
      </c>
      <c r="G21" s="28" t="inlineStr"/>
    </row>
    <row r="22" ht="18" customHeight="1">
      <c r="A22" s="78" t="inlineStr">
        <is>
          <t>https://africanmarketingconfederation.org/smoke-archive/page-19</t>
        </is>
      </c>
      <c r="B22" s="31" t="inlineStr">
        <is>
          <t>https://africanmarketingconfederation.org/</t>
        </is>
      </c>
      <c r="C22" s="30" t="inlineStr">
        <is>
          <t>Smoke anchor</t>
        </is>
      </c>
      <c r="D22" s="30" t="inlineStr"/>
      <c r="E22" s="30" t="inlineStr"/>
      <c r="F22" s="32" t="n">
        <v>200</v>
      </c>
      <c r="G22" s="30" t="inlineStr"/>
    </row>
    <row r="23" ht="18" customHeight="1">
      <c r="A23" s="78" t="inlineStr">
        <is>
          <t>https://africanmarketingconfederation.org/smoke-archive/page-20</t>
        </is>
      </c>
      <c r="B23" s="20" t="inlineStr">
        <is>
          <t>https://africanmarketingconfederation.org/</t>
        </is>
      </c>
      <c r="C23" s="28" t="inlineStr">
        <is>
          <t>Smoke anchor</t>
        </is>
      </c>
      <c r="D23" s="28" t="inlineStr"/>
      <c r="E23" s="28" t="inlineStr"/>
      <c r="F23" s="32" t="n">
        <v>200</v>
      </c>
      <c r="G23" s="28" t="inlineStr"/>
    </row>
    <row r="24" ht="18" customHeight="1">
      <c r="A24" s="78" t="inlineStr">
        <is>
          <t>https://africanmarketingconfederation.org/smoke-archive/page-21</t>
        </is>
      </c>
      <c r="B24" s="31" t="inlineStr">
        <is>
          <t>https://africanmarketingconfederation.org/</t>
        </is>
      </c>
      <c r="C24" s="30" t="inlineStr">
        <is>
          <t>Smoke anchor</t>
        </is>
      </c>
      <c r="D24" s="30" t="inlineStr"/>
      <c r="E24" s="30" t="inlineStr"/>
      <c r="F24" s="32" t="n">
        <v>200</v>
      </c>
      <c r="G24" s="30" t="inlineStr"/>
    </row>
    <row r="25" ht="18" customHeight="1">
      <c r="A25" s="78" t="inlineStr">
        <is>
          <t>https://africanmarketingconfederation.org/smoke-archive/page-22</t>
        </is>
      </c>
      <c r="B25" s="20" t="inlineStr">
        <is>
          <t>https://africanmarketingconfederation.org/</t>
        </is>
      </c>
      <c r="C25" s="28" t="inlineStr">
        <is>
          <t>Smoke anchor</t>
        </is>
      </c>
      <c r="D25" s="28" t="inlineStr"/>
      <c r="E25" s="28" t="inlineStr"/>
      <c r="F25" s="32" t="n">
        <v>200</v>
      </c>
      <c r="G25" s="28" t="inlineStr"/>
    </row>
    <row r="26" ht="18" customHeight="1">
      <c r="A26" s="78" t="inlineStr">
        <is>
          <t>https://africanmarketingconfederation.org/smoke-archive/page-23</t>
        </is>
      </c>
      <c r="B26" s="31" t="inlineStr">
        <is>
          <t>https://africanmarketingconfederation.org/smoke-archive/page-22/</t>
        </is>
      </c>
      <c r="C26" s="30" t="inlineStr">
        <is>
          <t>Smoke anchor</t>
        </is>
      </c>
      <c r="D26" s="30" t="inlineStr"/>
      <c r="E26" s="30" t="inlineStr"/>
      <c r="F26" s="32" t="n">
        <v>200</v>
      </c>
      <c r="G26" s="30" t="inlineStr"/>
    </row>
    <row r="27" ht="18" customHeight="1">
      <c r="A27" s="78" t="inlineStr">
        <is>
          <t>https://africanmarketingconfederation.org/smoke-archive/page-24</t>
        </is>
      </c>
      <c r="B27" s="20" t="inlineStr">
        <is>
          <t>https://africanmarketingconfederation.org/</t>
        </is>
      </c>
      <c r="C27" s="28" t="inlineStr">
        <is>
          <t>Smoke anchor</t>
        </is>
      </c>
      <c r="D27" s="28" t="inlineStr"/>
      <c r="E27" s="28" t="inlineStr"/>
      <c r="F27" s="32" t="n">
        <v>200</v>
      </c>
      <c r="G27" s="28" t="inlineStr"/>
    </row>
    <row r="28" ht="18" customHeight="1">
      <c r="A28" s="78" t="inlineStr">
        <is>
          <t>https://africanmarketingconfederation.org/smoke-archive/page-25</t>
        </is>
      </c>
      <c r="B28" s="31" t="inlineStr">
        <is>
          <t>https://africanmarketingconfederation.org/</t>
        </is>
      </c>
      <c r="C28" s="30" t="inlineStr">
        <is>
          <t>Smoke anchor</t>
        </is>
      </c>
      <c r="D28" s="30" t="inlineStr"/>
      <c r="E28" s="30" t="inlineStr"/>
      <c r="F28" s="32" t="n">
        <v>200</v>
      </c>
      <c r="G28" s="30" t="inlineStr"/>
    </row>
    <row r="29" ht="18" customHeight="1">
      <c r="A29" s="78" t="inlineStr">
        <is>
          <t>https://africanmarketingconfederation.org/smoke-archive/page-26</t>
        </is>
      </c>
      <c r="B29" s="20" t="inlineStr">
        <is>
          <t>https://africanmarketingconfederation.org/</t>
        </is>
      </c>
      <c r="C29" s="28" t="inlineStr">
        <is>
          <t>Smoke anchor</t>
        </is>
      </c>
      <c r="D29" s="28" t="inlineStr"/>
      <c r="E29" s="28" t="inlineStr"/>
      <c r="F29" s="32" t="n">
        <v>200</v>
      </c>
      <c r="G29" s="28" t="inlineStr"/>
    </row>
    <row r="30" ht="18" customHeight="1">
      <c r="A30" s="78" t="inlineStr">
        <is>
          <t>https://africanmarketingconfederation.org/smoke-archive/page-27</t>
        </is>
      </c>
      <c r="B30" s="31" t="inlineStr">
        <is>
          <t>https://africanmarketingconfederation.org/</t>
        </is>
      </c>
      <c r="C30" s="30" t="inlineStr">
        <is>
          <t>Smoke anchor</t>
        </is>
      </c>
      <c r="D30" s="30" t="inlineStr"/>
      <c r="E30" s="30" t="inlineStr"/>
      <c r="F30" s="32" t="n">
        <v>200</v>
      </c>
      <c r="G30" s="30" t="inlineStr"/>
    </row>
    <row r="31" ht="18" customHeight="1">
      <c r="A31" s="78" t="inlineStr">
        <is>
          <t>https://africanmarketingconfederation.org/smoke-archive/page-28</t>
        </is>
      </c>
      <c r="B31" s="20" t="inlineStr">
        <is>
          <t>https://africanmarketingconfederation.org/</t>
        </is>
      </c>
      <c r="C31" s="28" t="inlineStr">
        <is>
          <t>Smoke anchor</t>
        </is>
      </c>
      <c r="D31" s="28" t="inlineStr"/>
      <c r="E31" s="28" t="inlineStr"/>
      <c r="F31" s="32" t="n">
        <v>200</v>
      </c>
      <c r="G31" s="28" t="inlineStr"/>
    </row>
    <row r="32" ht="18" customHeight="1">
      <c r="A32" s="78" t="inlineStr">
        <is>
          <t>https://africanmarketingconfederation.org/smoke-archive/page-29</t>
        </is>
      </c>
      <c r="B32" s="31" t="inlineStr">
        <is>
          <t>https://africanmarketingconfederation.org/</t>
        </is>
      </c>
      <c r="C32" s="30" t="inlineStr">
        <is>
          <t>Smoke anchor</t>
        </is>
      </c>
      <c r="D32" s="30" t="inlineStr"/>
      <c r="E32" s="30" t="inlineStr"/>
      <c r="F32" s="32" t="n">
        <v>200</v>
      </c>
      <c r="G32" s="30" t="inlineStr"/>
    </row>
    <row r="33" ht="18" customHeight="1">
      <c r="A33" s="78" t="inlineStr">
        <is>
          <t>https://africanmarketingconfederation.org/smoke-archive/page-30</t>
        </is>
      </c>
      <c r="B33" s="20" t="inlineStr">
        <is>
          <t>https://africanmarketingconfederation.org/</t>
        </is>
      </c>
      <c r="C33" s="28" t="inlineStr">
        <is>
          <t>Smoke anchor</t>
        </is>
      </c>
      <c r="D33" s="28" t="inlineStr"/>
      <c r="E33" s="28" t="inlineStr"/>
      <c r="F33" s="32" t="n">
        <v>200</v>
      </c>
      <c r="G33" s="28" t="inlineStr"/>
    </row>
    <row r="34" ht="18" customHeight="1">
      <c r="A34" s="78" t="inlineStr">
        <is>
          <t>https://africanmarketingconfederation.org/smoke-archive/page-31</t>
        </is>
      </c>
      <c r="B34" s="31" t="inlineStr">
        <is>
          <t>https://africanmarketingconfederation.org/</t>
        </is>
      </c>
      <c r="C34" s="30" t="inlineStr">
        <is>
          <t>Smoke anchor</t>
        </is>
      </c>
      <c r="D34" s="30" t="inlineStr"/>
      <c r="E34" s="30" t="inlineStr"/>
      <c r="F34" s="32" t="n">
        <v>200</v>
      </c>
      <c r="G34" s="30" t="inlineStr"/>
    </row>
    <row r="35" ht="18" customHeight="1">
      <c r="A35" s="78" t="inlineStr">
        <is>
          <t>https://africanmarketingconfederation.org/smoke-archive/page-32</t>
        </is>
      </c>
      <c r="B35" s="20" t="inlineStr">
        <is>
          <t>https://africanmarketingconfederation.org/</t>
        </is>
      </c>
      <c r="C35" s="28" t="inlineStr">
        <is>
          <t>Smoke anchor</t>
        </is>
      </c>
      <c r="D35" s="28" t="inlineStr"/>
      <c r="E35" s="28" t="inlineStr"/>
      <c r="F35" s="32" t="n">
        <v>200</v>
      </c>
      <c r="G35" s="28" t="inlineStr"/>
    </row>
    <row r="36" ht="18" customHeight="1">
      <c r="A36" s="78" t="inlineStr">
        <is>
          <t>https://africanmarketingconfederation.org/smoke-archive/page-33</t>
        </is>
      </c>
      <c r="B36" s="31" t="inlineStr">
        <is>
          <t>https://africanmarketingconfederation.org/</t>
        </is>
      </c>
      <c r="C36" s="30" t="inlineStr">
        <is>
          <t>Smoke anchor</t>
        </is>
      </c>
      <c r="D36" s="30" t="inlineStr"/>
      <c r="E36" s="30" t="inlineStr"/>
      <c r="F36" s="32" t="n">
        <v>200</v>
      </c>
      <c r="G36" s="30" t="inlineStr"/>
    </row>
    <row r="37" ht="18" customHeight="1">
      <c r="A37" s="78" t="inlineStr">
        <is>
          <t>https://africanmarketingconfederation.org/smoke-archive/page-34</t>
        </is>
      </c>
      <c r="B37" s="20" t="inlineStr">
        <is>
          <t>https://africanmarketingconfederation.org/</t>
        </is>
      </c>
      <c r="C37" s="28" t="inlineStr">
        <is>
          <t>Smoke anchor</t>
        </is>
      </c>
      <c r="D37" s="28" t="inlineStr"/>
      <c r="E37" s="28" t="inlineStr"/>
      <c r="F37" s="32" t="n">
        <v>200</v>
      </c>
      <c r="G37" s="28" t="inlineStr"/>
    </row>
    <row r="38" ht="18" customHeight="1">
      <c r="A38" s="78" t="inlineStr">
        <is>
          <t>https://africanmarketingconfederation.org/smoke-archive/page-35</t>
        </is>
      </c>
      <c r="B38" s="31" t="inlineStr">
        <is>
          <t>https://africanmarketingconfederation.org/</t>
        </is>
      </c>
      <c r="C38" s="30" t="inlineStr">
        <is>
          <t>Smoke anchor</t>
        </is>
      </c>
      <c r="D38" s="30" t="inlineStr"/>
      <c r="E38" s="30" t="inlineStr"/>
      <c r="F38" s="32" t="n">
        <v>200</v>
      </c>
      <c r="G38" s="30" t="inlineStr"/>
    </row>
    <row r="39" ht="18" customHeight="1">
      <c r="A39" s="78" t="inlineStr">
        <is>
          <t>https://africanmarketingconfederation.org/smoke-archive/page-36</t>
        </is>
      </c>
      <c r="B39" s="20" t="inlineStr">
        <is>
          <t>https://africanmarketingconfederation.org/</t>
        </is>
      </c>
      <c r="C39" s="28" t="inlineStr">
        <is>
          <t>Smoke anchor</t>
        </is>
      </c>
      <c r="D39" s="28" t="inlineStr"/>
      <c r="E39" s="28" t="inlineStr"/>
      <c r="F39" s="32" t="n">
        <v>200</v>
      </c>
      <c r="G39" s="28" t="inlineStr"/>
    </row>
    <row r="40" ht="18" customHeight="1">
      <c r="A40" s="78" t="inlineStr">
        <is>
          <t>https://africanmarketingconfederation.org/smoke-archive/page-37</t>
        </is>
      </c>
      <c r="B40" s="31" t="inlineStr">
        <is>
          <t>https://africanmarketingconfederation.org/</t>
        </is>
      </c>
      <c r="C40" s="30" t="inlineStr">
        <is>
          <t>Smoke anchor</t>
        </is>
      </c>
      <c r="D40" s="30" t="inlineStr"/>
      <c r="E40" s="30" t="inlineStr"/>
      <c r="F40" s="32" t="n">
        <v>200</v>
      </c>
      <c r="G40" s="30" t="inlineStr"/>
    </row>
    <row r="41" ht="18" customHeight="1">
      <c r="A41" s="78" t="inlineStr">
        <is>
          <t>https://africanmarketingconfederation.org/smoke-archive/page-38</t>
        </is>
      </c>
      <c r="B41" s="20" t="inlineStr">
        <is>
          <t>https://africanmarketingconfederation.org/</t>
        </is>
      </c>
      <c r="C41" s="28" t="inlineStr">
        <is>
          <t>Smoke anchor</t>
        </is>
      </c>
      <c r="D41" s="28" t="inlineStr"/>
      <c r="E41" s="28" t="inlineStr"/>
      <c r="F41" s="32" t="n">
        <v>200</v>
      </c>
      <c r="G41" s="28" t="inlineStr"/>
    </row>
    <row r="42" ht="18" customHeight="1">
      <c r="A42" s="78" t="inlineStr">
        <is>
          <t>https://africanmarketingconfederation.org/smoke-archive/page-39</t>
        </is>
      </c>
      <c r="B42" s="31" t="inlineStr">
        <is>
          <t>https://africanmarketingconfederation.org/</t>
        </is>
      </c>
      <c r="C42" s="30" t="inlineStr">
        <is>
          <t>Smoke anchor</t>
        </is>
      </c>
      <c r="D42" s="30" t="inlineStr"/>
      <c r="E42" s="30" t="inlineStr"/>
      <c r="F42" s="32" t="n">
        <v>200</v>
      </c>
      <c r="G42" s="30" t="inlineStr"/>
    </row>
    <row r="43" ht="18" customHeight="1">
      <c r="A43" s="78" t="inlineStr">
        <is>
          <t>https://africanmarketingconfederation.org/smoke-archive/page-40</t>
        </is>
      </c>
      <c r="B43" s="20" t="inlineStr">
        <is>
          <t>https://africanmarketingconfederation.org/</t>
        </is>
      </c>
      <c r="C43" s="28" t="inlineStr">
        <is>
          <t>Smoke anchor</t>
        </is>
      </c>
      <c r="D43" s="28" t="inlineStr"/>
      <c r="E43" s="28" t="inlineStr"/>
      <c r="F43" s="32" t="n">
        <v>200</v>
      </c>
      <c r="G43" s="28" t="inlineStr"/>
    </row>
    <row r="44" ht="18" customHeight="1">
      <c r="A44" s="78" t="inlineStr">
        <is>
          <t>https://africanmarketingconfederation.org/smoke-archive/page-41</t>
        </is>
      </c>
      <c r="B44" s="31" t="inlineStr">
        <is>
          <t>https://africanmarketingconfederation.org/</t>
        </is>
      </c>
      <c r="C44" s="30" t="inlineStr">
        <is>
          <t>Smoke anchor</t>
        </is>
      </c>
      <c r="D44" s="30" t="inlineStr"/>
      <c r="E44" s="30" t="inlineStr"/>
      <c r="F44" s="32" t="n">
        <v>200</v>
      </c>
      <c r="G44" s="30" t="inlineStr"/>
    </row>
    <row r="45" ht="18" customHeight="1">
      <c r="A45" s="78" t="inlineStr">
        <is>
          <t>https://africanmarketingconfederation.org/smoke-archive/page-42</t>
        </is>
      </c>
      <c r="B45" s="20" t="inlineStr">
        <is>
          <t>https://africanmarketingconfederation.org/</t>
        </is>
      </c>
      <c r="C45" s="28" t="inlineStr">
        <is>
          <t>Smoke anchor</t>
        </is>
      </c>
      <c r="D45" s="28" t="inlineStr"/>
      <c r="E45" s="28" t="inlineStr"/>
      <c r="F45" s="32" t="n">
        <v>200</v>
      </c>
      <c r="G45" s="28" t="inlineStr"/>
    </row>
    <row r="46" ht="18" customHeight="1">
      <c r="A46" s="78" t="inlineStr">
        <is>
          <t>https://africanmarketingconfederation.org/smoke-archive/page-43</t>
        </is>
      </c>
      <c r="B46" s="31" t="inlineStr">
        <is>
          <t>https://africanmarketingconfederation.org/</t>
        </is>
      </c>
      <c r="C46" s="30" t="inlineStr">
        <is>
          <t>Smoke anchor</t>
        </is>
      </c>
      <c r="D46" s="30" t="inlineStr"/>
      <c r="E46" s="30" t="inlineStr"/>
      <c r="F46" s="32" t="n">
        <v>200</v>
      </c>
      <c r="G46" s="30" t="inlineStr"/>
    </row>
    <row r="47" ht="18" customHeight="1">
      <c r="A47" s="78" t="inlineStr">
        <is>
          <t>https://africanmarketingconfederation.org/smoke-archive/page-44</t>
        </is>
      </c>
      <c r="B47" s="20" t="inlineStr">
        <is>
          <t>https://africanmarketingconfederation.org/</t>
        </is>
      </c>
      <c r="C47" s="28" t="inlineStr">
        <is>
          <t>Smoke anchor</t>
        </is>
      </c>
      <c r="D47" s="28" t="inlineStr"/>
      <c r="E47" s="28" t="inlineStr"/>
      <c r="F47" s="32" t="n">
        <v>200</v>
      </c>
      <c r="G47" s="28" t="inlineStr"/>
    </row>
    <row r="48" ht="18" customHeight="1">
      <c r="A48" s="78" t="inlineStr">
        <is>
          <t>https://africanmarketingconfederation.org/smoke-archive/page-45</t>
        </is>
      </c>
      <c r="B48" s="31" t="inlineStr">
        <is>
          <t>https://africanmarketingconfederation.org/</t>
        </is>
      </c>
      <c r="C48" s="30" t="inlineStr">
        <is>
          <t>Smoke anchor</t>
        </is>
      </c>
      <c r="D48" s="30" t="inlineStr"/>
      <c r="E48" s="30" t="inlineStr"/>
      <c r="F48" s="32" t="n">
        <v>200</v>
      </c>
      <c r="G48" s="30" t="inlineStr"/>
    </row>
    <row r="49" ht="18" customHeight="1">
      <c r="A49" s="78" t="inlineStr">
        <is>
          <t>https://africanmarketingconfederation.org/smoke-archive/page-46</t>
        </is>
      </c>
      <c r="B49" s="20" t="inlineStr">
        <is>
          <t>https://africanmarketingconfederation.org/smoke-archive/page-45/</t>
        </is>
      </c>
      <c r="C49" s="28" t="inlineStr">
        <is>
          <t>Smoke anchor</t>
        </is>
      </c>
      <c r="D49" s="28" t="inlineStr"/>
      <c r="E49" s="28" t="inlineStr"/>
      <c r="F49" s="32" t="n">
        <v>200</v>
      </c>
      <c r="G49" s="28" t="inlineStr"/>
    </row>
    <row r="50" ht="18" customHeight="1">
      <c r="A50" s="78" t="inlineStr">
        <is>
          <t>https://africanmarketingconfederation.org/smoke-archive/page-47</t>
        </is>
      </c>
      <c r="B50" s="31" t="inlineStr">
        <is>
          <t>https://africanmarketingconfederation.org/</t>
        </is>
      </c>
      <c r="C50" s="30" t="inlineStr">
        <is>
          <t>Smoke anchor</t>
        </is>
      </c>
      <c r="D50" s="30" t="inlineStr"/>
      <c r="E50" s="30" t="inlineStr"/>
      <c r="F50" s="32" t="n">
        <v>200</v>
      </c>
      <c r="G50" s="30" t="inlineStr"/>
    </row>
    <row r="51" ht="18" customHeight="1">
      <c r="A51" s="78" t="inlineStr">
        <is>
          <t>https://africanmarketingconfederation.org/smoke-archive/page-48</t>
        </is>
      </c>
      <c r="B51" s="20" t="inlineStr">
        <is>
          <t>https://africanmarketingconfederation.org/</t>
        </is>
      </c>
      <c r="C51" s="28" t="inlineStr">
        <is>
          <t>Smoke anchor</t>
        </is>
      </c>
      <c r="D51" s="28" t="inlineStr"/>
      <c r="E51" s="28" t="inlineStr"/>
      <c r="F51" s="32" t="n">
        <v>200</v>
      </c>
      <c r="G51" s="28" t="inlineStr"/>
    </row>
    <row r="52" ht="18" customHeight="1">
      <c r="A52" s="78" t="inlineStr">
        <is>
          <t>https://africanmarketingconfederation.org/smoke-archive/page-49</t>
        </is>
      </c>
      <c r="B52" s="31" t="inlineStr">
        <is>
          <t>https://africanmarketingconfederation.org/</t>
        </is>
      </c>
      <c r="C52" s="30" t="inlineStr">
        <is>
          <t>Smoke anchor</t>
        </is>
      </c>
      <c r="D52" s="30" t="inlineStr"/>
      <c r="E52" s="30" t="inlineStr"/>
      <c r="F52" s="32" t="n">
        <v>200</v>
      </c>
      <c r="G52" s="30" t="inlineStr"/>
    </row>
    <row r="53" ht="18" customHeight="1">
      <c r="A53" s="78" t="inlineStr">
        <is>
          <t>https://africanmarketingconfederation.org/smoke-archive/page-50</t>
        </is>
      </c>
      <c r="B53" s="20" t="inlineStr">
        <is>
          <t>https://africanmarketingconfederation.org/</t>
        </is>
      </c>
      <c r="C53" s="28" t="inlineStr">
        <is>
          <t>Smoke anchor</t>
        </is>
      </c>
      <c r="D53" s="28" t="inlineStr"/>
      <c r="E53" s="28" t="inlineStr"/>
      <c r="F53" s="32" t="n">
        <v>200</v>
      </c>
      <c r="G53" s="28" t="inlineStr"/>
    </row>
    <row r="54" ht="18" customHeight="1">
      <c r="A54" s="78" t="inlineStr">
        <is>
          <t>https://africanmarketingconfederation.org/smoke-archive/page-51</t>
        </is>
      </c>
      <c r="B54" s="31" t="inlineStr">
        <is>
          <t>https://africanmarketingconfederation.org/</t>
        </is>
      </c>
      <c r="C54" s="30" t="inlineStr">
        <is>
          <t>Smoke anchor</t>
        </is>
      </c>
      <c r="D54" s="30" t="inlineStr"/>
      <c r="E54" s="30" t="inlineStr"/>
      <c r="F54" s="32" t="n">
        <v>200</v>
      </c>
      <c r="G54" s="30" t="inlineStr"/>
    </row>
    <row r="55" ht="18" customHeight="1">
      <c r="A55" s="78" t="inlineStr">
        <is>
          <t>https://africanmarketingconfederation.org/smoke-archive/page-52</t>
        </is>
      </c>
      <c r="B55" s="20" t="inlineStr">
        <is>
          <t>https://africanmarketingconfederation.org/</t>
        </is>
      </c>
      <c r="C55" s="28" t="inlineStr">
        <is>
          <t>Smoke anchor</t>
        </is>
      </c>
      <c r="D55" s="28" t="inlineStr"/>
      <c r="E55" s="28" t="inlineStr"/>
      <c r="F55" s="32" t="n">
        <v>200</v>
      </c>
      <c r="G55" s="28" t="inlineStr"/>
    </row>
    <row r="56" ht="18" customHeight="1">
      <c r="A56" s="78" t="inlineStr">
        <is>
          <t>https://africanmarketingconfederation.org/smoke-archive/page-53</t>
        </is>
      </c>
      <c r="B56" s="31" t="inlineStr">
        <is>
          <t>https://africanmarketingconfederation.org/</t>
        </is>
      </c>
      <c r="C56" s="30" t="inlineStr">
        <is>
          <t>Smoke anchor</t>
        </is>
      </c>
      <c r="D56" s="30" t="inlineStr"/>
      <c r="E56" s="30" t="inlineStr"/>
      <c r="F56" s="32" t="n">
        <v>200</v>
      </c>
      <c r="G56" s="30" t="inlineStr"/>
    </row>
    <row r="57" ht="18" customHeight="1">
      <c r="A57" s="78" t="inlineStr">
        <is>
          <t>https://africanmarketingconfederation.org/smoke-archive/page-54</t>
        </is>
      </c>
      <c r="B57" s="20" t="inlineStr">
        <is>
          <t>https://africanmarketingconfederation.org/</t>
        </is>
      </c>
      <c r="C57" s="28" t="inlineStr">
        <is>
          <t>Smoke anchor</t>
        </is>
      </c>
      <c r="D57" s="28" t="inlineStr"/>
      <c r="E57" s="28" t="inlineStr"/>
      <c r="F57" s="32" t="n">
        <v>200</v>
      </c>
      <c r="G57" s="28" t="inlineStr"/>
    </row>
    <row r="58" ht="18" customHeight="1">
      <c r="A58" s="78" t="inlineStr">
        <is>
          <t>https://africanmarketingconfederation.org/smoke-archive/page-55</t>
        </is>
      </c>
      <c r="B58" s="31" t="inlineStr">
        <is>
          <t>https://africanmarketingconfederation.org/</t>
        </is>
      </c>
      <c r="C58" s="30" t="inlineStr">
        <is>
          <t>Smoke anchor</t>
        </is>
      </c>
      <c r="D58" s="30" t="inlineStr"/>
      <c r="E58" s="30" t="inlineStr"/>
      <c r="F58" s="32" t="n">
        <v>200</v>
      </c>
      <c r="G58" s="30" t="inlineStr"/>
    </row>
    <row r="59" ht="18" customHeight="1">
      <c r="A59" s="78" t="inlineStr">
        <is>
          <t>https://africanmarketingconfederation.org/smoke-archive/page-56</t>
        </is>
      </c>
      <c r="B59" s="20" t="inlineStr">
        <is>
          <t>https://africanmarketingconfederation.org/</t>
        </is>
      </c>
      <c r="C59" s="28" t="inlineStr">
        <is>
          <t>Smoke anchor</t>
        </is>
      </c>
      <c r="D59" s="28" t="inlineStr"/>
      <c r="E59" s="28" t="inlineStr"/>
      <c r="F59" s="32" t="n">
        <v>200</v>
      </c>
      <c r="G59" s="28" t="inlineStr"/>
    </row>
    <row r="60" ht="18" customHeight="1">
      <c r="A60" s="78" t="inlineStr">
        <is>
          <t>https://africanmarketingconfederation.org/smoke-archive/page-57</t>
        </is>
      </c>
      <c r="B60" s="31" t="inlineStr">
        <is>
          <t>https://africanmarketingconfederation.org/</t>
        </is>
      </c>
      <c r="C60" s="30" t="inlineStr">
        <is>
          <t>Smoke anchor</t>
        </is>
      </c>
      <c r="D60" s="30" t="inlineStr"/>
      <c r="E60" s="30" t="inlineStr"/>
      <c r="F60" s="32" t="n">
        <v>200</v>
      </c>
      <c r="G60" s="30" t="inlineStr"/>
    </row>
    <row r="61" ht="18" customHeight="1">
      <c r="A61" s="78" t="inlineStr">
        <is>
          <t>https://africanmarketingconfederation.org/smoke-archive/page-58</t>
        </is>
      </c>
      <c r="B61" s="20" t="inlineStr">
        <is>
          <t>https://africanmarketingconfederation.org/</t>
        </is>
      </c>
      <c r="C61" s="28" t="inlineStr">
        <is>
          <t>Smoke anchor</t>
        </is>
      </c>
      <c r="D61" s="28" t="inlineStr"/>
      <c r="E61" s="28" t="inlineStr"/>
      <c r="F61" s="32" t="n">
        <v>200</v>
      </c>
      <c r="G61" s="28" t="inlineStr"/>
    </row>
    <row r="62" ht="18" customHeight="1">
      <c r="A62" s="78" t="inlineStr">
        <is>
          <t>https://africanmarketingconfederation.org/smoke-archive/page-59</t>
        </is>
      </c>
      <c r="B62" s="31" t="inlineStr">
        <is>
          <t>https://africanmarketingconfederation.org/</t>
        </is>
      </c>
      <c r="C62" s="30" t="inlineStr">
        <is>
          <t>Smoke anchor</t>
        </is>
      </c>
      <c r="D62" s="30" t="inlineStr"/>
      <c r="E62" s="30" t="inlineStr"/>
      <c r="F62" s="32" t="n">
        <v>200</v>
      </c>
      <c r="G62" s="30" t="inlineStr"/>
    </row>
    <row r="63" ht="18" customHeight="1">
      <c r="A63" s="78" t="inlineStr">
        <is>
          <t>https://africanmarketingconfederation.org/smoke-archive/page-60</t>
        </is>
      </c>
      <c r="B63" s="20" t="inlineStr">
        <is>
          <t>https://africanmarketingconfederation.org/</t>
        </is>
      </c>
      <c r="C63" s="28" t="inlineStr">
        <is>
          <t>Smoke anchor</t>
        </is>
      </c>
      <c r="D63" s="28" t="inlineStr"/>
      <c r="E63" s="28" t="inlineStr"/>
      <c r="F63" s="32" t="n">
        <v>200</v>
      </c>
      <c r="G63" s="28" t="inlineStr"/>
    </row>
    <row r="64" ht="18" customHeight="1">
      <c r="A64" s="78" t="inlineStr">
        <is>
          <t>https://africanmarketingconfederation.org/smoke-archive/page-61</t>
        </is>
      </c>
      <c r="B64" s="31" t="inlineStr">
        <is>
          <t>https://africanmarketingconfederation.org/</t>
        </is>
      </c>
      <c r="C64" s="30" t="inlineStr">
        <is>
          <t>Smoke anchor</t>
        </is>
      </c>
      <c r="D64" s="30" t="inlineStr"/>
      <c r="E64" s="30" t="inlineStr"/>
      <c r="F64" s="32" t="n">
        <v>200</v>
      </c>
      <c r="G64" s="30" t="inlineStr"/>
    </row>
    <row r="65" ht="18" customHeight="1">
      <c r="A65" s="78" t="inlineStr">
        <is>
          <t>https://africanmarketingconfederation.org/smoke-archive/page-62</t>
        </is>
      </c>
      <c r="B65" s="20" t="inlineStr">
        <is>
          <t>https://africanmarketingconfederation.org/</t>
        </is>
      </c>
      <c r="C65" s="28" t="inlineStr">
        <is>
          <t>Smoke anchor</t>
        </is>
      </c>
      <c r="D65" s="28" t="inlineStr"/>
      <c r="E65" s="28" t="inlineStr"/>
      <c r="F65" s="32" t="n">
        <v>200</v>
      </c>
      <c r="G65" s="28" t="inlineStr"/>
    </row>
    <row r="66" ht="18" customHeight="1">
      <c r="A66" s="78" t="inlineStr">
        <is>
          <t>https://africanmarketingconfederation.org/smoke-archive/page-63</t>
        </is>
      </c>
      <c r="B66" s="31" t="inlineStr">
        <is>
          <t>https://africanmarketingconfederation.org/</t>
        </is>
      </c>
      <c r="C66" s="30" t="inlineStr">
        <is>
          <t>Smoke anchor</t>
        </is>
      </c>
      <c r="D66" s="30" t="inlineStr"/>
      <c r="E66" s="30" t="inlineStr"/>
      <c r="F66" s="32" t="n">
        <v>200</v>
      </c>
      <c r="G66" s="30" t="inlineStr"/>
    </row>
    <row r="67" ht="18" customHeight="1">
      <c r="A67" s="78" t="inlineStr">
        <is>
          <t>https://africanmarketingconfederation.org/smoke-archive/page-64</t>
        </is>
      </c>
      <c r="B67" s="20" t="inlineStr">
        <is>
          <t>https://africanmarketingconfederation.org/</t>
        </is>
      </c>
      <c r="C67" s="28" t="inlineStr">
        <is>
          <t>Smoke anchor</t>
        </is>
      </c>
      <c r="D67" s="28" t="inlineStr"/>
      <c r="E67" s="28" t="inlineStr"/>
      <c r="F67" s="32" t="n">
        <v>200</v>
      </c>
      <c r="G67" s="28" t="inlineStr"/>
    </row>
    <row r="68" ht="18" customHeight="1">
      <c r="A68" s="78" t="inlineStr">
        <is>
          <t>https://africanmarketingconfederation.org/smoke-archive/page-65</t>
        </is>
      </c>
      <c r="B68" s="31" t="inlineStr">
        <is>
          <t>https://africanmarketingconfederation.org/</t>
        </is>
      </c>
      <c r="C68" s="30" t="inlineStr">
        <is>
          <t>Smoke anchor</t>
        </is>
      </c>
      <c r="D68" s="30" t="inlineStr"/>
      <c r="E68" s="30" t="inlineStr"/>
      <c r="F68" s="32" t="n">
        <v>200</v>
      </c>
      <c r="G68" s="30" t="inlineStr"/>
    </row>
    <row r="69" ht="18" customHeight="1">
      <c r="A69" s="78" t="inlineStr">
        <is>
          <t>https://africanmarketingconfederation.org/smoke-archive/page-66</t>
        </is>
      </c>
      <c r="B69" s="20" t="inlineStr">
        <is>
          <t>https://africanmarketingconfederation.org/</t>
        </is>
      </c>
      <c r="C69" s="28" t="inlineStr">
        <is>
          <t>Smoke anchor</t>
        </is>
      </c>
      <c r="D69" s="28" t="inlineStr"/>
      <c r="E69" s="28" t="inlineStr"/>
      <c r="F69" s="32" t="n">
        <v>200</v>
      </c>
      <c r="G69" s="28" t="inlineStr"/>
    </row>
    <row r="70" ht="18" customHeight="1">
      <c r="A70" s="78" t="inlineStr">
        <is>
          <t>https://africanmarketingconfederation.org/smoke-archive/page-67</t>
        </is>
      </c>
      <c r="B70" s="31" t="inlineStr">
        <is>
          <t>https://africanmarketingconfederation.org/</t>
        </is>
      </c>
      <c r="C70" s="30" t="inlineStr">
        <is>
          <t>Smoke anchor</t>
        </is>
      </c>
      <c r="D70" s="30" t="inlineStr"/>
      <c r="E70" s="30" t="inlineStr"/>
      <c r="F70" s="32" t="n">
        <v>200</v>
      </c>
      <c r="G70" s="30" t="inlineStr"/>
    </row>
    <row r="71" ht="18" customHeight="1">
      <c r="A71" s="78" t="inlineStr">
        <is>
          <t>https://africanmarketingconfederation.org/smoke-archive/page-68</t>
        </is>
      </c>
      <c r="B71" s="20" t="inlineStr">
        <is>
          <t>https://africanmarketingconfederation.org/</t>
        </is>
      </c>
      <c r="C71" s="28" t="inlineStr">
        <is>
          <t>Smoke anchor</t>
        </is>
      </c>
      <c r="D71" s="28" t="inlineStr"/>
      <c r="E71" s="28" t="inlineStr"/>
      <c r="F71" s="32" t="n">
        <v>200</v>
      </c>
      <c r="G71" s="28" t="inlineStr"/>
    </row>
    <row r="72" ht="18" customHeight="1">
      <c r="A72" s="78" t="inlineStr">
        <is>
          <t>https://africanmarketingconfederation.org/smoke-archive/page-69</t>
        </is>
      </c>
      <c r="B72" s="31" t="inlineStr">
        <is>
          <t>https://africanmarketingconfederation.org/smoke-archive/page-68/</t>
        </is>
      </c>
      <c r="C72" s="30" t="inlineStr">
        <is>
          <t>Smoke anchor</t>
        </is>
      </c>
      <c r="D72" s="30" t="inlineStr"/>
      <c r="E72" s="30" t="inlineStr"/>
      <c r="F72" s="32" t="n">
        <v>200</v>
      </c>
      <c r="G72" s="30" t="inlineStr"/>
    </row>
    <row r="73" ht="18" customHeight="1">
      <c r="A73" s="78" t="inlineStr">
        <is>
          <t>https://africanmarketingconfederation.org/smoke-archive/page-70</t>
        </is>
      </c>
      <c r="B73" s="20" t="inlineStr">
        <is>
          <t>https://africanmarketingconfederation.org/</t>
        </is>
      </c>
      <c r="C73" s="28" t="inlineStr">
        <is>
          <t>Smoke anchor</t>
        </is>
      </c>
      <c r="D73" s="28" t="inlineStr"/>
      <c r="E73" s="28" t="inlineStr"/>
      <c r="F73" s="32" t="n">
        <v>200</v>
      </c>
      <c r="G73" s="28" t="inlineStr"/>
    </row>
    <row r="74" ht="18" customHeight="1">
      <c r="A74" s="78" t="inlineStr">
        <is>
          <t>https://africanmarketingconfederation.org/smoke-archive/page-71</t>
        </is>
      </c>
      <c r="B74" s="31" t="inlineStr">
        <is>
          <t>https://africanmarketingconfederation.org/</t>
        </is>
      </c>
      <c r="C74" s="30" t="inlineStr">
        <is>
          <t>Smoke anchor</t>
        </is>
      </c>
      <c r="D74" s="30" t="inlineStr"/>
      <c r="E74" s="30" t="inlineStr"/>
      <c r="F74" s="32" t="n">
        <v>200</v>
      </c>
      <c r="G74" s="30" t="inlineStr"/>
    </row>
    <row r="75" ht="18" customHeight="1">
      <c r="A75" s="78" t="inlineStr">
        <is>
          <t>https://africanmarketingconfederation.org/smoke-archive/page-72</t>
        </is>
      </c>
      <c r="B75" s="20" t="inlineStr">
        <is>
          <t>https://africanmarketingconfederation.org/</t>
        </is>
      </c>
      <c r="C75" s="28" t="inlineStr">
        <is>
          <t>Smoke anchor</t>
        </is>
      </c>
      <c r="D75" s="28" t="inlineStr"/>
      <c r="E75" s="28" t="inlineStr"/>
      <c r="F75" s="32" t="n">
        <v>200</v>
      </c>
      <c r="G75" s="28" t="inlineStr"/>
    </row>
    <row r="76" ht="18" customHeight="1">
      <c r="A76" s="78" t="inlineStr">
        <is>
          <t>https://africanmarketingconfederation.org/smoke-archive/page-73</t>
        </is>
      </c>
      <c r="B76" s="31" t="inlineStr">
        <is>
          <t>https://africanmarketingconfederation.org/</t>
        </is>
      </c>
      <c r="C76" s="30" t="inlineStr">
        <is>
          <t>Smoke anchor</t>
        </is>
      </c>
      <c r="D76" s="30" t="inlineStr"/>
      <c r="E76" s="30" t="inlineStr"/>
      <c r="F76" s="32" t="n">
        <v>200</v>
      </c>
      <c r="G76" s="30" t="inlineStr"/>
    </row>
    <row r="77" ht="18" customHeight="1">
      <c r="A77" s="78" t="inlineStr">
        <is>
          <t>https://africanmarketingconfederation.org/smoke-archive/page-74</t>
        </is>
      </c>
      <c r="B77" s="20" t="inlineStr">
        <is>
          <t>https://africanmarketingconfederation.org/</t>
        </is>
      </c>
      <c r="C77" s="28" t="inlineStr">
        <is>
          <t>Smoke anchor</t>
        </is>
      </c>
      <c r="D77" s="28" t="inlineStr"/>
      <c r="E77" s="28" t="inlineStr"/>
      <c r="F77" s="32" t="n">
        <v>200</v>
      </c>
      <c r="G77" s="28" t="inlineStr"/>
    </row>
    <row r="78" ht="18" customHeight="1">
      <c r="A78" s="78" t="inlineStr">
        <is>
          <t>https://africanmarketingconfederation.org/smoke-archive/page-75</t>
        </is>
      </c>
      <c r="B78" s="31" t="inlineStr">
        <is>
          <t>https://africanmarketingconfederation.org/</t>
        </is>
      </c>
      <c r="C78" s="30" t="inlineStr">
        <is>
          <t>Smoke anchor</t>
        </is>
      </c>
      <c r="D78" s="30" t="inlineStr"/>
      <c r="E78" s="30" t="inlineStr"/>
      <c r="F78" s="32" t="n">
        <v>200</v>
      </c>
      <c r="G78" s="30" t="inlineStr"/>
    </row>
    <row r="79" ht="18" customHeight="1">
      <c r="A79" s="78" t="inlineStr">
        <is>
          <t>https://africanmarketingconfederation.org/smoke-archive/page-76</t>
        </is>
      </c>
      <c r="B79" s="20" t="inlineStr">
        <is>
          <t>https://africanmarketingconfederation.org/</t>
        </is>
      </c>
      <c r="C79" s="28" t="inlineStr">
        <is>
          <t>Smoke anchor</t>
        </is>
      </c>
      <c r="D79" s="28" t="inlineStr"/>
      <c r="E79" s="28" t="inlineStr"/>
      <c r="F79" s="32" t="n">
        <v>200</v>
      </c>
      <c r="G79" s="28" t="inlineStr"/>
    </row>
    <row r="80" ht="18" customHeight="1">
      <c r="A80" s="78" t="inlineStr">
        <is>
          <t>https://africanmarketingconfederation.org/smoke-archive/page-77</t>
        </is>
      </c>
      <c r="B80" s="31" t="inlineStr">
        <is>
          <t>https://africanmarketingconfederation.org/</t>
        </is>
      </c>
      <c r="C80" s="30" t="inlineStr">
        <is>
          <t>Smoke anchor</t>
        </is>
      </c>
      <c r="D80" s="30" t="inlineStr"/>
      <c r="E80" s="30" t="inlineStr"/>
      <c r="F80" s="32" t="n">
        <v>200</v>
      </c>
      <c r="G80" s="30" t="inlineStr"/>
    </row>
    <row r="81" ht="18" customHeight="1">
      <c r="A81" s="78" t="inlineStr">
        <is>
          <t>https://africanmarketingconfederation.org/smoke-archive/page-78</t>
        </is>
      </c>
      <c r="B81" s="20" t="inlineStr">
        <is>
          <t>https://africanmarketingconfederation.org/</t>
        </is>
      </c>
      <c r="C81" s="28" t="inlineStr">
        <is>
          <t>Smoke anchor</t>
        </is>
      </c>
      <c r="D81" s="28" t="inlineStr"/>
      <c r="E81" s="28" t="inlineStr"/>
      <c r="F81" s="32" t="n">
        <v>200</v>
      </c>
      <c r="G81" s="28" t="inlineStr"/>
    </row>
    <row r="82" ht="18" customHeight="1">
      <c r="A82" s="78" t="inlineStr">
        <is>
          <t>https://africanmarketingconfederation.org/smoke-archive/page-79</t>
        </is>
      </c>
      <c r="B82" s="31" t="inlineStr">
        <is>
          <t>https://africanmarketingconfederation.org/</t>
        </is>
      </c>
      <c r="C82" s="30" t="inlineStr">
        <is>
          <t>Smoke anchor</t>
        </is>
      </c>
      <c r="D82" s="30" t="inlineStr"/>
      <c r="E82" s="30" t="inlineStr"/>
      <c r="F82" s="32" t="n">
        <v>200</v>
      </c>
      <c r="G82" s="30" t="inlineStr"/>
    </row>
    <row r="83" ht="18" customHeight="1">
      <c r="A83" s="78" t="inlineStr">
        <is>
          <t>https://africanmarketingconfederation.org/discovered-via-bfs-1</t>
        </is>
      </c>
      <c r="B83" s="20" t="inlineStr">
        <is>
          <t>https://africanmarketingconfederation.org/</t>
        </is>
      </c>
      <c r="C83" s="28" t="inlineStr">
        <is>
          <t>Smoke anchor</t>
        </is>
      </c>
      <c r="D83" s="28" t="inlineStr"/>
      <c r="E83" s="28" t="inlineStr"/>
      <c r="F83" s="32" t="n">
        <v>200</v>
      </c>
      <c r="G83" s="28" t="inlineStr"/>
    </row>
    <row r="84" ht="18" customHeight="1">
      <c r="A84" s="78" t="inlineStr">
        <is>
          <t>https://africanmarketingconfederation.org/discovered-via-bfs-2</t>
        </is>
      </c>
      <c r="B84" s="31" t="inlineStr">
        <is>
          <t>https://africanmarketingconfederation.org/</t>
        </is>
      </c>
      <c r="C84" s="30" t="inlineStr">
        <is>
          <t>Smoke anchor</t>
        </is>
      </c>
      <c r="D84" s="30" t="inlineStr"/>
      <c r="E84" s="30" t="inlineStr"/>
      <c r="F84" s="32" t="n">
        <v>200</v>
      </c>
      <c r="G84" s="30" t="inlineStr"/>
    </row>
    <row r="85" ht="18" customHeight="1">
      <c r="A85" s="78" t="inlineStr">
        <is>
          <t>https://africanmarketingconfederation.org/discovered-via-bfs-3</t>
        </is>
      </c>
      <c r="B85" s="20" t="inlineStr">
        <is>
          <t>https://africanmarketingconfederation.org/</t>
        </is>
      </c>
      <c r="C85" s="28" t="inlineStr">
        <is>
          <t>Smoke anchor</t>
        </is>
      </c>
      <c r="D85" s="28" t="inlineStr"/>
      <c r="E85" s="28" t="inlineStr"/>
      <c r="F85" s="32" t="n">
        <v>200</v>
      </c>
      <c r="G85" s="28" t="inlineStr"/>
    </row>
  </sheetData>
  <autoFilter ref="A2:G85"/>
  <mergeCells count="2">
    <mergeCell ref="C1:G1"/>
    <mergeCell ref="A1:B1"/>
  </mergeCells>
  <conditionalFormatting sqref="F3:F85">
    <cfRule type="cellIs" priority="1" operator="equal" dxfId="2">
      <formula>200</formula>
    </cfRule>
    <cfRule type="cellIs" priority="2" operator="between" dxfId="29">
      <formula>300</formula>
      <formula>399</formula>
    </cfRule>
    <cfRule type="cellIs" priority="3" operator="greaterThanOrEqual" dxfId="0">
      <formula>400</formula>
    </cfRule>
  </conditionalFormatting>
  <conditionalFormatting sqref="A3:G85">
    <cfRule type="expression" priority="4" dxfId="3" stopIfTrue="0">
      <formula>MOD(ROW(),2)=0</formula>
    </cfRule>
  </conditionalFormatting>
  <conditionalFormatting sqref="E3:E85">
    <cfRule type="expression" priority="5" dxfId="9" stopIfTrue="1">
      <formula>OR(NOT(ISERROR(SEARCH("Critical",E3))),NOT(ISERROR(SEARCH("Non-Pass",E3))),NOT(ISERROR(SEARCH("Error",E3))))</formula>
    </cfRule>
    <cfRule type="expression" priority="6" dxfId="10" stopIfTrue="1">
      <formula>OR(NOT(ISERROR(SEARCH("Warning",E3))),NOT(ISERROR(SEARCH("Needs Work",E3))))</formula>
    </cfRule>
  </conditionalFormatting>
  <conditionalFormatting sqref="G3:G85">
    <cfRule type="expression" priority="7" dxfId="9" stopIfTrue="1">
      <formula>OR(NOT(ISERROR(SEARCH("Critical",G3))),NOT(ISERROR(SEARCH("Non-Pass",G3))),NOT(ISERROR(SEARCH("Error",G3))))</formula>
    </cfRule>
    <cfRule type="expression" priority="8" dxfId="10" stopIfTrue="1">
      <formula>OR(NOT(ISERROR(SEARCH("Warning",G3))),NOT(ISERROR(SEARCH("Needs Work",G3))))</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tabColor rgb="00E67E22"/>
    <outlinePr summaryBelow="1" summaryRight="1"/>
    <pageSetUpPr fitToPage="1"/>
  </sheetPr>
  <dimension ref="A1:H2"/>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3" customWidth="1" min="3" max="3"/>
    <col width="20" customWidth="1" min="4" max="4"/>
    <col width="22" customWidth="1" min="5" max="5"/>
    <col width="22" customWidth="1" min="6" max="6"/>
    <col width="19" customWidth="1" min="7" max="7"/>
    <col width="55" customWidth="1" min="8" max="8"/>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c r="A2" t="inlineStr">
        <is>
          <t>Priority Score</t>
        </is>
      </c>
      <c r="B2" t="inlineStr">
        <is>
          <t>Broken URL</t>
        </is>
      </c>
      <c r="C2" t="inlineStr">
        <is>
          <t>Status Code</t>
        </is>
      </c>
      <c r="D2" t="inlineStr">
        <is>
          <t>Inbound Link Count</t>
        </is>
      </c>
      <c r="E2" t="inlineStr">
        <is>
          <t>Source Page Clicks Total</t>
        </is>
      </c>
      <c r="F2" t="inlineStr">
        <is>
          <t>Source Pages (first 5)</t>
        </is>
      </c>
      <c r="G2" t="inlineStr">
        <is>
          <t>Anchor Texts Used</t>
        </is>
      </c>
      <c r="H2" t="inlineStr">
        <is>
          <t>Recommended Action</t>
        </is>
      </c>
    </row>
  </sheetData>
  <autoFilter ref="A2:H2"/>
  <mergeCells count="2">
    <mergeCell ref="A1:B1"/>
    <mergeCell ref="C1:H1"/>
  </mergeCells>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tabColor rgb="002980B9"/>
    <outlinePr summaryBelow="1" summaryRight="1"/>
    <pageSetUpPr fitToPage="1"/>
  </sheetPr>
  <dimension ref="A1:X86"/>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14" customWidth="1" min="1" max="1"/>
    <col width="48" customWidth="1" min="2" max="2"/>
    <col width="45" customWidth="1" min="3" max="3"/>
    <col width="13" customWidth="1" min="4" max="4"/>
    <col width="17" customWidth="1" min="5" max="5"/>
    <col width="19" customWidth="1" min="6" max="6"/>
    <col width="18" customWidth="1" min="7" max="7"/>
    <col width="22" customWidth="1" min="8" max="8"/>
    <col width="22" customWidth="1" min="9" max="9"/>
    <col width="15" customWidth="1" min="10" max="10"/>
    <col width="22" customWidth="1" min="11" max="11"/>
    <col width="19" customWidth="1" min="12" max="12"/>
    <col width="22" customWidth="1" min="13" max="13"/>
    <col width="20" customWidth="1" min="14" max="14"/>
    <col width="19" customWidth="1" min="15" max="15"/>
    <col width="22" customWidth="1" min="16" max="16"/>
    <col width="20" customWidth="1" min="17" max="17"/>
    <col width="48" customWidth="1" min="18" max="18"/>
    <col width="14" customWidth="1" min="19" max="19"/>
    <col width="19" customWidth="1" min="20" max="20"/>
    <col width="19" customWidth="1" min="21" max="21"/>
    <col width="22" customWidth="1" min="22" max="22"/>
    <col width="22" customWidth="1" min="23" max="23"/>
    <col width="22" customWidth="1" min="24" max="24"/>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Record Type</t>
        </is>
      </c>
      <c r="B2" s="26" t="inlineStr">
        <is>
          <t>Sitemap URL</t>
        </is>
      </c>
      <c r="C2" s="26" t="inlineStr">
        <is>
          <t>Final URL</t>
        </is>
      </c>
      <c r="D2" s="27" t="inlineStr">
        <is>
          <t>Status Code</t>
        </is>
      </c>
      <c r="E2" s="26" t="inlineStr">
        <is>
          <t>Found via Crawl</t>
        </is>
      </c>
      <c r="F2" s="26" t="inlineStr">
        <is>
          <t>Found via Sitemap</t>
        </is>
      </c>
      <c r="G2" s="26" t="inlineStr">
        <is>
          <t>Discovery Source</t>
        </is>
      </c>
      <c r="H2" s="26" t="inlineStr">
        <is>
          <t>In Sitemap but Non-200</t>
        </is>
      </c>
      <c r="I2" s="26" t="inlineStr">
        <is>
          <t>Sitemap URL Redirects</t>
        </is>
      </c>
      <c r="J2" s="26" t="inlineStr">
        <is>
          <t>Redirect Type</t>
        </is>
      </c>
      <c r="K2" s="26" t="inlineStr">
        <is>
          <t>In Sitemap but Canonicalized Elsewhere</t>
        </is>
      </c>
      <c r="L2" s="26" t="inlineStr">
        <is>
          <t>Missing &lt;lastmod&gt;</t>
        </is>
      </c>
      <c r="M2" s="26" t="inlineStr">
        <is>
          <t>Missing &lt;changefreq&gt;</t>
        </is>
      </c>
      <c r="N2" s="26" t="inlineStr">
        <is>
          <t>Missing &lt;priority&gt;</t>
        </is>
      </c>
      <c r="O2" s="26" t="inlineStr">
        <is>
          <t>Sitemap &lt;lastmod&gt;</t>
        </is>
      </c>
      <c r="P2" s="26" t="inlineStr">
        <is>
          <t>Sitemap &lt;changefreq&gt;</t>
        </is>
      </c>
      <c r="Q2" s="26" t="inlineStr">
        <is>
          <t>Sitemap &lt;priority&gt;</t>
        </is>
      </c>
      <c r="R2" s="26" t="inlineStr">
        <is>
          <t>Source Sitemap</t>
        </is>
      </c>
      <c r="S2" s="26" t="inlineStr">
        <is>
          <t>Sitemap Kind</t>
        </is>
      </c>
      <c r="T2" s="27" t="inlineStr">
        <is>
          <t>Sitemap URL Count</t>
        </is>
      </c>
      <c r="U2" s="27" t="inlineStr">
        <is>
          <t>Sitemap Size (KB)</t>
        </is>
      </c>
      <c r="V2" s="26" t="inlineStr">
        <is>
          <t>Lastmod vs HTTP Match</t>
        </is>
      </c>
      <c r="W2" s="26" t="inlineStr">
        <is>
          <t>Canonical vs Sitemap Match</t>
        </is>
      </c>
      <c r="X2" s="26" t="inlineStr">
        <is>
          <t>Crawled but Missing from Sitemap</t>
        </is>
      </c>
    </row>
    <row r="3" ht="18" customHeight="1">
      <c r="A3" s="32" t="inlineStr">
        <is>
          <t>Sitemap File</t>
        </is>
      </c>
      <c r="B3" s="20" t="inlineStr">
        <is>
          <t>https://africanmarketingconfederation.org/page-sitemap.xml</t>
        </is>
      </c>
      <c r="C3" s="20" t="inlineStr"/>
      <c r="D3" s="28" t="inlineStr"/>
      <c r="E3" s="28" t="inlineStr"/>
      <c r="F3" s="28" t="b">
        <v>1</v>
      </c>
      <c r="G3" s="28" t="inlineStr">
        <is>
          <t>Sitemap</t>
        </is>
      </c>
      <c r="H3" s="28" t="inlineStr"/>
      <c r="I3" s="20" t="inlineStr"/>
      <c r="J3" s="28" t="inlineStr"/>
      <c r="K3" s="28" t="inlineStr"/>
      <c r="L3" s="28" t="inlineStr"/>
      <c r="M3" s="28" t="inlineStr"/>
      <c r="N3" s="28" t="inlineStr"/>
      <c r="O3" s="28" t="inlineStr"/>
      <c r="P3" s="28" t="inlineStr"/>
      <c r="Q3" s="28" t="inlineStr"/>
      <c r="R3" s="28" t="inlineStr">
        <is>
          <t>https://africanmarketingconfederation.org/page-sitemap.xml</t>
        </is>
      </c>
      <c r="S3" s="28" t="inlineStr">
        <is>
          <t>urlset</t>
        </is>
      </c>
      <c r="T3" s="20" t="n">
        <v>80</v>
      </c>
      <c r="U3" s="28" t="n">
        <v>10.9</v>
      </c>
      <c r="V3" s="28" t="inlineStr"/>
      <c r="W3" s="28" t="inlineStr"/>
      <c r="X3" s="28" t="inlineStr"/>
    </row>
    <row r="4" ht="18" customHeight="1">
      <c r="A4" s="30" t="inlineStr">
        <is>
          <t>Sitemap URL</t>
        </is>
      </c>
      <c r="B4" s="31" t="inlineStr">
        <is>
          <t>https://africanmarketingconfederation.org/</t>
        </is>
      </c>
      <c r="C4" s="31" t="inlineStr">
        <is>
          <t>https://africanmarketingconfederation.org/</t>
        </is>
      </c>
      <c r="D4" s="30" t="inlineStr">
        <is>
          <t>Timeout</t>
        </is>
      </c>
      <c r="E4" s="30" t="b">
        <v>1</v>
      </c>
      <c r="F4" s="30" t="b">
        <v>1</v>
      </c>
      <c r="G4" s="30" t="inlineStr">
        <is>
          <t>Both</t>
        </is>
      </c>
      <c r="H4" s="34" t="b">
        <v>1</v>
      </c>
      <c r="I4" s="31" t="b">
        <v>0</v>
      </c>
      <c r="J4" s="30" t="inlineStr"/>
      <c r="K4" s="30" t="b">
        <v>0</v>
      </c>
      <c r="L4" s="32" t="b">
        <v>0</v>
      </c>
      <c r="M4" s="32" t="b">
        <v>0</v>
      </c>
      <c r="N4" s="32" t="b">
        <v>0</v>
      </c>
      <c r="O4" s="30" t="inlineStr">
        <is>
          <t>2026-06-01</t>
        </is>
      </c>
      <c r="P4" s="30" t="inlineStr">
        <is>
          <t>weekly</t>
        </is>
      </c>
      <c r="Q4" s="30" t="inlineStr">
        <is>
          <t>0.8</t>
        </is>
      </c>
      <c r="R4" s="30" t="inlineStr">
        <is>
          <t>https://africanmarketingconfederation.org/page-sitemap.xml</t>
        </is>
      </c>
      <c r="S4" s="30" t="inlineStr">
        <is>
          <t>urlset</t>
        </is>
      </c>
      <c r="T4" s="31" t="inlineStr"/>
      <c r="U4" s="30" t="inlineStr"/>
      <c r="V4" s="30" t="inlineStr">
        <is>
          <t>Match</t>
        </is>
      </c>
      <c r="W4" s="30" t="inlineStr">
        <is>
          <t>Match</t>
        </is>
      </c>
      <c r="X4" s="32" t="b">
        <v>0</v>
      </c>
    </row>
    <row r="5" ht="18" customHeight="1">
      <c r="A5" s="28" t="inlineStr">
        <is>
          <t>Sitemap URL</t>
        </is>
      </c>
      <c r="B5" s="20" t="inlineStr">
        <is>
          <t>https://africanmarketingconfederation.org/smoke-archive/page-1</t>
        </is>
      </c>
      <c r="C5" s="20" t="inlineStr">
        <is>
          <t>https://africanmarketingconfederation.org/smoke-archive/page-1</t>
        </is>
      </c>
      <c r="D5" s="32" t="n">
        <v>200</v>
      </c>
      <c r="E5" s="28" t="b">
        <v>1</v>
      </c>
      <c r="F5" s="28" t="b">
        <v>1</v>
      </c>
      <c r="G5" s="28" t="inlineStr">
        <is>
          <t>Both</t>
        </is>
      </c>
      <c r="H5" s="32" t="b">
        <v>0</v>
      </c>
      <c r="I5" s="20" t="b">
        <v>0</v>
      </c>
      <c r="J5" s="28" t="inlineStr"/>
      <c r="K5" s="28" t="b">
        <v>0</v>
      </c>
      <c r="L5" s="34" t="b">
        <v>1</v>
      </c>
      <c r="M5" s="34" t="b">
        <v>1</v>
      </c>
      <c r="N5" s="34" t="b">
        <v>1</v>
      </c>
      <c r="O5" s="28" t="inlineStr"/>
      <c r="P5" s="28" t="inlineStr"/>
      <c r="Q5" s="28" t="inlineStr"/>
      <c r="R5" s="28" t="inlineStr">
        <is>
          <t>https://africanmarketingconfederation.org/page-sitemap.xml</t>
        </is>
      </c>
      <c r="S5" s="28" t="inlineStr">
        <is>
          <t>urlset</t>
        </is>
      </c>
      <c r="T5" s="20" t="inlineStr"/>
      <c r="U5" s="28" t="inlineStr"/>
      <c r="V5" s="28" t="inlineStr">
        <is>
          <t>Unknown</t>
        </is>
      </c>
      <c r="W5" s="28" t="inlineStr">
        <is>
          <t>Match</t>
        </is>
      </c>
      <c r="X5" s="32" t="b">
        <v>0</v>
      </c>
    </row>
    <row r="6" ht="18" customHeight="1">
      <c r="A6" s="30" t="inlineStr">
        <is>
          <t>Sitemap URL</t>
        </is>
      </c>
      <c r="B6" s="31" t="inlineStr">
        <is>
          <t>https://africanmarketingconfederation.org/smoke-archive/page-2</t>
        </is>
      </c>
      <c r="C6" s="31" t="inlineStr">
        <is>
          <t>https://africanmarketingconfederation.org/smoke-archive/page-2</t>
        </is>
      </c>
      <c r="D6" s="32" t="n">
        <v>200</v>
      </c>
      <c r="E6" s="30" t="b">
        <v>1</v>
      </c>
      <c r="F6" s="30" t="b">
        <v>1</v>
      </c>
      <c r="G6" s="30" t="inlineStr">
        <is>
          <t>Both</t>
        </is>
      </c>
      <c r="H6" s="32" t="b">
        <v>0</v>
      </c>
      <c r="I6" s="31" t="b">
        <v>0</v>
      </c>
      <c r="J6" s="30" t="inlineStr"/>
      <c r="K6" s="30" t="b">
        <v>0</v>
      </c>
      <c r="L6" s="34" t="b">
        <v>1</v>
      </c>
      <c r="M6" s="34" t="b">
        <v>1</v>
      </c>
      <c r="N6" s="34" t="b">
        <v>1</v>
      </c>
      <c r="O6" s="30" t="inlineStr"/>
      <c r="P6" s="30" t="inlineStr"/>
      <c r="Q6" s="30" t="inlineStr"/>
      <c r="R6" s="30" t="inlineStr">
        <is>
          <t>https://africanmarketingconfederation.org/page-sitemap.xml</t>
        </is>
      </c>
      <c r="S6" s="30" t="inlineStr">
        <is>
          <t>urlset</t>
        </is>
      </c>
      <c r="T6" s="31" t="inlineStr"/>
      <c r="U6" s="30" t="inlineStr"/>
      <c r="V6" s="30" t="inlineStr">
        <is>
          <t>Unknown</t>
        </is>
      </c>
      <c r="W6" s="30" t="inlineStr">
        <is>
          <t>Match</t>
        </is>
      </c>
      <c r="X6" s="32" t="b">
        <v>0</v>
      </c>
    </row>
    <row r="7" ht="18" customHeight="1">
      <c r="A7" s="28" t="inlineStr">
        <is>
          <t>Sitemap URL</t>
        </is>
      </c>
      <c r="B7" s="20" t="inlineStr">
        <is>
          <t>https://africanmarketingconfederation.org/smoke-archive/page-3</t>
        </is>
      </c>
      <c r="C7" s="20" t="inlineStr">
        <is>
          <t>https://africanmarketingconfederation.org/smoke-archive/page-3</t>
        </is>
      </c>
      <c r="D7" s="32" t="n">
        <v>200</v>
      </c>
      <c r="E7" s="28" t="b">
        <v>1</v>
      </c>
      <c r="F7" s="28" t="b">
        <v>1</v>
      </c>
      <c r="G7" s="28" t="inlineStr">
        <is>
          <t>Both</t>
        </is>
      </c>
      <c r="H7" s="32" t="b">
        <v>0</v>
      </c>
      <c r="I7" s="20" t="b">
        <v>0</v>
      </c>
      <c r="J7" s="28" t="inlineStr"/>
      <c r="K7" s="28" t="b">
        <v>0</v>
      </c>
      <c r="L7" s="32" t="b">
        <v>0</v>
      </c>
      <c r="M7" s="34" t="b">
        <v>1</v>
      </c>
      <c r="N7" s="34" t="b">
        <v>1</v>
      </c>
      <c r="O7" s="28" t="inlineStr">
        <is>
          <t>2026-06-01</t>
        </is>
      </c>
      <c r="P7" s="28" t="inlineStr"/>
      <c r="Q7" s="28" t="inlineStr"/>
      <c r="R7" s="28" t="inlineStr">
        <is>
          <t>https://africanmarketingconfederation.org/page-sitemap.xml</t>
        </is>
      </c>
      <c r="S7" s="28" t="inlineStr">
        <is>
          <t>urlset</t>
        </is>
      </c>
      <c r="T7" s="20" t="inlineStr"/>
      <c r="U7" s="28" t="inlineStr"/>
      <c r="V7" s="28" t="inlineStr">
        <is>
          <t>Match</t>
        </is>
      </c>
      <c r="W7" s="28" t="inlineStr">
        <is>
          <t>Match</t>
        </is>
      </c>
      <c r="X7" s="32" t="b">
        <v>0</v>
      </c>
    </row>
    <row r="8" ht="18" customHeight="1">
      <c r="A8" s="30" t="inlineStr">
        <is>
          <t>Sitemap URL</t>
        </is>
      </c>
      <c r="B8" s="31" t="inlineStr">
        <is>
          <t>https://africanmarketingconfederation.org/smoke-archive/page-4</t>
        </is>
      </c>
      <c r="C8" s="31" t="inlineStr">
        <is>
          <t>https://africanmarketingconfederation.org/smoke-archive/page-4</t>
        </is>
      </c>
      <c r="D8" s="32" t="n">
        <v>200</v>
      </c>
      <c r="E8" s="30" t="b">
        <v>1</v>
      </c>
      <c r="F8" s="30" t="b">
        <v>1</v>
      </c>
      <c r="G8" s="30" t="inlineStr">
        <is>
          <t>Both</t>
        </is>
      </c>
      <c r="H8" s="32" t="b">
        <v>0</v>
      </c>
      <c r="I8" s="31" t="b">
        <v>0</v>
      </c>
      <c r="J8" s="30" t="inlineStr"/>
      <c r="K8" s="30" t="b">
        <v>0</v>
      </c>
      <c r="L8" s="34" t="b">
        <v>1</v>
      </c>
      <c r="M8" s="34" t="b">
        <v>1</v>
      </c>
      <c r="N8" s="34" t="b">
        <v>1</v>
      </c>
      <c r="O8" s="30" t="inlineStr"/>
      <c r="P8" s="30" t="inlineStr"/>
      <c r="Q8" s="30" t="inlineStr"/>
      <c r="R8" s="30" t="inlineStr">
        <is>
          <t>https://africanmarketingconfederation.org/page-sitemap.xml</t>
        </is>
      </c>
      <c r="S8" s="30" t="inlineStr">
        <is>
          <t>urlset</t>
        </is>
      </c>
      <c r="T8" s="31" t="inlineStr"/>
      <c r="U8" s="30" t="inlineStr"/>
      <c r="V8" s="30" t="inlineStr">
        <is>
          <t>Unknown</t>
        </is>
      </c>
      <c r="W8" s="30" t="inlineStr">
        <is>
          <t>Match</t>
        </is>
      </c>
      <c r="X8" s="32" t="b">
        <v>0</v>
      </c>
    </row>
    <row r="9" ht="18" customHeight="1">
      <c r="A9" s="28" t="inlineStr">
        <is>
          <t>Sitemap URL</t>
        </is>
      </c>
      <c r="B9" s="20" t="inlineStr">
        <is>
          <t>https://africanmarketingconfederation.org/smoke-archive/page-5</t>
        </is>
      </c>
      <c r="C9" s="20" t="inlineStr">
        <is>
          <t>https://africanmarketingconfederation.org/smoke-archive/page-5</t>
        </is>
      </c>
      <c r="D9" s="32" t="n">
        <v>200</v>
      </c>
      <c r="E9" s="28" t="b">
        <v>1</v>
      </c>
      <c r="F9" s="28" t="b">
        <v>1</v>
      </c>
      <c r="G9" s="28" t="inlineStr">
        <is>
          <t>Both</t>
        </is>
      </c>
      <c r="H9" s="32" t="b">
        <v>0</v>
      </c>
      <c r="I9" s="20" t="b">
        <v>0</v>
      </c>
      <c r="J9" s="28" t="inlineStr"/>
      <c r="K9" s="28" t="b">
        <v>0</v>
      </c>
      <c r="L9" s="34" t="b">
        <v>1</v>
      </c>
      <c r="M9" s="32" t="b">
        <v>0</v>
      </c>
      <c r="N9" s="34" t="b">
        <v>1</v>
      </c>
      <c r="O9" s="28" t="inlineStr"/>
      <c r="P9" s="28" t="inlineStr">
        <is>
          <t>weekly</t>
        </is>
      </c>
      <c r="Q9" s="28" t="inlineStr"/>
      <c r="R9" s="28" t="inlineStr">
        <is>
          <t>https://africanmarketingconfederation.org/page-sitemap.xml</t>
        </is>
      </c>
      <c r="S9" s="28" t="inlineStr">
        <is>
          <t>urlset</t>
        </is>
      </c>
      <c r="T9" s="20" t="inlineStr"/>
      <c r="U9" s="28" t="inlineStr"/>
      <c r="V9" s="28" t="inlineStr">
        <is>
          <t>Unknown</t>
        </is>
      </c>
      <c r="W9" s="28" t="inlineStr">
        <is>
          <t>Match</t>
        </is>
      </c>
      <c r="X9" s="32" t="b">
        <v>0</v>
      </c>
    </row>
    <row r="10" ht="18" customHeight="1">
      <c r="A10" s="30" t="inlineStr">
        <is>
          <t>Sitemap URL</t>
        </is>
      </c>
      <c r="B10" s="31" t="inlineStr">
        <is>
          <t>https://africanmarketingconfederation.org/smoke-archive/page-6</t>
        </is>
      </c>
      <c r="C10" s="31" t="inlineStr">
        <is>
          <t>https://africanmarketingconfederation.org/smoke-archive/page-6</t>
        </is>
      </c>
      <c r="D10" s="32" t="n">
        <v>200</v>
      </c>
      <c r="E10" s="30" t="b">
        <v>1</v>
      </c>
      <c r="F10" s="30" t="b">
        <v>1</v>
      </c>
      <c r="G10" s="30" t="inlineStr">
        <is>
          <t>Both</t>
        </is>
      </c>
      <c r="H10" s="32" t="b">
        <v>0</v>
      </c>
      <c r="I10" s="31" t="b">
        <v>0</v>
      </c>
      <c r="J10" s="30" t="inlineStr"/>
      <c r="K10" s="30" t="b">
        <v>0</v>
      </c>
      <c r="L10" s="32" t="b">
        <v>0</v>
      </c>
      <c r="M10" s="34" t="b">
        <v>1</v>
      </c>
      <c r="N10" s="34" t="b">
        <v>1</v>
      </c>
      <c r="O10" s="30" t="inlineStr">
        <is>
          <t>2026-06-01</t>
        </is>
      </c>
      <c r="P10" s="30" t="inlineStr"/>
      <c r="Q10" s="30" t="inlineStr"/>
      <c r="R10" s="30" t="inlineStr">
        <is>
          <t>https://africanmarketingconfederation.org/page-sitemap.xml</t>
        </is>
      </c>
      <c r="S10" s="30" t="inlineStr">
        <is>
          <t>urlset</t>
        </is>
      </c>
      <c r="T10" s="31" t="inlineStr"/>
      <c r="U10" s="30" t="inlineStr"/>
      <c r="V10" s="30" t="inlineStr">
        <is>
          <t>Match</t>
        </is>
      </c>
      <c r="W10" s="30" t="inlineStr">
        <is>
          <t>Match</t>
        </is>
      </c>
      <c r="X10" s="32" t="b">
        <v>0</v>
      </c>
    </row>
    <row r="11" ht="18" customHeight="1">
      <c r="A11" s="28" t="inlineStr">
        <is>
          <t>Sitemap URL</t>
        </is>
      </c>
      <c r="B11" s="20" t="inlineStr">
        <is>
          <t>https://africanmarketingconfederation.org/smoke-archive/page-7</t>
        </is>
      </c>
      <c r="C11" s="20" t="inlineStr">
        <is>
          <t>https://africanmarketingconfederation.org/smoke-archive/page-7</t>
        </is>
      </c>
      <c r="D11" s="32" t="n">
        <v>200</v>
      </c>
      <c r="E11" s="28" t="b">
        <v>1</v>
      </c>
      <c r="F11" s="28" t="b">
        <v>1</v>
      </c>
      <c r="G11" s="28" t="inlineStr">
        <is>
          <t>Both</t>
        </is>
      </c>
      <c r="H11" s="32" t="b">
        <v>0</v>
      </c>
      <c r="I11" s="20" t="b">
        <v>0</v>
      </c>
      <c r="J11" s="28" t="inlineStr"/>
      <c r="K11" s="28" t="b">
        <v>0</v>
      </c>
      <c r="L11" s="34" t="b">
        <v>1</v>
      </c>
      <c r="M11" s="34" t="b">
        <v>1</v>
      </c>
      <c r="N11" s="32" t="b">
        <v>0</v>
      </c>
      <c r="O11" s="28" t="inlineStr"/>
      <c r="P11" s="28" t="inlineStr"/>
      <c r="Q11" s="28" t="inlineStr">
        <is>
          <t>0.8</t>
        </is>
      </c>
      <c r="R11" s="28" t="inlineStr">
        <is>
          <t>https://africanmarketingconfederation.org/page-sitemap.xml</t>
        </is>
      </c>
      <c r="S11" s="28" t="inlineStr">
        <is>
          <t>urlset</t>
        </is>
      </c>
      <c r="T11" s="20" t="inlineStr"/>
      <c r="U11" s="28" t="inlineStr"/>
      <c r="V11" s="28" t="inlineStr">
        <is>
          <t>Unknown</t>
        </is>
      </c>
      <c r="W11" s="28" t="inlineStr">
        <is>
          <t>Match</t>
        </is>
      </c>
      <c r="X11" s="32" t="b">
        <v>0</v>
      </c>
    </row>
    <row r="12" ht="18" customHeight="1">
      <c r="A12" s="30" t="inlineStr">
        <is>
          <t>Sitemap URL</t>
        </is>
      </c>
      <c r="B12" s="31" t="inlineStr">
        <is>
          <t>https://africanmarketingconfederation.org/smoke-archive/page-8</t>
        </is>
      </c>
      <c r="C12" s="31" t="inlineStr">
        <is>
          <t>https://africanmarketingconfederation.org/smoke-archive/page-8</t>
        </is>
      </c>
      <c r="D12" s="32" t="n">
        <v>200</v>
      </c>
      <c r="E12" s="30" t="b">
        <v>1</v>
      </c>
      <c r="F12" s="30" t="b">
        <v>1</v>
      </c>
      <c r="G12" s="30" t="inlineStr">
        <is>
          <t>Both</t>
        </is>
      </c>
      <c r="H12" s="32" t="b">
        <v>0</v>
      </c>
      <c r="I12" s="31" t="b">
        <v>0</v>
      </c>
      <c r="J12" s="30" t="inlineStr"/>
      <c r="K12" s="30" t="b">
        <v>0</v>
      </c>
      <c r="L12" s="34" t="b">
        <v>1</v>
      </c>
      <c r="M12" s="34" t="b">
        <v>1</v>
      </c>
      <c r="N12" s="34" t="b">
        <v>1</v>
      </c>
      <c r="O12" s="30" t="inlineStr"/>
      <c r="P12" s="30" t="inlineStr"/>
      <c r="Q12" s="30" t="inlineStr"/>
      <c r="R12" s="30" t="inlineStr">
        <is>
          <t>https://africanmarketingconfederation.org/page-sitemap.xml</t>
        </is>
      </c>
      <c r="S12" s="30" t="inlineStr">
        <is>
          <t>urlset</t>
        </is>
      </c>
      <c r="T12" s="31" t="inlineStr"/>
      <c r="U12" s="30" t="inlineStr"/>
      <c r="V12" s="30" t="inlineStr">
        <is>
          <t>Unknown</t>
        </is>
      </c>
      <c r="W12" s="30" t="inlineStr">
        <is>
          <t>Match</t>
        </is>
      </c>
      <c r="X12" s="32" t="b">
        <v>0</v>
      </c>
    </row>
    <row r="13" ht="18" customHeight="1">
      <c r="A13" s="28" t="inlineStr">
        <is>
          <t>Sitemap URL</t>
        </is>
      </c>
      <c r="B13" s="20" t="inlineStr">
        <is>
          <t>https://africanmarketingconfederation.org/smoke-archive/page-9</t>
        </is>
      </c>
      <c r="C13" s="20" t="inlineStr">
        <is>
          <t>https://africanmarketingconfederation.org/smoke-archive/page-9</t>
        </is>
      </c>
      <c r="D13" s="32" t="n">
        <v>200</v>
      </c>
      <c r="E13" s="28" t="b">
        <v>1</v>
      </c>
      <c r="F13" s="28" t="b">
        <v>1</v>
      </c>
      <c r="G13" s="28" t="inlineStr">
        <is>
          <t>Both</t>
        </is>
      </c>
      <c r="H13" s="32" t="b">
        <v>0</v>
      </c>
      <c r="I13" s="20" t="b">
        <v>0</v>
      </c>
      <c r="J13" s="28" t="inlineStr"/>
      <c r="K13" s="28" t="b">
        <v>0</v>
      </c>
      <c r="L13" s="32" t="b">
        <v>0</v>
      </c>
      <c r="M13" s="34" t="b">
        <v>1</v>
      </c>
      <c r="N13" s="34" t="b">
        <v>1</v>
      </c>
      <c r="O13" s="28" t="inlineStr">
        <is>
          <t>2026-06-01</t>
        </is>
      </c>
      <c r="P13" s="28" t="inlineStr"/>
      <c r="Q13" s="28" t="inlineStr"/>
      <c r="R13" s="28" t="inlineStr">
        <is>
          <t>https://africanmarketingconfederation.org/page-sitemap.xml</t>
        </is>
      </c>
      <c r="S13" s="28" t="inlineStr">
        <is>
          <t>urlset</t>
        </is>
      </c>
      <c r="T13" s="20" t="inlineStr"/>
      <c r="U13" s="28" t="inlineStr"/>
      <c r="V13" s="28" t="inlineStr">
        <is>
          <t>Match</t>
        </is>
      </c>
      <c r="W13" s="28" t="inlineStr">
        <is>
          <t>Match</t>
        </is>
      </c>
      <c r="X13" s="32" t="b">
        <v>0</v>
      </c>
    </row>
    <row r="14" ht="18" customHeight="1">
      <c r="A14" s="30" t="inlineStr">
        <is>
          <t>Sitemap URL</t>
        </is>
      </c>
      <c r="B14" s="31" t="inlineStr">
        <is>
          <t>https://africanmarketingconfederation.org/smoke-archive/page-10</t>
        </is>
      </c>
      <c r="C14" s="31" t="inlineStr">
        <is>
          <t>https://africanmarketingconfederation.org/smoke-archive/page-10</t>
        </is>
      </c>
      <c r="D14" s="32" t="n">
        <v>200</v>
      </c>
      <c r="E14" s="30" t="b">
        <v>1</v>
      </c>
      <c r="F14" s="30" t="b">
        <v>1</v>
      </c>
      <c r="G14" s="30" t="inlineStr">
        <is>
          <t>Both</t>
        </is>
      </c>
      <c r="H14" s="32" t="b">
        <v>0</v>
      </c>
      <c r="I14" s="31" t="b">
        <v>0</v>
      </c>
      <c r="J14" s="30" t="inlineStr"/>
      <c r="K14" s="30" t="b">
        <v>0</v>
      </c>
      <c r="L14" s="34" t="b">
        <v>1</v>
      </c>
      <c r="M14" s="32" t="b">
        <v>0</v>
      </c>
      <c r="N14" s="34" t="b">
        <v>1</v>
      </c>
      <c r="O14" s="30" t="inlineStr"/>
      <c r="P14" s="30" t="inlineStr">
        <is>
          <t>weekly</t>
        </is>
      </c>
      <c r="Q14" s="30" t="inlineStr"/>
      <c r="R14" s="30" t="inlineStr">
        <is>
          <t>https://africanmarketingconfederation.org/page-sitemap.xml</t>
        </is>
      </c>
      <c r="S14" s="30" t="inlineStr">
        <is>
          <t>urlset</t>
        </is>
      </c>
      <c r="T14" s="31" t="inlineStr"/>
      <c r="U14" s="30" t="inlineStr"/>
      <c r="V14" s="30" t="inlineStr">
        <is>
          <t>Unknown</t>
        </is>
      </c>
      <c r="W14" s="30" t="inlineStr">
        <is>
          <t>Match</t>
        </is>
      </c>
      <c r="X14" s="32" t="b">
        <v>0</v>
      </c>
    </row>
    <row r="15" ht="18" customHeight="1">
      <c r="A15" s="28" t="inlineStr">
        <is>
          <t>Sitemap URL</t>
        </is>
      </c>
      <c r="B15" s="20" t="inlineStr">
        <is>
          <t>https://africanmarketingconfederation.org/smoke-archive/page-11</t>
        </is>
      </c>
      <c r="C15" s="20" t="inlineStr">
        <is>
          <t>https://africanmarketingconfederation.org/smoke-archive/page-11-canonical/</t>
        </is>
      </c>
      <c r="D15" s="40" t="n">
        <v>301</v>
      </c>
      <c r="E15" s="28" t="b">
        <v>1</v>
      </c>
      <c r="F15" s="28" t="b">
        <v>1</v>
      </c>
      <c r="G15" s="28" t="inlineStr">
        <is>
          <t>Both</t>
        </is>
      </c>
      <c r="H15" s="34" t="b">
        <v>1</v>
      </c>
      <c r="I15" s="20" t="b">
        <v>1</v>
      </c>
      <c r="J15" s="28" t="inlineStr"/>
      <c r="K15" s="28" t="b">
        <v>0</v>
      </c>
      <c r="L15" s="34" t="b">
        <v>1</v>
      </c>
      <c r="M15" s="34" t="b">
        <v>1</v>
      </c>
      <c r="N15" s="34" t="b">
        <v>1</v>
      </c>
      <c r="O15" s="28" t="inlineStr"/>
      <c r="P15" s="28" t="inlineStr"/>
      <c r="Q15" s="28" t="inlineStr"/>
      <c r="R15" s="28" t="inlineStr">
        <is>
          <t>https://africanmarketingconfederation.org/page-sitemap.xml</t>
        </is>
      </c>
      <c r="S15" s="28" t="inlineStr">
        <is>
          <t>urlset</t>
        </is>
      </c>
      <c r="T15" s="20" t="inlineStr"/>
      <c r="U15" s="28" t="inlineStr"/>
      <c r="V15" s="28" t="inlineStr">
        <is>
          <t>Unknown</t>
        </is>
      </c>
      <c r="W15" s="28" t="inlineStr">
        <is>
          <t>Match</t>
        </is>
      </c>
      <c r="X15" s="32" t="b">
        <v>0</v>
      </c>
    </row>
    <row r="16" ht="18" customHeight="1">
      <c r="A16" s="30" t="inlineStr">
        <is>
          <t>Sitemap URL</t>
        </is>
      </c>
      <c r="B16" s="31" t="inlineStr">
        <is>
          <t>https://africanmarketingconfederation.org/smoke-archive/page-12</t>
        </is>
      </c>
      <c r="C16" s="31" t="inlineStr">
        <is>
          <t>https://africanmarketingconfederation.org/smoke-archive/page-12</t>
        </is>
      </c>
      <c r="D16" s="32" t="n">
        <v>200</v>
      </c>
      <c r="E16" s="30" t="b">
        <v>1</v>
      </c>
      <c r="F16" s="30" t="b">
        <v>1</v>
      </c>
      <c r="G16" s="30" t="inlineStr">
        <is>
          <t>Both</t>
        </is>
      </c>
      <c r="H16" s="32" t="b">
        <v>0</v>
      </c>
      <c r="I16" s="31" t="b">
        <v>0</v>
      </c>
      <c r="J16" s="30" t="inlineStr"/>
      <c r="K16" s="30" t="b">
        <v>0</v>
      </c>
      <c r="L16" s="32" t="b">
        <v>0</v>
      </c>
      <c r="M16" s="34" t="b">
        <v>1</v>
      </c>
      <c r="N16" s="34" t="b">
        <v>1</v>
      </c>
      <c r="O16" s="30" t="inlineStr">
        <is>
          <t>2026-06-01</t>
        </is>
      </c>
      <c r="P16" s="30" t="inlineStr"/>
      <c r="Q16" s="30" t="inlineStr"/>
      <c r="R16" s="30" t="inlineStr">
        <is>
          <t>https://africanmarketingconfederation.org/page-sitemap.xml</t>
        </is>
      </c>
      <c r="S16" s="30" t="inlineStr">
        <is>
          <t>urlset</t>
        </is>
      </c>
      <c r="T16" s="31" t="inlineStr"/>
      <c r="U16" s="30" t="inlineStr"/>
      <c r="V16" s="30" t="inlineStr">
        <is>
          <t>Match</t>
        </is>
      </c>
      <c r="W16" s="30" t="inlineStr">
        <is>
          <t>Match</t>
        </is>
      </c>
      <c r="X16" s="32" t="b">
        <v>0</v>
      </c>
    </row>
    <row r="17" ht="18" customHeight="1">
      <c r="A17" s="28" t="inlineStr">
        <is>
          <t>Sitemap URL</t>
        </is>
      </c>
      <c r="B17" s="20" t="inlineStr">
        <is>
          <t>https://africanmarketingconfederation.org/smoke-archive/page-13</t>
        </is>
      </c>
      <c r="C17" s="20" t="inlineStr">
        <is>
          <t>https://africanmarketingconfederation.org/smoke-archive/page-13</t>
        </is>
      </c>
      <c r="D17" s="34" t="n">
        <v>404</v>
      </c>
      <c r="E17" s="28" t="b">
        <v>1</v>
      </c>
      <c r="F17" s="28" t="b">
        <v>1</v>
      </c>
      <c r="G17" s="28" t="inlineStr">
        <is>
          <t>Both</t>
        </is>
      </c>
      <c r="H17" s="34" t="b">
        <v>1</v>
      </c>
      <c r="I17" s="20" t="b">
        <v>0</v>
      </c>
      <c r="J17" s="28" t="inlineStr"/>
      <c r="K17" s="28" t="b">
        <v>0</v>
      </c>
      <c r="L17" s="34" t="b">
        <v>1</v>
      </c>
      <c r="M17" s="34" t="b">
        <v>1</v>
      </c>
      <c r="N17" s="34" t="b">
        <v>1</v>
      </c>
      <c r="O17" s="28" t="inlineStr"/>
      <c r="P17" s="28" t="inlineStr"/>
      <c r="Q17" s="28" t="inlineStr"/>
      <c r="R17" s="28" t="inlineStr">
        <is>
          <t>https://africanmarketingconfederation.org/page-sitemap.xml</t>
        </is>
      </c>
      <c r="S17" s="28" t="inlineStr">
        <is>
          <t>urlset</t>
        </is>
      </c>
      <c r="T17" s="20" t="inlineStr"/>
      <c r="U17" s="28" t="inlineStr"/>
      <c r="V17" s="28" t="inlineStr">
        <is>
          <t>Unknown</t>
        </is>
      </c>
      <c r="W17" s="28" t="inlineStr">
        <is>
          <t>Match</t>
        </is>
      </c>
      <c r="X17" s="32" t="b">
        <v>0</v>
      </c>
    </row>
    <row r="18" ht="18" customHeight="1">
      <c r="A18" s="30" t="inlineStr">
        <is>
          <t>Sitemap URL</t>
        </is>
      </c>
      <c r="B18" s="31" t="inlineStr">
        <is>
          <t>https://africanmarketingconfederation.org/smoke-archive/page-14</t>
        </is>
      </c>
      <c r="C18" s="31" t="inlineStr">
        <is>
          <t>https://africanmarketingconfederation.org/smoke-archive/page-14</t>
        </is>
      </c>
      <c r="D18" s="32" t="n">
        <v>200</v>
      </c>
      <c r="E18" s="30" t="b">
        <v>1</v>
      </c>
      <c r="F18" s="30" t="b">
        <v>1</v>
      </c>
      <c r="G18" s="30" t="inlineStr">
        <is>
          <t>Both</t>
        </is>
      </c>
      <c r="H18" s="32" t="b">
        <v>0</v>
      </c>
      <c r="I18" s="31" t="b">
        <v>0</v>
      </c>
      <c r="J18" s="30" t="inlineStr"/>
      <c r="K18" s="30" t="b">
        <v>0</v>
      </c>
      <c r="L18" s="34" t="b">
        <v>1</v>
      </c>
      <c r="M18" s="34" t="b">
        <v>1</v>
      </c>
      <c r="N18" s="32" t="b">
        <v>0</v>
      </c>
      <c r="O18" s="30" t="inlineStr"/>
      <c r="P18" s="30" t="inlineStr"/>
      <c r="Q18" s="30" t="inlineStr">
        <is>
          <t>0.8</t>
        </is>
      </c>
      <c r="R18" s="30" t="inlineStr">
        <is>
          <t>https://africanmarketingconfederation.org/page-sitemap.xml</t>
        </is>
      </c>
      <c r="S18" s="30" t="inlineStr">
        <is>
          <t>urlset</t>
        </is>
      </c>
      <c r="T18" s="31" t="inlineStr"/>
      <c r="U18" s="30" t="inlineStr"/>
      <c r="V18" s="30" t="inlineStr">
        <is>
          <t>Unknown</t>
        </is>
      </c>
      <c r="W18" s="30" t="inlineStr">
        <is>
          <t>Match</t>
        </is>
      </c>
      <c r="X18" s="32" t="b">
        <v>0</v>
      </c>
    </row>
    <row r="19" ht="18" customHeight="1">
      <c r="A19" s="28" t="inlineStr">
        <is>
          <t>Sitemap URL</t>
        </is>
      </c>
      <c r="B19" s="20" t="inlineStr">
        <is>
          <t>https://africanmarketingconfederation.org/smoke-archive/page-15</t>
        </is>
      </c>
      <c r="C19" s="20" t="inlineStr">
        <is>
          <t>https://africanmarketingconfederation.org/smoke-archive/page-15</t>
        </is>
      </c>
      <c r="D19" s="32" t="n">
        <v>200</v>
      </c>
      <c r="E19" s="28" t="b">
        <v>1</v>
      </c>
      <c r="F19" s="28" t="b">
        <v>1</v>
      </c>
      <c r="G19" s="28" t="inlineStr">
        <is>
          <t>Both</t>
        </is>
      </c>
      <c r="H19" s="32" t="b">
        <v>0</v>
      </c>
      <c r="I19" s="20" t="b">
        <v>0</v>
      </c>
      <c r="J19" s="28" t="inlineStr"/>
      <c r="K19" s="28" t="b">
        <v>0</v>
      </c>
      <c r="L19" s="32" t="b">
        <v>0</v>
      </c>
      <c r="M19" s="32" t="b">
        <v>0</v>
      </c>
      <c r="N19" s="34" t="b">
        <v>1</v>
      </c>
      <c r="O19" s="28" t="inlineStr">
        <is>
          <t>2026-06-01</t>
        </is>
      </c>
      <c r="P19" s="28" t="inlineStr">
        <is>
          <t>weekly</t>
        </is>
      </c>
      <c r="Q19" s="28" t="inlineStr"/>
      <c r="R19" s="28" t="inlineStr">
        <is>
          <t>https://africanmarketingconfederation.org/page-sitemap.xml</t>
        </is>
      </c>
      <c r="S19" s="28" t="inlineStr">
        <is>
          <t>urlset</t>
        </is>
      </c>
      <c r="T19" s="20" t="inlineStr"/>
      <c r="U19" s="28" t="inlineStr"/>
      <c r="V19" s="28" t="inlineStr">
        <is>
          <t>Match</t>
        </is>
      </c>
      <c r="W19" s="28" t="inlineStr">
        <is>
          <t>Match</t>
        </is>
      </c>
      <c r="X19" s="32" t="b">
        <v>0</v>
      </c>
    </row>
    <row r="20" ht="18" customHeight="1">
      <c r="A20" s="30" t="inlineStr">
        <is>
          <t>Sitemap URL</t>
        </is>
      </c>
      <c r="B20" s="31" t="inlineStr">
        <is>
          <t>https://africanmarketingconfederation.org/smoke-archive/page-16</t>
        </is>
      </c>
      <c r="C20" s="31" t="inlineStr">
        <is>
          <t>https://africanmarketingconfederation.org/smoke-archive/page-16</t>
        </is>
      </c>
      <c r="D20" s="32" t="n">
        <v>200</v>
      </c>
      <c r="E20" s="30" t="b">
        <v>1</v>
      </c>
      <c r="F20" s="30" t="b">
        <v>1</v>
      </c>
      <c r="G20" s="30" t="inlineStr">
        <is>
          <t>Both</t>
        </is>
      </c>
      <c r="H20" s="32" t="b">
        <v>0</v>
      </c>
      <c r="I20" s="31" t="b">
        <v>0</v>
      </c>
      <c r="J20" s="30" t="inlineStr"/>
      <c r="K20" s="30" t="b">
        <v>0</v>
      </c>
      <c r="L20" s="34" t="b">
        <v>1</v>
      </c>
      <c r="M20" s="34" t="b">
        <v>1</v>
      </c>
      <c r="N20" s="34" t="b">
        <v>1</v>
      </c>
      <c r="O20" s="30" t="inlineStr"/>
      <c r="P20" s="30" t="inlineStr"/>
      <c r="Q20" s="30" t="inlineStr"/>
      <c r="R20" s="30" t="inlineStr">
        <is>
          <t>https://africanmarketingconfederation.org/page-sitemap.xml</t>
        </is>
      </c>
      <c r="S20" s="30" t="inlineStr">
        <is>
          <t>urlset</t>
        </is>
      </c>
      <c r="T20" s="31" t="inlineStr"/>
      <c r="U20" s="30" t="inlineStr"/>
      <c r="V20" s="30" t="inlineStr">
        <is>
          <t>Unknown</t>
        </is>
      </c>
      <c r="W20" s="30" t="inlineStr">
        <is>
          <t>Match</t>
        </is>
      </c>
      <c r="X20" s="32" t="b">
        <v>0</v>
      </c>
    </row>
    <row r="21" ht="18" customHeight="1">
      <c r="A21" s="28" t="inlineStr">
        <is>
          <t>Sitemap URL</t>
        </is>
      </c>
      <c r="B21" s="20" t="inlineStr">
        <is>
          <t>https://africanmarketingconfederation.org/smoke-archive/page-17</t>
        </is>
      </c>
      <c r="C21" s="20" t="inlineStr">
        <is>
          <t>https://africanmarketingconfederation.org/smoke-archive/page-17</t>
        </is>
      </c>
      <c r="D21" s="28" t="inlineStr">
        <is>
          <t>Timeout</t>
        </is>
      </c>
      <c r="E21" s="28" t="b">
        <v>1</v>
      </c>
      <c r="F21" s="28" t="b">
        <v>1</v>
      </c>
      <c r="G21" s="28" t="inlineStr">
        <is>
          <t>Both</t>
        </is>
      </c>
      <c r="H21" s="34" t="b">
        <v>1</v>
      </c>
      <c r="I21" s="20" t="b">
        <v>0</v>
      </c>
      <c r="J21" s="28" t="inlineStr"/>
      <c r="K21" s="28" t="b">
        <v>0</v>
      </c>
      <c r="L21" s="34" t="b">
        <v>1</v>
      </c>
      <c r="M21" s="34" t="b">
        <v>1</v>
      </c>
      <c r="N21" s="34" t="b">
        <v>1</v>
      </c>
      <c r="O21" s="28" t="inlineStr"/>
      <c r="P21" s="28" t="inlineStr"/>
      <c r="Q21" s="28" t="inlineStr"/>
      <c r="R21" s="28" t="inlineStr">
        <is>
          <t>https://africanmarketingconfederation.org/page-sitemap.xml</t>
        </is>
      </c>
      <c r="S21" s="28" t="inlineStr">
        <is>
          <t>urlset</t>
        </is>
      </c>
      <c r="T21" s="20" t="inlineStr"/>
      <c r="U21" s="28" t="inlineStr"/>
      <c r="V21" s="28" t="inlineStr">
        <is>
          <t>Unknown</t>
        </is>
      </c>
      <c r="W21" s="28" t="inlineStr">
        <is>
          <t>Match</t>
        </is>
      </c>
      <c r="X21" s="32" t="b">
        <v>0</v>
      </c>
    </row>
    <row r="22" ht="18" customHeight="1">
      <c r="A22" s="30" t="inlineStr">
        <is>
          <t>Sitemap URL</t>
        </is>
      </c>
      <c r="B22" s="31" t="inlineStr">
        <is>
          <t>https://africanmarketingconfederation.org/smoke-archive/page-18</t>
        </is>
      </c>
      <c r="C22" s="31" t="inlineStr">
        <is>
          <t>https://africanmarketingconfederation.org/smoke-archive/page-18</t>
        </is>
      </c>
      <c r="D22" s="32" t="n">
        <v>200</v>
      </c>
      <c r="E22" s="30" t="b">
        <v>1</v>
      </c>
      <c r="F22" s="30" t="b">
        <v>1</v>
      </c>
      <c r="G22" s="30" t="inlineStr">
        <is>
          <t>Both</t>
        </is>
      </c>
      <c r="H22" s="32" t="b">
        <v>0</v>
      </c>
      <c r="I22" s="31" t="b">
        <v>0</v>
      </c>
      <c r="J22" s="30" t="inlineStr"/>
      <c r="K22" s="30" t="b">
        <v>0</v>
      </c>
      <c r="L22" s="32" t="b">
        <v>0</v>
      </c>
      <c r="M22" s="34" t="b">
        <v>1</v>
      </c>
      <c r="N22" s="34" t="b">
        <v>1</v>
      </c>
      <c r="O22" s="30" t="inlineStr">
        <is>
          <t>2026-06-01</t>
        </is>
      </c>
      <c r="P22" s="30" t="inlineStr"/>
      <c r="Q22" s="30" t="inlineStr"/>
      <c r="R22" s="30" t="inlineStr">
        <is>
          <t>https://africanmarketingconfederation.org/page-sitemap.xml</t>
        </is>
      </c>
      <c r="S22" s="30" t="inlineStr">
        <is>
          <t>urlset</t>
        </is>
      </c>
      <c r="T22" s="31" t="inlineStr"/>
      <c r="U22" s="30" t="inlineStr"/>
      <c r="V22" s="30" t="inlineStr">
        <is>
          <t>Match</t>
        </is>
      </c>
      <c r="W22" s="30" t="inlineStr">
        <is>
          <t>Match</t>
        </is>
      </c>
      <c r="X22" s="32" t="b">
        <v>0</v>
      </c>
    </row>
    <row r="23" ht="18" customHeight="1">
      <c r="A23" s="28" t="inlineStr">
        <is>
          <t>Sitemap URL</t>
        </is>
      </c>
      <c r="B23" s="20" t="inlineStr">
        <is>
          <t>https://africanmarketingconfederation.org/smoke-archive/page-19</t>
        </is>
      </c>
      <c r="C23" s="20" t="inlineStr">
        <is>
          <t>https://africanmarketingconfederation.org/smoke-archive/page-19</t>
        </is>
      </c>
      <c r="D23" s="32" t="n">
        <v>200</v>
      </c>
      <c r="E23" s="28" t="b">
        <v>1</v>
      </c>
      <c r="F23" s="28" t="b">
        <v>1</v>
      </c>
      <c r="G23" s="28" t="inlineStr">
        <is>
          <t>Both</t>
        </is>
      </c>
      <c r="H23" s="32" t="b">
        <v>0</v>
      </c>
      <c r="I23" s="20" t="b">
        <v>0</v>
      </c>
      <c r="J23" s="28" t="inlineStr"/>
      <c r="K23" s="28" t="b">
        <v>0</v>
      </c>
      <c r="L23" s="34" t="b">
        <v>1</v>
      </c>
      <c r="M23" s="34" t="b">
        <v>1</v>
      </c>
      <c r="N23" s="34" t="b">
        <v>1</v>
      </c>
      <c r="O23" s="28" t="inlineStr"/>
      <c r="P23" s="28" t="inlineStr"/>
      <c r="Q23" s="28" t="inlineStr"/>
      <c r="R23" s="28" t="inlineStr">
        <is>
          <t>https://africanmarketingconfederation.org/page-sitemap.xml</t>
        </is>
      </c>
      <c r="S23" s="28" t="inlineStr">
        <is>
          <t>urlset</t>
        </is>
      </c>
      <c r="T23" s="20" t="inlineStr"/>
      <c r="U23" s="28" t="inlineStr"/>
      <c r="V23" s="28" t="inlineStr">
        <is>
          <t>Unknown</t>
        </is>
      </c>
      <c r="W23" s="28" t="inlineStr">
        <is>
          <t>Match</t>
        </is>
      </c>
      <c r="X23" s="32" t="b">
        <v>0</v>
      </c>
    </row>
    <row r="24" ht="18" customHeight="1">
      <c r="A24" s="30" t="inlineStr">
        <is>
          <t>Sitemap URL</t>
        </is>
      </c>
      <c r="B24" s="31" t="inlineStr">
        <is>
          <t>https://africanmarketingconfederation.org/smoke-archive/page-20</t>
        </is>
      </c>
      <c r="C24" s="31" t="inlineStr">
        <is>
          <t>https://africanmarketingconfederation.org/smoke-archive/page-20</t>
        </is>
      </c>
      <c r="D24" s="32" t="n">
        <v>200</v>
      </c>
      <c r="E24" s="30" t="b">
        <v>1</v>
      </c>
      <c r="F24" s="30" t="b">
        <v>1</v>
      </c>
      <c r="G24" s="30" t="inlineStr">
        <is>
          <t>Both</t>
        </is>
      </c>
      <c r="H24" s="32" t="b">
        <v>0</v>
      </c>
      <c r="I24" s="31" t="b">
        <v>0</v>
      </c>
      <c r="J24" s="30" t="inlineStr"/>
      <c r="K24" s="30" t="b">
        <v>0</v>
      </c>
      <c r="L24" s="34" t="b">
        <v>1</v>
      </c>
      <c r="M24" s="32" t="b">
        <v>0</v>
      </c>
      <c r="N24" s="34" t="b">
        <v>1</v>
      </c>
      <c r="O24" s="30" t="inlineStr"/>
      <c r="P24" s="30" t="inlineStr">
        <is>
          <t>weekly</t>
        </is>
      </c>
      <c r="Q24" s="30" t="inlineStr"/>
      <c r="R24" s="30" t="inlineStr">
        <is>
          <t>https://africanmarketingconfederation.org/page-sitemap.xml</t>
        </is>
      </c>
      <c r="S24" s="30" t="inlineStr">
        <is>
          <t>urlset</t>
        </is>
      </c>
      <c r="T24" s="31" t="inlineStr"/>
      <c r="U24" s="30" t="inlineStr"/>
      <c r="V24" s="30" t="inlineStr">
        <is>
          <t>Unknown</t>
        </is>
      </c>
      <c r="W24" s="30" t="inlineStr">
        <is>
          <t>Match</t>
        </is>
      </c>
      <c r="X24" s="32" t="b">
        <v>0</v>
      </c>
    </row>
    <row r="25" ht="18" customHeight="1">
      <c r="A25" s="28" t="inlineStr">
        <is>
          <t>Sitemap URL</t>
        </is>
      </c>
      <c r="B25" s="20" t="inlineStr">
        <is>
          <t>https://africanmarketingconfederation.org/smoke-archive/page-21</t>
        </is>
      </c>
      <c r="C25" s="20" t="inlineStr">
        <is>
          <t>https://africanmarketingconfederation.org/smoke-archive/page-21</t>
        </is>
      </c>
      <c r="D25" s="32" t="n">
        <v>200</v>
      </c>
      <c r="E25" s="28" t="b">
        <v>1</v>
      </c>
      <c r="F25" s="28" t="b">
        <v>1</v>
      </c>
      <c r="G25" s="28" t="inlineStr">
        <is>
          <t>Both</t>
        </is>
      </c>
      <c r="H25" s="32" t="b">
        <v>0</v>
      </c>
      <c r="I25" s="20" t="b">
        <v>0</v>
      </c>
      <c r="J25" s="28" t="inlineStr"/>
      <c r="K25" s="28" t="b">
        <v>0</v>
      </c>
      <c r="L25" s="32" t="b">
        <v>0</v>
      </c>
      <c r="M25" s="34" t="b">
        <v>1</v>
      </c>
      <c r="N25" s="32" t="b">
        <v>0</v>
      </c>
      <c r="O25" s="28" t="inlineStr">
        <is>
          <t>2026-06-01</t>
        </is>
      </c>
      <c r="P25" s="28" t="inlineStr"/>
      <c r="Q25" s="28" t="inlineStr">
        <is>
          <t>0.8</t>
        </is>
      </c>
      <c r="R25" s="28" t="inlineStr">
        <is>
          <t>https://africanmarketingconfederation.org/page-sitemap.xml</t>
        </is>
      </c>
      <c r="S25" s="28" t="inlineStr">
        <is>
          <t>urlset</t>
        </is>
      </c>
      <c r="T25" s="20" t="inlineStr"/>
      <c r="U25" s="28" t="inlineStr"/>
      <c r="V25" s="28" t="inlineStr">
        <is>
          <t>Match</t>
        </is>
      </c>
      <c r="W25" s="28" t="inlineStr">
        <is>
          <t>Match</t>
        </is>
      </c>
      <c r="X25" s="32" t="b">
        <v>0</v>
      </c>
    </row>
    <row r="26" ht="18" customHeight="1">
      <c r="A26" s="30" t="inlineStr">
        <is>
          <t>Sitemap URL</t>
        </is>
      </c>
      <c r="B26" s="31" t="inlineStr">
        <is>
          <t>https://africanmarketingconfederation.org/smoke-archive/page-22</t>
        </is>
      </c>
      <c r="C26" s="31" t="inlineStr">
        <is>
          <t>https://africanmarketingconfederation.org/smoke-archive/page-22-canonical/</t>
        </is>
      </c>
      <c r="D26" s="40" t="n">
        <v>301</v>
      </c>
      <c r="E26" s="30" t="b">
        <v>1</v>
      </c>
      <c r="F26" s="30" t="b">
        <v>1</v>
      </c>
      <c r="G26" s="30" t="inlineStr">
        <is>
          <t>Both</t>
        </is>
      </c>
      <c r="H26" s="34" t="b">
        <v>1</v>
      </c>
      <c r="I26" s="31" t="b">
        <v>1</v>
      </c>
      <c r="J26" s="30" t="inlineStr"/>
      <c r="K26" s="30" t="b">
        <v>0</v>
      </c>
      <c r="L26" s="34" t="b">
        <v>1</v>
      </c>
      <c r="M26" s="34" t="b">
        <v>1</v>
      </c>
      <c r="N26" s="34" t="b">
        <v>1</v>
      </c>
      <c r="O26" s="30" t="inlineStr"/>
      <c r="P26" s="30" t="inlineStr"/>
      <c r="Q26" s="30" t="inlineStr"/>
      <c r="R26" s="30" t="inlineStr">
        <is>
          <t>https://africanmarketingconfederation.org/page-sitemap.xml</t>
        </is>
      </c>
      <c r="S26" s="30" t="inlineStr">
        <is>
          <t>urlset</t>
        </is>
      </c>
      <c r="T26" s="31" t="inlineStr"/>
      <c r="U26" s="30" t="inlineStr"/>
      <c r="V26" s="30" t="inlineStr">
        <is>
          <t>Unknown</t>
        </is>
      </c>
      <c r="W26" s="30" t="inlineStr">
        <is>
          <t>Match</t>
        </is>
      </c>
      <c r="X26" s="32" t="b">
        <v>0</v>
      </c>
    </row>
    <row r="27" ht="18" customHeight="1">
      <c r="A27" s="28" t="inlineStr">
        <is>
          <t>Sitemap URL</t>
        </is>
      </c>
      <c r="B27" s="20" t="inlineStr">
        <is>
          <t>https://africanmarketingconfederation.org/smoke-archive/page-23</t>
        </is>
      </c>
      <c r="C27" s="20" t="inlineStr">
        <is>
          <t>https://africanmarketingconfederation.org/smoke-archive/page-23</t>
        </is>
      </c>
      <c r="D27" s="32" t="n">
        <v>200</v>
      </c>
      <c r="E27" s="28" t="b">
        <v>1</v>
      </c>
      <c r="F27" s="28" t="b">
        <v>1</v>
      </c>
      <c r="G27" s="28" t="inlineStr">
        <is>
          <t>Both</t>
        </is>
      </c>
      <c r="H27" s="32" t="b">
        <v>0</v>
      </c>
      <c r="I27" s="20" t="b">
        <v>0</v>
      </c>
      <c r="J27" s="28" t="inlineStr"/>
      <c r="K27" s="28" t="b">
        <v>0</v>
      </c>
      <c r="L27" s="34" t="b">
        <v>1</v>
      </c>
      <c r="M27" s="34" t="b">
        <v>1</v>
      </c>
      <c r="N27" s="34" t="b">
        <v>1</v>
      </c>
      <c r="O27" s="28" t="inlineStr"/>
      <c r="P27" s="28" t="inlineStr"/>
      <c r="Q27" s="28" t="inlineStr"/>
      <c r="R27" s="28" t="inlineStr">
        <is>
          <t>https://africanmarketingconfederation.org/page-sitemap.xml</t>
        </is>
      </c>
      <c r="S27" s="28" t="inlineStr">
        <is>
          <t>urlset</t>
        </is>
      </c>
      <c r="T27" s="20" t="inlineStr"/>
      <c r="U27" s="28" t="inlineStr"/>
      <c r="V27" s="28" t="inlineStr">
        <is>
          <t>Unknown</t>
        </is>
      </c>
      <c r="W27" s="28" t="inlineStr">
        <is>
          <t>Match</t>
        </is>
      </c>
      <c r="X27" s="32" t="b">
        <v>0</v>
      </c>
    </row>
    <row r="28" ht="18" customHeight="1">
      <c r="A28" s="30" t="inlineStr">
        <is>
          <t>Sitemap URL</t>
        </is>
      </c>
      <c r="B28" s="31" t="inlineStr">
        <is>
          <t>https://africanmarketingconfederation.org/smoke-archive/page-24</t>
        </is>
      </c>
      <c r="C28" s="31" t="inlineStr">
        <is>
          <t>https://africanmarketingconfederation.org/smoke-archive/page-24</t>
        </is>
      </c>
      <c r="D28" s="32" t="n">
        <v>200</v>
      </c>
      <c r="E28" s="30" t="b">
        <v>1</v>
      </c>
      <c r="F28" s="30" t="b">
        <v>1</v>
      </c>
      <c r="G28" s="30" t="inlineStr">
        <is>
          <t>Both</t>
        </is>
      </c>
      <c r="H28" s="32" t="b">
        <v>0</v>
      </c>
      <c r="I28" s="31" t="b">
        <v>0</v>
      </c>
      <c r="J28" s="30" t="inlineStr"/>
      <c r="K28" s="30" t="b">
        <v>0</v>
      </c>
      <c r="L28" s="32" t="b">
        <v>0</v>
      </c>
      <c r="M28" s="34" t="b">
        <v>1</v>
      </c>
      <c r="N28" s="34" t="b">
        <v>1</v>
      </c>
      <c r="O28" s="30" t="inlineStr">
        <is>
          <t>2026-06-01</t>
        </is>
      </c>
      <c r="P28" s="30" t="inlineStr"/>
      <c r="Q28" s="30" t="inlineStr"/>
      <c r="R28" s="30" t="inlineStr">
        <is>
          <t>https://africanmarketingconfederation.org/page-sitemap.xml</t>
        </is>
      </c>
      <c r="S28" s="30" t="inlineStr">
        <is>
          <t>urlset</t>
        </is>
      </c>
      <c r="T28" s="31" t="inlineStr"/>
      <c r="U28" s="30" t="inlineStr"/>
      <c r="V28" s="30" t="inlineStr">
        <is>
          <t>Match</t>
        </is>
      </c>
      <c r="W28" s="30" t="inlineStr">
        <is>
          <t>Match</t>
        </is>
      </c>
      <c r="X28" s="32" t="b">
        <v>0</v>
      </c>
    </row>
    <row r="29" ht="18" customHeight="1">
      <c r="A29" s="28" t="inlineStr">
        <is>
          <t>Sitemap URL</t>
        </is>
      </c>
      <c r="B29" s="20" t="inlineStr">
        <is>
          <t>https://africanmarketingconfederation.org/smoke-archive/page-25</t>
        </is>
      </c>
      <c r="C29" s="20" t="inlineStr">
        <is>
          <t>https://africanmarketingconfederation.org/smoke-archive/page-25</t>
        </is>
      </c>
      <c r="D29" s="32" t="n">
        <v>200</v>
      </c>
      <c r="E29" s="28" t="b">
        <v>1</v>
      </c>
      <c r="F29" s="28" t="b">
        <v>1</v>
      </c>
      <c r="G29" s="28" t="inlineStr">
        <is>
          <t>Both</t>
        </is>
      </c>
      <c r="H29" s="32" t="b">
        <v>0</v>
      </c>
      <c r="I29" s="20" t="b">
        <v>0</v>
      </c>
      <c r="J29" s="28" t="inlineStr"/>
      <c r="K29" s="28" t="b">
        <v>0</v>
      </c>
      <c r="L29" s="34" t="b">
        <v>1</v>
      </c>
      <c r="M29" s="32" t="b">
        <v>0</v>
      </c>
      <c r="N29" s="34" t="b">
        <v>1</v>
      </c>
      <c r="O29" s="28" t="inlineStr"/>
      <c r="P29" s="28" t="inlineStr">
        <is>
          <t>weekly</t>
        </is>
      </c>
      <c r="Q29" s="28" t="inlineStr"/>
      <c r="R29" s="28" t="inlineStr">
        <is>
          <t>https://africanmarketingconfederation.org/page-sitemap.xml</t>
        </is>
      </c>
      <c r="S29" s="28" t="inlineStr">
        <is>
          <t>urlset</t>
        </is>
      </c>
      <c r="T29" s="20" t="inlineStr"/>
      <c r="U29" s="28" t="inlineStr"/>
      <c r="V29" s="28" t="inlineStr">
        <is>
          <t>Unknown</t>
        </is>
      </c>
      <c r="W29" s="28" t="inlineStr">
        <is>
          <t>Match</t>
        </is>
      </c>
      <c r="X29" s="32" t="b">
        <v>0</v>
      </c>
    </row>
    <row r="30" ht="18" customHeight="1">
      <c r="A30" s="30" t="inlineStr">
        <is>
          <t>Sitemap URL</t>
        </is>
      </c>
      <c r="B30" s="31" t="inlineStr">
        <is>
          <t>https://africanmarketingconfederation.org/smoke-archive/page-26</t>
        </is>
      </c>
      <c r="C30" s="31" t="inlineStr">
        <is>
          <t>https://africanmarketingconfederation.org/smoke-archive/page-26</t>
        </is>
      </c>
      <c r="D30" s="34" t="n">
        <v>404</v>
      </c>
      <c r="E30" s="30" t="b">
        <v>1</v>
      </c>
      <c r="F30" s="30" t="b">
        <v>1</v>
      </c>
      <c r="G30" s="30" t="inlineStr">
        <is>
          <t>Both</t>
        </is>
      </c>
      <c r="H30" s="34" t="b">
        <v>1</v>
      </c>
      <c r="I30" s="31" t="b">
        <v>0</v>
      </c>
      <c r="J30" s="30" t="inlineStr"/>
      <c r="K30" s="30" t="b">
        <v>0</v>
      </c>
      <c r="L30" s="34" t="b">
        <v>1</v>
      </c>
      <c r="M30" s="34" t="b">
        <v>1</v>
      </c>
      <c r="N30" s="34" t="b">
        <v>1</v>
      </c>
      <c r="O30" s="30" t="inlineStr"/>
      <c r="P30" s="30" t="inlineStr"/>
      <c r="Q30" s="30" t="inlineStr"/>
      <c r="R30" s="30" t="inlineStr">
        <is>
          <t>https://africanmarketingconfederation.org/page-sitemap.xml</t>
        </is>
      </c>
      <c r="S30" s="30" t="inlineStr">
        <is>
          <t>urlset</t>
        </is>
      </c>
      <c r="T30" s="31" t="inlineStr"/>
      <c r="U30" s="30" t="inlineStr"/>
      <c r="V30" s="30" t="inlineStr">
        <is>
          <t>Unknown</t>
        </is>
      </c>
      <c r="W30" s="30" t="inlineStr">
        <is>
          <t>Match</t>
        </is>
      </c>
      <c r="X30" s="32" t="b">
        <v>0</v>
      </c>
    </row>
    <row r="31" ht="18" customHeight="1">
      <c r="A31" s="28" t="inlineStr">
        <is>
          <t>Sitemap URL</t>
        </is>
      </c>
      <c r="B31" s="20" t="inlineStr">
        <is>
          <t>https://africanmarketingconfederation.org/smoke-archive/page-27</t>
        </is>
      </c>
      <c r="C31" s="20" t="inlineStr">
        <is>
          <t>https://africanmarketingconfederation.org/smoke-archive/page-27</t>
        </is>
      </c>
      <c r="D31" s="32" t="n">
        <v>200</v>
      </c>
      <c r="E31" s="28" t="b">
        <v>1</v>
      </c>
      <c r="F31" s="28" t="b">
        <v>1</v>
      </c>
      <c r="G31" s="28" t="inlineStr">
        <is>
          <t>Both</t>
        </is>
      </c>
      <c r="H31" s="32" t="b">
        <v>0</v>
      </c>
      <c r="I31" s="20" t="b">
        <v>0</v>
      </c>
      <c r="J31" s="28" t="inlineStr"/>
      <c r="K31" s="28" t="b">
        <v>0</v>
      </c>
      <c r="L31" s="32" t="b">
        <v>0</v>
      </c>
      <c r="M31" s="34" t="b">
        <v>1</v>
      </c>
      <c r="N31" s="34" t="b">
        <v>1</v>
      </c>
      <c r="O31" s="28" t="inlineStr">
        <is>
          <t>2026-06-01</t>
        </is>
      </c>
      <c r="P31" s="28" t="inlineStr"/>
      <c r="Q31" s="28" t="inlineStr"/>
      <c r="R31" s="28" t="inlineStr">
        <is>
          <t>https://africanmarketingconfederation.org/page-sitemap.xml</t>
        </is>
      </c>
      <c r="S31" s="28" t="inlineStr">
        <is>
          <t>urlset</t>
        </is>
      </c>
      <c r="T31" s="20" t="inlineStr"/>
      <c r="U31" s="28" t="inlineStr"/>
      <c r="V31" s="28" t="inlineStr">
        <is>
          <t>Match</t>
        </is>
      </c>
      <c r="W31" s="28" t="inlineStr">
        <is>
          <t>Match</t>
        </is>
      </c>
      <c r="X31" s="32" t="b">
        <v>0</v>
      </c>
    </row>
    <row r="32" ht="18" customHeight="1">
      <c r="A32" s="30" t="inlineStr">
        <is>
          <t>Sitemap URL</t>
        </is>
      </c>
      <c r="B32" s="31" t="inlineStr">
        <is>
          <t>https://africanmarketingconfederation.org/smoke-archive/page-28</t>
        </is>
      </c>
      <c r="C32" s="31" t="inlineStr">
        <is>
          <t>https://africanmarketingconfederation.org/smoke-archive/page-28</t>
        </is>
      </c>
      <c r="D32" s="32" t="n">
        <v>200</v>
      </c>
      <c r="E32" s="30" t="b">
        <v>1</v>
      </c>
      <c r="F32" s="30" t="b">
        <v>1</v>
      </c>
      <c r="G32" s="30" t="inlineStr">
        <is>
          <t>Both</t>
        </is>
      </c>
      <c r="H32" s="32" t="b">
        <v>0</v>
      </c>
      <c r="I32" s="31" t="b">
        <v>0</v>
      </c>
      <c r="J32" s="30" t="inlineStr"/>
      <c r="K32" s="30" t="b">
        <v>0</v>
      </c>
      <c r="L32" s="34" t="b">
        <v>1</v>
      </c>
      <c r="M32" s="34" t="b">
        <v>1</v>
      </c>
      <c r="N32" s="32" t="b">
        <v>0</v>
      </c>
      <c r="O32" s="30" t="inlineStr"/>
      <c r="P32" s="30" t="inlineStr"/>
      <c r="Q32" s="30" t="inlineStr">
        <is>
          <t>0.8</t>
        </is>
      </c>
      <c r="R32" s="30" t="inlineStr">
        <is>
          <t>https://africanmarketingconfederation.org/page-sitemap.xml</t>
        </is>
      </c>
      <c r="S32" s="30" t="inlineStr">
        <is>
          <t>urlset</t>
        </is>
      </c>
      <c r="T32" s="31" t="inlineStr"/>
      <c r="U32" s="30" t="inlineStr"/>
      <c r="V32" s="30" t="inlineStr">
        <is>
          <t>Unknown</t>
        </is>
      </c>
      <c r="W32" s="30" t="inlineStr">
        <is>
          <t>Match</t>
        </is>
      </c>
      <c r="X32" s="32" t="b">
        <v>0</v>
      </c>
    </row>
    <row r="33" ht="18" customHeight="1">
      <c r="A33" s="28" t="inlineStr">
        <is>
          <t>Sitemap URL</t>
        </is>
      </c>
      <c r="B33" s="20" t="inlineStr">
        <is>
          <t>https://africanmarketingconfederation.org/smoke-archive/page-29</t>
        </is>
      </c>
      <c r="C33" s="20" t="inlineStr">
        <is>
          <t>https://africanmarketingconfederation.org/smoke-archive/page-29</t>
        </is>
      </c>
      <c r="D33" s="32" t="n">
        <v>200</v>
      </c>
      <c r="E33" s="28" t="b">
        <v>1</v>
      </c>
      <c r="F33" s="28" t="b">
        <v>1</v>
      </c>
      <c r="G33" s="28" t="inlineStr">
        <is>
          <t>Both</t>
        </is>
      </c>
      <c r="H33" s="32" t="b">
        <v>0</v>
      </c>
      <c r="I33" s="20" t="b">
        <v>0</v>
      </c>
      <c r="J33" s="28" t="inlineStr"/>
      <c r="K33" s="28" t="b">
        <v>0</v>
      </c>
      <c r="L33" s="34" t="b">
        <v>1</v>
      </c>
      <c r="M33" s="34" t="b">
        <v>1</v>
      </c>
      <c r="N33" s="34" t="b">
        <v>1</v>
      </c>
      <c r="O33" s="28" t="inlineStr"/>
      <c r="P33" s="28" t="inlineStr"/>
      <c r="Q33" s="28" t="inlineStr"/>
      <c r="R33" s="28" t="inlineStr">
        <is>
          <t>https://africanmarketingconfederation.org/page-sitemap.xml</t>
        </is>
      </c>
      <c r="S33" s="28" t="inlineStr">
        <is>
          <t>urlset</t>
        </is>
      </c>
      <c r="T33" s="20" t="inlineStr"/>
      <c r="U33" s="28" t="inlineStr"/>
      <c r="V33" s="28" t="inlineStr">
        <is>
          <t>Unknown</t>
        </is>
      </c>
      <c r="W33" s="28" t="inlineStr">
        <is>
          <t>Match</t>
        </is>
      </c>
      <c r="X33" s="32" t="b">
        <v>0</v>
      </c>
    </row>
    <row r="34" ht="18" customHeight="1">
      <c r="A34" s="30" t="inlineStr">
        <is>
          <t>Sitemap URL</t>
        </is>
      </c>
      <c r="B34" s="31" t="inlineStr">
        <is>
          <t>https://africanmarketingconfederation.org/smoke-archive/page-30</t>
        </is>
      </c>
      <c r="C34" s="31" t="inlineStr">
        <is>
          <t>https://africanmarketingconfederation.org/smoke-archive/page-30</t>
        </is>
      </c>
      <c r="D34" s="32" t="n">
        <v>200</v>
      </c>
      <c r="E34" s="30" t="b">
        <v>1</v>
      </c>
      <c r="F34" s="30" t="b">
        <v>1</v>
      </c>
      <c r="G34" s="30" t="inlineStr">
        <is>
          <t>Both</t>
        </is>
      </c>
      <c r="H34" s="32" t="b">
        <v>0</v>
      </c>
      <c r="I34" s="31" t="b">
        <v>0</v>
      </c>
      <c r="J34" s="30" t="inlineStr"/>
      <c r="K34" s="30" t="b">
        <v>0</v>
      </c>
      <c r="L34" s="32" t="b">
        <v>0</v>
      </c>
      <c r="M34" s="32" t="b">
        <v>0</v>
      </c>
      <c r="N34" s="34" t="b">
        <v>1</v>
      </c>
      <c r="O34" s="30" t="inlineStr">
        <is>
          <t>2026-06-01</t>
        </is>
      </c>
      <c r="P34" s="30" t="inlineStr">
        <is>
          <t>weekly</t>
        </is>
      </c>
      <c r="Q34" s="30" t="inlineStr"/>
      <c r="R34" s="30" t="inlineStr">
        <is>
          <t>https://africanmarketingconfederation.org/page-sitemap.xml</t>
        </is>
      </c>
      <c r="S34" s="30" t="inlineStr">
        <is>
          <t>urlset</t>
        </is>
      </c>
      <c r="T34" s="31" t="inlineStr"/>
      <c r="U34" s="30" t="inlineStr"/>
      <c r="V34" s="30" t="inlineStr">
        <is>
          <t>Match</t>
        </is>
      </c>
      <c r="W34" s="30" t="inlineStr">
        <is>
          <t>Match</t>
        </is>
      </c>
      <c r="X34" s="32" t="b">
        <v>0</v>
      </c>
    </row>
    <row r="35" ht="18" customHeight="1">
      <c r="A35" s="28" t="inlineStr">
        <is>
          <t>Sitemap URL</t>
        </is>
      </c>
      <c r="B35" s="20" t="inlineStr">
        <is>
          <t>https://africanmarketingconfederation.org/smoke-archive/page-31</t>
        </is>
      </c>
      <c r="C35" s="20" t="inlineStr">
        <is>
          <t>https://africanmarketingconfederation.org/smoke-archive/page-31</t>
        </is>
      </c>
      <c r="D35" s="32" t="n">
        <v>200</v>
      </c>
      <c r="E35" s="28" t="b">
        <v>1</v>
      </c>
      <c r="F35" s="28" t="b">
        <v>1</v>
      </c>
      <c r="G35" s="28" t="inlineStr">
        <is>
          <t>Both</t>
        </is>
      </c>
      <c r="H35" s="32" t="b">
        <v>0</v>
      </c>
      <c r="I35" s="20" t="b">
        <v>0</v>
      </c>
      <c r="J35" s="28" t="inlineStr"/>
      <c r="K35" s="28" t="b">
        <v>0</v>
      </c>
      <c r="L35" s="34" t="b">
        <v>1</v>
      </c>
      <c r="M35" s="34" t="b">
        <v>1</v>
      </c>
      <c r="N35" s="34" t="b">
        <v>1</v>
      </c>
      <c r="O35" s="28" t="inlineStr"/>
      <c r="P35" s="28" t="inlineStr"/>
      <c r="Q35" s="28" t="inlineStr"/>
      <c r="R35" s="28" t="inlineStr">
        <is>
          <t>https://africanmarketingconfederation.org/page-sitemap.xml</t>
        </is>
      </c>
      <c r="S35" s="28" t="inlineStr">
        <is>
          <t>urlset</t>
        </is>
      </c>
      <c r="T35" s="20" t="inlineStr"/>
      <c r="U35" s="28" t="inlineStr"/>
      <c r="V35" s="28" t="inlineStr">
        <is>
          <t>Unknown</t>
        </is>
      </c>
      <c r="W35" s="28" t="inlineStr">
        <is>
          <t>Match</t>
        </is>
      </c>
      <c r="X35" s="32" t="b">
        <v>0</v>
      </c>
    </row>
    <row r="36" ht="18" customHeight="1">
      <c r="A36" s="30" t="inlineStr">
        <is>
          <t>Sitemap URL</t>
        </is>
      </c>
      <c r="B36" s="31" t="inlineStr">
        <is>
          <t>https://africanmarketingconfederation.org/smoke-archive/page-32</t>
        </is>
      </c>
      <c r="C36" s="31" t="inlineStr">
        <is>
          <t>https://africanmarketingconfederation.org/smoke-archive/page-32</t>
        </is>
      </c>
      <c r="D36" s="32" t="n">
        <v>200</v>
      </c>
      <c r="E36" s="30" t="b">
        <v>1</v>
      </c>
      <c r="F36" s="30" t="b">
        <v>1</v>
      </c>
      <c r="G36" s="30" t="inlineStr">
        <is>
          <t>Both</t>
        </is>
      </c>
      <c r="H36" s="32" t="b">
        <v>0</v>
      </c>
      <c r="I36" s="31" t="b">
        <v>0</v>
      </c>
      <c r="J36" s="30" t="inlineStr"/>
      <c r="K36" s="30" t="b">
        <v>0</v>
      </c>
      <c r="L36" s="34" t="b">
        <v>1</v>
      </c>
      <c r="M36" s="34" t="b">
        <v>1</v>
      </c>
      <c r="N36" s="34" t="b">
        <v>1</v>
      </c>
      <c r="O36" s="30" t="inlineStr"/>
      <c r="P36" s="30" t="inlineStr"/>
      <c r="Q36" s="30" t="inlineStr"/>
      <c r="R36" s="30" t="inlineStr">
        <is>
          <t>https://africanmarketingconfederation.org/page-sitemap.xml</t>
        </is>
      </c>
      <c r="S36" s="30" t="inlineStr">
        <is>
          <t>urlset</t>
        </is>
      </c>
      <c r="T36" s="31" t="inlineStr"/>
      <c r="U36" s="30" t="inlineStr"/>
      <c r="V36" s="30" t="inlineStr">
        <is>
          <t>Unknown</t>
        </is>
      </c>
      <c r="W36" s="30" t="inlineStr">
        <is>
          <t>Match</t>
        </is>
      </c>
      <c r="X36" s="32" t="b">
        <v>0</v>
      </c>
    </row>
    <row r="37" ht="18" customHeight="1">
      <c r="A37" s="28" t="inlineStr">
        <is>
          <t>Sitemap URL</t>
        </is>
      </c>
      <c r="B37" s="20" t="inlineStr">
        <is>
          <t>https://africanmarketingconfederation.org/smoke-archive/page-33</t>
        </is>
      </c>
      <c r="C37" s="20" t="inlineStr">
        <is>
          <t>https://africanmarketingconfederation.org/smoke-archive/page-33-canonical/</t>
        </is>
      </c>
      <c r="D37" s="40" t="n">
        <v>301</v>
      </c>
      <c r="E37" s="28" t="b">
        <v>1</v>
      </c>
      <c r="F37" s="28" t="b">
        <v>1</v>
      </c>
      <c r="G37" s="28" t="inlineStr">
        <is>
          <t>Both</t>
        </is>
      </c>
      <c r="H37" s="34" t="b">
        <v>1</v>
      </c>
      <c r="I37" s="20" t="b">
        <v>1</v>
      </c>
      <c r="J37" s="28" t="inlineStr"/>
      <c r="K37" s="28" t="b">
        <v>0</v>
      </c>
      <c r="L37" s="32" t="b">
        <v>0</v>
      </c>
      <c r="M37" s="34" t="b">
        <v>1</v>
      </c>
      <c r="N37" s="34" t="b">
        <v>1</v>
      </c>
      <c r="O37" s="28" t="inlineStr">
        <is>
          <t>2026-06-01</t>
        </is>
      </c>
      <c r="P37" s="28" t="inlineStr"/>
      <c r="Q37" s="28" t="inlineStr"/>
      <c r="R37" s="28" t="inlineStr">
        <is>
          <t>https://africanmarketingconfederation.org/page-sitemap.xml</t>
        </is>
      </c>
      <c r="S37" s="28" t="inlineStr">
        <is>
          <t>urlset</t>
        </is>
      </c>
      <c r="T37" s="20" t="inlineStr"/>
      <c r="U37" s="28" t="inlineStr"/>
      <c r="V37" s="28" t="inlineStr">
        <is>
          <t>Match</t>
        </is>
      </c>
      <c r="W37" s="28" t="inlineStr">
        <is>
          <t>Match</t>
        </is>
      </c>
      <c r="X37" s="32" t="b">
        <v>0</v>
      </c>
    </row>
    <row r="38" ht="18" customHeight="1">
      <c r="A38" s="30" t="inlineStr">
        <is>
          <t>Sitemap URL</t>
        </is>
      </c>
      <c r="B38" s="31" t="inlineStr">
        <is>
          <t>https://africanmarketingconfederation.org/smoke-archive/page-34</t>
        </is>
      </c>
      <c r="C38" s="31" t="inlineStr">
        <is>
          <t>https://africanmarketingconfederation.org/smoke-archive/page-34</t>
        </is>
      </c>
      <c r="D38" s="30" t="inlineStr">
        <is>
          <t>Timeout</t>
        </is>
      </c>
      <c r="E38" s="30" t="b">
        <v>1</v>
      </c>
      <c r="F38" s="30" t="b">
        <v>1</v>
      </c>
      <c r="G38" s="30" t="inlineStr">
        <is>
          <t>Both</t>
        </is>
      </c>
      <c r="H38" s="34" t="b">
        <v>1</v>
      </c>
      <c r="I38" s="31" t="b">
        <v>0</v>
      </c>
      <c r="J38" s="30" t="inlineStr"/>
      <c r="K38" s="30" t="b">
        <v>0</v>
      </c>
      <c r="L38" s="34" t="b">
        <v>1</v>
      </c>
      <c r="M38" s="34" t="b">
        <v>1</v>
      </c>
      <c r="N38" s="34" t="b">
        <v>1</v>
      </c>
      <c r="O38" s="30" t="inlineStr"/>
      <c r="P38" s="30" t="inlineStr"/>
      <c r="Q38" s="30" t="inlineStr"/>
      <c r="R38" s="30" t="inlineStr">
        <is>
          <t>https://africanmarketingconfederation.org/page-sitemap.xml</t>
        </is>
      </c>
      <c r="S38" s="30" t="inlineStr">
        <is>
          <t>urlset</t>
        </is>
      </c>
      <c r="T38" s="31" t="inlineStr"/>
      <c r="U38" s="30" t="inlineStr"/>
      <c r="V38" s="30" t="inlineStr">
        <is>
          <t>Unknown</t>
        </is>
      </c>
      <c r="W38" s="30" t="inlineStr">
        <is>
          <t>Match</t>
        </is>
      </c>
      <c r="X38" s="32" t="b">
        <v>0</v>
      </c>
    </row>
    <row r="39" ht="18" customHeight="1">
      <c r="A39" s="28" t="inlineStr">
        <is>
          <t>Sitemap URL</t>
        </is>
      </c>
      <c r="B39" s="20" t="inlineStr">
        <is>
          <t>https://africanmarketingconfederation.org/smoke-archive/page-35</t>
        </is>
      </c>
      <c r="C39" s="20" t="inlineStr">
        <is>
          <t>https://africanmarketingconfederation.org/smoke-archive/page-35</t>
        </is>
      </c>
      <c r="D39" s="32" t="n">
        <v>200</v>
      </c>
      <c r="E39" s="28" t="b">
        <v>1</v>
      </c>
      <c r="F39" s="28" t="b">
        <v>1</v>
      </c>
      <c r="G39" s="28" t="inlineStr">
        <is>
          <t>Both</t>
        </is>
      </c>
      <c r="H39" s="32" t="b">
        <v>0</v>
      </c>
      <c r="I39" s="20" t="b">
        <v>0</v>
      </c>
      <c r="J39" s="28" t="inlineStr"/>
      <c r="K39" s="28" t="b">
        <v>0</v>
      </c>
      <c r="L39" s="34" t="b">
        <v>1</v>
      </c>
      <c r="M39" s="32" t="b">
        <v>0</v>
      </c>
      <c r="N39" s="32" t="b">
        <v>0</v>
      </c>
      <c r="O39" s="28" t="inlineStr"/>
      <c r="P39" s="28" t="inlineStr">
        <is>
          <t>weekly</t>
        </is>
      </c>
      <c r="Q39" s="28" t="inlineStr">
        <is>
          <t>0.8</t>
        </is>
      </c>
      <c r="R39" s="28" t="inlineStr">
        <is>
          <t>https://africanmarketingconfederation.org/page-sitemap.xml</t>
        </is>
      </c>
      <c r="S39" s="28" t="inlineStr">
        <is>
          <t>urlset</t>
        </is>
      </c>
      <c r="T39" s="20" t="inlineStr"/>
      <c r="U39" s="28" t="inlineStr"/>
      <c r="V39" s="28" t="inlineStr">
        <is>
          <t>Unknown</t>
        </is>
      </c>
      <c r="W39" s="28" t="inlineStr">
        <is>
          <t>Match</t>
        </is>
      </c>
      <c r="X39" s="32" t="b">
        <v>0</v>
      </c>
    </row>
    <row r="40" ht="18" customHeight="1">
      <c r="A40" s="30" t="inlineStr">
        <is>
          <t>Sitemap URL</t>
        </is>
      </c>
      <c r="B40" s="31" t="inlineStr">
        <is>
          <t>https://africanmarketingconfederation.org/smoke-archive/page-36</t>
        </is>
      </c>
      <c r="C40" s="31" t="inlineStr">
        <is>
          <t>https://africanmarketingconfederation.org/smoke-archive/page-36</t>
        </is>
      </c>
      <c r="D40" s="32" t="n">
        <v>200</v>
      </c>
      <c r="E40" s="30" t="b">
        <v>1</v>
      </c>
      <c r="F40" s="30" t="b">
        <v>1</v>
      </c>
      <c r="G40" s="30" t="inlineStr">
        <is>
          <t>Both</t>
        </is>
      </c>
      <c r="H40" s="32" t="b">
        <v>0</v>
      </c>
      <c r="I40" s="31" t="b">
        <v>0</v>
      </c>
      <c r="J40" s="30" t="inlineStr"/>
      <c r="K40" s="30" t="b">
        <v>0</v>
      </c>
      <c r="L40" s="32" t="b">
        <v>0</v>
      </c>
      <c r="M40" s="34" t="b">
        <v>1</v>
      </c>
      <c r="N40" s="34" t="b">
        <v>1</v>
      </c>
      <c r="O40" s="30" t="inlineStr">
        <is>
          <t>2026-06-01</t>
        </is>
      </c>
      <c r="P40" s="30" t="inlineStr"/>
      <c r="Q40" s="30" t="inlineStr"/>
      <c r="R40" s="30" t="inlineStr">
        <is>
          <t>https://africanmarketingconfederation.org/page-sitemap.xml</t>
        </is>
      </c>
      <c r="S40" s="30" t="inlineStr">
        <is>
          <t>urlset</t>
        </is>
      </c>
      <c r="T40" s="31" t="inlineStr"/>
      <c r="U40" s="30" t="inlineStr"/>
      <c r="V40" s="30" t="inlineStr">
        <is>
          <t>Match</t>
        </is>
      </c>
      <c r="W40" s="30" t="inlineStr">
        <is>
          <t>Match</t>
        </is>
      </c>
      <c r="X40" s="32" t="b">
        <v>0</v>
      </c>
    </row>
    <row r="41" ht="18" customHeight="1">
      <c r="A41" s="28" t="inlineStr">
        <is>
          <t>Sitemap URL</t>
        </is>
      </c>
      <c r="B41" s="20" t="inlineStr">
        <is>
          <t>https://africanmarketingconfederation.org/smoke-archive/page-37</t>
        </is>
      </c>
      <c r="C41" s="20" t="inlineStr">
        <is>
          <t>https://africanmarketingconfederation.org/smoke-archive/page-37</t>
        </is>
      </c>
      <c r="D41" s="32" t="n">
        <v>200</v>
      </c>
      <c r="E41" s="28" t="b">
        <v>1</v>
      </c>
      <c r="F41" s="28" t="b">
        <v>1</v>
      </c>
      <c r="G41" s="28" t="inlineStr">
        <is>
          <t>Both</t>
        </is>
      </c>
      <c r="H41" s="32" t="b">
        <v>0</v>
      </c>
      <c r="I41" s="20" t="b">
        <v>0</v>
      </c>
      <c r="J41" s="28" t="inlineStr"/>
      <c r="K41" s="28" t="b">
        <v>0</v>
      </c>
      <c r="L41" s="34" t="b">
        <v>1</v>
      </c>
      <c r="M41" s="34" t="b">
        <v>1</v>
      </c>
      <c r="N41" s="34" t="b">
        <v>1</v>
      </c>
      <c r="O41" s="28" t="inlineStr"/>
      <c r="P41" s="28" t="inlineStr"/>
      <c r="Q41" s="28" t="inlineStr"/>
      <c r="R41" s="28" t="inlineStr">
        <is>
          <t>https://africanmarketingconfederation.org/page-sitemap.xml</t>
        </is>
      </c>
      <c r="S41" s="28" t="inlineStr">
        <is>
          <t>urlset</t>
        </is>
      </c>
      <c r="T41" s="20" t="inlineStr"/>
      <c r="U41" s="28" t="inlineStr"/>
      <c r="V41" s="28" t="inlineStr">
        <is>
          <t>Unknown</t>
        </is>
      </c>
      <c r="W41" s="28" t="inlineStr">
        <is>
          <t>Match</t>
        </is>
      </c>
      <c r="X41" s="32" t="b">
        <v>0</v>
      </c>
    </row>
    <row r="42" ht="18" customHeight="1">
      <c r="A42" s="30" t="inlineStr">
        <is>
          <t>Sitemap URL</t>
        </is>
      </c>
      <c r="B42" s="31" t="inlineStr">
        <is>
          <t>https://africanmarketingconfederation.org/smoke-archive/page-38</t>
        </is>
      </c>
      <c r="C42" s="31" t="inlineStr">
        <is>
          <t>https://africanmarketingconfederation.org/smoke-archive/page-38</t>
        </is>
      </c>
      <c r="D42" s="32" t="n">
        <v>200</v>
      </c>
      <c r="E42" s="30" t="b">
        <v>1</v>
      </c>
      <c r="F42" s="30" t="b">
        <v>1</v>
      </c>
      <c r="G42" s="30" t="inlineStr">
        <is>
          <t>Both</t>
        </is>
      </c>
      <c r="H42" s="32" t="b">
        <v>0</v>
      </c>
      <c r="I42" s="31" t="b">
        <v>0</v>
      </c>
      <c r="J42" s="30" t="inlineStr"/>
      <c r="K42" s="30" t="b">
        <v>0</v>
      </c>
      <c r="L42" s="34" t="b">
        <v>1</v>
      </c>
      <c r="M42" s="34" t="b">
        <v>1</v>
      </c>
      <c r="N42" s="34" t="b">
        <v>1</v>
      </c>
      <c r="O42" s="30" t="inlineStr"/>
      <c r="P42" s="30" t="inlineStr"/>
      <c r="Q42" s="30" t="inlineStr"/>
      <c r="R42" s="30" t="inlineStr">
        <is>
          <t>https://africanmarketingconfederation.org/page-sitemap.xml</t>
        </is>
      </c>
      <c r="S42" s="30" t="inlineStr">
        <is>
          <t>urlset</t>
        </is>
      </c>
      <c r="T42" s="31" t="inlineStr"/>
      <c r="U42" s="30" t="inlineStr"/>
      <c r="V42" s="30" t="inlineStr">
        <is>
          <t>Unknown</t>
        </is>
      </c>
      <c r="W42" s="30" t="inlineStr">
        <is>
          <t>Match</t>
        </is>
      </c>
      <c r="X42" s="32" t="b">
        <v>0</v>
      </c>
    </row>
    <row r="43" ht="18" customHeight="1">
      <c r="A43" s="28" t="inlineStr">
        <is>
          <t>Sitemap URL</t>
        </is>
      </c>
      <c r="B43" s="20" t="inlineStr">
        <is>
          <t>https://africanmarketingconfederation.org/smoke-archive/page-39</t>
        </is>
      </c>
      <c r="C43" s="20" t="inlineStr">
        <is>
          <t>https://africanmarketingconfederation.org/smoke-archive/page-39</t>
        </is>
      </c>
      <c r="D43" s="34" t="n">
        <v>404</v>
      </c>
      <c r="E43" s="28" t="b">
        <v>1</v>
      </c>
      <c r="F43" s="28" t="b">
        <v>1</v>
      </c>
      <c r="G43" s="28" t="inlineStr">
        <is>
          <t>Both</t>
        </is>
      </c>
      <c r="H43" s="34" t="b">
        <v>1</v>
      </c>
      <c r="I43" s="20" t="b">
        <v>0</v>
      </c>
      <c r="J43" s="28" t="inlineStr"/>
      <c r="K43" s="28" t="b">
        <v>0</v>
      </c>
      <c r="L43" s="32" t="b">
        <v>0</v>
      </c>
      <c r="M43" s="34" t="b">
        <v>1</v>
      </c>
      <c r="N43" s="34" t="b">
        <v>1</v>
      </c>
      <c r="O43" s="28" t="inlineStr">
        <is>
          <t>2026-06-01</t>
        </is>
      </c>
      <c r="P43" s="28" t="inlineStr"/>
      <c r="Q43" s="28" t="inlineStr"/>
      <c r="R43" s="28" t="inlineStr">
        <is>
          <t>https://africanmarketingconfederation.org/page-sitemap.xml</t>
        </is>
      </c>
      <c r="S43" s="28" t="inlineStr">
        <is>
          <t>urlset</t>
        </is>
      </c>
      <c r="T43" s="20" t="inlineStr"/>
      <c r="U43" s="28" t="inlineStr"/>
      <c r="V43" s="28" t="inlineStr">
        <is>
          <t>Match</t>
        </is>
      </c>
      <c r="W43" s="28" t="inlineStr">
        <is>
          <t>Match</t>
        </is>
      </c>
      <c r="X43" s="32" t="b">
        <v>0</v>
      </c>
    </row>
    <row r="44" ht="18" customHeight="1">
      <c r="A44" s="30" t="inlineStr">
        <is>
          <t>Sitemap URL</t>
        </is>
      </c>
      <c r="B44" s="31" t="inlineStr">
        <is>
          <t>https://africanmarketingconfederation.org/smoke-archive/page-40</t>
        </is>
      </c>
      <c r="C44" s="31" t="inlineStr">
        <is>
          <t>https://africanmarketingconfederation.org/smoke-archive/page-40</t>
        </is>
      </c>
      <c r="D44" s="32" t="n">
        <v>200</v>
      </c>
      <c r="E44" s="30" t="b">
        <v>1</v>
      </c>
      <c r="F44" s="30" t="b">
        <v>1</v>
      </c>
      <c r="G44" s="30" t="inlineStr">
        <is>
          <t>Both</t>
        </is>
      </c>
      <c r="H44" s="32" t="b">
        <v>0</v>
      </c>
      <c r="I44" s="31" t="b">
        <v>0</v>
      </c>
      <c r="J44" s="30" t="inlineStr"/>
      <c r="K44" s="30" t="b">
        <v>0</v>
      </c>
      <c r="L44" s="34" t="b">
        <v>1</v>
      </c>
      <c r="M44" s="32" t="b">
        <v>0</v>
      </c>
      <c r="N44" s="34" t="b">
        <v>1</v>
      </c>
      <c r="O44" s="30" t="inlineStr"/>
      <c r="P44" s="30" t="inlineStr">
        <is>
          <t>weekly</t>
        </is>
      </c>
      <c r="Q44" s="30" t="inlineStr"/>
      <c r="R44" s="30" t="inlineStr">
        <is>
          <t>https://africanmarketingconfederation.org/page-sitemap.xml</t>
        </is>
      </c>
      <c r="S44" s="30" t="inlineStr">
        <is>
          <t>urlset</t>
        </is>
      </c>
      <c r="T44" s="31" t="inlineStr"/>
      <c r="U44" s="30" t="inlineStr"/>
      <c r="V44" s="30" t="inlineStr">
        <is>
          <t>Unknown</t>
        </is>
      </c>
      <c r="W44" s="30" t="inlineStr">
        <is>
          <t>Match</t>
        </is>
      </c>
      <c r="X44" s="32" t="b">
        <v>0</v>
      </c>
    </row>
    <row r="45" ht="18" customHeight="1">
      <c r="A45" s="28" t="inlineStr">
        <is>
          <t>Sitemap URL</t>
        </is>
      </c>
      <c r="B45" s="20" t="inlineStr">
        <is>
          <t>https://africanmarketingconfederation.org/smoke-archive/page-41</t>
        </is>
      </c>
      <c r="C45" s="20" t="inlineStr">
        <is>
          <t>https://africanmarketingconfederation.org/smoke-archive/page-41</t>
        </is>
      </c>
      <c r="D45" s="32" t="n">
        <v>200</v>
      </c>
      <c r="E45" s="28" t="b">
        <v>1</v>
      </c>
      <c r="F45" s="28" t="b">
        <v>1</v>
      </c>
      <c r="G45" s="28" t="inlineStr">
        <is>
          <t>Both</t>
        </is>
      </c>
      <c r="H45" s="32" t="b">
        <v>0</v>
      </c>
      <c r="I45" s="20" t="b">
        <v>0</v>
      </c>
      <c r="J45" s="28" t="inlineStr"/>
      <c r="K45" s="28" t="b">
        <v>0</v>
      </c>
      <c r="L45" s="34" t="b">
        <v>1</v>
      </c>
      <c r="M45" s="34" t="b">
        <v>1</v>
      </c>
      <c r="N45" s="34" t="b">
        <v>1</v>
      </c>
      <c r="O45" s="28" t="inlineStr"/>
      <c r="P45" s="28" t="inlineStr"/>
      <c r="Q45" s="28" t="inlineStr"/>
      <c r="R45" s="28" t="inlineStr">
        <is>
          <t>https://africanmarketingconfederation.org/page-sitemap.xml</t>
        </is>
      </c>
      <c r="S45" s="28" t="inlineStr">
        <is>
          <t>urlset</t>
        </is>
      </c>
      <c r="T45" s="20" t="inlineStr"/>
      <c r="U45" s="28" t="inlineStr"/>
      <c r="V45" s="28" t="inlineStr">
        <is>
          <t>Unknown</t>
        </is>
      </c>
      <c r="W45" s="28" t="inlineStr">
        <is>
          <t>Match</t>
        </is>
      </c>
      <c r="X45" s="32" t="b">
        <v>0</v>
      </c>
    </row>
    <row r="46" ht="18" customHeight="1">
      <c r="A46" s="30" t="inlineStr">
        <is>
          <t>Sitemap URL</t>
        </is>
      </c>
      <c r="B46" s="31" t="inlineStr">
        <is>
          <t>https://africanmarketingconfederation.org/smoke-archive/page-42</t>
        </is>
      </c>
      <c r="C46" s="31" t="inlineStr">
        <is>
          <t>https://africanmarketingconfederation.org/smoke-archive/page-42</t>
        </is>
      </c>
      <c r="D46" s="32" t="n">
        <v>200</v>
      </c>
      <c r="E46" s="30" t="b">
        <v>1</v>
      </c>
      <c r="F46" s="30" t="b">
        <v>1</v>
      </c>
      <c r="G46" s="30" t="inlineStr">
        <is>
          <t>Both</t>
        </is>
      </c>
      <c r="H46" s="32" t="b">
        <v>0</v>
      </c>
      <c r="I46" s="31" t="b">
        <v>0</v>
      </c>
      <c r="J46" s="30" t="inlineStr"/>
      <c r="K46" s="30" t="b">
        <v>0</v>
      </c>
      <c r="L46" s="32" t="b">
        <v>0</v>
      </c>
      <c r="M46" s="34" t="b">
        <v>1</v>
      </c>
      <c r="N46" s="32" t="b">
        <v>0</v>
      </c>
      <c r="O46" s="30" t="inlineStr">
        <is>
          <t>2026-06-01</t>
        </is>
      </c>
      <c r="P46" s="30" t="inlineStr"/>
      <c r="Q46" s="30" t="inlineStr">
        <is>
          <t>0.8</t>
        </is>
      </c>
      <c r="R46" s="30" t="inlineStr">
        <is>
          <t>https://africanmarketingconfederation.org/page-sitemap.xml</t>
        </is>
      </c>
      <c r="S46" s="30" t="inlineStr">
        <is>
          <t>urlset</t>
        </is>
      </c>
      <c r="T46" s="31" t="inlineStr"/>
      <c r="U46" s="30" t="inlineStr"/>
      <c r="V46" s="30" t="inlineStr">
        <is>
          <t>Match</t>
        </is>
      </c>
      <c r="W46" s="30" t="inlineStr">
        <is>
          <t>Match</t>
        </is>
      </c>
      <c r="X46" s="32" t="b">
        <v>0</v>
      </c>
    </row>
    <row r="47" ht="18" customHeight="1">
      <c r="A47" s="28" t="inlineStr">
        <is>
          <t>Sitemap URL</t>
        </is>
      </c>
      <c r="B47" s="20" t="inlineStr">
        <is>
          <t>https://africanmarketingconfederation.org/smoke-archive/page-43</t>
        </is>
      </c>
      <c r="C47" s="20" t="inlineStr">
        <is>
          <t>https://africanmarketingconfederation.org/smoke-archive/page-43</t>
        </is>
      </c>
      <c r="D47" s="32" t="n">
        <v>200</v>
      </c>
      <c r="E47" s="28" t="b">
        <v>1</v>
      </c>
      <c r="F47" s="28" t="b">
        <v>1</v>
      </c>
      <c r="G47" s="28" t="inlineStr">
        <is>
          <t>Both</t>
        </is>
      </c>
      <c r="H47" s="32" t="b">
        <v>0</v>
      </c>
      <c r="I47" s="20" t="b">
        <v>0</v>
      </c>
      <c r="J47" s="28" t="inlineStr"/>
      <c r="K47" s="28" t="b">
        <v>0</v>
      </c>
      <c r="L47" s="34" t="b">
        <v>1</v>
      </c>
      <c r="M47" s="34" t="b">
        <v>1</v>
      </c>
      <c r="N47" s="34" t="b">
        <v>1</v>
      </c>
      <c r="O47" s="28" t="inlineStr"/>
      <c r="P47" s="28" t="inlineStr"/>
      <c r="Q47" s="28" t="inlineStr"/>
      <c r="R47" s="28" t="inlineStr">
        <is>
          <t>https://africanmarketingconfederation.org/page-sitemap.xml</t>
        </is>
      </c>
      <c r="S47" s="28" t="inlineStr">
        <is>
          <t>urlset</t>
        </is>
      </c>
      <c r="T47" s="20" t="inlineStr"/>
      <c r="U47" s="28" t="inlineStr"/>
      <c r="V47" s="28" t="inlineStr">
        <is>
          <t>Unknown</t>
        </is>
      </c>
      <c r="W47" s="28" t="inlineStr">
        <is>
          <t>Match</t>
        </is>
      </c>
      <c r="X47" s="32" t="b">
        <v>0</v>
      </c>
    </row>
    <row r="48" ht="18" customHeight="1">
      <c r="A48" s="30" t="inlineStr">
        <is>
          <t>Sitemap URL</t>
        </is>
      </c>
      <c r="B48" s="31" t="inlineStr">
        <is>
          <t>https://africanmarketingconfederation.org/smoke-archive/page-44</t>
        </is>
      </c>
      <c r="C48" s="31" t="inlineStr">
        <is>
          <t>https://africanmarketingconfederation.org/smoke-archive/page-44-canonical/</t>
        </is>
      </c>
      <c r="D48" s="40" t="n">
        <v>301</v>
      </c>
      <c r="E48" s="30" t="b">
        <v>1</v>
      </c>
      <c r="F48" s="30" t="b">
        <v>1</v>
      </c>
      <c r="G48" s="30" t="inlineStr">
        <is>
          <t>Both</t>
        </is>
      </c>
      <c r="H48" s="34" t="b">
        <v>1</v>
      </c>
      <c r="I48" s="31" t="b">
        <v>1</v>
      </c>
      <c r="J48" s="30" t="inlineStr"/>
      <c r="K48" s="30" t="b">
        <v>0</v>
      </c>
      <c r="L48" s="34" t="b">
        <v>1</v>
      </c>
      <c r="M48" s="34" t="b">
        <v>1</v>
      </c>
      <c r="N48" s="34" t="b">
        <v>1</v>
      </c>
      <c r="O48" s="30" t="inlineStr"/>
      <c r="P48" s="30" t="inlineStr"/>
      <c r="Q48" s="30" t="inlineStr"/>
      <c r="R48" s="30" t="inlineStr">
        <is>
          <t>https://africanmarketingconfederation.org/page-sitemap.xml</t>
        </is>
      </c>
      <c r="S48" s="30" t="inlineStr">
        <is>
          <t>urlset</t>
        </is>
      </c>
      <c r="T48" s="31" t="inlineStr"/>
      <c r="U48" s="30" t="inlineStr"/>
      <c r="V48" s="30" t="inlineStr">
        <is>
          <t>Unknown</t>
        </is>
      </c>
      <c r="W48" s="30" t="inlineStr">
        <is>
          <t>Match</t>
        </is>
      </c>
      <c r="X48" s="32" t="b">
        <v>0</v>
      </c>
    </row>
    <row r="49" ht="18" customHeight="1">
      <c r="A49" s="28" t="inlineStr">
        <is>
          <t>Sitemap URL</t>
        </is>
      </c>
      <c r="B49" s="20" t="inlineStr">
        <is>
          <t>https://africanmarketingconfederation.org/smoke-archive/page-45</t>
        </is>
      </c>
      <c r="C49" s="20" t="inlineStr">
        <is>
          <t>https://africanmarketingconfederation.org/smoke-archive/page-45</t>
        </is>
      </c>
      <c r="D49" s="32" t="n">
        <v>200</v>
      </c>
      <c r="E49" s="28" t="b">
        <v>1</v>
      </c>
      <c r="F49" s="28" t="b">
        <v>1</v>
      </c>
      <c r="G49" s="28" t="inlineStr">
        <is>
          <t>Both</t>
        </is>
      </c>
      <c r="H49" s="32" t="b">
        <v>0</v>
      </c>
      <c r="I49" s="20" t="b">
        <v>0</v>
      </c>
      <c r="J49" s="28" t="inlineStr"/>
      <c r="K49" s="28" t="b">
        <v>0</v>
      </c>
      <c r="L49" s="32" t="b">
        <v>0</v>
      </c>
      <c r="M49" s="32" t="b">
        <v>0</v>
      </c>
      <c r="N49" s="34" t="b">
        <v>1</v>
      </c>
      <c r="O49" s="28" t="inlineStr">
        <is>
          <t>2026-06-01</t>
        </is>
      </c>
      <c r="P49" s="28" t="inlineStr">
        <is>
          <t>weekly</t>
        </is>
      </c>
      <c r="Q49" s="28" t="inlineStr"/>
      <c r="R49" s="28" t="inlineStr">
        <is>
          <t>https://africanmarketingconfederation.org/page-sitemap.xml</t>
        </is>
      </c>
      <c r="S49" s="28" t="inlineStr">
        <is>
          <t>urlset</t>
        </is>
      </c>
      <c r="T49" s="20" t="inlineStr"/>
      <c r="U49" s="28" t="inlineStr"/>
      <c r="V49" s="28" t="inlineStr">
        <is>
          <t>Match</t>
        </is>
      </c>
      <c r="W49" s="28" t="inlineStr">
        <is>
          <t>Match</t>
        </is>
      </c>
      <c r="X49" s="32" t="b">
        <v>0</v>
      </c>
    </row>
    <row r="50" ht="18" customHeight="1">
      <c r="A50" s="30" t="inlineStr">
        <is>
          <t>Sitemap URL</t>
        </is>
      </c>
      <c r="B50" s="31" t="inlineStr">
        <is>
          <t>https://africanmarketingconfederation.org/smoke-archive/page-46</t>
        </is>
      </c>
      <c r="C50" s="31" t="inlineStr">
        <is>
          <t>https://africanmarketingconfederation.org/smoke-archive/page-46</t>
        </is>
      </c>
      <c r="D50" s="32" t="n">
        <v>200</v>
      </c>
      <c r="E50" s="30" t="b">
        <v>1</v>
      </c>
      <c r="F50" s="30" t="b">
        <v>1</v>
      </c>
      <c r="G50" s="30" t="inlineStr">
        <is>
          <t>Both</t>
        </is>
      </c>
      <c r="H50" s="32" t="b">
        <v>0</v>
      </c>
      <c r="I50" s="31" t="b">
        <v>0</v>
      </c>
      <c r="J50" s="30" t="inlineStr"/>
      <c r="K50" s="30" t="b">
        <v>0</v>
      </c>
      <c r="L50" s="34" t="b">
        <v>1</v>
      </c>
      <c r="M50" s="34" t="b">
        <v>1</v>
      </c>
      <c r="N50" s="34" t="b">
        <v>1</v>
      </c>
      <c r="O50" s="30" t="inlineStr"/>
      <c r="P50" s="30" t="inlineStr"/>
      <c r="Q50" s="30" t="inlineStr"/>
      <c r="R50" s="30" t="inlineStr">
        <is>
          <t>https://africanmarketingconfederation.org/page-sitemap.xml</t>
        </is>
      </c>
      <c r="S50" s="30" t="inlineStr">
        <is>
          <t>urlset</t>
        </is>
      </c>
      <c r="T50" s="31" t="inlineStr"/>
      <c r="U50" s="30" t="inlineStr"/>
      <c r="V50" s="30" t="inlineStr">
        <is>
          <t>Unknown</t>
        </is>
      </c>
      <c r="W50" s="30" t="inlineStr">
        <is>
          <t>Match</t>
        </is>
      </c>
      <c r="X50" s="32" t="b">
        <v>0</v>
      </c>
    </row>
    <row r="51" ht="18" customHeight="1">
      <c r="A51" s="28" t="inlineStr">
        <is>
          <t>Sitemap URL</t>
        </is>
      </c>
      <c r="B51" s="20" t="inlineStr">
        <is>
          <t>https://africanmarketingconfederation.org/smoke-archive/page-47</t>
        </is>
      </c>
      <c r="C51" s="20" t="inlineStr">
        <is>
          <t>https://africanmarketingconfederation.org/smoke-archive/page-47</t>
        </is>
      </c>
      <c r="D51" s="32" t="n">
        <v>200</v>
      </c>
      <c r="E51" s="28" t="b">
        <v>1</v>
      </c>
      <c r="F51" s="28" t="b">
        <v>1</v>
      </c>
      <c r="G51" s="28" t="inlineStr">
        <is>
          <t>Both</t>
        </is>
      </c>
      <c r="H51" s="32" t="b">
        <v>0</v>
      </c>
      <c r="I51" s="20" t="b">
        <v>0</v>
      </c>
      <c r="J51" s="28" t="inlineStr"/>
      <c r="K51" s="28" t="b">
        <v>0</v>
      </c>
      <c r="L51" s="34" t="b">
        <v>1</v>
      </c>
      <c r="M51" s="34" t="b">
        <v>1</v>
      </c>
      <c r="N51" s="34" t="b">
        <v>1</v>
      </c>
      <c r="O51" s="28" t="inlineStr"/>
      <c r="P51" s="28" t="inlineStr"/>
      <c r="Q51" s="28" t="inlineStr"/>
      <c r="R51" s="28" t="inlineStr">
        <is>
          <t>https://africanmarketingconfederation.org/page-sitemap.xml</t>
        </is>
      </c>
      <c r="S51" s="28" t="inlineStr">
        <is>
          <t>urlset</t>
        </is>
      </c>
      <c r="T51" s="20" t="inlineStr"/>
      <c r="U51" s="28" t="inlineStr"/>
      <c r="V51" s="28" t="inlineStr">
        <is>
          <t>Unknown</t>
        </is>
      </c>
      <c r="W51" s="28" t="inlineStr">
        <is>
          <t>Match</t>
        </is>
      </c>
      <c r="X51" s="32" t="b">
        <v>0</v>
      </c>
    </row>
    <row r="52" ht="18" customHeight="1">
      <c r="A52" s="30" t="inlineStr">
        <is>
          <t>Sitemap URL</t>
        </is>
      </c>
      <c r="B52" s="31" t="inlineStr">
        <is>
          <t>https://africanmarketingconfederation.org/smoke-archive/page-48</t>
        </is>
      </c>
      <c r="C52" s="31" t="inlineStr">
        <is>
          <t>https://africanmarketingconfederation.org/smoke-archive/page-48</t>
        </is>
      </c>
      <c r="D52" s="32" t="n">
        <v>200</v>
      </c>
      <c r="E52" s="30" t="b">
        <v>1</v>
      </c>
      <c r="F52" s="30" t="b">
        <v>1</v>
      </c>
      <c r="G52" s="30" t="inlineStr">
        <is>
          <t>Both</t>
        </is>
      </c>
      <c r="H52" s="32" t="b">
        <v>0</v>
      </c>
      <c r="I52" s="31" t="b">
        <v>0</v>
      </c>
      <c r="J52" s="30" t="inlineStr"/>
      <c r="K52" s="30" t="b">
        <v>0</v>
      </c>
      <c r="L52" s="32" t="b">
        <v>0</v>
      </c>
      <c r="M52" s="34" t="b">
        <v>1</v>
      </c>
      <c r="N52" s="34" t="b">
        <v>1</v>
      </c>
      <c r="O52" s="30" t="inlineStr">
        <is>
          <t>2026-06-01</t>
        </is>
      </c>
      <c r="P52" s="30" t="inlineStr"/>
      <c r="Q52" s="30" t="inlineStr"/>
      <c r="R52" s="30" t="inlineStr">
        <is>
          <t>https://africanmarketingconfederation.org/page-sitemap.xml</t>
        </is>
      </c>
      <c r="S52" s="30" t="inlineStr">
        <is>
          <t>urlset</t>
        </is>
      </c>
      <c r="T52" s="31" t="inlineStr"/>
      <c r="U52" s="30" t="inlineStr"/>
      <c r="V52" s="30" t="inlineStr">
        <is>
          <t>Match</t>
        </is>
      </c>
      <c r="W52" s="30" t="inlineStr">
        <is>
          <t>Match</t>
        </is>
      </c>
      <c r="X52" s="32" t="b">
        <v>0</v>
      </c>
    </row>
    <row r="53" ht="18" customHeight="1">
      <c r="A53" s="28" t="inlineStr">
        <is>
          <t>Sitemap URL</t>
        </is>
      </c>
      <c r="B53" s="20" t="inlineStr">
        <is>
          <t>https://africanmarketingconfederation.org/smoke-archive/page-49</t>
        </is>
      </c>
      <c r="C53" s="20" t="inlineStr">
        <is>
          <t>https://africanmarketingconfederation.org/smoke-archive/page-49</t>
        </is>
      </c>
      <c r="D53" s="32" t="n">
        <v>200</v>
      </c>
      <c r="E53" s="28" t="b">
        <v>1</v>
      </c>
      <c r="F53" s="28" t="b">
        <v>1</v>
      </c>
      <c r="G53" s="28" t="inlineStr">
        <is>
          <t>Both</t>
        </is>
      </c>
      <c r="H53" s="32" t="b">
        <v>0</v>
      </c>
      <c r="I53" s="20" t="b">
        <v>0</v>
      </c>
      <c r="J53" s="28" t="inlineStr"/>
      <c r="K53" s="28" t="b">
        <v>0</v>
      </c>
      <c r="L53" s="34" t="b">
        <v>1</v>
      </c>
      <c r="M53" s="34" t="b">
        <v>1</v>
      </c>
      <c r="N53" s="32" t="b">
        <v>0</v>
      </c>
      <c r="O53" s="28" t="inlineStr"/>
      <c r="P53" s="28" t="inlineStr"/>
      <c r="Q53" s="28" t="inlineStr">
        <is>
          <t>0.8</t>
        </is>
      </c>
      <c r="R53" s="28" t="inlineStr">
        <is>
          <t>https://africanmarketingconfederation.org/page-sitemap.xml</t>
        </is>
      </c>
      <c r="S53" s="28" t="inlineStr">
        <is>
          <t>urlset</t>
        </is>
      </c>
      <c r="T53" s="20" t="inlineStr"/>
      <c r="U53" s="28" t="inlineStr"/>
      <c r="V53" s="28" t="inlineStr">
        <is>
          <t>Unknown</t>
        </is>
      </c>
      <c r="W53" s="28" t="inlineStr">
        <is>
          <t>Match</t>
        </is>
      </c>
      <c r="X53" s="32" t="b">
        <v>0</v>
      </c>
    </row>
    <row r="54" ht="18" customHeight="1">
      <c r="A54" s="30" t="inlineStr">
        <is>
          <t>Sitemap URL</t>
        </is>
      </c>
      <c r="B54" s="31" t="inlineStr">
        <is>
          <t>https://africanmarketingconfederation.org/smoke-archive/page-50</t>
        </is>
      </c>
      <c r="C54" s="31" t="inlineStr">
        <is>
          <t>https://africanmarketingconfederation.org/smoke-archive/page-50</t>
        </is>
      </c>
      <c r="D54" s="32" t="n">
        <v>200</v>
      </c>
      <c r="E54" s="30" t="b">
        <v>1</v>
      </c>
      <c r="F54" s="30" t="b">
        <v>1</v>
      </c>
      <c r="G54" s="30" t="inlineStr">
        <is>
          <t>Both</t>
        </is>
      </c>
      <c r="H54" s="32" t="b">
        <v>0</v>
      </c>
      <c r="I54" s="31" t="b">
        <v>0</v>
      </c>
      <c r="J54" s="30" t="inlineStr"/>
      <c r="K54" s="30" t="b">
        <v>0</v>
      </c>
      <c r="L54" s="34" t="b">
        <v>1</v>
      </c>
      <c r="M54" s="32" t="b">
        <v>0</v>
      </c>
      <c r="N54" s="34" t="b">
        <v>1</v>
      </c>
      <c r="O54" s="30" t="inlineStr"/>
      <c r="P54" s="30" t="inlineStr">
        <is>
          <t>weekly</t>
        </is>
      </c>
      <c r="Q54" s="30" t="inlineStr"/>
      <c r="R54" s="30" t="inlineStr">
        <is>
          <t>https://africanmarketingconfederation.org/page-sitemap.xml</t>
        </is>
      </c>
      <c r="S54" s="30" t="inlineStr">
        <is>
          <t>urlset</t>
        </is>
      </c>
      <c r="T54" s="31" t="inlineStr"/>
      <c r="U54" s="30" t="inlineStr"/>
      <c r="V54" s="30" t="inlineStr">
        <is>
          <t>Unknown</t>
        </is>
      </c>
      <c r="W54" s="30" t="inlineStr">
        <is>
          <t>Match</t>
        </is>
      </c>
      <c r="X54" s="32" t="b">
        <v>0</v>
      </c>
    </row>
    <row r="55" ht="18" customHeight="1">
      <c r="A55" s="28" t="inlineStr">
        <is>
          <t>Sitemap URL</t>
        </is>
      </c>
      <c r="B55" s="20" t="inlineStr">
        <is>
          <t>https://africanmarketingconfederation.org/smoke-archive/page-51</t>
        </is>
      </c>
      <c r="C55" s="20" t="inlineStr">
        <is>
          <t>https://africanmarketingconfederation.org/smoke-archive/page-51</t>
        </is>
      </c>
      <c r="D55" s="28" t="inlineStr">
        <is>
          <t>Timeout</t>
        </is>
      </c>
      <c r="E55" s="28" t="b">
        <v>1</v>
      </c>
      <c r="F55" s="28" t="b">
        <v>1</v>
      </c>
      <c r="G55" s="28" t="inlineStr">
        <is>
          <t>Both</t>
        </is>
      </c>
      <c r="H55" s="34" t="b">
        <v>1</v>
      </c>
      <c r="I55" s="20" t="b">
        <v>0</v>
      </c>
      <c r="J55" s="28" t="inlineStr"/>
      <c r="K55" s="28" t="b">
        <v>0</v>
      </c>
      <c r="L55" s="32" t="b">
        <v>0</v>
      </c>
      <c r="M55" s="34" t="b">
        <v>1</v>
      </c>
      <c r="N55" s="34" t="b">
        <v>1</v>
      </c>
      <c r="O55" s="28" t="inlineStr">
        <is>
          <t>2026-06-01</t>
        </is>
      </c>
      <c r="P55" s="28" t="inlineStr"/>
      <c r="Q55" s="28" t="inlineStr"/>
      <c r="R55" s="28" t="inlineStr">
        <is>
          <t>https://africanmarketingconfederation.org/page-sitemap.xml</t>
        </is>
      </c>
      <c r="S55" s="28" t="inlineStr">
        <is>
          <t>urlset</t>
        </is>
      </c>
      <c r="T55" s="20" t="inlineStr"/>
      <c r="U55" s="28" t="inlineStr"/>
      <c r="V55" s="28" t="inlineStr">
        <is>
          <t>Match</t>
        </is>
      </c>
      <c r="W55" s="28" t="inlineStr">
        <is>
          <t>Match</t>
        </is>
      </c>
      <c r="X55" s="32" t="b">
        <v>0</v>
      </c>
    </row>
    <row r="56" ht="18" customHeight="1">
      <c r="A56" s="30" t="inlineStr">
        <is>
          <t>Sitemap URL</t>
        </is>
      </c>
      <c r="B56" s="31" t="inlineStr">
        <is>
          <t>https://africanmarketingconfederation.org/smoke-archive/page-52</t>
        </is>
      </c>
      <c r="C56" s="31" t="inlineStr">
        <is>
          <t>https://africanmarketingconfederation.org/smoke-archive/page-52</t>
        </is>
      </c>
      <c r="D56" s="34" t="n">
        <v>404</v>
      </c>
      <c r="E56" s="30" t="b">
        <v>1</v>
      </c>
      <c r="F56" s="30" t="b">
        <v>1</v>
      </c>
      <c r="G56" s="30" t="inlineStr">
        <is>
          <t>Both</t>
        </is>
      </c>
      <c r="H56" s="34" t="b">
        <v>1</v>
      </c>
      <c r="I56" s="31" t="b">
        <v>0</v>
      </c>
      <c r="J56" s="30" t="inlineStr"/>
      <c r="K56" s="30" t="b">
        <v>0</v>
      </c>
      <c r="L56" s="34" t="b">
        <v>1</v>
      </c>
      <c r="M56" s="34" t="b">
        <v>1</v>
      </c>
      <c r="N56" s="34" t="b">
        <v>1</v>
      </c>
      <c r="O56" s="30" t="inlineStr"/>
      <c r="P56" s="30" t="inlineStr"/>
      <c r="Q56" s="30" t="inlineStr"/>
      <c r="R56" s="30" t="inlineStr">
        <is>
          <t>https://africanmarketingconfederation.org/page-sitemap.xml</t>
        </is>
      </c>
      <c r="S56" s="30" t="inlineStr">
        <is>
          <t>urlset</t>
        </is>
      </c>
      <c r="T56" s="31" t="inlineStr"/>
      <c r="U56" s="30" t="inlineStr"/>
      <c r="V56" s="30" t="inlineStr">
        <is>
          <t>Unknown</t>
        </is>
      </c>
      <c r="W56" s="30" t="inlineStr">
        <is>
          <t>Match</t>
        </is>
      </c>
      <c r="X56" s="32" t="b">
        <v>0</v>
      </c>
    </row>
    <row r="57" ht="18" customHeight="1">
      <c r="A57" s="28" t="inlineStr">
        <is>
          <t>Sitemap URL</t>
        </is>
      </c>
      <c r="B57" s="20" t="inlineStr">
        <is>
          <t>https://africanmarketingconfederation.org/smoke-archive/page-53</t>
        </is>
      </c>
      <c r="C57" s="20" t="inlineStr">
        <is>
          <t>https://africanmarketingconfederation.org/smoke-archive/page-53</t>
        </is>
      </c>
      <c r="D57" s="32" t="n">
        <v>200</v>
      </c>
      <c r="E57" s="28" t="b">
        <v>1</v>
      </c>
      <c r="F57" s="28" t="b">
        <v>1</v>
      </c>
      <c r="G57" s="28" t="inlineStr">
        <is>
          <t>Both</t>
        </is>
      </c>
      <c r="H57" s="32" t="b">
        <v>0</v>
      </c>
      <c r="I57" s="20" t="b">
        <v>0</v>
      </c>
      <c r="J57" s="28" t="inlineStr"/>
      <c r="K57" s="28" t="b">
        <v>0</v>
      </c>
      <c r="L57" s="34" t="b">
        <v>1</v>
      </c>
      <c r="M57" s="34" t="b">
        <v>1</v>
      </c>
      <c r="N57" s="34" t="b">
        <v>1</v>
      </c>
      <c r="O57" s="28" t="inlineStr"/>
      <c r="P57" s="28" t="inlineStr"/>
      <c r="Q57" s="28" t="inlineStr"/>
      <c r="R57" s="28" t="inlineStr">
        <is>
          <t>https://africanmarketingconfederation.org/page-sitemap.xml</t>
        </is>
      </c>
      <c r="S57" s="28" t="inlineStr">
        <is>
          <t>urlset</t>
        </is>
      </c>
      <c r="T57" s="20" t="inlineStr"/>
      <c r="U57" s="28" t="inlineStr"/>
      <c r="V57" s="28" t="inlineStr">
        <is>
          <t>Unknown</t>
        </is>
      </c>
      <c r="W57" s="28" t="inlineStr">
        <is>
          <t>Match</t>
        </is>
      </c>
      <c r="X57" s="32" t="b">
        <v>0</v>
      </c>
    </row>
    <row r="58" ht="18" customHeight="1">
      <c r="A58" s="30" t="inlineStr">
        <is>
          <t>Sitemap URL</t>
        </is>
      </c>
      <c r="B58" s="31" t="inlineStr">
        <is>
          <t>https://africanmarketingconfederation.org/smoke-archive/page-54</t>
        </is>
      </c>
      <c r="C58" s="31" t="inlineStr">
        <is>
          <t>https://africanmarketingconfederation.org/smoke-archive/page-54</t>
        </is>
      </c>
      <c r="D58" s="32" t="n">
        <v>200</v>
      </c>
      <c r="E58" s="30" t="b">
        <v>1</v>
      </c>
      <c r="F58" s="30" t="b">
        <v>1</v>
      </c>
      <c r="G58" s="30" t="inlineStr">
        <is>
          <t>Both</t>
        </is>
      </c>
      <c r="H58" s="32" t="b">
        <v>0</v>
      </c>
      <c r="I58" s="31" t="b">
        <v>0</v>
      </c>
      <c r="J58" s="30" t="inlineStr"/>
      <c r="K58" s="30" t="b">
        <v>0</v>
      </c>
      <c r="L58" s="32" t="b">
        <v>0</v>
      </c>
      <c r="M58" s="34" t="b">
        <v>1</v>
      </c>
      <c r="N58" s="34" t="b">
        <v>1</v>
      </c>
      <c r="O58" s="30" t="inlineStr">
        <is>
          <t>2026-06-01</t>
        </is>
      </c>
      <c r="P58" s="30" t="inlineStr"/>
      <c r="Q58" s="30" t="inlineStr"/>
      <c r="R58" s="30" t="inlineStr">
        <is>
          <t>https://africanmarketingconfederation.org/page-sitemap.xml</t>
        </is>
      </c>
      <c r="S58" s="30" t="inlineStr">
        <is>
          <t>urlset</t>
        </is>
      </c>
      <c r="T58" s="31" t="inlineStr"/>
      <c r="U58" s="30" t="inlineStr"/>
      <c r="V58" s="30" t="inlineStr">
        <is>
          <t>Match</t>
        </is>
      </c>
      <c r="W58" s="30" t="inlineStr">
        <is>
          <t>Match</t>
        </is>
      </c>
      <c r="X58" s="32" t="b">
        <v>0</v>
      </c>
    </row>
    <row r="59" ht="18" customHeight="1">
      <c r="A59" s="28" t="inlineStr">
        <is>
          <t>Sitemap URL</t>
        </is>
      </c>
      <c r="B59" s="20" t="inlineStr">
        <is>
          <t>https://africanmarketingconfederation.org/smoke-archive/page-55</t>
        </is>
      </c>
      <c r="C59" s="20" t="inlineStr">
        <is>
          <t>https://africanmarketingconfederation.org/smoke-archive/page-55-canonical/</t>
        </is>
      </c>
      <c r="D59" s="40" t="n">
        <v>301</v>
      </c>
      <c r="E59" s="28" t="b">
        <v>1</v>
      </c>
      <c r="F59" s="28" t="b">
        <v>1</v>
      </c>
      <c r="G59" s="28" t="inlineStr">
        <is>
          <t>Both</t>
        </is>
      </c>
      <c r="H59" s="34" t="b">
        <v>1</v>
      </c>
      <c r="I59" s="20" t="b">
        <v>1</v>
      </c>
      <c r="J59" s="28" t="inlineStr"/>
      <c r="K59" s="28" t="b">
        <v>0</v>
      </c>
      <c r="L59" s="34" t="b">
        <v>1</v>
      </c>
      <c r="M59" s="32" t="b">
        <v>0</v>
      </c>
      <c r="N59" s="34" t="b">
        <v>1</v>
      </c>
      <c r="O59" s="28" t="inlineStr"/>
      <c r="P59" s="28" t="inlineStr">
        <is>
          <t>weekly</t>
        </is>
      </c>
      <c r="Q59" s="28" t="inlineStr"/>
      <c r="R59" s="28" t="inlineStr">
        <is>
          <t>https://africanmarketingconfederation.org/page-sitemap.xml</t>
        </is>
      </c>
      <c r="S59" s="28" t="inlineStr">
        <is>
          <t>urlset</t>
        </is>
      </c>
      <c r="T59" s="20" t="inlineStr"/>
      <c r="U59" s="28" t="inlineStr"/>
      <c r="V59" s="28" t="inlineStr">
        <is>
          <t>Unknown</t>
        </is>
      </c>
      <c r="W59" s="28" t="inlineStr">
        <is>
          <t>Match</t>
        </is>
      </c>
      <c r="X59" s="32" t="b">
        <v>0</v>
      </c>
    </row>
    <row r="60" ht="18" customHeight="1">
      <c r="A60" s="30" t="inlineStr">
        <is>
          <t>Sitemap URL</t>
        </is>
      </c>
      <c r="B60" s="31" t="inlineStr">
        <is>
          <t>https://africanmarketingconfederation.org/smoke-archive/page-56</t>
        </is>
      </c>
      <c r="C60" s="31" t="inlineStr">
        <is>
          <t>https://africanmarketingconfederation.org/smoke-archive/page-56</t>
        </is>
      </c>
      <c r="D60" s="32" t="n">
        <v>200</v>
      </c>
      <c r="E60" s="30" t="b">
        <v>1</v>
      </c>
      <c r="F60" s="30" t="b">
        <v>1</v>
      </c>
      <c r="G60" s="30" t="inlineStr">
        <is>
          <t>Both</t>
        </is>
      </c>
      <c r="H60" s="32" t="b">
        <v>0</v>
      </c>
      <c r="I60" s="31" t="b">
        <v>0</v>
      </c>
      <c r="J60" s="30" t="inlineStr"/>
      <c r="K60" s="30" t="b">
        <v>0</v>
      </c>
      <c r="L60" s="34" t="b">
        <v>1</v>
      </c>
      <c r="M60" s="34" t="b">
        <v>1</v>
      </c>
      <c r="N60" s="32" t="b">
        <v>0</v>
      </c>
      <c r="O60" s="30" t="inlineStr"/>
      <c r="P60" s="30" t="inlineStr"/>
      <c r="Q60" s="30" t="inlineStr">
        <is>
          <t>0.8</t>
        </is>
      </c>
      <c r="R60" s="30" t="inlineStr">
        <is>
          <t>https://africanmarketingconfederation.org/page-sitemap.xml</t>
        </is>
      </c>
      <c r="S60" s="30" t="inlineStr">
        <is>
          <t>urlset</t>
        </is>
      </c>
      <c r="T60" s="31" t="inlineStr"/>
      <c r="U60" s="30" t="inlineStr"/>
      <c r="V60" s="30" t="inlineStr">
        <is>
          <t>Unknown</t>
        </is>
      </c>
      <c r="W60" s="30" t="inlineStr">
        <is>
          <t>Match</t>
        </is>
      </c>
      <c r="X60" s="32" t="b">
        <v>0</v>
      </c>
    </row>
    <row r="61" ht="18" customHeight="1">
      <c r="A61" s="28" t="inlineStr">
        <is>
          <t>Sitemap URL</t>
        </is>
      </c>
      <c r="B61" s="20" t="inlineStr">
        <is>
          <t>https://africanmarketingconfederation.org/smoke-archive/page-57</t>
        </is>
      </c>
      <c r="C61" s="20" t="inlineStr">
        <is>
          <t>https://africanmarketingconfederation.org/smoke-archive/page-57</t>
        </is>
      </c>
      <c r="D61" s="32" t="n">
        <v>200</v>
      </c>
      <c r="E61" s="28" t="b">
        <v>1</v>
      </c>
      <c r="F61" s="28" t="b">
        <v>1</v>
      </c>
      <c r="G61" s="28" t="inlineStr">
        <is>
          <t>Both</t>
        </is>
      </c>
      <c r="H61" s="32" t="b">
        <v>0</v>
      </c>
      <c r="I61" s="20" t="b">
        <v>0</v>
      </c>
      <c r="J61" s="28" t="inlineStr"/>
      <c r="K61" s="28" t="b">
        <v>0</v>
      </c>
      <c r="L61" s="32" t="b">
        <v>0</v>
      </c>
      <c r="M61" s="34" t="b">
        <v>1</v>
      </c>
      <c r="N61" s="34" t="b">
        <v>1</v>
      </c>
      <c r="O61" s="28" t="inlineStr">
        <is>
          <t>2026-06-01</t>
        </is>
      </c>
      <c r="P61" s="28" t="inlineStr"/>
      <c r="Q61" s="28" t="inlineStr"/>
      <c r="R61" s="28" t="inlineStr">
        <is>
          <t>https://africanmarketingconfederation.org/page-sitemap.xml</t>
        </is>
      </c>
      <c r="S61" s="28" t="inlineStr">
        <is>
          <t>urlset</t>
        </is>
      </c>
      <c r="T61" s="20" t="inlineStr"/>
      <c r="U61" s="28" t="inlineStr"/>
      <c r="V61" s="28" t="inlineStr">
        <is>
          <t>Match</t>
        </is>
      </c>
      <c r="W61" s="28" t="inlineStr">
        <is>
          <t>Match</t>
        </is>
      </c>
      <c r="X61" s="32" t="b">
        <v>0</v>
      </c>
    </row>
    <row r="62" ht="18" customHeight="1">
      <c r="A62" s="30" t="inlineStr">
        <is>
          <t>Sitemap URL</t>
        </is>
      </c>
      <c r="B62" s="31" t="inlineStr">
        <is>
          <t>https://africanmarketingconfederation.org/smoke-archive/page-58</t>
        </is>
      </c>
      <c r="C62" s="31" t="inlineStr">
        <is>
          <t>https://africanmarketingconfederation.org/smoke-archive/page-58</t>
        </is>
      </c>
      <c r="D62" s="32" t="n">
        <v>200</v>
      </c>
      <c r="E62" s="30" t="b">
        <v>1</v>
      </c>
      <c r="F62" s="30" t="b">
        <v>1</v>
      </c>
      <c r="G62" s="30" t="inlineStr">
        <is>
          <t>Both</t>
        </is>
      </c>
      <c r="H62" s="32" t="b">
        <v>0</v>
      </c>
      <c r="I62" s="31" t="b">
        <v>0</v>
      </c>
      <c r="J62" s="30" t="inlineStr"/>
      <c r="K62" s="30" t="b">
        <v>0</v>
      </c>
      <c r="L62" s="34" t="b">
        <v>1</v>
      </c>
      <c r="M62" s="34" t="b">
        <v>1</v>
      </c>
      <c r="N62" s="34" t="b">
        <v>1</v>
      </c>
      <c r="O62" s="30" t="inlineStr"/>
      <c r="P62" s="30" t="inlineStr"/>
      <c r="Q62" s="30" t="inlineStr"/>
      <c r="R62" s="30" t="inlineStr">
        <is>
          <t>https://africanmarketingconfederation.org/page-sitemap.xml</t>
        </is>
      </c>
      <c r="S62" s="30" t="inlineStr">
        <is>
          <t>urlset</t>
        </is>
      </c>
      <c r="T62" s="31" t="inlineStr"/>
      <c r="U62" s="30" t="inlineStr"/>
      <c r="V62" s="30" t="inlineStr">
        <is>
          <t>Unknown</t>
        </is>
      </c>
      <c r="W62" s="30" t="inlineStr">
        <is>
          <t>Match</t>
        </is>
      </c>
      <c r="X62" s="32" t="b">
        <v>0</v>
      </c>
    </row>
    <row r="63" ht="18" customHeight="1">
      <c r="A63" s="28" t="inlineStr">
        <is>
          <t>Sitemap URL</t>
        </is>
      </c>
      <c r="B63" s="20" t="inlineStr">
        <is>
          <t>https://africanmarketingconfederation.org/smoke-archive/page-59</t>
        </is>
      </c>
      <c r="C63" s="20" t="inlineStr">
        <is>
          <t>https://africanmarketingconfederation.org/smoke-archive/page-59</t>
        </is>
      </c>
      <c r="D63" s="32" t="n">
        <v>200</v>
      </c>
      <c r="E63" s="28" t="b">
        <v>1</v>
      </c>
      <c r="F63" s="28" t="b">
        <v>1</v>
      </c>
      <c r="G63" s="28" t="inlineStr">
        <is>
          <t>Both</t>
        </is>
      </c>
      <c r="H63" s="32" t="b">
        <v>0</v>
      </c>
      <c r="I63" s="20" t="b">
        <v>0</v>
      </c>
      <c r="J63" s="28" t="inlineStr"/>
      <c r="K63" s="28" t="b">
        <v>0</v>
      </c>
      <c r="L63" s="34" t="b">
        <v>1</v>
      </c>
      <c r="M63" s="34" t="b">
        <v>1</v>
      </c>
      <c r="N63" s="34" t="b">
        <v>1</v>
      </c>
      <c r="O63" s="28" t="inlineStr"/>
      <c r="P63" s="28" t="inlineStr"/>
      <c r="Q63" s="28" t="inlineStr"/>
      <c r="R63" s="28" t="inlineStr">
        <is>
          <t>https://africanmarketingconfederation.org/page-sitemap.xml</t>
        </is>
      </c>
      <c r="S63" s="28" t="inlineStr">
        <is>
          <t>urlset</t>
        </is>
      </c>
      <c r="T63" s="20" t="inlineStr"/>
      <c r="U63" s="28" t="inlineStr"/>
      <c r="V63" s="28" t="inlineStr">
        <is>
          <t>Unknown</t>
        </is>
      </c>
      <c r="W63" s="28" t="inlineStr">
        <is>
          <t>Match</t>
        </is>
      </c>
      <c r="X63" s="32" t="b">
        <v>0</v>
      </c>
    </row>
    <row r="64" ht="18" customHeight="1">
      <c r="A64" s="30" t="inlineStr">
        <is>
          <t>Sitemap URL</t>
        </is>
      </c>
      <c r="B64" s="31" t="inlineStr">
        <is>
          <t>https://africanmarketingconfederation.org/smoke-archive/page-60</t>
        </is>
      </c>
      <c r="C64" s="31" t="inlineStr">
        <is>
          <t>https://africanmarketingconfederation.org/smoke-archive/page-60</t>
        </is>
      </c>
      <c r="D64" s="32" t="n">
        <v>200</v>
      </c>
      <c r="E64" s="30" t="b">
        <v>1</v>
      </c>
      <c r="F64" s="30" t="b">
        <v>1</v>
      </c>
      <c r="G64" s="30" t="inlineStr">
        <is>
          <t>Both</t>
        </is>
      </c>
      <c r="H64" s="32" t="b">
        <v>0</v>
      </c>
      <c r="I64" s="31" t="b">
        <v>0</v>
      </c>
      <c r="J64" s="30" t="inlineStr"/>
      <c r="K64" s="30" t="b">
        <v>0</v>
      </c>
      <c r="L64" s="32" t="b">
        <v>0</v>
      </c>
      <c r="M64" s="32" t="b">
        <v>0</v>
      </c>
      <c r="N64" s="34" t="b">
        <v>1</v>
      </c>
      <c r="O64" s="30" t="inlineStr">
        <is>
          <t>2026-06-01</t>
        </is>
      </c>
      <c r="P64" s="30" t="inlineStr">
        <is>
          <t>weekly</t>
        </is>
      </c>
      <c r="Q64" s="30" t="inlineStr"/>
      <c r="R64" s="30" t="inlineStr">
        <is>
          <t>https://africanmarketingconfederation.org/page-sitemap.xml</t>
        </is>
      </c>
      <c r="S64" s="30" t="inlineStr">
        <is>
          <t>urlset</t>
        </is>
      </c>
      <c r="T64" s="31" t="inlineStr"/>
      <c r="U64" s="30" t="inlineStr"/>
      <c r="V64" s="30" t="inlineStr">
        <is>
          <t>Match</t>
        </is>
      </c>
      <c r="W64" s="30" t="inlineStr">
        <is>
          <t>Match</t>
        </is>
      </c>
      <c r="X64" s="32" t="b">
        <v>0</v>
      </c>
    </row>
    <row r="65" ht="18" customHeight="1">
      <c r="A65" s="28" t="inlineStr">
        <is>
          <t>Sitemap URL</t>
        </is>
      </c>
      <c r="B65" s="20" t="inlineStr">
        <is>
          <t>https://africanmarketingconfederation.org/smoke-archive/page-61</t>
        </is>
      </c>
      <c r="C65" s="20" t="inlineStr">
        <is>
          <t>https://africanmarketingconfederation.org/smoke-archive/page-61</t>
        </is>
      </c>
      <c r="D65" s="32" t="n">
        <v>200</v>
      </c>
      <c r="E65" s="28" t="b">
        <v>1</v>
      </c>
      <c r="F65" s="28" t="b">
        <v>1</v>
      </c>
      <c r="G65" s="28" t="inlineStr">
        <is>
          <t>Both</t>
        </is>
      </c>
      <c r="H65" s="32" t="b">
        <v>0</v>
      </c>
      <c r="I65" s="20" t="b">
        <v>0</v>
      </c>
      <c r="J65" s="28" t="inlineStr"/>
      <c r="K65" s="28" t="b">
        <v>0</v>
      </c>
      <c r="L65" s="34" t="b">
        <v>1</v>
      </c>
      <c r="M65" s="34" t="b">
        <v>1</v>
      </c>
      <c r="N65" s="34" t="b">
        <v>1</v>
      </c>
      <c r="O65" s="28" t="inlineStr"/>
      <c r="P65" s="28" t="inlineStr"/>
      <c r="Q65" s="28" t="inlineStr"/>
      <c r="R65" s="28" t="inlineStr">
        <is>
          <t>https://africanmarketingconfederation.org/page-sitemap.xml</t>
        </is>
      </c>
      <c r="S65" s="28" t="inlineStr">
        <is>
          <t>urlset</t>
        </is>
      </c>
      <c r="T65" s="20" t="inlineStr"/>
      <c r="U65" s="28" t="inlineStr"/>
      <c r="V65" s="28" t="inlineStr">
        <is>
          <t>Unknown</t>
        </is>
      </c>
      <c r="W65" s="28" t="inlineStr">
        <is>
          <t>Match</t>
        </is>
      </c>
      <c r="X65" s="32" t="b">
        <v>0</v>
      </c>
    </row>
    <row r="66" ht="18" customHeight="1">
      <c r="A66" s="30" t="inlineStr">
        <is>
          <t>Sitemap URL</t>
        </is>
      </c>
      <c r="B66" s="31" t="inlineStr">
        <is>
          <t>https://africanmarketingconfederation.org/smoke-archive/page-62</t>
        </is>
      </c>
      <c r="C66" s="31" t="inlineStr">
        <is>
          <t>https://africanmarketingconfederation.org/smoke-archive/page-62</t>
        </is>
      </c>
      <c r="D66" s="32" t="n">
        <v>200</v>
      </c>
      <c r="E66" s="30" t="b">
        <v>1</v>
      </c>
      <c r="F66" s="30" t="b">
        <v>1</v>
      </c>
      <c r="G66" s="30" t="inlineStr">
        <is>
          <t>Both</t>
        </is>
      </c>
      <c r="H66" s="32" t="b">
        <v>0</v>
      </c>
      <c r="I66" s="31" t="b">
        <v>0</v>
      </c>
      <c r="J66" s="30" t="inlineStr"/>
      <c r="K66" s="30" t="b">
        <v>0</v>
      </c>
      <c r="L66" s="34" t="b">
        <v>1</v>
      </c>
      <c r="M66" s="34" t="b">
        <v>1</v>
      </c>
      <c r="N66" s="34" t="b">
        <v>1</v>
      </c>
      <c r="O66" s="30" t="inlineStr"/>
      <c r="P66" s="30" t="inlineStr"/>
      <c r="Q66" s="30" t="inlineStr"/>
      <c r="R66" s="30" t="inlineStr">
        <is>
          <t>https://africanmarketingconfederation.org/page-sitemap.xml</t>
        </is>
      </c>
      <c r="S66" s="30" t="inlineStr">
        <is>
          <t>urlset</t>
        </is>
      </c>
      <c r="T66" s="31" t="inlineStr"/>
      <c r="U66" s="30" t="inlineStr"/>
      <c r="V66" s="30" t="inlineStr">
        <is>
          <t>Unknown</t>
        </is>
      </c>
      <c r="W66" s="30" t="inlineStr">
        <is>
          <t>Match</t>
        </is>
      </c>
      <c r="X66" s="32" t="b">
        <v>0</v>
      </c>
    </row>
    <row r="67" ht="18" customHeight="1">
      <c r="A67" s="28" t="inlineStr">
        <is>
          <t>Sitemap URL</t>
        </is>
      </c>
      <c r="B67" s="20" t="inlineStr">
        <is>
          <t>https://africanmarketingconfederation.org/smoke-archive/page-63</t>
        </is>
      </c>
      <c r="C67" s="20" t="inlineStr">
        <is>
          <t>https://africanmarketingconfederation.org/smoke-archive/page-63</t>
        </is>
      </c>
      <c r="D67" s="32" t="n">
        <v>200</v>
      </c>
      <c r="E67" s="28" t="b">
        <v>1</v>
      </c>
      <c r="F67" s="28" t="b">
        <v>1</v>
      </c>
      <c r="G67" s="28" t="inlineStr">
        <is>
          <t>Both</t>
        </is>
      </c>
      <c r="H67" s="32" t="b">
        <v>0</v>
      </c>
      <c r="I67" s="20" t="b">
        <v>0</v>
      </c>
      <c r="J67" s="28" t="inlineStr"/>
      <c r="K67" s="28" t="b">
        <v>0</v>
      </c>
      <c r="L67" s="32" t="b">
        <v>0</v>
      </c>
      <c r="M67" s="34" t="b">
        <v>1</v>
      </c>
      <c r="N67" s="32" t="b">
        <v>0</v>
      </c>
      <c r="O67" s="28" t="inlineStr">
        <is>
          <t>2026-06-01</t>
        </is>
      </c>
      <c r="P67" s="28" t="inlineStr"/>
      <c r="Q67" s="28" t="inlineStr">
        <is>
          <t>0.8</t>
        </is>
      </c>
      <c r="R67" s="28" t="inlineStr">
        <is>
          <t>https://africanmarketingconfederation.org/page-sitemap.xml</t>
        </is>
      </c>
      <c r="S67" s="28" t="inlineStr">
        <is>
          <t>urlset</t>
        </is>
      </c>
      <c r="T67" s="20" t="inlineStr"/>
      <c r="U67" s="28" t="inlineStr"/>
      <c r="V67" s="28" t="inlineStr">
        <is>
          <t>Match</t>
        </is>
      </c>
      <c r="W67" s="28" t="inlineStr">
        <is>
          <t>Match</t>
        </is>
      </c>
      <c r="X67" s="32" t="b">
        <v>0</v>
      </c>
    </row>
    <row r="68" ht="18" customHeight="1">
      <c r="A68" s="30" t="inlineStr">
        <is>
          <t>Sitemap URL</t>
        </is>
      </c>
      <c r="B68" s="31" t="inlineStr">
        <is>
          <t>https://africanmarketingconfederation.org/smoke-archive/page-64</t>
        </is>
      </c>
      <c r="C68" s="31" t="inlineStr">
        <is>
          <t>https://africanmarketingconfederation.org/smoke-archive/page-64</t>
        </is>
      </c>
      <c r="D68" s="32" t="n">
        <v>200</v>
      </c>
      <c r="E68" s="30" t="b">
        <v>1</v>
      </c>
      <c r="F68" s="30" t="b">
        <v>1</v>
      </c>
      <c r="G68" s="30" t="inlineStr">
        <is>
          <t>Both</t>
        </is>
      </c>
      <c r="H68" s="32" t="b">
        <v>0</v>
      </c>
      <c r="I68" s="31" t="b">
        <v>0</v>
      </c>
      <c r="J68" s="30" t="inlineStr"/>
      <c r="K68" s="30" t="b">
        <v>0</v>
      </c>
      <c r="L68" s="34" t="b">
        <v>1</v>
      </c>
      <c r="M68" s="34" t="b">
        <v>1</v>
      </c>
      <c r="N68" s="34" t="b">
        <v>1</v>
      </c>
      <c r="O68" s="30" t="inlineStr"/>
      <c r="P68" s="30" t="inlineStr"/>
      <c r="Q68" s="30" t="inlineStr"/>
      <c r="R68" s="30" t="inlineStr">
        <is>
          <t>https://africanmarketingconfederation.org/page-sitemap.xml</t>
        </is>
      </c>
      <c r="S68" s="30" t="inlineStr">
        <is>
          <t>urlset</t>
        </is>
      </c>
      <c r="T68" s="31" t="inlineStr"/>
      <c r="U68" s="30" t="inlineStr"/>
      <c r="V68" s="30" t="inlineStr">
        <is>
          <t>Unknown</t>
        </is>
      </c>
      <c r="W68" s="30" t="inlineStr">
        <is>
          <t>Match</t>
        </is>
      </c>
      <c r="X68" s="32" t="b">
        <v>0</v>
      </c>
    </row>
    <row r="69" ht="18" customHeight="1">
      <c r="A69" s="28" t="inlineStr">
        <is>
          <t>Sitemap URL</t>
        </is>
      </c>
      <c r="B69" s="20" t="inlineStr">
        <is>
          <t>https://africanmarketingconfederation.org/smoke-archive/page-65</t>
        </is>
      </c>
      <c r="C69" s="20" t="inlineStr">
        <is>
          <t>https://africanmarketingconfederation.org/smoke-archive/page-65</t>
        </is>
      </c>
      <c r="D69" s="34" t="n">
        <v>404</v>
      </c>
      <c r="E69" s="28" t="b">
        <v>1</v>
      </c>
      <c r="F69" s="28" t="b">
        <v>1</v>
      </c>
      <c r="G69" s="28" t="inlineStr">
        <is>
          <t>Both</t>
        </is>
      </c>
      <c r="H69" s="34" t="b">
        <v>1</v>
      </c>
      <c r="I69" s="20" t="b">
        <v>0</v>
      </c>
      <c r="J69" s="28" t="inlineStr"/>
      <c r="K69" s="28" t="b">
        <v>0</v>
      </c>
      <c r="L69" s="34" t="b">
        <v>1</v>
      </c>
      <c r="M69" s="32" t="b">
        <v>0</v>
      </c>
      <c r="N69" s="34" t="b">
        <v>1</v>
      </c>
      <c r="O69" s="28" t="inlineStr"/>
      <c r="P69" s="28" t="inlineStr">
        <is>
          <t>weekly</t>
        </is>
      </c>
      <c r="Q69" s="28" t="inlineStr"/>
      <c r="R69" s="28" t="inlineStr">
        <is>
          <t>https://africanmarketingconfederation.org/page-sitemap.xml</t>
        </is>
      </c>
      <c r="S69" s="28" t="inlineStr">
        <is>
          <t>urlset</t>
        </is>
      </c>
      <c r="T69" s="20" t="inlineStr"/>
      <c r="U69" s="28" t="inlineStr"/>
      <c r="V69" s="28" t="inlineStr">
        <is>
          <t>Unknown</t>
        </is>
      </c>
      <c r="W69" s="28" t="inlineStr">
        <is>
          <t>Match</t>
        </is>
      </c>
      <c r="X69" s="32" t="b">
        <v>0</v>
      </c>
    </row>
    <row r="70" ht="18" customHeight="1">
      <c r="A70" s="30" t="inlineStr">
        <is>
          <t>Sitemap URL</t>
        </is>
      </c>
      <c r="B70" s="31" t="inlineStr">
        <is>
          <t>https://africanmarketingconfederation.org/smoke-archive/page-66</t>
        </is>
      </c>
      <c r="C70" s="31" t="inlineStr">
        <is>
          <t>https://africanmarketingconfederation.org/smoke-archive/page-66-canonical/</t>
        </is>
      </c>
      <c r="D70" s="40" t="n">
        <v>301</v>
      </c>
      <c r="E70" s="30" t="b">
        <v>1</v>
      </c>
      <c r="F70" s="30" t="b">
        <v>1</v>
      </c>
      <c r="G70" s="30" t="inlineStr">
        <is>
          <t>Both</t>
        </is>
      </c>
      <c r="H70" s="34" t="b">
        <v>1</v>
      </c>
      <c r="I70" s="31" t="b">
        <v>1</v>
      </c>
      <c r="J70" s="30" t="inlineStr"/>
      <c r="K70" s="30" t="b">
        <v>0</v>
      </c>
      <c r="L70" s="32" t="b">
        <v>0</v>
      </c>
      <c r="M70" s="34" t="b">
        <v>1</v>
      </c>
      <c r="N70" s="34" t="b">
        <v>1</v>
      </c>
      <c r="O70" s="30" t="inlineStr">
        <is>
          <t>2026-06-01</t>
        </is>
      </c>
      <c r="P70" s="30" t="inlineStr"/>
      <c r="Q70" s="30" t="inlineStr"/>
      <c r="R70" s="30" t="inlineStr">
        <is>
          <t>https://africanmarketingconfederation.org/page-sitemap.xml</t>
        </is>
      </c>
      <c r="S70" s="30" t="inlineStr">
        <is>
          <t>urlset</t>
        </is>
      </c>
      <c r="T70" s="31" t="inlineStr"/>
      <c r="U70" s="30" t="inlineStr"/>
      <c r="V70" s="30" t="inlineStr">
        <is>
          <t>Match</t>
        </is>
      </c>
      <c r="W70" s="30" t="inlineStr">
        <is>
          <t>Match</t>
        </is>
      </c>
      <c r="X70" s="32" t="b">
        <v>0</v>
      </c>
    </row>
    <row r="71" ht="18" customHeight="1">
      <c r="A71" s="28" t="inlineStr">
        <is>
          <t>Sitemap URL</t>
        </is>
      </c>
      <c r="B71" s="20" t="inlineStr">
        <is>
          <t>https://africanmarketingconfederation.org/smoke-archive/page-67</t>
        </is>
      </c>
      <c r="C71" s="20" t="inlineStr">
        <is>
          <t>https://africanmarketingconfederation.org/smoke-archive/page-67</t>
        </is>
      </c>
      <c r="D71" s="32" t="n">
        <v>200</v>
      </c>
      <c r="E71" s="28" t="b">
        <v>1</v>
      </c>
      <c r="F71" s="28" t="b">
        <v>1</v>
      </c>
      <c r="G71" s="28" t="inlineStr">
        <is>
          <t>Both</t>
        </is>
      </c>
      <c r="H71" s="32" t="b">
        <v>0</v>
      </c>
      <c r="I71" s="20" t="b">
        <v>0</v>
      </c>
      <c r="J71" s="28" t="inlineStr"/>
      <c r="K71" s="28" t="b">
        <v>0</v>
      </c>
      <c r="L71" s="34" t="b">
        <v>1</v>
      </c>
      <c r="M71" s="34" t="b">
        <v>1</v>
      </c>
      <c r="N71" s="34" t="b">
        <v>1</v>
      </c>
      <c r="O71" s="28" t="inlineStr"/>
      <c r="P71" s="28" t="inlineStr"/>
      <c r="Q71" s="28" t="inlineStr"/>
      <c r="R71" s="28" t="inlineStr">
        <is>
          <t>https://africanmarketingconfederation.org/page-sitemap.xml</t>
        </is>
      </c>
      <c r="S71" s="28" t="inlineStr">
        <is>
          <t>urlset</t>
        </is>
      </c>
      <c r="T71" s="20" t="inlineStr"/>
      <c r="U71" s="28" t="inlineStr"/>
      <c r="V71" s="28" t="inlineStr">
        <is>
          <t>Unknown</t>
        </is>
      </c>
      <c r="W71" s="28" t="inlineStr">
        <is>
          <t>Match</t>
        </is>
      </c>
      <c r="X71" s="32" t="b">
        <v>0</v>
      </c>
    </row>
    <row r="72" ht="18" customHeight="1">
      <c r="A72" s="30" t="inlineStr">
        <is>
          <t>Sitemap URL</t>
        </is>
      </c>
      <c r="B72" s="31" t="inlineStr">
        <is>
          <t>https://africanmarketingconfederation.org/smoke-archive/page-68</t>
        </is>
      </c>
      <c r="C72" s="31" t="inlineStr">
        <is>
          <t>https://africanmarketingconfederation.org/smoke-archive/page-68</t>
        </is>
      </c>
      <c r="D72" s="30" t="inlineStr">
        <is>
          <t>Timeout</t>
        </is>
      </c>
      <c r="E72" s="30" t="b">
        <v>1</v>
      </c>
      <c r="F72" s="30" t="b">
        <v>1</v>
      </c>
      <c r="G72" s="30" t="inlineStr">
        <is>
          <t>Both</t>
        </is>
      </c>
      <c r="H72" s="34" t="b">
        <v>1</v>
      </c>
      <c r="I72" s="31" t="b">
        <v>0</v>
      </c>
      <c r="J72" s="30" t="inlineStr"/>
      <c r="K72" s="30" t="b">
        <v>0</v>
      </c>
      <c r="L72" s="34" t="b">
        <v>1</v>
      </c>
      <c r="M72" s="34" t="b">
        <v>1</v>
      </c>
      <c r="N72" s="34" t="b">
        <v>1</v>
      </c>
      <c r="O72" s="30" t="inlineStr"/>
      <c r="P72" s="30" t="inlineStr"/>
      <c r="Q72" s="30" t="inlineStr"/>
      <c r="R72" s="30" t="inlineStr">
        <is>
          <t>https://africanmarketingconfederation.org/page-sitemap.xml</t>
        </is>
      </c>
      <c r="S72" s="30" t="inlineStr">
        <is>
          <t>urlset</t>
        </is>
      </c>
      <c r="T72" s="31" t="inlineStr"/>
      <c r="U72" s="30" t="inlineStr"/>
      <c r="V72" s="30" t="inlineStr">
        <is>
          <t>Unknown</t>
        </is>
      </c>
      <c r="W72" s="30" t="inlineStr">
        <is>
          <t>Match</t>
        </is>
      </c>
      <c r="X72" s="32" t="b">
        <v>0</v>
      </c>
    </row>
    <row r="73" ht="18" customHeight="1">
      <c r="A73" s="28" t="inlineStr">
        <is>
          <t>Sitemap URL</t>
        </is>
      </c>
      <c r="B73" s="20" t="inlineStr">
        <is>
          <t>https://africanmarketingconfederation.org/smoke-archive/page-69</t>
        </is>
      </c>
      <c r="C73" s="20" t="inlineStr">
        <is>
          <t>https://africanmarketingconfederation.org/smoke-archive/page-69</t>
        </is>
      </c>
      <c r="D73" s="32" t="n">
        <v>200</v>
      </c>
      <c r="E73" s="28" t="b">
        <v>1</v>
      </c>
      <c r="F73" s="28" t="b">
        <v>1</v>
      </c>
      <c r="G73" s="28" t="inlineStr">
        <is>
          <t>Both</t>
        </is>
      </c>
      <c r="H73" s="32" t="b">
        <v>0</v>
      </c>
      <c r="I73" s="20" t="b">
        <v>0</v>
      </c>
      <c r="J73" s="28" t="inlineStr"/>
      <c r="K73" s="28" t="b">
        <v>0</v>
      </c>
      <c r="L73" s="32" t="b">
        <v>0</v>
      </c>
      <c r="M73" s="34" t="b">
        <v>1</v>
      </c>
      <c r="N73" s="34" t="b">
        <v>1</v>
      </c>
      <c r="O73" s="28" t="inlineStr">
        <is>
          <t>2026-06-01</t>
        </is>
      </c>
      <c r="P73" s="28" t="inlineStr"/>
      <c r="Q73" s="28" t="inlineStr"/>
      <c r="R73" s="28" t="inlineStr">
        <is>
          <t>https://africanmarketingconfederation.org/page-sitemap.xml</t>
        </is>
      </c>
      <c r="S73" s="28" t="inlineStr">
        <is>
          <t>urlset</t>
        </is>
      </c>
      <c r="T73" s="20" t="inlineStr"/>
      <c r="U73" s="28" t="inlineStr"/>
      <c r="V73" s="28" t="inlineStr">
        <is>
          <t>Match</t>
        </is>
      </c>
      <c r="W73" s="28" t="inlineStr">
        <is>
          <t>Match</t>
        </is>
      </c>
      <c r="X73" s="32" t="b">
        <v>0</v>
      </c>
    </row>
    <row r="74" ht="18" customHeight="1">
      <c r="A74" s="30" t="inlineStr">
        <is>
          <t>Sitemap URL</t>
        </is>
      </c>
      <c r="B74" s="31" t="inlineStr">
        <is>
          <t>https://africanmarketingconfederation.org/smoke-archive/page-70</t>
        </is>
      </c>
      <c r="C74" s="31" t="inlineStr">
        <is>
          <t>https://africanmarketingconfederation.org/smoke-archive/page-70</t>
        </is>
      </c>
      <c r="D74" s="32" t="n">
        <v>200</v>
      </c>
      <c r="E74" s="30" t="b">
        <v>1</v>
      </c>
      <c r="F74" s="30" t="b">
        <v>1</v>
      </c>
      <c r="G74" s="30" t="inlineStr">
        <is>
          <t>Both</t>
        </is>
      </c>
      <c r="H74" s="32" t="b">
        <v>0</v>
      </c>
      <c r="I74" s="31" t="b">
        <v>0</v>
      </c>
      <c r="J74" s="30" t="inlineStr"/>
      <c r="K74" s="30" t="b">
        <v>0</v>
      </c>
      <c r="L74" s="34" t="b">
        <v>1</v>
      </c>
      <c r="M74" s="32" t="b">
        <v>0</v>
      </c>
      <c r="N74" s="32" t="b">
        <v>0</v>
      </c>
      <c r="O74" s="30" t="inlineStr"/>
      <c r="P74" s="30" t="inlineStr">
        <is>
          <t>weekly</t>
        </is>
      </c>
      <c r="Q74" s="30" t="inlineStr">
        <is>
          <t>0.8</t>
        </is>
      </c>
      <c r="R74" s="30" t="inlineStr">
        <is>
          <t>https://africanmarketingconfederation.org/page-sitemap.xml</t>
        </is>
      </c>
      <c r="S74" s="30" t="inlineStr">
        <is>
          <t>urlset</t>
        </is>
      </c>
      <c r="T74" s="31" t="inlineStr"/>
      <c r="U74" s="30" t="inlineStr"/>
      <c r="V74" s="30" t="inlineStr">
        <is>
          <t>Unknown</t>
        </is>
      </c>
      <c r="W74" s="30" t="inlineStr">
        <is>
          <t>Match</t>
        </is>
      </c>
      <c r="X74" s="32" t="b">
        <v>0</v>
      </c>
    </row>
    <row r="75" ht="18" customHeight="1">
      <c r="A75" s="28" t="inlineStr">
        <is>
          <t>Sitemap URL</t>
        </is>
      </c>
      <c r="B75" s="20" t="inlineStr">
        <is>
          <t>https://africanmarketingconfederation.org/smoke-archive/page-71</t>
        </is>
      </c>
      <c r="C75" s="20" t="inlineStr">
        <is>
          <t>https://africanmarketingconfederation.org/smoke-archive/page-71</t>
        </is>
      </c>
      <c r="D75" s="32" t="n">
        <v>200</v>
      </c>
      <c r="E75" s="28" t="b">
        <v>1</v>
      </c>
      <c r="F75" s="28" t="b">
        <v>1</v>
      </c>
      <c r="G75" s="28" t="inlineStr">
        <is>
          <t>Both</t>
        </is>
      </c>
      <c r="H75" s="32" t="b">
        <v>0</v>
      </c>
      <c r="I75" s="20" t="b">
        <v>0</v>
      </c>
      <c r="J75" s="28" t="inlineStr"/>
      <c r="K75" s="28" t="b">
        <v>0</v>
      </c>
      <c r="L75" s="34" t="b">
        <v>1</v>
      </c>
      <c r="M75" s="34" t="b">
        <v>1</v>
      </c>
      <c r="N75" s="34" t="b">
        <v>1</v>
      </c>
      <c r="O75" s="28" t="inlineStr"/>
      <c r="P75" s="28" t="inlineStr"/>
      <c r="Q75" s="28" t="inlineStr"/>
      <c r="R75" s="28" t="inlineStr">
        <is>
          <t>https://africanmarketingconfederation.org/page-sitemap.xml</t>
        </is>
      </c>
      <c r="S75" s="28" t="inlineStr">
        <is>
          <t>urlset</t>
        </is>
      </c>
      <c r="T75" s="20" t="inlineStr"/>
      <c r="U75" s="28" t="inlineStr"/>
      <c r="V75" s="28" t="inlineStr">
        <is>
          <t>Unknown</t>
        </is>
      </c>
      <c r="W75" s="28" t="inlineStr">
        <is>
          <t>Match</t>
        </is>
      </c>
      <c r="X75" s="32" t="b">
        <v>0</v>
      </c>
    </row>
    <row r="76" ht="18" customHeight="1">
      <c r="A76" s="30" t="inlineStr">
        <is>
          <t>Sitemap URL</t>
        </is>
      </c>
      <c r="B76" s="31" t="inlineStr">
        <is>
          <t>https://africanmarketingconfederation.org/smoke-archive/page-72</t>
        </is>
      </c>
      <c r="C76" s="31" t="inlineStr">
        <is>
          <t>https://africanmarketingconfederation.org/smoke-archive/page-72</t>
        </is>
      </c>
      <c r="D76" s="32" t="n">
        <v>200</v>
      </c>
      <c r="E76" s="30" t="b">
        <v>1</v>
      </c>
      <c r="F76" s="30" t="b">
        <v>1</v>
      </c>
      <c r="G76" s="30" t="inlineStr">
        <is>
          <t>Both</t>
        </is>
      </c>
      <c r="H76" s="32" t="b">
        <v>0</v>
      </c>
      <c r="I76" s="31" t="b">
        <v>0</v>
      </c>
      <c r="J76" s="30" t="inlineStr"/>
      <c r="K76" s="30" t="b">
        <v>0</v>
      </c>
      <c r="L76" s="32" t="b">
        <v>0</v>
      </c>
      <c r="M76" s="34" t="b">
        <v>1</v>
      </c>
      <c r="N76" s="34" t="b">
        <v>1</v>
      </c>
      <c r="O76" s="30" t="inlineStr">
        <is>
          <t>2026-06-01</t>
        </is>
      </c>
      <c r="P76" s="30" t="inlineStr"/>
      <c r="Q76" s="30" t="inlineStr"/>
      <c r="R76" s="30" t="inlineStr">
        <is>
          <t>https://africanmarketingconfederation.org/page-sitemap.xml</t>
        </is>
      </c>
      <c r="S76" s="30" t="inlineStr">
        <is>
          <t>urlset</t>
        </is>
      </c>
      <c r="T76" s="31" t="inlineStr"/>
      <c r="U76" s="30" t="inlineStr"/>
      <c r="V76" s="30" t="inlineStr">
        <is>
          <t>Match</t>
        </is>
      </c>
      <c r="W76" s="30" t="inlineStr">
        <is>
          <t>Match</t>
        </is>
      </c>
      <c r="X76" s="32" t="b">
        <v>0</v>
      </c>
    </row>
    <row r="77" ht="18" customHeight="1">
      <c r="A77" s="28" t="inlineStr">
        <is>
          <t>Sitemap URL</t>
        </is>
      </c>
      <c r="B77" s="20" t="inlineStr">
        <is>
          <t>https://africanmarketingconfederation.org/smoke-archive/page-73</t>
        </is>
      </c>
      <c r="C77" s="20" t="inlineStr">
        <is>
          <t>https://africanmarketingconfederation.org/smoke-archive/page-73</t>
        </is>
      </c>
      <c r="D77" s="32" t="n">
        <v>200</v>
      </c>
      <c r="E77" s="28" t="b">
        <v>1</v>
      </c>
      <c r="F77" s="28" t="b">
        <v>1</v>
      </c>
      <c r="G77" s="28" t="inlineStr">
        <is>
          <t>Both</t>
        </is>
      </c>
      <c r="H77" s="32" t="b">
        <v>0</v>
      </c>
      <c r="I77" s="20" t="b">
        <v>0</v>
      </c>
      <c r="J77" s="28" t="inlineStr"/>
      <c r="K77" s="28" t="b">
        <v>0</v>
      </c>
      <c r="L77" s="34" t="b">
        <v>1</v>
      </c>
      <c r="M77" s="34" t="b">
        <v>1</v>
      </c>
      <c r="N77" s="34" t="b">
        <v>1</v>
      </c>
      <c r="O77" s="28" t="inlineStr"/>
      <c r="P77" s="28" t="inlineStr"/>
      <c r="Q77" s="28" t="inlineStr"/>
      <c r="R77" s="28" t="inlineStr">
        <is>
          <t>https://africanmarketingconfederation.org/page-sitemap.xml</t>
        </is>
      </c>
      <c r="S77" s="28" t="inlineStr">
        <is>
          <t>urlset</t>
        </is>
      </c>
      <c r="T77" s="20" t="inlineStr"/>
      <c r="U77" s="28" t="inlineStr"/>
      <c r="V77" s="28" t="inlineStr">
        <is>
          <t>Unknown</t>
        </is>
      </c>
      <c r="W77" s="28" t="inlineStr">
        <is>
          <t>Match</t>
        </is>
      </c>
      <c r="X77" s="32" t="b">
        <v>0</v>
      </c>
    </row>
    <row r="78" ht="18" customHeight="1">
      <c r="A78" s="30" t="inlineStr">
        <is>
          <t>Sitemap URL</t>
        </is>
      </c>
      <c r="B78" s="31" t="inlineStr">
        <is>
          <t>https://africanmarketingconfederation.org/smoke-archive/page-74</t>
        </is>
      </c>
      <c r="C78" s="31" t="inlineStr">
        <is>
          <t>https://africanmarketingconfederation.org/smoke-archive/page-74</t>
        </is>
      </c>
      <c r="D78" s="32" t="n">
        <v>200</v>
      </c>
      <c r="E78" s="30" t="b">
        <v>1</v>
      </c>
      <c r="F78" s="30" t="b">
        <v>1</v>
      </c>
      <c r="G78" s="30" t="inlineStr">
        <is>
          <t>Both</t>
        </is>
      </c>
      <c r="H78" s="32" t="b">
        <v>0</v>
      </c>
      <c r="I78" s="31" t="b">
        <v>0</v>
      </c>
      <c r="J78" s="30" t="inlineStr"/>
      <c r="K78" s="30" t="b">
        <v>0</v>
      </c>
      <c r="L78" s="34" t="b">
        <v>1</v>
      </c>
      <c r="M78" s="34" t="b">
        <v>1</v>
      </c>
      <c r="N78" s="34" t="b">
        <v>1</v>
      </c>
      <c r="O78" s="30" t="inlineStr"/>
      <c r="P78" s="30" t="inlineStr"/>
      <c r="Q78" s="30" t="inlineStr"/>
      <c r="R78" s="30" t="inlineStr">
        <is>
          <t>https://africanmarketingconfederation.org/page-sitemap.xml</t>
        </is>
      </c>
      <c r="S78" s="30" t="inlineStr">
        <is>
          <t>urlset</t>
        </is>
      </c>
      <c r="T78" s="31" t="inlineStr"/>
      <c r="U78" s="30" t="inlineStr"/>
      <c r="V78" s="30" t="inlineStr">
        <is>
          <t>Unknown</t>
        </is>
      </c>
      <c r="W78" s="30" t="inlineStr">
        <is>
          <t>Match</t>
        </is>
      </c>
      <c r="X78" s="32" t="b">
        <v>0</v>
      </c>
    </row>
    <row r="79" ht="18" customHeight="1">
      <c r="A79" s="28" t="inlineStr">
        <is>
          <t>Sitemap URL</t>
        </is>
      </c>
      <c r="B79" s="20" t="inlineStr">
        <is>
          <t>https://africanmarketingconfederation.org/smoke-archive/page-75</t>
        </is>
      </c>
      <c r="C79" s="20" t="inlineStr">
        <is>
          <t>https://africanmarketingconfederation.org/smoke-archive/page-75</t>
        </is>
      </c>
      <c r="D79" s="32" t="n">
        <v>200</v>
      </c>
      <c r="E79" s="28" t="b">
        <v>1</v>
      </c>
      <c r="F79" s="28" t="b">
        <v>1</v>
      </c>
      <c r="G79" s="28" t="inlineStr">
        <is>
          <t>Both</t>
        </is>
      </c>
      <c r="H79" s="32" t="b">
        <v>0</v>
      </c>
      <c r="I79" s="20" t="b">
        <v>0</v>
      </c>
      <c r="J79" s="28" t="inlineStr"/>
      <c r="K79" s="28" t="b">
        <v>0</v>
      </c>
      <c r="L79" s="32" t="b">
        <v>0</v>
      </c>
      <c r="M79" s="32" t="b">
        <v>0</v>
      </c>
      <c r="N79" s="34" t="b">
        <v>1</v>
      </c>
      <c r="O79" s="28" t="inlineStr">
        <is>
          <t>2026-06-01</t>
        </is>
      </c>
      <c r="P79" s="28" t="inlineStr">
        <is>
          <t>weekly</t>
        </is>
      </c>
      <c r="Q79" s="28" t="inlineStr"/>
      <c r="R79" s="28" t="inlineStr">
        <is>
          <t>https://africanmarketingconfederation.org/page-sitemap.xml</t>
        </is>
      </c>
      <c r="S79" s="28" t="inlineStr">
        <is>
          <t>urlset</t>
        </is>
      </c>
      <c r="T79" s="20" t="inlineStr"/>
      <c r="U79" s="28" t="inlineStr"/>
      <c r="V79" s="28" t="inlineStr">
        <is>
          <t>Match</t>
        </is>
      </c>
      <c r="W79" s="28" t="inlineStr">
        <is>
          <t>Match</t>
        </is>
      </c>
      <c r="X79" s="32" t="b">
        <v>0</v>
      </c>
    </row>
    <row r="80" ht="18" customHeight="1">
      <c r="A80" s="30" t="inlineStr">
        <is>
          <t>Sitemap URL</t>
        </is>
      </c>
      <c r="B80" s="31" t="inlineStr">
        <is>
          <t>https://africanmarketingconfederation.org/smoke-archive/page-76</t>
        </is>
      </c>
      <c r="C80" s="31" t="inlineStr">
        <is>
          <t>https://africanmarketingconfederation.org/smoke-archive/page-76</t>
        </is>
      </c>
      <c r="D80" s="32" t="n">
        <v>200</v>
      </c>
      <c r="E80" s="30" t="b">
        <v>1</v>
      </c>
      <c r="F80" s="30" t="b">
        <v>1</v>
      </c>
      <c r="G80" s="30" t="inlineStr">
        <is>
          <t>Both</t>
        </is>
      </c>
      <c r="H80" s="32" t="b">
        <v>0</v>
      </c>
      <c r="I80" s="31" t="b">
        <v>0</v>
      </c>
      <c r="J80" s="30" t="inlineStr"/>
      <c r="K80" s="30" t="b">
        <v>0</v>
      </c>
      <c r="L80" s="34" t="b">
        <v>1</v>
      </c>
      <c r="M80" s="34" t="b">
        <v>1</v>
      </c>
      <c r="N80" s="34" t="b">
        <v>1</v>
      </c>
      <c r="O80" s="30" t="inlineStr"/>
      <c r="P80" s="30" t="inlineStr"/>
      <c r="Q80" s="30" t="inlineStr"/>
      <c r="R80" s="30" t="inlineStr">
        <is>
          <t>https://africanmarketingconfederation.org/page-sitemap.xml</t>
        </is>
      </c>
      <c r="S80" s="30" t="inlineStr">
        <is>
          <t>urlset</t>
        </is>
      </c>
      <c r="T80" s="31" t="inlineStr"/>
      <c r="U80" s="30" t="inlineStr"/>
      <c r="V80" s="30" t="inlineStr">
        <is>
          <t>Unknown</t>
        </is>
      </c>
      <c r="W80" s="30" t="inlineStr">
        <is>
          <t>Match</t>
        </is>
      </c>
      <c r="X80" s="32" t="b">
        <v>0</v>
      </c>
    </row>
    <row r="81" ht="18" customHeight="1">
      <c r="A81" s="28" t="inlineStr">
        <is>
          <t>Sitemap URL</t>
        </is>
      </c>
      <c r="B81" s="20" t="inlineStr">
        <is>
          <t>https://africanmarketingconfederation.org/smoke-archive/page-77</t>
        </is>
      </c>
      <c r="C81" s="20" t="inlineStr">
        <is>
          <t>https://africanmarketingconfederation.org/smoke-archive/page-77-canonical/</t>
        </is>
      </c>
      <c r="D81" s="40" t="n">
        <v>301</v>
      </c>
      <c r="E81" s="28" t="b">
        <v>1</v>
      </c>
      <c r="F81" s="28" t="b">
        <v>1</v>
      </c>
      <c r="G81" s="28" t="inlineStr">
        <is>
          <t>Both</t>
        </is>
      </c>
      <c r="H81" s="34" t="b">
        <v>1</v>
      </c>
      <c r="I81" s="20" t="b">
        <v>1</v>
      </c>
      <c r="J81" s="28" t="inlineStr"/>
      <c r="K81" s="28" t="b">
        <v>0</v>
      </c>
      <c r="L81" s="34" t="b">
        <v>1</v>
      </c>
      <c r="M81" s="34" t="b">
        <v>1</v>
      </c>
      <c r="N81" s="32" t="b">
        <v>0</v>
      </c>
      <c r="O81" s="28" t="inlineStr"/>
      <c r="P81" s="28" t="inlineStr"/>
      <c r="Q81" s="28" t="inlineStr">
        <is>
          <t>0.8</t>
        </is>
      </c>
      <c r="R81" s="28" t="inlineStr">
        <is>
          <t>https://africanmarketingconfederation.org/page-sitemap.xml</t>
        </is>
      </c>
      <c r="S81" s="28" t="inlineStr">
        <is>
          <t>urlset</t>
        </is>
      </c>
      <c r="T81" s="20" t="inlineStr"/>
      <c r="U81" s="28" t="inlineStr"/>
      <c r="V81" s="28" t="inlineStr">
        <is>
          <t>Unknown</t>
        </is>
      </c>
      <c r="W81" s="28" t="inlineStr">
        <is>
          <t>Match</t>
        </is>
      </c>
      <c r="X81" s="32" t="b">
        <v>0</v>
      </c>
    </row>
    <row r="82" ht="18" customHeight="1">
      <c r="A82" s="30" t="inlineStr">
        <is>
          <t>Sitemap URL</t>
        </is>
      </c>
      <c r="B82" s="31" t="inlineStr">
        <is>
          <t>https://africanmarketingconfederation.org/smoke-archive/page-78</t>
        </is>
      </c>
      <c r="C82" s="31" t="inlineStr">
        <is>
          <t>https://africanmarketingconfederation.org/smoke-archive/page-78</t>
        </is>
      </c>
      <c r="D82" s="34" t="n">
        <v>404</v>
      </c>
      <c r="E82" s="30" t="b">
        <v>1</v>
      </c>
      <c r="F82" s="30" t="b">
        <v>1</v>
      </c>
      <c r="G82" s="30" t="inlineStr">
        <is>
          <t>Both</t>
        </is>
      </c>
      <c r="H82" s="34" t="b">
        <v>1</v>
      </c>
      <c r="I82" s="31" t="b">
        <v>0</v>
      </c>
      <c r="J82" s="30" t="inlineStr"/>
      <c r="K82" s="30" t="b">
        <v>0</v>
      </c>
      <c r="L82" s="32" t="b">
        <v>0</v>
      </c>
      <c r="M82" s="34" t="b">
        <v>1</v>
      </c>
      <c r="N82" s="34" t="b">
        <v>1</v>
      </c>
      <c r="O82" s="30" t="inlineStr">
        <is>
          <t>2026-06-01</t>
        </is>
      </c>
      <c r="P82" s="30" t="inlineStr"/>
      <c r="Q82" s="30" t="inlineStr"/>
      <c r="R82" s="30" t="inlineStr">
        <is>
          <t>https://africanmarketingconfederation.org/page-sitemap.xml</t>
        </is>
      </c>
      <c r="S82" s="30" t="inlineStr">
        <is>
          <t>urlset</t>
        </is>
      </c>
      <c r="T82" s="31" t="inlineStr"/>
      <c r="U82" s="30" t="inlineStr"/>
      <c r="V82" s="30" t="inlineStr">
        <is>
          <t>Match</t>
        </is>
      </c>
      <c r="W82" s="30" t="inlineStr">
        <is>
          <t>Match</t>
        </is>
      </c>
      <c r="X82" s="32" t="b">
        <v>0</v>
      </c>
    </row>
    <row r="83" ht="18" customHeight="1">
      <c r="A83" s="28" t="inlineStr">
        <is>
          <t>Sitemap URL</t>
        </is>
      </c>
      <c r="B83" s="20" t="inlineStr">
        <is>
          <t>https://africanmarketingconfederation.org/smoke-archive/page-79</t>
        </is>
      </c>
      <c r="C83" s="20" t="inlineStr">
        <is>
          <t>https://africanmarketingconfederation.org/smoke-archive/page-79</t>
        </is>
      </c>
      <c r="D83" s="32" t="n">
        <v>200</v>
      </c>
      <c r="E83" s="28" t="b">
        <v>1</v>
      </c>
      <c r="F83" s="28" t="b">
        <v>1</v>
      </c>
      <c r="G83" s="28" t="inlineStr">
        <is>
          <t>Both</t>
        </is>
      </c>
      <c r="H83" s="32" t="b">
        <v>0</v>
      </c>
      <c r="I83" s="20" t="b">
        <v>0</v>
      </c>
      <c r="J83" s="28" t="inlineStr"/>
      <c r="K83" s="28" t="b">
        <v>0</v>
      </c>
      <c r="L83" s="34" t="b">
        <v>1</v>
      </c>
      <c r="M83" s="34" t="b">
        <v>1</v>
      </c>
      <c r="N83" s="34" t="b">
        <v>1</v>
      </c>
      <c r="O83" s="28" t="inlineStr"/>
      <c r="P83" s="28" t="inlineStr"/>
      <c r="Q83" s="28" t="inlineStr"/>
      <c r="R83" s="28" t="inlineStr">
        <is>
          <t>https://africanmarketingconfederation.org/page-sitemap.xml</t>
        </is>
      </c>
      <c r="S83" s="28" t="inlineStr">
        <is>
          <t>urlset</t>
        </is>
      </c>
      <c r="T83" s="20" t="inlineStr"/>
      <c r="U83" s="28" t="inlineStr"/>
      <c r="V83" s="28" t="inlineStr">
        <is>
          <t>Unknown</t>
        </is>
      </c>
      <c r="W83" s="28" t="inlineStr">
        <is>
          <t>Match</t>
        </is>
      </c>
      <c r="X83" s="32" t="b">
        <v>0</v>
      </c>
    </row>
    <row r="84" ht="18" customHeight="1">
      <c r="A84" s="30" t="inlineStr">
        <is>
          <t>Crawled URL</t>
        </is>
      </c>
      <c r="B84" s="31" t="inlineStr">
        <is>
          <t>https://africanmarketingconfederation.org/discovered-via-bfs-1</t>
        </is>
      </c>
      <c r="C84" s="31" t="inlineStr">
        <is>
          <t>https://africanmarketingconfederation.org/discovered-via-bfs-1</t>
        </is>
      </c>
      <c r="D84" s="32" t="n">
        <v>200</v>
      </c>
      <c r="E84" s="30" t="b">
        <v>1</v>
      </c>
      <c r="F84" s="30" t="b">
        <v>0</v>
      </c>
      <c r="G84" s="30" t="inlineStr">
        <is>
          <t>Crawl</t>
        </is>
      </c>
      <c r="H84" s="32" t="b">
        <v>0</v>
      </c>
      <c r="I84" s="31" t="b">
        <v>0</v>
      </c>
      <c r="J84" s="30" t="inlineStr"/>
      <c r="K84" s="30" t="b">
        <v>0</v>
      </c>
      <c r="L84" s="30" t="inlineStr"/>
      <c r="M84" s="30" t="inlineStr"/>
      <c r="N84" s="30" t="inlineStr"/>
      <c r="O84" s="30" t="inlineStr"/>
      <c r="P84" s="30" t="inlineStr"/>
      <c r="Q84" s="30" t="inlineStr"/>
      <c r="R84" s="30" t="inlineStr"/>
      <c r="S84" s="30" t="inlineStr"/>
      <c r="T84" s="31" t="inlineStr"/>
      <c r="U84" s="30" t="inlineStr"/>
      <c r="V84" s="30" t="inlineStr"/>
      <c r="W84" s="30" t="inlineStr"/>
      <c r="X84" s="34" t="b">
        <v>1</v>
      </c>
    </row>
    <row r="85" ht="18" customHeight="1">
      <c r="A85" s="28" t="inlineStr">
        <is>
          <t>Crawled URL</t>
        </is>
      </c>
      <c r="B85" s="20" t="inlineStr">
        <is>
          <t>https://africanmarketingconfederation.org/discovered-via-bfs-2</t>
        </is>
      </c>
      <c r="C85" s="20" t="inlineStr">
        <is>
          <t>https://africanmarketingconfederation.org/discovered-via-bfs-2</t>
        </is>
      </c>
      <c r="D85" s="32" t="n">
        <v>200</v>
      </c>
      <c r="E85" s="28" t="b">
        <v>1</v>
      </c>
      <c r="F85" s="28" t="b">
        <v>0</v>
      </c>
      <c r="G85" s="28" t="inlineStr">
        <is>
          <t>Crawl</t>
        </is>
      </c>
      <c r="H85" s="32" t="b">
        <v>0</v>
      </c>
      <c r="I85" s="20" t="b">
        <v>0</v>
      </c>
      <c r="J85" s="28" t="inlineStr"/>
      <c r="K85" s="28" t="b">
        <v>0</v>
      </c>
      <c r="L85" s="28" t="inlineStr"/>
      <c r="M85" s="28" t="inlineStr"/>
      <c r="N85" s="28" t="inlineStr"/>
      <c r="O85" s="28" t="inlineStr"/>
      <c r="P85" s="28" t="inlineStr"/>
      <c r="Q85" s="28" t="inlineStr"/>
      <c r="R85" s="28" t="inlineStr"/>
      <c r="S85" s="28" t="inlineStr"/>
      <c r="T85" s="20" t="inlineStr"/>
      <c r="U85" s="28" t="inlineStr"/>
      <c r="V85" s="28" t="inlineStr"/>
      <c r="W85" s="28" t="inlineStr"/>
      <c r="X85" s="34" t="b">
        <v>1</v>
      </c>
    </row>
    <row r="86" ht="18" customHeight="1">
      <c r="A86" s="30" t="inlineStr">
        <is>
          <t>Crawled URL</t>
        </is>
      </c>
      <c r="B86" s="31" t="inlineStr">
        <is>
          <t>https://africanmarketingconfederation.org/discovered-via-bfs-3</t>
        </is>
      </c>
      <c r="C86" s="31" t="inlineStr">
        <is>
          <t>https://africanmarketingconfederation.org/discovered-via-bfs-3</t>
        </is>
      </c>
      <c r="D86" s="32" t="n">
        <v>200</v>
      </c>
      <c r="E86" s="30" t="b">
        <v>1</v>
      </c>
      <c r="F86" s="30" t="b">
        <v>0</v>
      </c>
      <c r="G86" s="30" t="inlineStr">
        <is>
          <t>Crawl</t>
        </is>
      </c>
      <c r="H86" s="32" t="b">
        <v>0</v>
      </c>
      <c r="I86" s="31" t="b">
        <v>0</v>
      </c>
      <c r="J86" s="30" t="inlineStr"/>
      <c r="K86" s="30" t="b">
        <v>0</v>
      </c>
      <c r="L86" s="30" t="inlineStr"/>
      <c r="M86" s="30" t="inlineStr"/>
      <c r="N86" s="30" t="inlineStr"/>
      <c r="O86" s="30" t="inlineStr"/>
      <c r="P86" s="30" t="inlineStr"/>
      <c r="Q86" s="30" t="inlineStr"/>
      <c r="R86" s="30" t="inlineStr"/>
      <c r="S86" s="30" t="inlineStr"/>
      <c r="T86" s="31" t="inlineStr"/>
      <c r="U86" s="30" t="inlineStr"/>
      <c r="V86" s="30" t="inlineStr"/>
      <c r="W86" s="30" t="inlineStr"/>
      <c r="X86" s="34" t="b">
        <v>1</v>
      </c>
    </row>
  </sheetData>
  <autoFilter ref="A2:X86"/>
  <mergeCells count="2">
    <mergeCell ref="A1:B1"/>
    <mergeCell ref="C1:H1"/>
  </mergeCells>
  <conditionalFormatting sqref="D3:D86">
    <cfRule type="cellIs" priority="1" operator="equal" dxfId="2">
      <formula>200</formula>
    </cfRule>
    <cfRule type="cellIs" priority="2" operator="between" dxfId="29">
      <formula>300</formula>
      <formula>399</formula>
    </cfRule>
    <cfRule type="cellIs" priority="3" operator="greaterThanOrEqual" dxfId="0">
      <formula>400</formula>
    </cfRule>
  </conditionalFormatting>
  <conditionalFormatting sqref="A3:X86">
    <cfRule type="expression" priority="4"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2980B9"/>
    <outlinePr summaryBelow="1" summaryRight="1"/>
    <pageSetUpPr fitToPage="1"/>
  </sheetPr>
  <dimension ref="A1:K76"/>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19" customWidth="1" min="2" max="2"/>
    <col width="22" customWidth="1" min="3" max="3"/>
    <col width="48" customWidth="1" min="4" max="4"/>
    <col width="16" customWidth="1" min="5" max="5"/>
    <col width="20" customWidth="1" min="6" max="6"/>
    <col width="48" customWidth="1" min="7" max="7"/>
    <col width="48" customWidth="1" min="8" max="8"/>
    <col width="10" customWidth="1" min="9" max="9"/>
    <col width="29" customWidth="1" min="10" max="10"/>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6" t="inlineStr">
        <is>
          <t>Risk Category</t>
        </is>
      </c>
      <c r="C2" s="26" t="inlineStr">
        <is>
          <t>Subfolder / Template Group</t>
        </is>
      </c>
      <c r="D2" s="26" t="inlineStr">
        <is>
          <t>Issue</t>
        </is>
      </c>
      <c r="E2" s="27" t="inlineStr">
        <is>
          <t>Affected Ratio</t>
        </is>
      </c>
      <c r="F2" s="27" t="inlineStr">
        <is>
          <t>Affected URL Count</t>
        </is>
      </c>
      <c r="G2" s="26" t="inlineStr">
        <is>
          <t>Example URLs</t>
        </is>
      </c>
      <c r="H2" s="26" t="inlineStr">
        <is>
          <t>Exact Action</t>
        </is>
      </c>
      <c r="I2" s="26" t="inlineStr">
        <is>
          <t>Severity</t>
        </is>
      </c>
      <c r="J2" s="26" t="inlineStr">
        <is>
          <t>Source Legacy Tab</t>
        </is>
      </c>
      <c r="K2" s="26" t="inlineStr">
        <is>
          <t>Open in Main</t>
        </is>
      </c>
    </row>
    <row r="3" ht="18" customHeight="1">
      <c r="A3" s="35" t="inlineStr">
        <is>
          <t>https://africanmarketingconfederation.org/smoke-archive/page-10</t>
        </is>
      </c>
      <c r="B3" s="28" t="inlineStr">
        <is>
          <t>Duplicate Content</t>
        </is>
      </c>
      <c r="C3" s="28" t="inlineStr"/>
      <c r="D3" s="28" t="inlineStr">
        <is>
          <t>Probable draft or near-duplicate page (100% content similarity) of https://africanmarketingconfederation.org/smoke-archive/page-3</t>
        </is>
      </c>
      <c r="E3" s="28" t="n">
        <v>0</v>
      </c>
      <c r="F3" s="20" t="n">
        <v>0</v>
      </c>
      <c r="G3" s="20" t="inlineStr">
        <is>
          <t>https://africanmarketingconfederation.org/smoke-archive/page-3</t>
        </is>
      </c>
      <c r="H3" s="28" t="inlineStr">
        <is>
          <t>Consolidate to one canonical URL: remove or noindex the draft/copy page, 301 redirect to the primary page, and deduplicate repetitive H2/H3 blocks.</t>
        </is>
      </c>
      <c r="I3" s="28" t="inlineStr">
        <is>
          <t>Warning</t>
        </is>
      </c>
      <c r="J3" s="28" t="inlineStr">
        <is>
          <t>Duplicates</t>
        </is>
      </c>
      <c r="K3">
        <f>IFERROR(HYPERLINK("#'Main'!B"&amp;MATCH(TRIM(A3),'Main'!B:B,0),"Open"),HYPERLINK("#'Main'!B1","Open"))</f>
        <v/>
      </c>
    </row>
    <row r="4" ht="18" customHeight="1">
      <c r="A4" s="37" t="inlineStr">
        <is>
          <t>https://africanmarketingconfederation.org/smoke-archive/page-11</t>
        </is>
      </c>
      <c r="B4" s="30" t="inlineStr">
        <is>
          <t>Duplicate Content</t>
        </is>
      </c>
      <c r="C4" s="30" t="inlineStr"/>
      <c r="D4" s="30" t="inlineStr">
        <is>
          <t>Probable draft or near-duplicate page (100% content similarity) of https://africanmarketingconfederation.org/smoke-archive/page-3</t>
        </is>
      </c>
      <c r="E4" s="30" t="n">
        <v>0</v>
      </c>
      <c r="F4" s="31" t="n">
        <v>0</v>
      </c>
      <c r="G4" s="31" t="inlineStr">
        <is>
          <t>https://africanmarketingconfederation.org/smoke-archive/page-3</t>
        </is>
      </c>
      <c r="H4" s="30" t="inlineStr">
        <is>
          <t>Consolidate to one canonical URL: remove or noindex the draft/copy page, 301 redirect to the primary page, and deduplicate repetitive H2/H3 blocks.</t>
        </is>
      </c>
      <c r="I4" s="30" t="inlineStr">
        <is>
          <t>Warning</t>
        </is>
      </c>
      <c r="J4" s="30" t="inlineStr">
        <is>
          <t>Duplicates</t>
        </is>
      </c>
      <c r="K4" s="38">
        <f>IFERROR(HYPERLINK("#'Main'!B"&amp;MATCH(TRIM(A4),'Main'!B:B,0),"Open"),HYPERLINK("#'Main'!B1","Open"))</f>
        <v/>
      </c>
    </row>
    <row r="5" ht="18" customHeight="1">
      <c r="A5" s="35" t="inlineStr">
        <is>
          <t>https://africanmarketingconfederation.org/smoke-archive/page-12</t>
        </is>
      </c>
      <c r="B5" s="28" t="inlineStr">
        <is>
          <t>Duplicate Content</t>
        </is>
      </c>
      <c r="C5" s="28" t="inlineStr"/>
      <c r="D5" s="28" t="inlineStr">
        <is>
          <t>Probable draft or near-duplicate page (100% content similarity) of https://africanmarketingconfederation.org/smoke-archive/page-3</t>
        </is>
      </c>
      <c r="E5" s="28" t="n">
        <v>0</v>
      </c>
      <c r="F5" s="20" t="n">
        <v>0</v>
      </c>
      <c r="G5" s="20" t="inlineStr">
        <is>
          <t>https://africanmarketingconfederation.org/smoke-archive/page-3</t>
        </is>
      </c>
      <c r="H5" s="28" t="inlineStr">
        <is>
          <t>Consolidate to one canonical URL: remove or noindex the draft/copy page, 301 redirect to the primary page, and deduplicate repetitive H2/H3 blocks.</t>
        </is>
      </c>
      <c r="I5" s="28" t="inlineStr">
        <is>
          <t>Warning</t>
        </is>
      </c>
      <c r="J5" s="28" t="inlineStr">
        <is>
          <t>Duplicates</t>
        </is>
      </c>
      <c r="K5">
        <f>IFERROR(HYPERLINK("#'Main'!B"&amp;MATCH(TRIM(A5),'Main'!B:B,0),"Open"),HYPERLINK("#'Main'!B1","Open"))</f>
        <v/>
      </c>
    </row>
    <row r="6" ht="18" customHeight="1">
      <c r="A6" s="37" t="inlineStr">
        <is>
          <t>https://africanmarketingconfederation.org/smoke-archive/page-13</t>
        </is>
      </c>
      <c r="B6" s="30" t="inlineStr">
        <is>
          <t>Duplicate Content</t>
        </is>
      </c>
      <c r="C6" s="30" t="inlineStr"/>
      <c r="D6" s="30" t="inlineStr">
        <is>
          <t>Probable draft or near-duplicate page (100% content similarity) of https://africanmarketingconfederation.org/smoke-archive/page-3</t>
        </is>
      </c>
      <c r="E6" s="30" t="n">
        <v>0</v>
      </c>
      <c r="F6" s="31" t="n">
        <v>0</v>
      </c>
      <c r="G6" s="31" t="inlineStr">
        <is>
          <t>https://africanmarketingconfederation.org/smoke-archive/page-3</t>
        </is>
      </c>
      <c r="H6" s="30" t="inlineStr">
        <is>
          <t>Consolidate to one canonical URL: remove or noindex the draft/copy page, 301 redirect to the primary page, and deduplicate repetitive H2/H3 blocks.</t>
        </is>
      </c>
      <c r="I6" s="30" t="inlineStr">
        <is>
          <t>Warning</t>
        </is>
      </c>
      <c r="J6" s="30" t="inlineStr">
        <is>
          <t>Duplicates</t>
        </is>
      </c>
      <c r="K6" s="38">
        <f>IFERROR(HYPERLINK("#'Main'!B"&amp;MATCH(TRIM(A6),'Main'!B:B,0),"Open"),HYPERLINK("#'Main'!B1","Open"))</f>
        <v/>
      </c>
    </row>
    <row r="7" ht="18" customHeight="1">
      <c r="A7" s="35" t="inlineStr">
        <is>
          <t>https://africanmarketingconfederation.org/smoke-archive/page-14</t>
        </is>
      </c>
      <c r="B7" s="28" t="inlineStr">
        <is>
          <t>Duplicate Content</t>
        </is>
      </c>
      <c r="C7" s="28" t="inlineStr"/>
      <c r="D7" s="28" t="inlineStr">
        <is>
          <t>Probable draft or near-duplicate page (100% content similarity) of https://africanmarketingconfederation.org/smoke-archive/page-3</t>
        </is>
      </c>
      <c r="E7" s="28" t="n">
        <v>0</v>
      </c>
      <c r="F7" s="20" t="n">
        <v>0</v>
      </c>
      <c r="G7" s="20" t="inlineStr">
        <is>
          <t>https://africanmarketingconfederation.org/smoke-archive/page-3</t>
        </is>
      </c>
      <c r="H7" s="28" t="inlineStr">
        <is>
          <t>Consolidate to one canonical URL: remove or noindex the draft/copy page, 301 redirect to the primary page, and deduplicate repetitive H2/H3 blocks.</t>
        </is>
      </c>
      <c r="I7" s="28" t="inlineStr">
        <is>
          <t>Warning</t>
        </is>
      </c>
      <c r="J7" s="28" t="inlineStr">
        <is>
          <t>Duplicates</t>
        </is>
      </c>
      <c r="K7">
        <f>IFERROR(HYPERLINK("#'Main'!B"&amp;MATCH(TRIM(A7),'Main'!B:B,0),"Open"),HYPERLINK("#'Main'!B1","Open"))</f>
        <v/>
      </c>
    </row>
    <row r="8" ht="18" customHeight="1">
      <c r="A8" s="37" t="inlineStr">
        <is>
          <t>https://africanmarketingconfederation.org/smoke-archive/page-15</t>
        </is>
      </c>
      <c r="B8" s="30" t="inlineStr">
        <is>
          <t>Duplicate Content</t>
        </is>
      </c>
      <c r="C8" s="30" t="inlineStr"/>
      <c r="D8" s="30" t="inlineStr">
        <is>
          <t>Probable draft or near-duplicate page (100% content similarity) of https://africanmarketingconfederation.org/smoke-archive/page-3</t>
        </is>
      </c>
      <c r="E8" s="30" t="n">
        <v>0</v>
      </c>
      <c r="F8" s="31" t="n">
        <v>0</v>
      </c>
      <c r="G8" s="31" t="inlineStr">
        <is>
          <t>https://africanmarketingconfederation.org/smoke-archive/page-3</t>
        </is>
      </c>
      <c r="H8" s="30" t="inlineStr">
        <is>
          <t>Consolidate to one canonical URL: remove or noindex the draft/copy page, 301 redirect to the primary page, and deduplicate repetitive H2/H3 blocks.</t>
        </is>
      </c>
      <c r="I8" s="30" t="inlineStr">
        <is>
          <t>Warning</t>
        </is>
      </c>
      <c r="J8" s="30" t="inlineStr">
        <is>
          <t>Duplicates</t>
        </is>
      </c>
      <c r="K8" s="38">
        <f>IFERROR(HYPERLINK("#'Main'!B"&amp;MATCH(TRIM(A8),'Main'!B:B,0),"Open"),HYPERLINK("#'Main'!B1","Open"))</f>
        <v/>
      </c>
    </row>
    <row r="9" ht="18" customHeight="1">
      <c r="A9" s="35" t="inlineStr">
        <is>
          <t>https://africanmarketingconfederation.org/smoke-archive/page-16</t>
        </is>
      </c>
      <c r="B9" s="28" t="inlineStr">
        <is>
          <t>Duplicate Content</t>
        </is>
      </c>
      <c r="C9" s="28" t="inlineStr"/>
      <c r="D9" s="28" t="inlineStr">
        <is>
          <t>Probable draft or near-duplicate page (100% content similarity) of https://africanmarketingconfederation.org/smoke-archive/page-3</t>
        </is>
      </c>
      <c r="E9" s="28" t="n">
        <v>0</v>
      </c>
      <c r="F9" s="20" t="n">
        <v>0</v>
      </c>
      <c r="G9" s="20" t="inlineStr">
        <is>
          <t>https://africanmarketingconfederation.org/smoke-archive/page-3</t>
        </is>
      </c>
      <c r="H9" s="28" t="inlineStr">
        <is>
          <t>Consolidate to one canonical URL: remove or noindex the draft/copy page, 301 redirect to the primary page, and deduplicate repetitive H2/H3 blocks.</t>
        </is>
      </c>
      <c r="I9" s="28" t="inlineStr">
        <is>
          <t>Warning</t>
        </is>
      </c>
      <c r="J9" s="28" t="inlineStr">
        <is>
          <t>Duplicates</t>
        </is>
      </c>
      <c r="K9">
        <f>IFERROR(HYPERLINK("#'Main'!B"&amp;MATCH(TRIM(A9),'Main'!B:B,0),"Open"),HYPERLINK("#'Main'!B1","Open"))</f>
        <v/>
      </c>
    </row>
    <row r="10" ht="18" customHeight="1">
      <c r="A10" s="37" t="inlineStr">
        <is>
          <t>https://africanmarketingconfederation.org/smoke-archive/page-17</t>
        </is>
      </c>
      <c r="B10" s="30" t="inlineStr">
        <is>
          <t>Duplicate Content</t>
        </is>
      </c>
      <c r="C10" s="30" t="inlineStr"/>
      <c r="D10" s="30" t="inlineStr">
        <is>
          <t>Probable draft or near-duplicate page (100% content similarity) of https://africanmarketingconfederation.org/smoke-archive/page-3</t>
        </is>
      </c>
      <c r="E10" s="30" t="n">
        <v>0</v>
      </c>
      <c r="F10" s="31" t="n">
        <v>0</v>
      </c>
      <c r="G10" s="31" t="inlineStr">
        <is>
          <t>https://africanmarketingconfederation.org/smoke-archive/page-3</t>
        </is>
      </c>
      <c r="H10" s="30" t="inlineStr">
        <is>
          <t>Consolidate to one canonical URL: remove or noindex the draft/copy page, 301 redirect to the primary page, and deduplicate repetitive H2/H3 blocks.</t>
        </is>
      </c>
      <c r="I10" s="30" t="inlineStr">
        <is>
          <t>Warning</t>
        </is>
      </c>
      <c r="J10" s="30" t="inlineStr">
        <is>
          <t>Duplicates</t>
        </is>
      </c>
      <c r="K10" s="38">
        <f>IFERROR(HYPERLINK("#'Main'!B"&amp;MATCH(TRIM(A10),'Main'!B:B,0),"Open"),HYPERLINK("#'Main'!B1","Open"))</f>
        <v/>
      </c>
    </row>
    <row r="11" ht="18" customHeight="1">
      <c r="A11" s="35" t="inlineStr">
        <is>
          <t>https://africanmarketingconfederation.org/smoke-archive/page-18</t>
        </is>
      </c>
      <c r="B11" s="28" t="inlineStr">
        <is>
          <t>Duplicate Content</t>
        </is>
      </c>
      <c r="C11" s="28" t="inlineStr"/>
      <c r="D11" s="28" t="inlineStr">
        <is>
          <t>Probable draft or near-duplicate page (100% content similarity) of https://africanmarketingconfederation.org/smoke-archive/page-3</t>
        </is>
      </c>
      <c r="E11" s="28" t="n">
        <v>0</v>
      </c>
      <c r="F11" s="20" t="n">
        <v>0</v>
      </c>
      <c r="G11" s="20" t="inlineStr">
        <is>
          <t>https://africanmarketingconfederation.org/smoke-archive/page-3</t>
        </is>
      </c>
      <c r="H11" s="28" t="inlineStr">
        <is>
          <t>Consolidate to one canonical URL: remove or noindex the draft/copy page, 301 redirect to the primary page, and deduplicate repetitive H2/H3 blocks.</t>
        </is>
      </c>
      <c r="I11" s="28" t="inlineStr">
        <is>
          <t>Warning</t>
        </is>
      </c>
      <c r="J11" s="28" t="inlineStr">
        <is>
          <t>Duplicates</t>
        </is>
      </c>
      <c r="K11">
        <f>IFERROR(HYPERLINK("#'Main'!B"&amp;MATCH(TRIM(A11),'Main'!B:B,0),"Open"),HYPERLINK("#'Main'!B1","Open"))</f>
        <v/>
      </c>
    </row>
    <row r="12" ht="18" customHeight="1">
      <c r="A12" s="37" t="inlineStr">
        <is>
          <t>https://africanmarketingconfederation.org/smoke-archive/page-19</t>
        </is>
      </c>
      <c r="B12" s="30" t="inlineStr">
        <is>
          <t>Duplicate Content</t>
        </is>
      </c>
      <c r="C12" s="30" t="inlineStr"/>
      <c r="D12" s="30" t="inlineStr">
        <is>
          <t>Probable draft or near-duplicate page (100% content similarity) of https://africanmarketingconfederation.org/smoke-archive/page-3</t>
        </is>
      </c>
      <c r="E12" s="30" t="n">
        <v>0</v>
      </c>
      <c r="F12" s="31" t="n">
        <v>0</v>
      </c>
      <c r="G12" s="31" t="inlineStr">
        <is>
          <t>https://africanmarketingconfederation.org/smoke-archive/page-3</t>
        </is>
      </c>
      <c r="H12" s="30" t="inlineStr">
        <is>
          <t>Consolidate to one canonical URL: remove or noindex the draft/copy page, 301 redirect to the primary page, and deduplicate repetitive H2/H3 blocks.</t>
        </is>
      </c>
      <c r="I12" s="30" t="inlineStr">
        <is>
          <t>Warning</t>
        </is>
      </c>
      <c r="J12" s="30" t="inlineStr">
        <is>
          <t>Duplicates</t>
        </is>
      </c>
      <c r="K12" s="38">
        <f>IFERROR(HYPERLINK("#'Main'!B"&amp;MATCH(TRIM(A12),'Main'!B:B,0),"Open"),HYPERLINK("#'Main'!B1","Open"))</f>
        <v/>
      </c>
    </row>
    <row r="13" ht="18" customHeight="1">
      <c r="A13" s="35" t="inlineStr">
        <is>
          <t>https://africanmarketingconfederation.org/smoke-archive/page-20</t>
        </is>
      </c>
      <c r="B13" s="28" t="inlineStr">
        <is>
          <t>Duplicate Content</t>
        </is>
      </c>
      <c r="C13" s="28" t="inlineStr"/>
      <c r="D13" s="28" t="inlineStr">
        <is>
          <t>Probable draft or near-duplicate page (100% content similarity) of https://africanmarketingconfederation.org/smoke-archive/page-3</t>
        </is>
      </c>
      <c r="E13" s="28" t="n">
        <v>0</v>
      </c>
      <c r="F13" s="20" t="n">
        <v>0</v>
      </c>
      <c r="G13" s="20" t="inlineStr">
        <is>
          <t>https://africanmarketingconfederation.org/smoke-archive/page-3</t>
        </is>
      </c>
      <c r="H13" s="28" t="inlineStr">
        <is>
          <t>Consolidate to one canonical URL: remove or noindex the draft/copy page, 301 redirect to the primary page, and deduplicate repetitive H2/H3 blocks.</t>
        </is>
      </c>
      <c r="I13" s="28" t="inlineStr">
        <is>
          <t>Warning</t>
        </is>
      </c>
      <c r="J13" s="28" t="inlineStr">
        <is>
          <t>Duplicates</t>
        </is>
      </c>
      <c r="K13">
        <f>IFERROR(HYPERLINK("#'Main'!B"&amp;MATCH(TRIM(A13),'Main'!B:B,0),"Open"),HYPERLINK("#'Main'!B1","Open"))</f>
        <v/>
      </c>
    </row>
    <row r="14" ht="18" customHeight="1">
      <c r="A14" s="37" t="inlineStr">
        <is>
          <t>https://africanmarketingconfederation.org/smoke-archive/page-21</t>
        </is>
      </c>
      <c r="B14" s="30" t="inlineStr">
        <is>
          <t>Duplicate Content</t>
        </is>
      </c>
      <c r="C14" s="30" t="inlineStr"/>
      <c r="D14" s="30" t="inlineStr">
        <is>
          <t>Probable draft or near-duplicate page (100% content similarity) of https://africanmarketingconfederation.org/smoke-archive/page-3</t>
        </is>
      </c>
      <c r="E14" s="30" t="n">
        <v>0</v>
      </c>
      <c r="F14" s="31" t="n">
        <v>0</v>
      </c>
      <c r="G14" s="31" t="inlineStr">
        <is>
          <t>https://africanmarketingconfederation.org/smoke-archive/page-3</t>
        </is>
      </c>
      <c r="H14" s="30" t="inlineStr">
        <is>
          <t>Consolidate to one canonical URL: remove or noindex the draft/copy page, 301 redirect to the primary page, and deduplicate repetitive H2/H3 blocks.</t>
        </is>
      </c>
      <c r="I14" s="30" t="inlineStr">
        <is>
          <t>Warning</t>
        </is>
      </c>
      <c r="J14" s="30" t="inlineStr">
        <is>
          <t>Duplicates</t>
        </is>
      </c>
      <c r="K14" s="38">
        <f>IFERROR(HYPERLINK("#'Main'!B"&amp;MATCH(TRIM(A14),'Main'!B:B,0),"Open"),HYPERLINK("#'Main'!B1","Open"))</f>
        <v/>
      </c>
    </row>
    <row r="15" ht="18" customHeight="1">
      <c r="A15" s="35" t="inlineStr">
        <is>
          <t>https://africanmarketingconfederation.org/smoke-archive/page-22</t>
        </is>
      </c>
      <c r="B15" s="28" t="inlineStr">
        <is>
          <t>Duplicate Content</t>
        </is>
      </c>
      <c r="C15" s="28" t="inlineStr"/>
      <c r="D15" s="28" t="inlineStr">
        <is>
          <t>Probable draft or near-duplicate page (100% content similarity) of https://africanmarketingconfederation.org/smoke-archive/page-3</t>
        </is>
      </c>
      <c r="E15" s="28" t="n">
        <v>0</v>
      </c>
      <c r="F15" s="20" t="n">
        <v>0</v>
      </c>
      <c r="G15" s="20" t="inlineStr">
        <is>
          <t>https://africanmarketingconfederation.org/smoke-archive/page-3</t>
        </is>
      </c>
      <c r="H15" s="28" t="inlineStr">
        <is>
          <t>Consolidate to one canonical URL: remove or noindex the draft/copy page, 301 redirect to the primary page, and deduplicate repetitive H2/H3 blocks.</t>
        </is>
      </c>
      <c r="I15" s="28" t="inlineStr">
        <is>
          <t>Warning</t>
        </is>
      </c>
      <c r="J15" s="28" t="inlineStr">
        <is>
          <t>Duplicates</t>
        </is>
      </c>
      <c r="K15">
        <f>IFERROR(HYPERLINK("#'Main'!B"&amp;MATCH(TRIM(A15),'Main'!B:B,0),"Open"),HYPERLINK("#'Main'!B1","Open"))</f>
        <v/>
      </c>
    </row>
    <row r="16" ht="18" customHeight="1">
      <c r="A16" s="37" t="inlineStr">
        <is>
          <t>https://africanmarketingconfederation.org/smoke-archive/page-23</t>
        </is>
      </c>
      <c r="B16" s="30" t="inlineStr">
        <is>
          <t>Duplicate Content</t>
        </is>
      </c>
      <c r="C16" s="30" t="inlineStr"/>
      <c r="D16" s="30" t="inlineStr">
        <is>
          <t>Probable draft or near-duplicate page (100% content similarity) of https://africanmarketingconfederation.org/smoke-archive/page-3</t>
        </is>
      </c>
      <c r="E16" s="30" t="n">
        <v>0</v>
      </c>
      <c r="F16" s="31" t="n">
        <v>0</v>
      </c>
      <c r="G16" s="31" t="inlineStr">
        <is>
          <t>https://africanmarketingconfederation.org/smoke-archive/page-3</t>
        </is>
      </c>
      <c r="H16" s="30" t="inlineStr">
        <is>
          <t>Consolidate to one canonical URL: remove or noindex the draft/copy page, 301 redirect to the primary page, and deduplicate repetitive H2/H3 blocks.</t>
        </is>
      </c>
      <c r="I16" s="30" t="inlineStr">
        <is>
          <t>Warning</t>
        </is>
      </c>
      <c r="J16" s="30" t="inlineStr">
        <is>
          <t>Duplicates</t>
        </is>
      </c>
      <c r="K16" s="38">
        <f>IFERROR(HYPERLINK("#'Main'!B"&amp;MATCH(TRIM(A16),'Main'!B:B,0),"Open"),HYPERLINK("#'Main'!B1","Open"))</f>
        <v/>
      </c>
    </row>
    <row r="17" ht="18" customHeight="1">
      <c r="A17" s="35" t="inlineStr">
        <is>
          <t>https://africanmarketingconfederation.org/smoke-archive/page-24</t>
        </is>
      </c>
      <c r="B17" s="28" t="inlineStr">
        <is>
          <t>Duplicate Content</t>
        </is>
      </c>
      <c r="C17" s="28" t="inlineStr"/>
      <c r="D17" s="28" t="inlineStr">
        <is>
          <t>Probable draft or near-duplicate page (100% content similarity) of https://africanmarketingconfederation.org/smoke-archive/page-3</t>
        </is>
      </c>
      <c r="E17" s="28" t="n">
        <v>0</v>
      </c>
      <c r="F17" s="20" t="n">
        <v>0</v>
      </c>
      <c r="G17" s="20" t="inlineStr">
        <is>
          <t>https://africanmarketingconfederation.org/smoke-archive/page-3</t>
        </is>
      </c>
      <c r="H17" s="28" t="inlineStr">
        <is>
          <t>Consolidate to one canonical URL: remove or noindex the draft/copy page, 301 redirect to the primary page, and deduplicate repetitive H2/H3 blocks.</t>
        </is>
      </c>
      <c r="I17" s="28" t="inlineStr">
        <is>
          <t>Warning</t>
        </is>
      </c>
      <c r="J17" s="28" t="inlineStr">
        <is>
          <t>Duplicates</t>
        </is>
      </c>
      <c r="K17">
        <f>IFERROR(HYPERLINK("#'Main'!B"&amp;MATCH(TRIM(A17),'Main'!B:B,0),"Open"),HYPERLINK("#'Main'!B1","Open"))</f>
        <v/>
      </c>
    </row>
    <row r="18" ht="18" customHeight="1">
      <c r="A18" s="37" t="inlineStr">
        <is>
          <t>https://africanmarketingconfederation.org/smoke-archive/page-25</t>
        </is>
      </c>
      <c r="B18" s="30" t="inlineStr">
        <is>
          <t>Duplicate Content</t>
        </is>
      </c>
      <c r="C18" s="30" t="inlineStr"/>
      <c r="D18" s="30" t="inlineStr">
        <is>
          <t>Probable draft or near-duplicate page (100% content similarity) of https://africanmarketingconfederation.org/smoke-archive/page-3</t>
        </is>
      </c>
      <c r="E18" s="30" t="n">
        <v>0</v>
      </c>
      <c r="F18" s="31" t="n">
        <v>0</v>
      </c>
      <c r="G18" s="31" t="inlineStr">
        <is>
          <t>https://africanmarketingconfederation.org/smoke-archive/page-3</t>
        </is>
      </c>
      <c r="H18" s="30" t="inlineStr">
        <is>
          <t>Consolidate to one canonical URL: remove or noindex the draft/copy page, 301 redirect to the primary page, and deduplicate repetitive H2/H3 blocks.</t>
        </is>
      </c>
      <c r="I18" s="30" t="inlineStr">
        <is>
          <t>Warning</t>
        </is>
      </c>
      <c r="J18" s="30" t="inlineStr">
        <is>
          <t>Duplicates</t>
        </is>
      </c>
      <c r="K18" s="38">
        <f>IFERROR(HYPERLINK("#'Main'!B"&amp;MATCH(TRIM(A18),'Main'!B:B,0),"Open"),HYPERLINK("#'Main'!B1","Open"))</f>
        <v/>
      </c>
    </row>
    <row r="19" ht="18" customHeight="1">
      <c r="A19" s="35" t="inlineStr">
        <is>
          <t>https://africanmarketingconfederation.org/smoke-archive/page-26</t>
        </is>
      </c>
      <c r="B19" s="28" t="inlineStr">
        <is>
          <t>Duplicate Content</t>
        </is>
      </c>
      <c r="C19" s="28" t="inlineStr"/>
      <c r="D19" s="28" t="inlineStr">
        <is>
          <t>Probable draft or near-duplicate page (100% content similarity) of https://africanmarketingconfederation.org/smoke-archive/page-3</t>
        </is>
      </c>
      <c r="E19" s="28" t="n">
        <v>0</v>
      </c>
      <c r="F19" s="20" t="n">
        <v>0</v>
      </c>
      <c r="G19" s="20" t="inlineStr">
        <is>
          <t>https://africanmarketingconfederation.org/smoke-archive/page-3</t>
        </is>
      </c>
      <c r="H19" s="28" t="inlineStr">
        <is>
          <t>Consolidate to one canonical URL: remove or noindex the draft/copy page, 301 redirect to the primary page, and deduplicate repetitive H2/H3 blocks.</t>
        </is>
      </c>
      <c r="I19" s="28" t="inlineStr">
        <is>
          <t>Warning</t>
        </is>
      </c>
      <c r="J19" s="28" t="inlineStr">
        <is>
          <t>Duplicates</t>
        </is>
      </c>
      <c r="K19">
        <f>IFERROR(HYPERLINK("#'Main'!B"&amp;MATCH(TRIM(A19),'Main'!B:B,0),"Open"),HYPERLINK("#'Main'!B1","Open"))</f>
        <v/>
      </c>
    </row>
    <row r="20" ht="18" customHeight="1">
      <c r="A20" s="37" t="inlineStr">
        <is>
          <t>https://africanmarketingconfederation.org/smoke-archive/page-27</t>
        </is>
      </c>
      <c r="B20" s="30" t="inlineStr">
        <is>
          <t>Duplicate Content</t>
        </is>
      </c>
      <c r="C20" s="30" t="inlineStr"/>
      <c r="D20" s="30" t="inlineStr">
        <is>
          <t>Probable draft or near-duplicate page (100% content similarity) of https://africanmarketingconfederation.org/smoke-archive/page-3</t>
        </is>
      </c>
      <c r="E20" s="30" t="n">
        <v>0</v>
      </c>
      <c r="F20" s="31" t="n">
        <v>0</v>
      </c>
      <c r="G20" s="31" t="inlineStr">
        <is>
          <t>https://africanmarketingconfederation.org/smoke-archive/page-3</t>
        </is>
      </c>
      <c r="H20" s="30" t="inlineStr">
        <is>
          <t>Consolidate to one canonical URL: remove or noindex the draft/copy page, 301 redirect to the primary page, and deduplicate repetitive H2/H3 blocks.</t>
        </is>
      </c>
      <c r="I20" s="30" t="inlineStr">
        <is>
          <t>Warning</t>
        </is>
      </c>
      <c r="J20" s="30" t="inlineStr">
        <is>
          <t>Duplicates</t>
        </is>
      </c>
      <c r="K20" s="38">
        <f>IFERROR(HYPERLINK("#'Main'!B"&amp;MATCH(TRIM(A20),'Main'!B:B,0),"Open"),HYPERLINK("#'Main'!B1","Open"))</f>
        <v/>
      </c>
    </row>
    <row r="21" ht="18" customHeight="1">
      <c r="A21" s="35" t="inlineStr">
        <is>
          <t>https://africanmarketingconfederation.org/smoke-archive/page-28</t>
        </is>
      </c>
      <c r="B21" s="28" t="inlineStr">
        <is>
          <t>Duplicate Content</t>
        </is>
      </c>
      <c r="C21" s="28" t="inlineStr"/>
      <c r="D21" s="28" t="inlineStr">
        <is>
          <t>Probable draft or near-duplicate page (100% content similarity) of https://africanmarketingconfederation.org/smoke-archive/page-3</t>
        </is>
      </c>
      <c r="E21" s="28" t="n">
        <v>0</v>
      </c>
      <c r="F21" s="20" t="n">
        <v>0</v>
      </c>
      <c r="G21" s="20" t="inlineStr">
        <is>
          <t>https://africanmarketingconfederation.org/smoke-archive/page-3</t>
        </is>
      </c>
      <c r="H21" s="28" t="inlineStr">
        <is>
          <t>Consolidate to one canonical URL: remove or noindex the draft/copy page, 301 redirect to the primary page, and deduplicate repetitive H2/H3 blocks.</t>
        </is>
      </c>
      <c r="I21" s="28" t="inlineStr">
        <is>
          <t>Warning</t>
        </is>
      </c>
      <c r="J21" s="28" t="inlineStr">
        <is>
          <t>Duplicates</t>
        </is>
      </c>
      <c r="K21">
        <f>IFERROR(HYPERLINK("#'Main'!B"&amp;MATCH(TRIM(A21),'Main'!B:B,0),"Open"),HYPERLINK("#'Main'!B1","Open"))</f>
        <v/>
      </c>
    </row>
    <row r="22" ht="18" customHeight="1">
      <c r="A22" s="37" t="inlineStr">
        <is>
          <t>https://africanmarketingconfederation.org/smoke-archive/page-29</t>
        </is>
      </c>
      <c r="B22" s="30" t="inlineStr">
        <is>
          <t>Duplicate Content</t>
        </is>
      </c>
      <c r="C22" s="30" t="inlineStr"/>
      <c r="D22" s="30" t="inlineStr">
        <is>
          <t>Probable draft or near-duplicate page (100% content similarity) of https://africanmarketingconfederation.org/smoke-archive/page-3</t>
        </is>
      </c>
      <c r="E22" s="30" t="n">
        <v>0</v>
      </c>
      <c r="F22" s="31" t="n">
        <v>0</v>
      </c>
      <c r="G22" s="31" t="inlineStr">
        <is>
          <t>https://africanmarketingconfederation.org/smoke-archive/page-3</t>
        </is>
      </c>
      <c r="H22" s="30" t="inlineStr">
        <is>
          <t>Consolidate to one canonical URL: remove or noindex the draft/copy page, 301 redirect to the primary page, and deduplicate repetitive H2/H3 blocks.</t>
        </is>
      </c>
      <c r="I22" s="30" t="inlineStr">
        <is>
          <t>Warning</t>
        </is>
      </c>
      <c r="J22" s="30" t="inlineStr">
        <is>
          <t>Duplicates</t>
        </is>
      </c>
      <c r="K22" s="38">
        <f>IFERROR(HYPERLINK("#'Main'!B"&amp;MATCH(TRIM(A22),'Main'!B:B,0),"Open"),HYPERLINK("#'Main'!B1","Open"))</f>
        <v/>
      </c>
    </row>
    <row r="23" ht="18" customHeight="1">
      <c r="A23" s="35" t="inlineStr">
        <is>
          <t>https://africanmarketingconfederation.org/smoke-archive/page-30</t>
        </is>
      </c>
      <c r="B23" s="28" t="inlineStr">
        <is>
          <t>Duplicate Content</t>
        </is>
      </c>
      <c r="C23" s="28" t="inlineStr"/>
      <c r="D23" s="28" t="inlineStr">
        <is>
          <t>Probable draft or near-duplicate page (100% content similarity) of https://africanmarketingconfederation.org/smoke-archive/page-3</t>
        </is>
      </c>
      <c r="E23" s="28" t="n">
        <v>0</v>
      </c>
      <c r="F23" s="20" t="n">
        <v>0</v>
      </c>
      <c r="G23" s="20" t="inlineStr">
        <is>
          <t>https://africanmarketingconfederation.org/smoke-archive/page-3</t>
        </is>
      </c>
      <c r="H23" s="28" t="inlineStr">
        <is>
          <t>Consolidate to one canonical URL: remove or noindex the draft/copy page, 301 redirect to the primary page, and deduplicate repetitive H2/H3 blocks.</t>
        </is>
      </c>
      <c r="I23" s="28" t="inlineStr">
        <is>
          <t>Warning</t>
        </is>
      </c>
      <c r="J23" s="28" t="inlineStr">
        <is>
          <t>Duplicates</t>
        </is>
      </c>
      <c r="K23">
        <f>IFERROR(HYPERLINK("#'Main'!B"&amp;MATCH(TRIM(A23),'Main'!B:B,0),"Open"),HYPERLINK("#'Main'!B1","Open"))</f>
        <v/>
      </c>
    </row>
    <row r="24" ht="18" customHeight="1">
      <c r="A24" s="37" t="inlineStr">
        <is>
          <t>https://africanmarketingconfederation.org/smoke-archive/page-31</t>
        </is>
      </c>
      <c r="B24" s="30" t="inlineStr">
        <is>
          <t>Duplicate Content</t>
        </is>
      </c>
      <c r="C24" s="30" t="inlineStr"/>
      <c r="D24" s="30" t="inlineStr">
        <is>
          <t>Probable draft or near-duplicate page (100% content similarity) of https://africanmarketingconfederation.org/smoke-archive/page-3</t>
        </is>
      </c>
      <c r="E24" s="30" t="n">
        <v>0</v>
      </c>
      <c r="F24" s="31" t="n">
        <v>0</v>
      </c>
      <c r="G24" s="31" t="inlineStr">
        <is>
          <t>https://africanmarketingconfederation.org/smoke-archive/page-3</t>
        </is>
      </c>
      <c r="H24" s="30" t="inlineStr">
        <is>
          <t>Consolidate to one canonical URL: remove or noindex the draft/copy page, 301 redirect to the primary page, and deduplicate repetitive H2/H3 blocks.</t>
        </is>
      </c>
      <c r="I24" s="30" t="inlineStr">
        <is>
          <t>Warning</t>
        </is>
      </c>
      <c r="J24" s="30" t="inlineStr">
        <is>
          <t>Duplicates</t>
        </is>
      </c>
      <c r="K24" s="38">
        <f>IFERROR(HYPERLINK("#'Main'!B"&amp;MATCH(TRIM(A24),'Main'!B:B,0),"Open"),HYPERLINK("#'Main'!B1","Open"))</f>
        <v/>
      </c>
    </row>
    <row r="25" ht="18" customHeight="1">
      <c r="A25" s="35" t="inlineStr">
        <is>
          <t>https://africanmarketingconfederation.org/smoke-archive/page-32</t>
        </is>
      </c>
      <c r="B25" s="28" t="inlineStr">
        <is>
          <t>Duplicate Content</t>
        </is>
      </c>
      <c r="C25" s="28" t="inlineStr"/>
      <c r="D25" s="28" t="inlineStr">
        <is>
          <t>Probable draft or near-duplicate page (100% content similarity) of https://africanmarketingconfederation.org/smoke-archive/page-3</t>
        </is>
      </c>
      <c r="E25" s="28" t="n">
        <v>0</v>
      </c>
      <c r="F25" s="20" t="n">
        <v>0</v>
      </c>
      <c r="G25" s="20" t="inlineStr">
        <is>
          <t>https://africanmarketingconfederation.org/smoke-archive/page-3</t>
        </is>
      </c>
      <c r="H25" s="28" t="inlineStr">
        <is>
          <t>Consolidate to one canonical URL: remove or noindex the draft/copy page, 301 redirect to the primary page, and deduplicate repetitive H2/H3 blocks.</t>
        </is>
      </c>
      <c r="I25" s="28" t="inlineStr">
        <is>
          <t>Warning</t>
        </is>
      </c>
      <c r="J25" s="28" t="inlineStr">
        <is>
          <t>Duplicates</t>
        </is>
      </c>
      <c r="K25">
        <f>IFERROR(HYPERLINK("#'Main'!B"&amp;MATCH(TRIM(A25),'Main'!B:B,0),"Open"),HYPERLINK("#'Main'!B1","Open"))</f>
        <v/>
      </c>
    </row>
    <row r="26" ht="18" customHeight="1">
      <c r="A26" s="37" t="inlineStr">
        <is>
          <t>https://africanmarketingconfederation.org/smoke-archive/page-33</t>
        </is>
      </c>
      <c r="B26" s="30" t="inlineStr">
        <is>
          <t>Duplicate Content</t>
        </is>
      </c>
      <c r="C26" s="30" t="inlineStr"/>
      <c r="D26" s="30" t="inlineStr">
        <is>
          <t>Probable draft or near-duplicate page (100% content similarity) of https://africanmarketingconfederation.org/smoke-archive/page-3</t>
        </is>
      </c>
      <c r="E26" s="30" t="n">
        <v>0</v>
      </c>
      <c r="F26" s="31" t="n">
        <v>0</v>
      </c>
      <c r="G26" s="31" t="inlineStr">
        <is>
          <t>https://africanmarketingconfederation.org/smoke-archive/page-3</t>
        </is>
      </c>
      <c r="H26" s="30" t="inlineStr">
        <is>
          <t>Consolidate to one canonical URL: remove or noindex the draft/copy page, 301 redirect to the primary page, and deduplicate repetitive H2/H3 blocks.</t>
        </is>
      </c>
      <c r="I26" s="30" t="inlineStr">
        <is>
          <t>Warning</t>
        </is>
      </c>
      <c r="J26" s="30" t="inlineStr">
        <is>
          <t>Duplicates</t>
        </is>
      </c>
      <c r="K26" s="38">
        <f>IFERROR(HYPERLINK("#'Main'!B"&amp;MATCH(TRIM(A26),'Main'!B:B,0),"Open"),HYPERLINK("#'Main'!B1","Open"))</f>
        <v/>
      </c>
    </row>
    <row r="27" ht="18" customHeight="1">
      <c r="A27" s="35" t="inlineStr">
        <is>
          <t>https://africanmarketingconfederation.org/smoke-archive/page-34</t>
        </is>
      </c>
      <c r="B27" s="28" t="inlineStr">
        <is>
          <t>Duplicate Content</t>
        </is>
      </c>
      <c r="C27" s="28" t="inlineStr"/>
      <c r="D27" s="28" t="inlineStr">
        <is>
          <t>Probable draft or near-duplicate page (100% content similarity) of https://africanmarketingconfederation.org/smoke-archive/page-3</t>
        </is>
      </c>
      <c r="E27" s="28" t="n">
        <v>0</v>
      </c>
      <c r="F27" s="20" t="n">
        <v>0</v>
      </c>
      <c r="G27" s="20" t="inlineStr">
        <is>
          <t>https://africanmarketingconfederation.org/smoke-archive/page-3</t>
        </is>
      </c>
      <c r="H27" s="28" t="inlineStr">
        <is>
          <t>Consolidate to one canonical URL: remove or noindex the draft/copy page, 301 redirect to the primary page, and deduplicate repetitive H2/H3 blocks.</t>
        </is>
      </c>
      <c r="I27" s="28" t="inlineStr">
        <is>
          <t>Warning</t>
        </is>
      </c>
      <c r="J27" s="28" t="inlineStr">
        <is>
          <t>Duplicates</t>
        </is>
      </c>
      <c r="K27">
        <f>IFERROR(HYPERLINK("#'Main'!B"&amp;MATCH(TRIM(A27),'Main'!B:B,0),"Open"),HYPERLINK("#'Main'!B1","Open"))</f>
        <v/>
      </c>
    </row>
    <row r="28" ht="18" customHeight="1">
      <c r="A28" s="37" t="inlineStr">
        <is>
          <t>https://africanmarketingconfederation.org/smoke-archive/page-35</t>
        </is>
      </c>
      <c r="B28" s="30" t="inlineStr">
        <is>
          <t>Duplicate Content</t>
        </is>
      </c>
      <c r="C28" s="30" t="inlineStr"/>
      <c r="D28" s="30" t="inlineStr">
        <is>
          <t>Probable draft or near-duplicate page (100% content similarity) of https://africanmarketingconfederation.org/smoke-archive/page-3</t>
        </is>
      </c>
      <c r="E28" s="30" t="n">
        <v>0</v>
      </c>
      <c r="F28" s="31" t="n">
        <v>0</v>
      </c>
      <c r="G28" s="31" t="inlineStr">
        <is>
          <t>https://africanmarketingconfederation.org/smoke-archive/page-3</t>
        </is>
      </c>
      <c r="H28" s="30" t="inlineStr">
        <is>
          <t>Consolidate to one canonical URL: remove or noindex the draft/copy page, 301 redirect to the primary page, and deduplicate repetitive H2/H3 blocks.</t>
        </is>
      </c>
      <c r="I28" s="30" t="inlineStr">
        <is>
          <t>Warning</t>
        </is>
      </c>
      <c r="J28" s="30" t="inlineStr">
        <is>
          <t>Duplicates</t>
        </is>
      </c>
      <c r="K28" s="38">
        <f>IFERROR(HYPERLINK("#'Main'!B"&amp;MATCH(TRIM(A28),'Main'!B:B,0),"Open"),HYPERLINK("#'Main'!B1","Open"))</f>
        <v/>
      </c>
    </row>
    <row r="29" ht="18" customHeight="1">
      <c r="A29" s="35" t="inlineStr">
        <is>
          <t>https://africanmarketingconfederation.org/smoke-archive/page-36</t>
        </is>
      </c>
      <c r="B29" s="28" t="inlineStr">
        <is>
          <t>Duplicate Content</t>
        </is>
      </c>
      <c r="C29" s="28" t="inlineStr"/>
      <c r="D29" s="28" t="inlineStr">
        <is>
          <t>Probable draft or near-duplicate page (100% content similarity) of https://africanmarketingconfederation.org/smoke-archive/page-3</t>
        </is>
      </c>
      <c r="E29" s="28" t="n">
        <v>0</v>
      </c>
      <c r="F29" s="20" t="n">
        <v>0</v>
      </c>
      <c r="G29" s="20" t="inlineStr">
        <is>
          <t>https://africanmarketingconfederation.org/smoke-archive/page-3</t>
        </is>
      </c>
      <c r="H29" s="28" t="inlineStr">
        <is>
          <t>Consolidate to one canonical URL: remove or noindex the draft/copy page, 301 redirect to the primary page, and deduplicate repetitive H2/H3 blocks.</t>
        </is>
      </c>
      <c r="I29" s="28" t="inlineStr">
        <is>
          <t>Warning</t>
        </is>
      </c>
      <c r="J29" s="28" t="inlineStr">
        <is>
          <t>Duplicates</t>
        </is>
      </c>
      <c r="K29">
        <f>IFERROR(HYPERLINK("#'Main'!B"&amp;MATCH(TRIM(A29),'Main'!B:B,0),"Open"),HYPERLINK("#'Main'!B1","Open"))</f>
        <v/>
      </c>
    </row>
    <row r="30" ht="18" customHeight="1">
      <c r="A30" s="37" t="inlineStr">
        <is>
          <t>https://africanmarketingconfederation.org/smoke-archive/page-37</t>
        </is>
      </c>
      <c r="B30" s="30" t="inlineStr">
        <is>
          <t>Duplicate Content</t>
        </is>
      </c>
      <c r="C30" s="30" t="inlineStr"/>
      <c r="D30" s="30" t="inlineStr">
        <is>
          <t>Probable draft or near-duplicate page (100% content similarity) of https://africanmarketingconfederation.org/smoke-archive/page-3</t>
        </is>
      </c>
      <c r="E30" s="30" t="n">
        <v>0</v>
      </c>
      <c r="F30" s="31" t="n">
        <v>0</v>
      </c>
      <c r="G30" s="31" t="inlineStr">
        <is>
          <t>https://africanmarketingconfederation.org/smoke-archive/page-3</t>
        </is>
      </c>
      <c r="H30" s="30" t="inlineStr">
        <is>
          <t>Consolidate to one canonical URL: remove or noindex the draft/copy page, 301 redirect to the primary page, and deduplicate repetitive H2/H3 blocks.</t>
        </is>
      </c>
      <c r="I30" s="30" t="inlineStr">
        <is>
          <t>Warning</t>
        </is>
      </c>
      <c r="J30" s="30" t="inlineStr">
        <is>
          <t>Duplicates</t>
        </is>
      </c>
      <c r="K30" s="38">
        <f>IFERROR(HYPERLINK("#'Main'!B"&amp;MATCH(TRIM(A30),'Main'!B:B,0),"Open"),HYPERLINK("#'Main'!B1","Open"))</f>
        <v/>
      </c>
    </row>
    <row r="31" ht="18" customHeight="1">
      <c r="A31" s="35" t="inlineStr">
        <is>
          <t>https://africanmarketingconfederation.org/smoke-archive/page-38</t>
        </is>
      </c>
      <c r="B31" s="28" t="inlineStr">
        <is>
          <t>Duplicate Content</t>
        </is>
      </c>
      <c r="C31" s="28" t="inlineStr"/>
      <c r="D31" s="28" t="inlineStr">
        <is>
          <t>Probable draft or near-duplicate page (100% content similarity) of https://africanmarketingconfederation.org/smoke-archive/page-3</t>
        </is>
      </c>
      <c r="E31" s="28" t="n">
        <v>0</v>
      </c>
      <c r="F31" s="20" t="n">
        <v>0</v>
      </c>
      <c r="G31" s="20" t="inlineStr">
        <is>
          <t>https://africanmarketingconfederation.org/smoke-archive/page-3</t>
        </is>
      </c>
      <c r="H31" s="28" t="inlineStr">
        <is>
          <t>Consolidate to one canonical URL: remove or noindex the draft/copy page, 301 redirect to the primary page, and deduplicate repetitive H2/H3 blocks.</t>
        </is>
      </c>
      <c r="I31" s="28" t="inlineStr">
        <is>
          <t>Warning</t>
        </is>
      </c>
      <c r="J31" s="28" t="inlineStr">
        <is>
          <t>Duplicates</t>
        </is>
      </c>
      <c r="K31">
        <f>IFERROR(HYPERLINK("#'Main'!B"&amp;MATCH(TRIM(A31),'Main'!B:B,0),"Open"),HYPERLINK("#'Main'!B1","Open"))</f>
        <v/>
      </c>
    </row>
    <row r="32" ht="18" customHeight="1">
      <c r="A32" s="37" t="inlineStr">
        <is>
          <t>https://africanmarketingconfederation.org/smoke-archive/page-39</t>
        </is>
      </c>
      <c r="B32" s="30" t="inlineStr">
        <is>
          <t>Duplicate Content</t>
        </is>
      </c>
      <c r="C32" s="30" t="inlineStr"/>
      <c r="D32" s="30" t="inlineStr">
        <is>
          <t>Probable draft or near-duplicate page (100% content similarity) of https://africanmarketingconfederation.org/smoke-archive/page-3</t>
        </is>
      </c>
      <c r="E32" s="30" t="n">
        <v>0</v>
      </c>
      <c r="F32" s="31" t="n">
        <v>0</v>
      </c>
      <c r="G32" s="31" t="inlineStr">
        <is>
          <t>https://africanmarketingconfederation.org/smoke-archive/page-3</t>
        </is>
      </c>
      <c r="H32" s="30" t="inlineStr">
        <is>
          <t>Consolidate to one canonical URL: remove or noindex the draft/copy page, 301 redirect to the primary page, and deduplicate repetitive H2/H3 blocks.</t>
        </is>
      </c>
      <c r="I32" s="30" t="inlineStr">
        <is>
          <t>Warning</t>
        </is>
      </c>
      <c r="J32" s="30" t="inlineStr">
        <is>
          <t>Duplicates</t>
        </is>
      </c>
      <c r="K32" s="38">
        <f>IFERROR(HYPERLINK("#'Main'!B"&amp;MATCH(TRIM(A32),'Main'!B:B,0),"Open"),HYPERLINK("#'Main'!B1","Open"))</f>
        <v/>
      </c>
    </row>
    <row r="33" ht="18" customHeight="1">
      <c r="A33" s="35" t="inlineStr">
        <is>
          <t>https://africanmarketingconfederation.org/smoke-archive/page-40</t>
        </is>
      </c>
      <c r="B33" s="28" t="inlineStr">
        <is>
          <t>Duplicate Content</t>
        </is>
      </c>
      <c r="C33" s="28" t="inlineStr"/>
      <c r="D33" s="28" t="inlineStr">
        <is>
          <t>Probable draft or near-duplicate page (100% content similarity) of https://africanmarketingconfederation.org/smoke-archive/page-3</t>
        </is>
      </c>
      <c r="E33" s="28" t="n">
        <v>0</v>
      </c>
      <c r="F33" s="20" t="n">
        <v>0</v>
      </c>
      <c r="G33" s="20" t="inlineStr">
        <is>
          <t>https://africanmarketingconfederation.org/smoke-archive/page-3</t>
        </is>
      </c>
      <c r="H33" s="28" t="inlineStr">
        <is>
          <t>Consolidate to one canonical URL: remove or noindex the draft/copy page, 301 redirect to the primary page, and deduplicate repetitive H2/H3 blocks.</t>
        </is>
      </c>
      <c r="I33" s="28" t="inlineStr">
        <is>
          <t>Warning</t>
        </is>
      </c>
      <c r="J33" s="28" t="inlineStr">
        <is>
          <t>Duplicates</t>
        </is>
      </c>
      <c r="K33">
        <f>IFERROR(HYPERLINK("#'Main'!B"&amp;MATCH(TRIM(A33),'Main'!B:B,0),"Open"),HYPERLINK("#'Main'!B1","Open"))</f>
        <v/>
      </c>
    </row>
    <row r="34" ht="18" customHeight="1">
      <c r="A34" s="37" t="inlineStr">
        <is>
          <t>https://africanmarketingconfederation.org/smoke-archive/page-41</t>
        </is>
      </c>
      <c r="B34" s="30" t="inlineStr">
        <is>
          <t>Duplicate Content</t>
        </is>
      </c>
      <c r="C34" s="30" t="inlineStr"/>
      <c r="D34" s="30" t="inlineStr">
        <is>
          <t>Probable draft or near-duplicate page (100% content similarity) of https://africanmarketingconfederation.org/smoke-archive/page-3</t>
        </is>
      </c>
      <c r="E34" s="30" t="n">
        <v>0</v>
      </c>
      <c r="F34" s="31" t="n">
        <v>0</v>
      </c>
      <c r="G34" s="31" t="inlineStr">
        <is>
          <t>https://africanmarketingconfederation.org/smoke-archive/page-3</t>
        </is>
      </c>
      <c r="H34" s="30" t="inlineStr">
        <is>
          <t>Consolidate to one canonical URL: remove or noindex the draft/copy page, 301 redirect to the primary page, and deduplicate repetitive H2/H3 blocks.</t>
        </is>
      </c>
      <c r="I34" s="30" t="inlineStr">
        <is>
          <t>Warning</t>
        </is>
      </c>
      <c r="J34" s="30" t="inlineStr">
        <is>
          <t>Duplicates</t>
        </is>
      </c>
      <c r="K34" s="38">
        <f>IFERROR(HYPERLINK("#'Main'!B"&amp;MATCH(TRIM(A34),'Main'!B:B,0),"Open"),HYPERLINK("#'Main'!B1","Open"))</f>
        <v/>
      </c>
    </row>
    <row r="35" ht="18" customHeight="1">
      <c r="A35" s="35" t="inlineStr">
        <is>
          <t>https://africanmarketingconfederation.org/smoke-archive/page-42</t>
        </is>
      </c>
      <c r="B35" s="28" t="inlineStr">
        <is>
          <t>Duplicate Content</t>
        </is>
      </c>
      <c r="C35" s="28" t="inlineStr"/>
      <c r="D35" s="28" t="inlineStr">
        <is>
          <t>Probable draft or near-duplicate page (100% content similarity) of https://africanmarketingconfederation.org/smoke-archive/page-3</t>
        </is>
      </c>
      <c r="E35" s="28" t="n">
        <v>0</v>
      </c>
      <c r="F35" s="20" t="n">
        <v>0</v>
      </c>
      <c r="G35" s="20" t="inlineStr">
        <is>
          <t>https://africanmarketingconfederation.org/smoke-archive/page-3</t>
        </is>
      </c>
      <c r="H35" s="28" t="inlineStr">
        <is>
          <t>Consolidate to one canonical URL: remove or noindex the draft/copy page, 301 redirect to the primary page, and deduplicate repetitive H2/H3 blocks.</t>
        </is>
      </c>
      <c r="I35" s="28" t="inlineStr">
        <is>
          <t>Warning</t>
        </is>
      </c>
      <c r="J35" s="28" t="inlineStr">
        <is>
          <t>Duplicates</t>
        </is>
      </c>
      <c r="K35">
        <f>IFERROR(HYPERLINK("#'Main'!B"&amp;MATCH(TRIM(A35),'Main'!B:B,0),"Open"),HYPERLINK("#'Main'!B1","Open"))</f>
        <v/>
      </c>
    </row>
    <row r="36" ht="18" customHeight="1">
      <c r="A36" s="37" t="inlineStr">
        <is>
          <t>https://africanmarketingconfederation.org/smoke-archive/page-43</t>
        </is>
      </c>
      <c r="B36" s="30" t="inlineStr">
        <is>
          <t>Duplicate Content</t>
        </is>
      </c>
      <c r="C36" s="30" t="inlineStr"/>
      <c r="D36" s="30" t="inlineStr">
        <is>
          <t>Probable draft or near-duplicate page (100% content similarity) of https://africanmarketingconfederation.org/smoke-archive/page-3</t>
        </is>
      </c>
      <c r="E36" s="30" t="n">
        <v>0</v>
      </c>
      <c r="F36" s="31" t="n">
        <v>0</v>
      </c>
      <c r="G36" s="31" t="inlineStr">
        <is>
          <t>https://africanmarketingconfederation.org/smoke-archive/page-3</t>
        </is>
      </c>
      <c r="H36" s="30" t="inlineStr">
        <is>
          <t>Consolidate to one canonical URL: remove or noindex the draft/copy page, 301 redirect to the primary page, and deduplicate repetitive H2/H3 blocks.</t>
        </is>
      </c>
      <c r="I36" s="30" t="inlineStr">
        <is>
          <t>Warning</t>
        </is>
      </c>
      <c r="J36" s="30" t="inlineStr">
        <is>
          <t>Duplicates</t>
        </is>
      </c>
      <c r="K36" s="38">
        <f>IFERROR(HYPERLINK("#'Main'!B"&amp;MATCH(TRIM(A36),'Main'!B:B,0),"Open"),HYPERLINK("#'Main'!B1","Open"))</f>
        <v/>
      </c>
    </row>
    <row r="37" ht="18" customHeight="1">
      <c r="A37" s="35" t="inlineStr">
        <is>
          <t>https://africanmarketingconfederation.org/smoke-archive/page-44</t>
        </is>
      </c>
      <c r="B37" s="28" t="inlineStr">
        <is>
          <t>Duplicate Content</t>
        </is>
      </c>
      <c r="C37" s="28" t="inlineStr"/>
      <c r="D37" s="28" t="inlineStr">
        <is>
          <t>Probable draft or near-duplicate page (100% content similarity) of https://africanmarketingconfederation.org/smoke-archive/page-3</t>
        </is>
      </c>
      <c r="E37" s="28" t="n">
        <v>0</v>
      </c>
      <c r="F37" s="20" t="n">
        <v>0</v>
      </c>
      <c r="G37" s="20" t="inlineStr">
        <is>
          <t>https://africanmarketingconfederation.org/smoke-archive/page-3</t>
        </is>
      </c>
      <c r="H37" s="28" t="inlineStr">
        <is>
          <t>Consolidate to one canonical URL: remove or noindex the draft/copy page, 301 redirect to the primary page, and deduplicate repetitive H2/H3 blocks.</t>
        </is>
      </c>
      <c r="I37" s="28" t="inlineStr">
        <is>
          <t>Warning</t>
        </is>
      </c>
      <c r="J37" s="28" t="inlineStr">
        <is>
          <t>Duplicates</t>
        </is>
      </c>
      <c r="K37">
        <f>IFERROR(HYPERLINK("#'Main'!B"&amp;MATCH(TRIM(A37),'Main'!B:B,0),"Open"),HYPERLINK("#'Main'!B1","Open"))</f>
        <v/>
      </c>
    </row>
    <row r="38" ht="18" customHeight="1">
      <c r="A38" s="37" t="inlineStr">
        <is>
          <t>https://africanmarketingconfederation.org/smoke-archive/page-45</t>
        </is>
      </c>
      <c r="B38" s="30" t="inlineStr">
        <is>
          <t>Duplicate Content</t>
        </is>
      </c>
      <c r="C38" s="30" t="inlineStr"/>
      <c r="D38" s="30" t="inlineStr">
        <is>
          <t>Probable draft or near-duplicate page (100% content similarity) of https://africanmarketingconfederation.org/smoke-archive/page-3</t>
        </is>
      </c>
      <c r="E38" s="30" t="n">
        <v>0</v>
      </c>
      <c r="F38" s="31" t="n">
        <v>0</v>
      </c>
      <c r="G38" s="31" t="inlineStr">
        <is>
          <t>https://africanmarketingconfederation.org/smoke-archive/page-3</t>
        </is>
      </c>
      <c r="H38" s="30" t="inlineStr">
        <is>
          <t>Consolidate to one canonical URL: remove or noindex the draft/copy page, 301 redirect to the primary page, and deduplicate repetitive H2/H3 blocks.</t>
        </is>
      </c>
      <c r="I38" s="30" t="inlineStr">
        <is>
          <t>Warning</t>
        </is>
      </c>
      <c r="J38" s="30" t="inlineStr">
        <is>
          <t>Duplicates</t>
        </is>
      </c>
      <c r="K38" s="38">
        <f>IFERROR(HYPERLINK("#'Main'!B"&amp;MATCH(TRIM(A38),'Main'!B:B,0),"Open"),HYPERLINK("#'Main'!B1","Open"))</f>
        <v/>
      </c>
    </row>
    <row r="39" ht="18" customHeight="1">
      <c r="A39" s="35" t="inlineStr">
        <is>
          <t>https://africanmarketingconfederation.org/smoke-archive/page-46</t>
        </is>
      </c>
      <c r="B39" s="28" t="inlineStr">
        <is>
          <t>Duplicate Content</t>
        </is>
      </c>
      <c r="C39" s="28" t="inlineStr"/>
      <c r="D39" s="28" t="inlineStr">
        <is>
          <t>Probable draft or near-duplicate page (100% content similarity) of https://africanmarketingconfederation.org/smoke-archive/page-3</t>
        </is>
      </c>
      <c r="E39" s="28" t="n">
        <v>0</v>
      </c>
      <c r="F39" s="20" t="n">
        <v>0</v>
      </c>
      <c r="G39" s="20" t="inlineStr">
        <is>
          <t>https://africanmarketingconfederation.org/smoke-archive/page-3</t>
        </is>
      </c>
      <c r="H39" s="28" t="inlineStr">
        <is>
          <t>Consolidate to one canonical URL: remove or noindex the draft/copy page, 301 redirect to the primary page, and deduplicate repetitive H2/H3 blocks.</t>
        </is>
      </c>
      <c r="I39" s="28" t="inlineStr">
        <is>
          <t>Warning</t>
        </is>
      </c>
      <c r="J39" s="28" t="inlineStr">
        <is>
          <t>Duplicates</t>
        </is>
      </c>
      <c r="K39">
        <f>IFERROR(HYPERLINK("#'Main'!B"&amp;MATCH(TRIM(A39),'Main'!B:B,0),"Open"),HYPERLINK("#'Main'!B1","Open"))</f>
        <v/>
      </c>
    </row>
    <row r="40" ht="18" customHeight="1">
      <c r="A40" s="37" t="inlineStr">
        <is>
          <t>https://africanmarketingconfederation.org/smoke-archive/page-47</t>
        </is>
      </c>
      <c r="B40" s="30" t="inlineStr">
        <is>
          <t>Duplicate Content</t>
        </is>
      </c>
      <c r="C40" s="30" t="inlineStr"/>
      <c r="D40" s="30" t="inlineStr">
        <is>
          <t>Probable draft or near-duplicate page (100% content similarity) of https://africanmarketingconfederation.org/smoke-archive/page-3</t>
        </is>
      </c>
      <c r="E40" s="30" t="n">
        <v>0</v>
      </c>
      <c r="F40" s="31" t="n">
        <v>0</v>
      </c>
      <c r="G40" s="31" t="inlineStr">
        <is>
          <t>https://africanmarketingconfederation.org/smoke-archive/page-3</t>
        </is>
      </c>
      <c r="H40" s="30" t="inlineStr">
        <is>
          <t>Consolidate to one canonical URL: remove or noindex the draft/copy page, 301 redirect to the primary page, and deduplicate repetitive H2/H3 blocks.</t>
        </is>
      </c>
      <c r="I40" s="30" t="inlineStr">
        <is>
          <t>Warning</t>
        </is>
      </c>
      <c r="J40" s="30" t="inlineStr">
        <is>
          <t>Duplicates</t>
        </is>
      </c>
      <c r="K40" s="38">
        <f>IFERROR(HYPERLINK("#'Main'!B"&amp;MATCH(TRIM(A40),'Main'!B:B,0),"Open"),HYPERLINK("#'Main'!B1","Open"))</f>
        <v/>
      </c>
    </row>
    <row r="41" ht="18" customHeight="1">
      <c r="A41" s="35" t="inlineStr">
        <is>
          <t>https://africanmarketingconfederation.org/smoke-archive/page-48</t>
        </is>
      </c>
      <c r="B41" s="28" t="inlineStr">
        <is>
          <t>Duplicate Content</t>
        </is>
      </c>
      <c r="C41" s="28" t="inlineStr"/>
      <c r="D41" s="28" t="inlineStr">
        <is>
          <t>Probable draft or near-duplicate page (100% content similarity) of https://africanmarketingconfederation.org/smoke-archive/page-3</t>
        </is>
      </c>
      <c r="E41" s="28" t="n">
        <v>0</v>
      </c>
      <c r="F41" s="20" t="n">
        <v>0</v>
      </c>
      <c r="G41" s="20" t="inlineStr">
        <is>
          <t>https://africanmarketingconfederation.org/smoke-archive/page-3</t>
        </is>
      </c>
      <c r="H41" s="28" t="inlineStr">
        <is>
          <t>Consolidate to one canonical URL: remove or noindex the draft/copy page, 301 redirect to the primary page, and deduplicate repetitive H2/H3 blocks.</t>
        </is>
      </c>
      <c r="I41" s="28" t="inlineStr">
        <is>
          <t>Warning</t>
        </is>
      </c>
      <c r="J41" s="28" t="inlineStr">
        <is>
          <t>Duplicates</t>
        </is>
      </c>
      <c r="K41">
        <f>IFERROR(HYPERLINK("#'Main'!B"&amp;MATCH(TRIM(A41),'Main'!B:B,0),"Open"),HYPERLINK("#'Main'!B1","Open"))</f>
        <v/>
      </c>
    </row>
    <row r="42" ht="18" customHeight="1">
      <c r="A42" s="37" t="inlineStr">
        <is>
          <t>https://africanmarketingconfederation.org/smoke-archive/page-49</t>
        </is>
      </c>
      <c r="B42" s="30" t="inlineStr">
        <is>
          <t>Duplicate Content</t>
        </is>
      </c>
      <c r="C42" s="30" t="inlineStr"/>
      <c r="D42" s="30" t="inlineStr">
        <is>
          <t>Probable draft or near-duplicate page (100% content similarity) of https://africanmarketingconfederation.org/smoke-archive/page-3</t>
        </is>
      </c>
      <c r="E42" s="30" t="n">
        <v>0</v>
      </c>
      <c r="F42" s="31" t="n">
        <v>0</v>
      </c>
      <c r="G42" s="31" t="inlineStr">
        <is>
          <t>https://africanmarketingconfederation.org/smoke-archive/page-3</t>
        </is>
      </c>
      <c r="H42" s="30" t="inlineStr">
        <is>
          <t>Consolidate to one canonical URL: remove or noindex the draft/copy page, 301 redirect to the primary page, and deduplicate repetitive H2/H3 blocks.</t>
        </is>
      </c>
      <c r="I42" s="30" t="inlineStr">
        <is>
          <t>Warning</t>
        </is>
      </c>
      <c r="J42" s="30" t="inlineStr">
        <is>
          <t>Duplicates</t>
        </is>
      </c>
      <c r="K42" s="38">
        <f>IFERROR(HYPERLINK("#'Main'!B"&amp;MATCH(TRIM(A42),'Main'!B:B,0),"Open"),HYPERLINK("#'Main'!B1","Open"))</f>
        <v/>
      </c>
    </row>
    <row r="43" ht="18" customHeight="1">
      <c r="A43" s="35" t="inlineStr">
        <is>
          <t>https://africanmarketingconfederation.org/smoke-archive/page-50</t>
        </is>
      </c>
      <c r="B43" s="28" t="inlineStr">
        <is>
          <t>Duplicate Content</t>
        </is>
      </c>
      <c r="C43" s="28" t="inlineStr"/>
      <c r="D43" s="28" t="inlineStr">
        <is>
          <t>Probable draft or near-duplicate page (100% content similarity) of https://africanmarketingconfederation.org/smoke-archive/page-3</t>
        </is>
      </c>
      <c r="E43" s="28" t="n">
        <v>0</v>
      </c>
      <c r="F43" s="20" t="n">
        <v>0</v>
      </c>
      <c r="G43" s="20" t="inlineStr">
        <is>
          <t>https://africanmarketingconfederation.org/smoke-archive/page-3</t>
        </is>
      </c>
      <c r="H43" s="28" t="inlineStr">
        <is>
          <t>Consolidate to one canonical URL: remove or noindex the draft/copy page, 301 redirect to the primary page, and deduplicate repetitive H2/H3 blocks.</t>
        </is>
      </c>
      <c r="I43" s="28" t="inlineStr">
        <is>
          <t>Warning</t>
        </is>
      </c>
      <c r="J43" s="28" t="inlineStr">
        <is>
          <t>Duplicates</t>
        </is>
      </c>
      <c r="K43">
        <f>IFERROR(HYPERLINK("#'Main'!B"&amp;MATCH(TRIM(A43),'Main'!B:B,0),"Open"),HYPERLINK("#'Main'!B1","Open"))</f>
        <v/>
      </c>
    </row>
    <row r="44" ht="18" customHeight="1">
      <c r="A44" s="37" t="inlineStr">
        <is>
          <t>https://africanmarketingconfederation.org/smoke-archive/page-51</t>
        </is>
      </c>
      <c r="B44" s="30" t="inlineStr">
        <is>
          <t>Duplicate Content</t>
        </is>
      </c>
      <c r="C44" s="30" t="inlineStr"/>
      <c r="D44" s="30" t="inlineStr">
        <is>
          <t>Probable draft or near-duplicate page (100% content similarity) of https://africanmarketingconfederation.org/smoke-archive/page-3</t>
        </is>
      </c>
      <c r="E44" s="30" t="n">
        <v>0</v>
      </c>
      <c r="F44" s="31" t="n">
        <v>0</v>
      </c>
      <c r="G44" s="31" t="inlineStr">
        <is>
          <t>https://africanmarketingconfederation.org/smoke-archive/page-3</t>
        </is>
      </c>
      <c r="H44" s="30" t="inlineStr">
        <is>
          <t>Consolidate to one canonical URL: remove or noindex the draft/copy page, 301 redirect to the primary page, and deduplicate repetitive H2/H3 blocks.</t>
        </is>
      </c>
      <c r="I44" s="30" t="inlineStr">
        <is>
          <t>Warning</t>
        </is>
      </c>
      <c r="J44" s="30" t="inlineStr">
        <is>
          <t>Duplicates</t>
        </is>
      </c>
      <c r="K44" s="38">
        <f>IFERROR(HYPERLINK("#'Main'!B"&amp;MATCH(TRIM(A44),'Main'!B:B,0),"Open"),HYPERLINK("#'Main'!B1","Open"))</f>
        <v/>
      </c>
    </row>
    <row r="45" ht="18" customHeight="1">
      <c r="A45" s="35" t="inlineStr">
        <is>
          <t>https://africanmarketingconfederation.org/smoke-archive/page-52</t>
        </is>
      </c>
      <c r="B45" s="28" t="inlineStr">
        <is>
          <t>Duplicate Content</t>
        </is>
      </c>
      <c r="C45" s="28" t="inlineStr"/>
      <c r="D45" s="28" t="inlineStr">
        <is>
          <t>Probable draft or near-duplicate page (100% content similarity) of https://africanmarketingconfederation.org/smoke-archive/page-3</t>
        </is>
      </c>
      <c r="E45" s="28" t="n">
        <v>0</v>
      </c>
      <c r="F45" s="20" t="n">
        <v>0</v>
      </c>
      <c r="G45" s="20" t="inlineStr">
        <is>
          <t>https://africanmarketingconfederation.org/smoke-archive/page-3</t>
        </is>
      </c>
      <c r="H45" s="28" t="inlineStr">
        <is>
          <t>Consolidate to one canonical URL: remove or noindex the draft/copy page, 301 redirect to the primary page, and deduplicate repetitive H2/H3 blocks.</t>
        </is>
      </c>
      <c r="I45" s="28" t="inlineStr">
        <is>
          <t>Warning</t>
        </is>
      </c>
      <c r="J45" s="28" t="inlineStr">
        <is>
          <t>Duplicates</t>
        </is>
      </c>
      <c r="K45">
        <f>IFERROR(HYPERLINK("#'Main'!B"&amp;MATCH(TRIM(A45),'Main'!B:B,0),"Open"),HYPERLINK("#'Main'!B1","Open"))</f>
        <v/>
      </c>
    </row>
    <row r="46" ht="18" customHeight="1">
      <c r="A46" s="37" t="inlineStr">
        <is>
          <t>https://africanmarketingconfederation.org/smoke-archive/page-53</t>
        </is>
      </c>
      <c r="B46" s="30" t="inlineStr">
        <is>
          <t>Duplicate Content</t>
        </is>
      </c>
      <c r="C46" s="30" t="inlineStr"/>
      <c r="D46" s="30" t="inlineStr">
        <is>
          <t>Probable draft or near-duplicate page (100% content similarity) of https://africanmarketingconfederation.org/smoke-archive/page-3</t>
        </is>
      </c>
      <c r="E46" s="30" t="n">
        <v>0</v>
      </c>
      <c r="F46" s="31" t="n">
        <v>0</v>
      </c>
      <c r="G46" s="31" t="inlineStr">
        <is>
          <t>https://africanmarketingconfederation.org/smoke-archive/page-3</t>
        </is>
      </c>
      <c r="H46" s="30" t="inlineStr">
        <is>
          <t>Consolidate to one canonical URL: remove or noindex the draft/copy page, 301 redirect to the primary page, and deduplicate repetitive H2/H3 blocks.</t>
        </is>
      </c>
      <c r="I46" s="30" t="inlineStr">
        <is>
          <t>Warning</t>
        </is>
      </c>
      <c r="J46" s="30" t="inlineStr">
        <is>
          <t>Duplicates</t>
        </is>
      </c>
      <c r="K46" s="38">
        <f>IFERROR(HYPERLINK("#'Main'!B"&amp;MATCH(TRIM(A46),'Main'!B:B,0),"Open"),HYPERLINK("#'Main'!B1","Open"))</f>
        <v/>
      </c>
    </row>
    <row r="47" ht="18" customHeight="1">
      <c r="A47" s="35" t="inlineStr">
        <is>
          <t>https://africanmarketingconfederation.org/smoke-archive/page-54</t>
        </is>
      </c>
      <c r="B47" s="28" t="inlineStr">
        <is>
          <t>Duplicate Content</t>
        </is>
      </c>
      <c r="C47" s="28" t="inlineStr"/>
      <c r="D47" s="28" t="inlineStr">
        <is>
          <t>Probable draft or near-duplicate page (100% content similarity) of https://africanmarketingconfederation.org/smoke-archive/page-3</t>
        </is>
      </c>
      <c r="E47" s="28" t="n">
        <v>0</v>
      </c>
      <c r="F47" s="20" t="n">
        <v>0</v>
      </c>
      <c r="G47" s="20" t="inlineStr">
        <is>
          <t>https://africanmarketingconfederation.org/smoke-archive/page-3</t>
        </is>
      </c>
      <c r="H47" s="28" t="inlineStr">
        <is>
          <t>Consolidate to one canonical URL: remove or noindex the draft/copy page, 301 redirect to the primary page, and deduplicate repetitive H2/H3 blocks.</t>
        </is>
      </c>
      <c r="I47" s="28" t="inlineStr">
        <is>
          <t>Warning</t>
        </is>
      </c>
      <c r="J47" s="28" t="inlineStr">
        <is>
          <t>Duplicates</t>
        </is>
      </c>
      <c r="K47">
        <f>IFERROR(HYPERLINK("#'Main'!B"&amp;MATCH(TRIM(A47),'Main'!B:B,0),"Open"),HYPERLINK("#'Main'!B1","Open"))</f>
        <v/>
      </c>
    </row>
    <row r="48" ht="18" customHeight="1">
      <c r="A48" s="37" t="inlineStr">
        <is>
          <t>https://africanmarketingconfederation.org/smoke-archive/page-55</t>
        </is>
      </c>
      <c r="B48" s="30" t="inlineStr">
        <is>
          <t>Duplicate Content</t>
        </is>
      </c>
      <c r="C48" s="30" t="inlineStr"/>
      <c r="D48" s="30" t="inlineStr">
        <is>
          <t>Probable draft or near-duplicate page (100% content similarity) of https://africanmarketingconfederation.org/smoke-archive/page-3</t>
        </is>
      </c>
      <c r="E48" s="30" t="n">
        <v>0</v>
      </c>
      <c r="F48" s="31" t="n">
        <v>0</v>
      </c>
      <c r="G48" s="31" t="inlineStr">
        <is>
          <t>https://africanmarketingconfederation.org/smoke-archive/page-3</t>
        </is>
      </c>
      <c r="H48" s="30" t="inlineStr">
        <is>
          <t>Consolidate to one canonical URL: remove or noindex the draft/copy page, 301 redirect to the primary page, and deduplicate repetitive H2/H3 blocks.</t>
        </is>
      </c>
      <c r="I48" s="30" t="inlineStr">
        <is>
          <t>Warning</t>
        </is>
      </c>
      <c r="J48" s="30" t="inlineStr">
        <is>
          <t>Duplicates</t>
        </is>
      </c>
      <c r="K48" s="38">
        <f>IFERROR(HYPERLINK("#'Main'!B"&amp;MATCH(TRIM(A48),'Main'!B:B,0),"Open"),HYPERLINK("#'Main'!B1","Open"))</f>
        <v/>
      </c>
    </row>
    <row r="49" ht="18" customHeight="1">
      <c r="A49" s="35" t="inlineStr">
        <is>
          <t>https://africanmarketingconfederation.org/smoke-archive/page-56</t>
        </is>
      </c>
      <c r="B49" s="28" t="inlineStr">
        <is>
          <t>Duplicate Content</t>
        </is>
      </c>
      <c r="C49" s="28" t="inlineStr"/>
      <c r="D49" s="28" t="inlineStr">
        <is>
          <t>Probable draft or near-duplicate page (100% content similarity) of https://africanmarketingconfederation.org/smoke-archive/page-3</t>
        </is>
      </c>
      <c r="E49" s="28" t="n">
        <v>0</v>
      </c>
      <c r="F49" s="20" t="n">
        <v>0</v>
      </c>
      <c r="G49" s="20" t="inlineStr">
        <is>
          <t>https://africanmarketingconfederation.org/smoke-archive/page-3</t>
        </is>
      </c>
      <c r="H49" s="28" t="inlineStr">
        <is>
          <t>Consolidate to one canonical URL: remove or noindex the draft/copy page, 301 redirect to the primary page, and deduplicate repetitive H2/H3 blocks.</t>
        </is>
      </c>
      <c r="I49" s="28" t="inlineStr">
        <is>
          <t>Warning</t>
        </is>
      </c>
      <c r="J49" s="28" t="inlineStr">
        <is>
          <t>Duplicates</t>
        </is>
      </c>
      <c r="K49">
        <f>IFERROR(HYPERLINK("#'Main'!B"&amp;MATCH(TRIM(A49),'Main'!B:B,0),"Open"),HYPERLINK("#'Main'!B1","Open"))</f>
        <v/>
      </c>
    </row>
    <row r="50" ht="18" customHeight="1">
      <c r="A50" s="37" t="inlineStr">
        <is>
          <t>https://africanmarketingconfederation.org/smoke-archive/page-57</t>
        </is>
      </c>
      <c r="B50" s="30" t="inlineStr">
        <is>
          <t>Duplicate Content</t>
        </is>
      </c>
      <c r="C50" s="30" t="inlineStr"/>
      <c r="D50" s="30" t="inlineStr">
        <is>
          <t>Probable draft or near-duplicate page (100% content similarity) of https://africanmarketingconfederation.org/smoke-archive/page-3</t>
        </is>
      </c>
      <c r="E50" s="30" t="n">
        <v>0</v>
      </c>
      <c r="F50" s="31" t="n">
        <v>0</v>
      </c>
      <c r="G50" s="31" t="inlineStr">
        <is>
          <t>https://africanmarketingconfederation.org/smoke-archive/page-3</t>
        </is>
      </c>
      <c r="H50" s="30" t="inlineStr">
        <is>
          <t>Consolidate to one canonical URL: remove or noindex the draft/copy page, 301 redirect to the primary page, and deduplicate repetitive H2/H3 blocks.</t>
        </is>
      </c>
      <c r="I50" s="30" t="inlineStr">
        <is>
          <t>Warning</t>
        </is>
      </c>
      <c r="J50" s="30" t="inlineStr">
        <is>
          <t>Duplicates</t>
        </is>
      </c>
      <c r="K50" s="38">
        <f>IFERROR(HYPERLINK("#'Main'!B"&amp;MATCH(TRIM(A50),'Main'!B:B,0),"Open"),HYPERLINK("#'Main'!B1","Open"))</f>
        <v/>
      </c>
    </row>
    <row r="51" ht="18" customHeight="1">
      <c r="A51" s="35" t="inlineStr">
        <is>
          <t>https://africanmarketingconfederation.org/smoke-archive/page-58</t>
        </is>
      </c>
      <c r="B51" s="28" t="inlineStr">
        <is>
          <t>Duplicate Content</t>
        </is>
      </c>
      <c r="C51" s="28" t="inlineStr"/>
      <c r="D51" s="28" t="inlineStr">
        <is>
          <t>Probable draft or near-duplicate page (100% content similarity) of https://africanmarketingconfederation.org/smoke-archive/page-3</t>
        </is>
      </c>
      <c r="E51" s="28" t="n">
        <v>0</v>
      </c>
      <c r="F51" s="20" t="n">
        <v>0</v>
      </c>
      <c r="G51" s="20" t="inlineStr">
        <is>
          <t>https://africanmarketingconfederation.org/smoke-archive/page-3</t>
        </is>
      </c>
      <c r="H51" s="28" t="inlineStr">
        <is>
          <t>Consolidate to one canonical URL: remove or noindex the draft/copy page, 301 redirect to the primary page, and deduplicate repetitive H2/H3 blocks.</t>
        </is>
      </c>
      <c r="I51" s="28" t="inlineStr">
        <is>
          <t>Warning</t>
        </is>
      </c>
      <c r="J51" s="28" t="inlineStr">
        <is>
          <t>Duplicates</t>
        </is>
      </c>
      <c r="K51">
        <f>IFERROR(HYPERLINK("#'Main'!B"&amp;MATCH(TRIM(A51),'Main'!B:B,0),"Open"),HYPERLINK("#'Main'!B1","Open"))</f>
        <v/>
      </c>
    </row>
    <row r="52" ht="18" customHeight="1">
      <c r="A52" s="37" t="inlineStr">
        <is>
          <t>https://africanmarketingconfederation.org/smoke-archive/page-59</t>
        </is>
      </c>
      <c r="B52" s="30" t="inlineStr">
        <is>
          <t>Duplicate Content</t>
        </is>
      </c>
      <c r="C52" s="30" t="inlineStr"/>
      <c r="D52" s="30" t="inlineStr">
        <is>
          <t>Probable draft or near-duplicate page (100% content similarity) of https://africanmarketingconfederation.org/smoke-archive/page-3</t>
        </is>
      </c>
      <c r="E52" s="30" t="n">
        <v>0</v>
      </c>
      <c r="F52" s="31" t="n">
        <v>0</v>
      </c>
      <c r="G52" s="31" t="inlineStr">
        <is>
          <t>https://africanmarketingconfederation.org/smoke-archive/page-3</t>
        </is>
      </c>
      <c r="H52" s="30" t="inlineStr">
        <is>
          <t>Consolidate to one canonical URL: remove or noindex the draft/copy page, 301 redirect to the primary page, and deduplicate repetitive H2/H3 blocks.</t>
        </is>
      </c>
      <c r="I52" s="30" t="inlineStr">
        <is>
          <t>Warning</t>
        </is>
      </c>
      <c r="J52" s="30" t="inlineStr">
        <is>
          <t>Duplicates</t>
        </is>
      </c>
      <c r="K52" s="38">
        <f>IFERROR(HYPERLINK("#'Main'!B"&amp;MATCH(TRIM(A52),'Main'!B:B,0),"Open"),HYPERLINK("#'Main'!B1","Open"))</f>
        <v/>
      </c>
    </row>
    <row r="53" ht="18" customHeight="1">
      <c r="A53" s="35" t="inlineStr">
        <is>
          <t>https://africanmarketingconfederation.org/smoke-archive/page-60</t>
        </is>
      </c>
      <c r="B53" s="28" t="inlineStr">
        <is>
          <t>Duplicate Content</t>
        </is>
      </c>
      <c r="C53" s="28" t="inlineStr"/>
      <c r="D53" s="28" t="inlineStr">
        <is>
          <t>Probable draft or near-duplicate page (100% content similarity) of https://africanmarketingconfederation.org/smoke-archive/page-3</t>
        </is>
      </c>
      <c r="E53" s="28" t="n">
        <v>0</v>
      </c>
      <c r="F53" s="20" t="n">
        <v>0</v>
      </c>
      <c r="G53" s="20" t="inlineStr">
        <is>
          <t>https://africanmarketingconfederation.org/smoke-archive/page-3</t>
        </is>
      </c>
      <c r="H53" s="28" t="inlineStr">
        <is>
          <t>Consolidate to one canonical URL: remove or noindex the draft/copy page, 301 redirect to the primary page, and deduplicate repetitive H2/H3 blocks.</t>
        </is>
      </c>
      <c r="I53" s="28" t="inlineStr">
        <is>
          <t>Warning</t>
        </is>
      </c>
      <c r="J53" s="28" t="inlineStr">
        <is>
          <t>Duplicates</t>
        </is>
      </c>
      <c r="K53">
        <f>IFERROR(HYPERLINK("#'Main'!B"&amp;MATCH(TRIM(A53),'Main'!B:B,0),"Open"),HYPERLINK("#'Main'!B1","Open"))</f>
        <v/>
      </c>
    </row>
    <row r="54" ht="18" customHeight="1">
      <c r="A54" s="37" t="inlineStr">
        <is>
          <t>https://africanmarketingconfederation.org/smoke-archive/page-61</t>
        </is>
      </c>
      <c r="B54" s="30" t="inlineStr">
        <is>
          <t>Duplicate Content</t>
        </is>
      </c>
      <c r="C54" s="30" t="inlineStr"/>
      <c r="D54" s="30" t="inlineStr">
        <is>
          <t>Probable draft or near-duplicate page (100% content similarity) of https://africanmarketingconfederation.org/smoke-archive/page-3</t>
        </is>
      </c>
      <c r="E54" s="30" t="n">
        <v>0</v>
      </c>
      <c r="F54" s="31" t="n">
        <v>0</v>
      </c>
      <c r="G54" s="31" t="inlineStr">
        <is>
          <t>https://africanmarketingconfederation.org/smoke-archive/page-3</t>
        </is>
      </c>
      <c r="H54" s="30" t="inlineStr">
        <is>
          <t>Consolidate to one canonical URL: remove or noindex the draft/copy page, 301 redirect to the primary page, and deduplicate repetitive H2/H3 blocks.</t>
        </is>
      </c>
      <c r="I54" s="30" t="inlineStr">
        <is>
          <t>Warning</t>
        </is>
      </c>
      <c r="J54" s="30" t="inlineStr">
        <is>
          <t>Duplicates</t>
        </is>
      </c>
      <c r="K54" s="38">
        <f>IFERROR(HYPERLINK("#'Main'!B"&amp;MATCH(TRIM(A54),'Main'!B:B,0),"Open"),HYPERLINK("#'Main'!B1","Open"))</f>
        <v/>
      </c>
    </row>
    <row r="55" ht="18" customHeight="1">
      <c r="A55" s="35" t="inlineStr">
        <is>
          <t>https://africanmarketingconfederation.org/smoke-archive/page-62</t>
        </is>
      </c>
      <c r="B55" s="28" t="inlineStr">
        <is>
          <t>Duplicate Content</t>
        </is>
      </c>
      <c r="C55" s="28" t="inlineStr"/>
      <c r="D55" s="28" t="inlineStr">
        <is>
          <t>Probable draft or near-duplicate page (100% content similarity) of https://africanmarketingconfederation.org/smoke-archive/page-3</t>
        </is>
      </c>
      <c r="E55" s="28" t="n">
        <v>0</v>
      </c>
      <c r="F55" s="20" t="n">
        <v>0</v>
      </c>
      <c r="G55" s="20" t="inlineStr">
        <is>
          <t>https://africanmarketingconfederation.org/smoke-archive/page-3</t>
        </is>
      </c>
      <c r="H55" s="28" t="inlineStr">
        <is>
          <t>Consolidate to one canonical URL: remove or noindex the draft/copy page, 301 redirect to the primary page, and deduplicate repetitive H2/H3 blocks.</t>
        </is>
      </c>
      <c r="I55" s="28" t="inlineStr">
        <is>
          <t>Warning</t>
        </is>
      </c>
      <c r="J55" s="28" t="inlineStr">
        <is>
          <t>Duplicates</t>
        </is>
      </c>
      <c r="K55">
        <f>IFERROR(HYPERLINK("#'Main'!B"&amp;MATCH(TRIM(A55),'Main'!B:B,0),"Open"),HYPERLINK("#'Main'!B1","Open"))</f>
        <v/>
      </c>
    </row>
    <row r="56" ht="18" customHeight="1">
      <c r="A56" s="37" t="inlineStr">
        <is>
          <t>https://africanmarketingconfederation.org/smoke-archive/page-63</t>
        </is>
      </c>
      <c r="B56" s="30" t="inlineStr">
        <is>
          <t>Duplicate Content</t>
        </is>
      </c>
      <c r="C56" s="30" t="inlineStr"/>
      <c r="D56" s="30" t="inlineStr">
        <is>
          <t>Probable draft or near-duplicate page (100% content similarity) of https://africanmarketingconfederation.org/smoke-archive/page-3</t>
        </is>
      </c>
      <c r="E56" s="30" t="n">
        <v>0</v>
      </c>
      <c r="F56" s="31" t="n">
        <v>0</v>
      </c>
      <c r="G56" s="31" t="inlineStr">
        <is>
          <t>https://africanmarketingconfederation.org/smoke-archive/page-3</t>
        </is>
      </c>
      <c r="H56" s="30" t="inlineStr">
        <is>
          <t>Consolidate to one canonical URL: remove or noindex the draft/copy page, 301 redirect to the primary page, and deduplicate repetitive H2/H3 blocks.</t>
        </is>
      </c>
      <c r="I56" s="30" t="inlineStr">
        <is>
          <t>Warning</t>
        </is>
      </c>
      <c r="J56" s="30" t="inlineStr">
        <is>
          <t>Duplicates</t>
        </is>
      </c>
      <c r="K56" s="38">
        <f>IFERROR(HYPERLINK("#'Main'!B"&amp;MATCH(TRIM(A56),'Main'!B:B,0),"Open"),HYPERLINK("#'Main'!B1","Open"))</f>
        <v/>
      </c>
    </row>
    <row r="57" ht="18" customHeight="1">
      <c r="A57" s="35" t="inlineStr">
        <is>
          <t>https://africanmarketingconfederation.org/smoke-archive/page-64</t>
        </is>
      </c>
      <c r="B57" s="28" t="inlineStr">
        <is>
          <t>Duplicate Content</t>
        </is>
      </c>
      <c r="C57" s="28" t="inlineStr"/>
      <c r="D57" s="28" t="inlineStr">
        <is>
          <t>Probable draft or near-duplicate page (100% content similarity) of https://africanmarketingconfederation.org/smoke-archive/page-3</t>
        </is>
      </c>
      <c r="E57" s="28" t="n">
        <v>0</v>
      </c>
      <c r="F57" s="20" t="n">
        <v>0</v>
      </c>
      <c r="G57" s="20" t="inlineStr">
        <is>
          <t>https://africanmarketingconfederation.org/smoke-archive/page-3</t>
        </is>
      </c>
      <c r="H57" s="28" t="inlineStr">
        <is>
          <t>Consolidate to one canonical URL: remove or noindex the draft/copy page, 301 redirect to the primary page, and deduplicate repetitive H2/H3 blocks.</t>
        </is>
      </c>
      <c r="I57" s="28" t="inlineStr">
        <is>
          <t>Warning</t>
        </is>
      </c>
      <c r="J57" s="28" t="inlineStr">
        <is>
          <t>Duplicates</t>
        </is>
      </c>
      <c r="K57">
        <f>IFERROR(HYPERLINK("#'Main'!B"&amp;MATCH(TRIM(A57),'Main'!B:B,0),"Open"),HYPERLINK("#'Main'!B1","Open"))</f>
        <v/>
      </c>
    </row>
    <row r="58" ht="18" customHeight="1">
      <c r="A58" s="37" t="inlineStr">
        <is>
          <t>https://africanmarketingconfederation.org/smoke-archive/page-65</t>
        </is>
      </c>
      <c r="B58" s="30" t="inlineStr">
        <is>
          <t>Duplicate Content</t>
        </is>
      </c>
      <c r="C58" s="30" t="inlineStr"/>
      <c r="D58" s="30" t="inlineStr">
        <is>
          <t>Probable draft or near-duplicate page (100% content similarity) of https://africanmarketingconfederation.org/smoke-archive/page-3</t>
        </is>
      </c>
      <c r="E58" s="30" t="n">
        <v>0</v>
      </c>
      <c r="F58" s="31" t="n">
        <v>0</v>
      </c>
      <c r="G58" s="31" t="inlineStr">
        <is>
          <t>https://africanmarketingconfederation.org/smoke-archive/page-3</t>
        </is>
      </c>
      <c r="H58" s="30" t="inlineStr">
        <is>
          <t>Consolidate to one canonical URL: remove or noindex the draft/copy page, 301 redirect to the primary page, and deduplicate repetitive H2/H3 blocks.</t>
        </is>
      </c>
      <c r="I58" s="30" t="inlineStr">
        <is>
          <t>Warning</t>
        </is>
      </c>
      <c r="J58" s="30" t="inlineStr">
        <is>
          <t>Duplicates</t>
        </is>
      </c>
      <c r="K58" s="38">
        <f>IFERROR(HYPERLINK("#'Main'!B"&amp;MATCH(TRIM(A58),'Main'!B:B,0),"Open"),HYPERLINK("#'Main'!B1","Open"))</f>
        <v/>
      </c>
    </row>
    <row r="59" ht="18" customHeight="1">
      <c r="A59" s="35" t="inlineStr">
        <is>
          <t>https://africanmarketingconfederation.org/smoke-archive/page-66</t>
        </is>
      </c>
      <c r="B59" s="28" t="inlineStr">
        <is>
          <t>Duplicate Content</t>
        </is>
      </c>
      <c r="C59" s="28" t="inlineStr"/>
      <c r="D59" s="28" t="inlineStr">
        <is>
          <t>Probable draft or near-duplicate page (100% content similarity) of https://africanmarketingconfederation.org/smoke-archive/page-3</t>
        </is>
      </c>
      <c r="E59" s="28" t="n">
        <v>0</v>
      </c>
      <c r="F59" s="20" t="n">
        <v>0</v>
      </c>
      <c r="G59" s="20" t="inlineStr">
        <is>
          <t>https://africanmarketingconfederation.org/smoke-archive/page-3</t>
        </is>
      </c>
      <c r="H59" s="28" t="inlineStr">
        <is>
          <t>Consolidate to one canonical URL: remove or noindex the draft/copy page, 301 redirect to the primary page, and deduplicate repetitive H2/H3 blocks.</t>
        </is>
      </c>
      <c r="I59" s="28" t="inlineStr">
        <is>
          <t>Warning</t>
        </is>
      </c>
      <c r="J59" s="28" t="inlineStr">
        <is>
          <t>Duplicates</t>
        </is>
      </c>
      <c r="K59">
        <f>IFERROR(HYPERLINK("#'Main'!B"&amp;MATCH(TRIM(A59),'Main'!B:B,0),"Open"),HYPERLINK("#'Main'!B1","Open"))</f>
        <v/>
      </c>
    </row>
    <row r="60" ht="18" customHeight="1">
      <c r="A60" s="37" t="inlineStr">
        <is>
          <t>https://africanmarketingconfederation.org/smoke-archive/page-67</t>
        </is>
      </c>
      <c r="B60" s="30" t="inlineStr">
        <is>
          <t>Duplicate Content</t>
        </is>
      </c>
      <c r="C60" s="30" t="inlineStr"/>
      <c r="D60" s="30" t="inlineStr">
        <is>
          <t>Probable draft or near-duplicate page (100% content similarity) of https://africanmarketingconfederation.org/smoke-archive/page-3</t>
        </is>
      </c>
      <c r="E60" s="30" t="n">
        <v>0</v>
      </c>
      <c r="F60" s="31" t="n">
        <v>0</v>
      </c>
      <c r="G60" s="31" t="inlineStr">
        <is>
          <t>https://africanmarketingconfederation.org/smoke-archive/page-3</t>
        </is>
      </c>
      <c r="H60" s="30" t="inlineStr">
        <is>
          <t>Consolidate to one canonical URL: remove or noindex the draft/copy page, 301 redirect to the primary page, and deduplicate repetitive H2/H3 blocks.</t>
        </is>
      </c>
      <c r="I60" s="30" t="inlineStr">
        <is>
          <t>Warning</t>
        </is>
      </c>
      <c r="J60" s="30" t="inlineStr">
        <is>
          <t>Duplicates</t>
        </is>
      </c>
      <c r="K60" s="38">
        <f>IFERROR(HYPERLINK("#'Main'!B"&amp;MATCH(TRIM(A60),'Main'!B:B,0),"Open"),HYPERLINK("#'Main'!B1","Open"))</f>
        <v/>
      </c>
    </row>
    <row r="61" ht="18" customHeight="1">
      <c r="A61" s="35" t="inlineStr">
        <is>
          <t>https://africanmarketingconfederation.org/smoke-archive/page-68</t>
        </is>
      </c>
      <c r="B61" s="28" t="inlineStr">
        <is>
          <t>Duplicate Content</t>
        </is>
      </c>
      <c r="C61" s="28" t="inlineStr"/>
      <c r="D61" s="28" t="inlineStr">
        <is>
          <t>Probable draft or near-duplicate page (100% content similarity) of https://africanmarketingconfederation.org/smoke-archive/page-3</t>
        </is>
      </c>
      <c r="E61" s="28" t="n">
        <v>0</v>
      </c>
      <c r="F61" s="20" t="n">
        <v>0</v>
      </c>
      <c r="G61" s="20" t="inlineStr">
        <is>
          <t>https://africanmarketingconfederation.org/smoke-archive/page-3</t>
        </is>
      </c>
      <c r="H61" s="28" t="inlineStr">
        <is>
          <t>Consolidate to one canonical URL: remove or noindex the draft/copy page, 301 redirect to the primary page, and deduplicate repetitive H2/H3 blocks.</t>
        </is>
      </c>
      <c r="I61" s="28" t="inlineStr">
        <is>
          <t>Warning</t>
        </is>
      </c>
      <c r="J61" s="28" t="inlineStr">
        <is>
          <t>Duplicates</t>
        </is>
      </c>
      <c r="K61">
        <f>IFERROR(HYPERLINK("#'Main'!B"&amp;MATCH(TRIM(A61),'Main'!B:B,0),"Open"),HYPERLINK("#'Main'!B1","Open"))</f>
        <v/>
      </c>
    </row>
    <row r="62" ht="18" customHeight="1">
      <c r="A62" s="37" t="inlineStr">
        <is>
          <t>https://africanmarketingconfederation.org/smoke-archive/page-69</t>
        </is>
      </c>
      <c r="B62" s="30" t="inlineStr">
        <is>
          <t>Duplicate Content</t>
        </is>
      </c>
      <c r="C62" s="30" t="inlineStr"/>
      <c r="D62" s="30" t="inlineStr">
        <is>
          <t>Probable draft or near-duplicate page (100% content similarity) of https://africanmarketingconfederation.org/smoke-archive/page-3</t>
        </is>
      </c>
      <c r="E62" s="30" t="n">
        <v>0</v>
      </c>
      <c r="F62" s="31" t="n">
        <v>0</v>
      </c>
      <c r="G62" s="31" t="inlineStr">
        <is>
          <t>https://africanmarketingconfederation.org/smoke-archive/page-3</t>
        </is>
      </c>
      <c r="H62" s="30" t="inlineStr">
        <is>
          <t>Consolidate to one canonical URL: remove or noindex the draft/copy page, 301 redirect to the primary page, and deduplicate repetitive H2/H3 blocks.</t>
        </is>
      </c>
      <c r="I62" s="30" t="inlineStr">
        <is>
          <t>Warning</t>
        </is>
      </c>
      <c r="J62" s="30" t="inlineStr">
        <is>
          <t>Duplicates</t>
        </is>
      </c>
      <c r="K62" s="38">
        <f>IFERROR(HYPERLINK("#'Main'!B"&amp;MATCH(TRIM(A62),'Main'!B:B,0),"Open"),HYPERLINK("#'Main'!B1","Open"))</f>
        <v/>
      </c>
    </row>
    <row r="63" ht="18" customHeight="1">
      <c r="A63" s="35" t="inlineStr">
        <is>
          <t>https://africanmarketingconfederation.org/smoke-archive/page-70</t>
        </is>
      </c>
      <c r="B63" s="28" t="inlineStr">
        <is>
          <t>Duplicate Content</t>
        </is>
      </c>
      <c r="C63" s="28" t="inlineStr"/>
      <c r="D63" s="28" t="inlineStr">
        <is>
          <t>Probable draft or near-duplicate page (100% content similarity) of https://africanmarketingconfederation.org/smoke-archive/page-3</t>
        </is>
      </c>
      <c r="E63" s="28" t="n">
        <v>0</v>
      </c>
      <c r="F63" s="20" t="n">
        <v>0</v>
      </c>
      <c r="G63" s="20" t="inlineStr">
        <is>
          <t>https://africanmarketingconfederation.org/smoke-archive/page-3</t>
        </is>
      </c>
      <c r="H63" s="28" t="inlineStr">
        <is>
          <t>Consolidate to one canonical URL: remove or noindex the draft/copy page, 301 redirect to the primary page, and deduplicate repetitive H2/H3 blocks.</t>
        </is>
      </c>
      <c r="I63" s="28" t="inlineStr">
        <is>
          <t>Warning</t>
        </is>
      </c>
      <c r="J63" s="28" t="inlineStr">
        <is>
          <t>Duplicates</t>
        </is>
      </c>
      <c r="K63">
        <f>IFERROR(HYPERLINK("#'Main'!B"&amp;MATCH(TRIM(A63),'Main'!B:B,0),"Open"),HYPERLINK("#'Main'!B1","Open"))</f>
        <v/>
      </c>
    </row>
    <row r="64" ht="18" customHeight="1">
      <c r="A64" s="37" t="inlineStr">
        <is>
          <t>https://africanmarketingconfederation.org/smoke-archive/page-71</t>
        </is>
      </c>
      <c r="B64" s="30" t="inlineStr">
        <is>
          <t>Duplicate Content</t>
        </is>
      </c>
      <c r="C64" s="30" t="inlineStr"/>
      <c r="D64" s="30" t="inlineStr">
        <is>
          <t>Probable draft or near-duplicate page (100% content similarity) of https://africanmarketingconfederation.org/smoke-archive/page-3</t>
        </is>
      </c>
      <c r="E64" s="30" t="n">
        <v>0</v>
      </c>
      <c r="F64" s="31" t="n">
        <v>0</v>
      </c>
      <c r="G64" s="31" t="inlineStr">
        <is>
          <t>https://africanmarketingconfederation.org/smoke-archive/page-3</t>
        </is>
      </c>
      <c r="H64" s="30" t="inlineStr">
        <is>
          <t>Consolidate to one canonical URL: remove or noindex the draft/copy page, 301 redirect to the primary page, and deduplicate repetitive H2/H3 blocks.</t>
        </is>
      </c>
      <c r="I64" s="30" t="inlineStr">
        <is>
          <t>Warning</t>
        </is>
      </c>
      <c r="J64" s="30" t="inlineStr">
        <is>
          <t>Duplicates</t>
        </is>
      </c>
      <c r="K64" s="38">
        <f>IFERROR(HYPERLINK("#'Main'!B"&amp;MATCH(TRIM(A64),'Main'!B:B,0),"Open"),HYPERLINK("#'Main'!B1","Open"))</f>
        <v/>
      </c>
    </row>
    <row r="65" ht="18" customHeight="1">
      <c r="A65" s="35" t="inlineStr">
        <is>
          <t>https://africanmarketingconfederation.org/smoke-archive/page-72</t>
        </is>
      </c>
      <c r="B65" s="28" t="inlineStr">
        <is>
          <t>Duplicate Content</t>
        </is>
      </c>
      <c r="C65" s="28" t="inlineStr"/>
      <c r="D65" s="28" t="inlineStr">
        <is>
          <t>Probable draft or near-duplicate page (100% content similarity) of https://africanmarketingconfederation.org/smoke-archive/page-3</t>
        </is>
      </c>
      <c r="E65" s="28" t="n">
        <v>0</v>
      </c>
      <c r="F65" s="20" t="n">
        <v>0</v>
      </c>
      <c r="G65" s="20" t="inlineStr">
        <is>
          <t>https://africanmarketingconfederation.org/smoke-archive/page-3</t>
        </is>
      </c>
      <c r="H65" s="28" t="inlineStr">
        <is>
          <t>Consolidate to one canonical URL: remove or noindex the draft/copy page, 301 redirect to the primary page, and deduplicate repetitive H2/H3 blocks.</t>
        </is>
      </c>
      <c r="I65" s="28" t="inlineStr">
        <is>
          <t>Warning</t>
        </is>
      </c>
      <c r="J65" s="28" t="inlineStr">
        <is>
          <t>Duplicates</t>
        </is>
      </c>
      <c r="K65">
        <f>IFERROR(HYPERLINK("#'Main'!B"&amp;MATCH(TRIM(A65),'Main'!B:B,0),"Open"),HYPERLINK("#'Main'!B1","Open"))</f>
        <v/>
      </c>
    </row>
    <row r="66" ht="18" customHeight="1">
      <c r="A66" s="37" t="inlineStr">
        <is>
          <t>https://africanmarketingconfederation.org/smoke-archive/page-73</t>
        </is>
      </c>
      <c r="B66" s="30" t="inlineStr">
        <is>
          <t>Duplicate Content</t>
        </is>
      </c>
      <c r="C66" s="30" t="inlineStr"/>
      <c r="D66" s="30" t="inlineStr">
        <is>
          <t>Probable draft or near-duplicate page (100% content similarity) of https://africanmarketingconfederation.org/smoke-archive/page-3</t>
        </is>
      </c>
      <c r="E66" s="30" t="n">
        <v>0</v>
      </c>
      <c r="F66" s="31" t="n">
        <v>0</v>
      </c>
      <c r="G66" s="31" t="inlineStr">
        <is>
          <t>https://africanmarketingconfederation.org/smoke-archive/page-3</t>
        </is>
      </c>
      <c r="H66" s="30" t="inlineStr">
        <is>
          <t>Consolidate to one canonical URL: remove or noindex the draft/copy page, 301 redirect to the primary page, and deduplicate repetitive H2/H3 blocks.</t>
        </is>
      </c>
      <c r="I66" s="30" t="inlineStr">
        <is>
          <t>Warning</t>
        </is>
      </c>
      <c r="J66" s="30" t="inlineStr">
        <is>
          <t>Duplicates</t>
        </is>
      </c>
      <c r="K66" s="38">
        <f>IFERROR(HYPERLINK("#'Main'!B"&amp;MATCH(TRIM(A66),'Main'!B:B,0),"Open"),HYPERLINK("#'Main'!B1","Open"))</f>
        <v/>
      </c>
    </row>
    <row r="67" ht="18" customHeight="1">
      <c r="A67" s="35" t="inlineStr">
        <is>
          <t>https://africanmarketingconfederation.org/smoke-archive/page-74</t>
        </is>
      </c>
      <c r="B67" s="28" t="inlineStr">
        <is>
          <t>Duplicate Content</t>
        </is>
      </c>
      <c r="C67" s="28" t="inlineStr"/>
      <c r="D67" s="28" t="inlineStr">
        <is>
          <t>Probable draft or near-duplicate page (100% content similarity) of https://africanmarketingconfederation.org/smoke-archive/page-3</t>
        </is>
      </c>
      <c r="E67" s="28" t="n">
        <v>0</v>
      </c>
      <c r="F67" s="20" t="n">
        <v>0</v>
      </c>
      <c r="G67" s="20" t="inlineStr">
        <is>
          <t>https://africanmarketingconfederation.org/smoke-archive/page-3</t>
        </is>
      </c>
      <c r="H67" s="28" t="inlineStr">
        <is>
          <t>Consolidate to one canonical URL: remove or noindex the draft/copy page, 301 redirect to the primary page, and deduplicate repetitive H2/H3 blocks.</t>
        </is>
      </c>
      <c r="I67" s="28" t="inlineStr">
        <is>
          <t>Warning</t>
        </is>
      </c>
      <c r="J67" s="28" t="inlineStr">
        <is>
          <t>Duplicates</t>
        </is>
      </c>
      <c r="K67">
        <f>IFERROR(HYPERLINK("#'Main'!B"&amp;MATCH(TRIM(A67),'Main'!B:B,0),"Open"),HYPERLINK("#'Main'!B1","Open"))</f>
        <v/>
      </c>
    </row>
    <row r="68" ht="18" customHeight="1">
      <c r="A68" s="37" t="inlineStr">
        <is>
          <t>https://africanmarketingconfederation.org/smoke-archive/page-75</t>
        </is>
      </c>
      <c r="B68" s="30" t="inlineStr">
        <is>
          <t>Duplicate Content</t>
        </is>
      </c>
      <c r="C68" s="30" t="inlineStr"/>
      <c r="D68" s="30" t="inlineStr">
        <is>
          <t>Probable draft or near-duplicate page (100% content similarity) of https://africanmarketingconfederation.org/smoke-archive/page-3</t>
        </is>
      </c>
      <c r="E68" s="30" t="n">
        <v>0</v>
      </c>
      <c r="F68" s="31" t="n">
        <v>0</v>
      </c>
      <c r="G68" s="31" t="inlineStr">
        <is>
          <t>https://africanmarketingconfederation.org/smoke-archive/page-3</t>
        </is>
      </c>
      <c r="H68" s="30" t="inlineStr">
        <is>
          <t>Consolidate to one canonical URL: remove or noindex the draft/copy page, 301 redirect to the primary page, and deduplicate repetitive H2/H3 blocks.</t>
        </is>
      </c>
      <c r="I68" s="30" t="inlineStr">
        <is>
          <t>Warning</t>
        </is>
      </c>
      <c r="J68" s="30" t="inlineStr">
        <is>
          <t>Duplicates</t>
        </is>
      </c>
      <c r="K68" s="38">
        <f>IFERROR(HYPERLINK("#'Main'!B"&amp;MATCH(TRIM(A68),'Main'!B:B,0),"Open"),HYPERLINK("#'Main'!B1","Open"))</f>
        <v/>
      </c>
    </row>
    <row r="69" ht="18" customHeight="1">
      <c r="A69" s="35" t="inlineStr">
        <is>
          <t>https://africanmarketingconfederation.org/smoke-archive/page-76</t>
        </is>
      </c>
      <c r="B69" s="28" t="inlineStr">
        <is>
          <t>Duplicate Content</t>
        </is>
      </c>
      <c r="C69" s="28" t="inlineStr"/>
      <c r="D69" s="28" t="inlineStr">
        <is>
          <t>Probable draft or near-duplicate page (100% content similarity) of https://africanmarketingconfederation.org/smoke-archive/page-3</t>
        </is>
      </c>
      <c r="E69" s="28" t="n">
        <v>0</v>
      </c>
      <c r="F69" s="20" t="n">
        <v>0</v>
      </c>
      <c r="G69" s="20" t="inlineStr">
        <is>
          <t>https://africanmarketingconfederation.org/smoke-archive/page-3</t>
        </is>
      </c>
      <c r="H69" s="28" t="inlineStr">
        <is>
          <t>Consolidate to one canonical URL: remove or noindex the draft/copy page, 301 redirect to the primary page, and deduplicate repetitive H2/H3 blocks.</t>
        </is>
      </c>
      <c r="I69" s="28" t="inlineStr">
        <is>
          <t>Warning</t>
        </is>
      </c>
      <c r="J69" s="28" t="inlineStr">
        <is>
          <t>Duplicates</t>
        </is>
      </c>
      <c r="K69">
        <f>IFERROR(HYPERLINK("#'Main'!B"&amp;MATCH(TRIM(A69),'Main'!B:B,0),"Open"),HYPERLINK("#'Main'!B1","Open"))</f>
        <v/>
      </c>
    </row>
    <row r="70" ht="18" customHeight="1">
      <c r="A70" s="37" t="inlineStr">
        <is>
          <t>https://africanmarketingconfederation.org/smoke-archive/page-77</t>
        </is>
      </c>
      <c r="B70" s="30" t="inlineStr">
        <is>
          <t>Duplicate Content</t>
        </is>
      </c>
      <c r="C70" s="30" t="inlineStr"/>
      <c r="D70" s="30" t="inlineStr">
        <is>
          <t>Probable draft or near-duplicate page (100% content similarity) of https://africanmarketingconfederation.org/smoke-archive/page-3</t>
        </is>
      </c>
      <c r="E70" s="30" t="n">
        <v>0</v>
      </c>
      <c r="F70" s="31" t="n">
        <v>0</v>
      </c>
      <c r="G70" s="31" t="inlineStr">
        <is>
          <t>https://africanmarketingconfederation.org/smoke-archive/page-3</t>
        </is>
      </c>
      <c r="H70" s="30" t="inlineStr">
        <is>
          <t>Consolidate to one canonical URL: remove or noindex the draft/copy page, 301 redirect to the primary page, and deduplicate repetitive H2/H3 blocks.</t>
        </is>
      </c>
      <c r="I70" s="30" t="inlineStr">
        <is>
          <t>Warning</t>
        </is>
      </c>
      <c r="J70" s="30" t="inlineStr">
        <is>
          <t>Duplicates</t>
        </is>
      </c>
      <c r="K70" s="38">
        <f>IFERROR(HYPERLINK("#'Main'!B"&amp;MATCH(TRIM(A70),'Main'!B:B,0),"Open"),HYPERLINK("#'Main'!B1","Open"))</f>
        <v/>
      </c>
    </row>
    <row r="71" ht="18" customHeight="1">
      <c r="A71" s="35" t="inlineStr">
        <is>
          <t>https://africanmarketingconfederation.org/smoke-archive/page-78</t>
        </is>
      </c>
      <c r="B71" s="28" t="inlineStr">
        <is>
          <t>Duplicate Content</t>
        </is>
      </c>
      <c r="C71" s="28" t="inlineStr"/>
      <c r="D71" s="28" t="inlineStr">
        <is>
          <t>Probable draft or near-duplicate page (100% content similarity) of https://africanmarketingconfederation.org/smoke-archive/page-3</t>
        </is>
      </c>
      <c r="E71" s="28" t="n">
        <v>0</v>
      </c>
      <c r="F71" s="20" t="n">
        <v>0</v>
      </c>
      <c r="G71" s="20" t="inlineStr">
        <is>
          <t>https://africanmarketingconfederation.org/smoke-archive/page-3</t>
        </is>
      </c>
      <c r="H71" s="28" t="inlineStr">
        <is>
          <t>Consolidate to one canonical URL: remove or noindex the draft/copy page, 301 redirect to the primary page, and deduplicate repetitive H2/H3 blocks.</t>
        </is>
      </c>
      <c r="I71" s="28" t="inlineStr">
        <is>
          <t>Warning</t>
        </is>
      </c>
      <c r="J71" s="28" t="inlineStr">
        <is>
          <t>Duplicates</t>
        </is>
      </c>
      <c r="K71">
        <f>IFERROR(HYPERLINK("#'Main'!B"&amp;MATCH(TRIM(A71),'Main'!B:B,0),"Open"),HYPERLINK("#'Main'!B1","Open"))</f>
        <v/>
      </c>
    </row>
    <row r="72" ht="18" customHeight="1">
      <c r="A72" s="37" t="inlineStr">
        <is>
          <t>https://africanmarketingconfederation.org/smoke-archive/page-79</t>
        </is>
      </c>
      <c r="B72" s="30" t="inlineStr">
        <is>
          <t>Duplicate Content</t>
        </is>
      </c>
      <c r="C72" s="30" t="inlineStr"/>
      <c r="D72" s="30" t="inlineStr">
        <is>
          <t>Probable draft or near-duplicate page (100% content similarity) of https://africanmarketingconfederation.org/smoke-archive/page-3</t>
        </is>
      </c>
      <c r="E72" s="30" t="n">
        <v>0</v>
      </c>
      <c r="F72" s="31" t="n">
        <v>0</v>
      </c>
      <c r="G72" s="31" t="inlineStr">
        <is>
          <t>https://africanmarketingconfederation.org/smoke-archive/page-3</t>
        </is>
      </c>
      <c r="H72" s="30" t="inlineStr">
        <is>
          <t>Consolidate to one canonical URL: remove or noindex the draft/copy page, 301 redirect to the primary page, and deduplicate repetitive H2/H3 blocks.</t>
        </is>
      </c>
      <c r="I72" s="30" t="inlineStr">
        <is>
          <t>Warning</t>
        </is>
      </c>
      <c r="J72" s="30" t="inlineStr">
        <is>
          <t>Duplicates</t>
        </is>
      </c>
      <c r="K72" s="38">
        <f>IFERROR(HYPERLINK("#'Main'!B"&amp;MATCH(TRIM(A72),'Main'!B:B,0),"Open"),HYPERLINK("#'Main'!B1","Open"))</f>
        <v/>
      </c>
    </row>
    <row r="73" ht="18" customHeight="1">
      <c r="A73" s="35" t="inlineStr">
        <is>
          <t>https://africanmarketingconfederation.org/discovered-via-bfs-1</t>
        </is>
      </c>
      <c r="B73" s="28" t="inlineStr">
        <is>
          <t>Duplicate Content</t>
        </is>
      </c>
      <c r="C73" s="28" t="inlineStr"/>
      <c r="D73" s="28" t="inlineStr">
        <is>
          <t>Probable draft or near-duplicate page (100% content similarity) of https://africanmarketingconfederation.org/</t>
        </is>
      </c>
      <c r="E73" s="28" t="n">
        <v>0</v>
      </c>
      <c r="F73" s="20" t="n">
        <v>0</v>
      </c>
      <c r="G73" s="20" t="inlineStr">
        <is>
          <t>https://africanmarketingconfederation.org/</t>
        </is>
      </c>
      <c r="H73" s="28" t="inlineStr">
        <is>
          <t>Consolidate to one canonical URL: remove or noindex the draft/copy page, 301 redirect to the primary page, and deduplicate repetitive H2/H3 blocks.</t>
        </is>
      </c>
      <c r="I73" s="28" t="inlineStr">
        <is>
          <t>Warning</t>
        </is>
      </c>
      <c r="J73" s="28" t="inlineStr">
        <is>
          <t>Duplicates</t>
        </is>
      </c>
      <c r="K73">
        <f>IFERROR(HYPERLINK("#'Main'!B"&amp;MATCH(TRIM(A73),'Main'!B:B,0),"Open"),HYPERLINK("#'Main'!B1","Open"))</f>
        <v/>
      </c>
    </row>
    <row r="74" ht="18" customHeight="1">
      <c r="A74" s="37" t="inlineStr">
        <is>
          <t>https://africanmarketingconfederation.org/discovered-via-bfs-2</t>
        </is>
      </c>
      <c r="B74" s="30" t="inlineStr">
        <is>
          <t>Duplicate Content</t>
        </is>
      </c>
      <c r="C74" s="30" t="inlineStr"/>
      <c r="D74" s="30" t="inlineStr">
        <is>
          <t>Probable draft or near-duplicate page (100% content similarity) of https://africanmarketingconfederation.org/</t>
        </is>
      </c>
      <c r="E74" s="30" t="n">
        <v>0</v>
      </c>
      <c r="F74" s="31" t="n">
        <v>0</v>
      </c>
      <c r="G74" s="31" t="inlineStr">
        <is>
          <t>https://africanmarketingconfederation.org/</t>
        </is>
      </c>
      <c r="H74" s="30" t="inlineStr">
        <is>
          <t>Consolidate to one canonical URL: remove or noindex the draft/copy page, 301 redirect to the primary page, and deduplicate repetitive H2/H3 blocks.</t>
        </is>
      </c>
      <c r="I74" s="30" t="inlineStr">
        <is>
          <t>Warning</t>
        </is>
      </c>
      <c r="J74" s="30" t="inlineStr">
        <is>
          <t>Duplicates</t>
        </is>
      </c>
      <c r="K74" s="38">
        <f>IFERROR(HYPERLINK("#'Main'!B"&amp;MATCH(TRIM(A74),'Main'!B:B,0),"Open"),HYPERLINK("#'Main'!B1","Open"))</f>
        <v/>
      </c>
    </row>
    <row r="75" ht="18" customHeight="1">
      <c r="A75" s="35" t="inlineStr">
        <is>
          <t>https://africanmarketingconfederation.org/discovered-via-bfs-3</t>
        </is>
      </c>
      <c r="B75" s="28" t="inlineStr">
        <is>
          <t>Duplicate Content</t>
        </is>
      </c>
      <c r="C75" s="28" t="inlineStr"/>
      <c r="D75" s="28" t="inlineStr">
        <is>
          <t>Probable draft or near-duplicate page (100% content similarity) of https://africanmarketingconfederation.org/</t>
        </is>
      </c>
      <c r="E75" s="28" t="n">
        <v>0</v>
      </c>
      <c r="F75" s="20" t="n">
        <v>0</v>
      </c>
      <c r="G75" s="20" t="inlineStr">
        <is>
          <t>https://africanmarketingconfederation.org/</t>
        </is>
      </c>
      <c r="H75" s="28" t="inlineStr">
        <is>
          <t>Consolidate to one canonical URL: remove or noindex the draft/copy page, 301 redirect to the primary page, and deduplicate repetitive H2/H3 blocks.</t>
        </is>
      </c>
      <c r="I75" s="28" t="inlineStr">
        <is>
          <t>Warning</t>
        </is>
      </c>
      <c r="J75" s="28" t="inlineStr">
        <is>
          <t>Duplicates</t>
        </is>
      </c>
      <c r="K75">
        <f>IFERROR(HYPERLINK("#'Main'!B"&amp;MATCH(TRIM(A75),'Main'!B:B,0),"Open"),HYPERLINK("#'Main'!B1","Open"))</f>
        <v/>
      </c>
    </row>
    <row r="76" ht="18" customHeight="1">
      <c r="A76" s="31" t="inlineStr"/>
      <c r="B76" s="30" t="inlineStr">
        <is>
          <t>Template Pattern</t>
        </is>
      </c>
      <c r="C76" s="30" t="inlineStr">
        <is>
          <t>/</t>
        </is>
      </c>
      <c r="D76" s="30" t="inlineStr">
        <is>
          <t>No systemic template issues above 80%.</t>
        </is>
      </c>
      <c r="E76" s="30" t="n">
        <v>0</v>
      </c>
      <c r="F76" s="31" t="n">
        <v>0</v>
      </c>
      <c r="G76" s="31" t="inlineStr"/>
      <c r="H76" s="30" t="inlineStr">
        <is>
          <t>N/A</t>
        </is>
      </c>
      <c r="I76" s="30" t="inlineStr">
        <is>
          <t>Warning</t>
        </is>
      </c>
      <c r="J76" s="30" t="inlineStr">
        <is>
          <t>Pattern and Template Issues</t>
        </is>
      </c>
      <c r="K76" s="38">
        <f>IFERROR(HYPERLINK("#'Main'!B"&amp;MATCH(TRIM(A76),'Main'!B:B,0),"Open"),HYPERLINK("#'Main'!B1","Open"))</f>
        <v/>
      </c>
    </row>
  </sheetData>
  <autoFilter ref="A2:K76"/>
  <mergeCells count="2">
    <mergeCell ref="A1:B1"/>
    <mergeCell ref="C1:H1"/>
  </mergeCells>
  <conditionalFormatting sqref="I3:I76">
    <cfRule type="expression" priority="1" dxfId="0" stopIfTrue="1">
      <formula>LOWER(I2)="critical"</formula>
    </cfRule>
    <cfRule type="expression" priority="2" dxfId="1" stopIfTrue="1">
      <formula>LOWER(I2)="warning"</formula>
    </cfRule>
    <cfRule type="expression" priority="3" dxfId="2" stopIfTrue="1">
      <formula>OR(LOWER(I2)="pass",LOWER(I2)="observation")</formula>
    </cfRule>
    <cfRule type="expression" priority="7" dxfId="9" stopIfTrue="1">
      <formula>OR(NOT(ISERROR(SEARCH("Critical",I3))),NOT(ISERROR(SEARCH("Non-Pass",I3))),NOT(ISERROR(SEARCH("Error",I3))))</formula>
    </cfRule>
    <cfRule type="expression" priority="8" dxfId="10" stopIfTrue="1">
      <formula>OR(NOT(ISERROR(SEARCH("Warning",I3))),NOT(ISERROR(SEARCH("Needs Work",I3))))</formula>
    </cfRule>
  </conditionalFormatting>
  <conditionalFormatting sqref="A3:J76">
    <cfRule type="expression" priority="4" dxfId="3" stopIfTrue="0">
      <formula>MOD(ROW(),2)=0</formula>
    </cfRule>
  </conditionalFormatting>
  <conditionalFormatting sqref="D3:D76">
    <cfRule type="expression" priority="5" dxfId="9" stopIfTrue="1">
      <formula>OR(NOT(ISERROR(SEARCH("Critical",D3))),NOT(ISERROR(SEARCH("Non-Pass",D3))),NOT(ISERROR(SEARCH("Error",D3))))</formula>
    </cfRule>
    <cfRule type="expression" priority="6" dxfId="10" stopIfTrue="1">
      <formula>OR(NOT(ISERROR(SEARCH("Warning",D3))),NOT(ISERROR(SEARCH("Needs Work",D3))))</formula>
    </cfRule>
  </conditionalFormatting>
  <conditionalFormatting sqref="H3:H76">
    <cfRule type="expression" priority="9" dxfId="9" stopIfTrue="1">
      <formula>OR(NOT(ISERROR(SEARCH("Critical",H3))),NOT(ISERROR(SEARCH("Non-Pass",H3))),NOT(ISERROR(SEARCH("Error",H3))))</formula>
    </cfRule>
    <cfRule type="expression" priority="10" dxfId="10" stopIfTrue="1">
      <formula>OR(NOT(ISERROR(SEARCH("Warning",H3))),NOT(ISERROR(SEARCH("Needs Work",H3))))</formula>
    </cfRule>
  </conditionalFormatting>
  <conditionalFormatting sqref="B3:B76">
    <cfRule type="expression" priority="11" dxfId="9" stopIfTrue="1">
      <formula>OR(NOT(ISERROR(SEARCH("Critical",B3))),NOT(ISERROR(SEARCH("Non-Pass",B3))),NOT(ISERROR(SEARCH("Error",B3))))</formula>
    </cfRule>
    <cfRule type="expression" priority="12" dxfId="10" stopIfTrue="1">
      <formula>OR(NOT(ISERROR(SEARCH("Warning",B3))),NOT(ISERROR(SEARCH("Needs Work",B3))))</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tabColor rgb="002C3E50"/>
    <outlinePr summaryBelow="1" summaryRight="1"/>
    <pageSetUpPr fitToPage="1"/>
  </sheetPr>
  <dimension ref="A1:D137"/>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46" customWidth="1" min="1" max="1"/>
    <col width="48" customWidth="1" min="2" max="2"/>
    <col width="48" customWidth="1" min="3" max="3"/>
    <col width="55" customWidth="1" min="4" max="4"/>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Section</t>
        </is>
      </c>
      <c r="B2" s="26" t="inlineStr">
        <is>
          <t>Item</t>
        </is>
      </c>
      <c r="C2" s="26" t="inlineStr">
        <is>
          <t>Guideline</t>
        </is>
      </c>
      <c r="D2" s="26" t="inlineStr">
        <is>
          <t>Why It Matters</t>
        </is>
      </c>
    </row>
    <row r="3" ht="18" customHeight="1">
      <c r="A3" s="32" t="inlineStr">
        <is>
          <t>[Meta Data Standards]</t>
        </is>
      </c>
      <c r="B3" s="28" t="inlineStr"/>
      <c r="C3" s="28" t="inlineStr"/>
      <c r="D3" s="28" t="inlineStr"/>
    </row>
    <row r="4" ht="30" customHeight="1">
      <c r="A4" s="32" t="inlineStr"/>
      <c r="B4" s="30" t="inlineStr">
        <is>
          <t>Meta Title</t>
        </is>
      </c>
      <c r="C4" s="30" t="inlineStr">
        <is>
          <t>50-60 characters. Place primary keyword at the front. Avoid brand repetition unless there is space.</t>
        </is>
      </c>
      <c r="D4" s="30" t="inlineStr">
        <is>
          <t>Improves clarity and reduces SERP truncation risk.</t>
        </is>
      </c>
    </row>
    <row r="5" ht="30" customHeight="1">
      <c r="A5" s="32" t="inlineStr"/>
      <c r="B5" s="28" t="inlineStr">
        <is>
          <t>Meta Description</t>
        </is>
      </c>
      <c r="C5" s="28" t="inlineStr">
        <is>
          <t>120-160 characters. Must contain a clear Call-To-Action (CTA) and active verbs.</t>
        </is>
      </c>
      <c r="D5" s="28" t="inlineStr">
        <is>
          <t>Supports stronger click-through and intent alignment.</t>
        </is>
      </c>
    </row>
    <row r="6" ht="30" customHeight="1">
      <c r="A6" s="32" t="inlineStr"/>
      <c r="B6" s="30" t="inlineStr">
        <is>
          <t>Target Keywords</t>
        </is>
      </c>
      <c r="C6" s="30" t="inlineStr">
        <is>
          <t>1 Primary, 2 Secondary per page. Do not keyword stuff; focus on user intent.</t>
        </is>
      </c>
      <c r="D6" s="30" t="inlineStr">
        <is>
          <t>Keeps copy focused on topical relevance over keyword density.</t>
        </is>
      </c>
    </row>
    <row r="7" ht="18" customHeight="1">
      <c r="A7" s="32" t="inlineStr"/>
      <c r="B7" s="28" t="inlineStr"/>
      <c r="C7" s="28" t="inlineStr"/>
      <c r="D7" s="28" t="inlineStr"/>
    </row>
    <row r="8" ht="18" customHeight="1">
      <c r="A8" s="32" t="inlineStr">
        <is>
          <t>[On-Page Structure (H-Tags)]</t>
        </is>
      </c>
      <c r="B8" s="30" t="inlineStr"/>
      <c r="C8" s="30" t="inlineStr"/>
      <c r="D8" s="30" t="inlineStr"/>
    </row>
    <row r="9" ht="18" customHeight="1">
      <c r="A9" s="32" t="inlineStr"/>
      <c r="B9" s="28" t="inlineStr">
        <is>
          <t>H1 Tag</t>
        </is>
      </c>
      <c r="C9" s="28" t="inlineStr">
        <is>
          <t>Exactly ONE per page. Must contain the primary topic/keyword. Think of it as the 'Book Title'.</t>
        </is>
      </c>
      <c r="D9" s="28" t="inlineStr">
        <is>
          <t>Provides the clearest top-level topical signal.</t>
        </is>
      </c>
    </row>
    <row r="10" ht="30" customHeight="1">
      <c r="A10" s="32" t="inlineStr"/>
      <c r="B10" s="30" t="inlineStr">
        <is>
          <t>H2 Tags</t>
        </is>
      </c>
      <c r="C10" s="30" t="inlineStr">
        <is>
          <t>Main sections. Use question formats (Who, What, How) to trigger Answer Engine extraction.</t>
        </is>
      </c>
      <c r="D10" s="30" t="inlineStr">
        <is>
          <t>Improves structured scannability for users and LLMs.</t>
        </is>
      </c>
    </row>
    <row r="11" ht="30" customHeight="1">
      <c r="A11" s="32" t="inlineStr"/>
      <c r="B11" s="28" t="inlineStr">
        <is>
          <t>H3 Tags</t>
        </is>
      </c>
      <c r="C11" s="28" t="inlineStr">
        <is>
          <t>Sub-sections under H2s. Use for lists, steps, or detailed breakdowns.</t>
        </is>
      </c>
      <c r="D11" s="28" t="inlineStr">
        <is>
          <t>Strengthens hierarchy and supports extraction-ready formatting.</t>
        </is>
      </c>
    </row>
    <row r="12" ht="30" customHeight="1">
      <c r="A12" s="32" t="inlineStr"/>
      <c r="B12" s="30" t="inlineStr">
        <is>
          <t>H4-H6 Tags</t>
        </is>
      </c>
      <c r="C12" s="30" t="inlineStr">
        <is>
          <t>Use sparingly. Only for granular formatting within complex H3 topics.</t>
        </is>
      </c>
      <c r="D12" s="30" t="inlineStr">
        <is>
          <t>Avoids over-nesting while preserving semantic structure.</t>
        </is>
      </c>
    </row>
    <row r="13" ht="18" customHeight="1">
      <c r="A13" s="32" t="inlineStr"/>
      <c r="B13" s="28" t="inlineStr"/>
      <c r="C13" s="28" t="inlineStr"/>
      <c r="D13" s="28" t="inlineStr"/>
    </row>
    <row r="14" ht="18" customHeight="1">
      <c r="A14" s="32" t="inlineStr">
        <is>
          <t>[AEO (Answer Engine Optimisation) &amp; Content]</t>
        </is>
      </c>
      <c r="B14" s="30" t="inlineStr"/>
      <c r="C14" s="30" t="inlineStr"/>
      <c r="D14" s="30" t="inlineStr"/>
    </row>
    <row r="15" ht="30" customHeight="1">
      <c r="A15" s="32" t="inlineStr"/>
      <c r="B15" s="28" t="inlineStr">
        <is>
          <t>AEO Answer Blocks</t>
        </is>
      </c>
      <c r="C15" s="28" t="inlineStr">
        <is>
          <t>40-60 words. Placed directly beneath an H2 question. Must be factual, objective, and devoid of marketing fluff.</t>
        </is>
      </c>
      <c r="D15" s="28" t="inlineStr">
        <is>
          <t>Optimises direct extraction for answer engines and voice search.</t>
        </is>
      </c>
    </row>
    <row r="16" ht="30" customHeight="1">
      <c r="A16" s="32" t="inlineStr"/>
      <c r="B16" s="30" t="inlineStr">
        <is>
          <t>FAQ Schema</t>
        </is>
      </c>
      <c r="C16" s="30" t="inlineStr">
        <is>
          <t>Minimum 2-3 questions per informational page. Answers must be direct and stand alone without needing the rest of the page for context.</t>
        </is>
      </c>
      <c r="D16" s="30" t="inlineStr">
        <is>
          <t>Improves machine readability and rich-answer eligibility.</t>
        </is>
      </c>
    </row>
    <row r="17" ht="18" customHeight="1">
      <c r="A17" s="32" t="inlineStr"/>
      <c r="B17" s="28" t="inlineStr">
        <is>
          <t>Content Readability</t>
        </is>
      </c>
      <c r="C17" s="28" t="inlineStr">
        <is>
          <t>Keep sentences under 20 words. Use bullet points for any list of 3 or more items.</t>
        </is>
      </c>
      <c r="D17" s="28" t="inlineStr">
        <is>
          <t>Increases comprehension and snippet usability.</t>
        </is>
      </c>
    </row>
    <row r="18" ht="18" customHeight="1">
      <c r="A18" s="32" t="inlineStr"/>
      <c r="B18" s="30" t="inlineStr"/>
      <c r="C18" s="30" t="inlineStr"/>
      <c r="D18" s="30" t="inlineStr"/>
    </row>
    <row r="19" ht="18" customHeight="1">
      <c r="A19" s="32" t="inlineStr">
        <is>
          <t>[2025 AEO STRATEGY &amp; STANDARDS]</t>
        </is>
      </c>
      <c r="B19" s="28" t="inlineStr"/>
      <c r="C19" s="28" t="inlineStr"/>
      <c r="D19" s="28" t="inlineStr"/>
    </row>
    <row r="20" ht="45" customHeight="1">
      <c r="A20" s="32" t="inlineStr"/>
      <c r="B20" s="30" t="inlineStr">
        <is>
          <t>The 'Nugget' Rule</t>
        </is>
      </c>
      <c r="C20" s="30" t="inlineStr">
        <is>
          <t>The direct answer to a query must be located within the first 100 words of the relevant section.</t>
        </is>
      </c>
      <c r="D20" s="30" t="inlineStr">
        <is>
          <t>Answer engines surface the earliest concise fact block; burying the answer loses extraction priority.</t>
        </is>
      </c>
    </row>
    <row r="21" ht="45" customHeight="1">
      <c r="A21" s="32" t="inlineStr"/>
      <c r="B21" s="28" t="inlineStr">
        <is>
          <t>Objective Fact-Density</t>
        </is>
      </c>
      <c r="C21" s="28" t="inlineStr">
        <is>
          <t>Avoid subjective adjectives ('award-winning', 'best'). LLMs prioritize objective nouns and verified data points.</t>
        </is>
      </c>
      <c r="D21" s="28" t="inlineStr">
        <is>
          <t>Verifiable, concrete phrasing is easier to quote and less likely to be filtered as promotional noise.</t>
        </is>
      </c>
    </row>
    <row r="22" ht="30" customHeight="1">
      <c r="A22" s="32" t="inlineStr"/>
      <c r="B22" s="30" t="inlineStr">
        <is>
          <t>Inverted Pyramid Structure</t>
        </is>
      </c>
      <c r="C22" s="30" t="inlineStr">
        <is>
          <t>Question Heading &gt; Concise 50-word Answer &gt; Supporting Data/List &gt; Detailed Context.</t>
        </is>
      </c>
      <c r="D22" s="30" t="inlineStr">
        <is>
          <t>Mirrors how models chunk content: lead with the extractable answer, then evidence, then depth.</t>
        </is>
      </c>
    </row>
    <row r="23" ht="45" customHeight="1">
      <c r="A23" s="32" t="inlineStr"/>
      <c r="B23" s="28" t="inlineStr">
        <is>
          <t>Schema as an API</t>
        </is>
      </c>
      <c r="C23" s="28" t="inlineStr">
        <is>
          <t>View Schema not just for Google snippets, but as a direct data-feed for AI Answer Engines.</t>
        </is>
      </c>
      <c r="D23" s="28" t="inlineStr">
        <is>
          <t>Structured types (FAQ, HowTo, Speakable) become machine-addressable facts when kept in sync with visible copy.</t>
        </is>
      </c>
    </row>
    <row r="24" ht="18" customHeight="1">
      <c r="A24" s="32" t="inlineStr"/>
      <c r="B24" s="30" t="inlineStr"/>
      <c r="C24" s="30" t="inlineStr"/>
      <c r="D24" s="30" t="inlineStr"/>
    </row>
    <row r="25" ht="18" customHeight="1">
      <c r="A25" s="32" t="inlineStr">
        <is>
          <t>[Visual &amp; Social Branding]</t>
        </is>
      </c>
      <c r="B25" s="28" t="inlineStr"/>
      <c r="C25" s="28" t="inlineStr"/>
      <c r="D25" s="28" t="inlineStr"/>
    </row>
    <row r="26" ht="18" customHeight="1">
      <c r="A26" s="32" t="inlineStr"/>
      <c r="B26" s="30" t="inlineStr">
        <is>
          <t>OG Image</t>
        </is>
      </c>
      <c r="C26" s="30" t="inlineStr">
        <is>
          <t>1200 x 630 pixels. Keep text centered (safe zone) so it isn't cropped by mobile devices on LinkedIn/X.</t>
        </is>
      </c>
      <c r="D26" s="30" t="inlineStr">
        <is>
          <t>Ensures consistent social card presentation.</t>
        </is>
      </c>
    </row>
    <row r="27" ht="18" customHeight="1">
      <c r="A27" s="32" t="inlineStr"/>
      <c r="B27" s="28" t="inlineStr">
        <is>
          <t>Social Share Note</t>
        </is>
      </c>
      <c r="C27" s="28" t="inlineStr">
        <is>
          <t>Customize the message for the platform. LinkedIn = Professional insight. X (Twitter) = Quick hook. Facebook = Conversational.</t>
        </is>
      </c>
      <c r="D27" s="28" t="inlineStr">
        <is>
          <t>Improves engagement by matching platform context.</t>
        </is>
      </c>
    </row>
    <row r="28" ht="18" customHeight="1">
      <c r="A28" s="32" t="inlineStr"/>
      <c r="B28" s="30" t="inlineStr"/>
      <c r="C28" s="30" t="inlineStr"/>
      <c r="D28" s="30" t="inlineStr"/>
    </row>
    <row r="29" ht="18" customHeight="1">
      <c r="A29" s="32" t="inlineStr">
        <is>
          <t>[Issue Playbook]</t>
        </is>
      </c>
      <c r="B29" s="28" t="inlineStr"/>
      <c r="C29" s="28" t="inlineStr"/>
      <c r="D29" s="28" t="inlineStr"/>
    </row>
    <row r="30" ht="45" customHeight="1">
      <c r="A30" s="32" t="inlineStr">
        <is>
          <t>Issue Playbook</t>
        </is>
      </c>
      <c r="B30" s="30" t="inlineStr">
        <is>
          <t>Non-200 Status</t>
        </is>
      </c>
      <c r="C30" s="30" t="inlineStr">
        <is>
          <t>What: URL returns 4xx/5xx or equivalent failure.
Fix: Fix status code, restore page, or implement correct redirect to canonical destination.
Verify: Re-run the audit and confirm 'Non-200 Status' no longer appears for affected URLs on the Issue Inventory tab.</t>
        </is>
      </c>
      <c r="D30" s="30" t="inlineStr">
        <is>
          <t>Blocks indexation, ranking, or conversion until resolved. (Severity: Critical; Owner: Server/Host; Time: 4–10 hours)</t>
        </is>
      </c>
    </row>
    <row r="31" ht="45" customHeight="1">
      <c r="A31" s="32" t="inlineStr">
        <is>
          <t>Issue Playbook</t>
        </is>
      </c>
      <c r="B31" s="28" t="inlineStr">
        <is>
          <t>Missing Title</t>
        </is>
      </c>
      <c r="C31" s="28" t="inlineStr">
        <is>
          <t>What: The HTML &lt;title&gt; element is absent or empty.
Fix: 1. Add one unique &lt;title&gt; per URL (50–60 characters).
2. Lead with the primary topic, then brand.
3. Publish and request recrawl in Search Console.
Verify: View source or the Content Hub — Title Health should read OK.</t>
        </is>
      </c>
      <c r="D31" s="28" t="inlineStr">
        <is>
          <t>Titles are the primary SERP headline and strongest on-page relevance signal. (Severity: Critical; Owner: Copy Writer; Time: 4–10 hours)</t>
        </is>
      </c>
    </row>
    <row r="32" ht="45" customHeight="1">
      <c r="A32" s="32" t="inlineStr">
        <is>
          <t>Issue Playbook</t>
        </is>
      </c>
      <c r="B32" s="30" t="inlineStr">
        <is>
          <t>Noindex Directive</t>
        </is>
      </c>
      <c r="C32" s="30" t="inlineStr">
        <is>
          <t>What: Meta robots or X-Robots-Tag contains noindex.
Fix: Remove unintended noindex directives on index-worthy URLs.
Verify: Re-run the audit and confirm 'Noindex Directive' no longer appears for affected URLs on the Issue Inventory tab.</t>
        </is>
      </c>
      <c r="D32" s="30" t="inlineStr">
        <is>
          <t>Blocks indexation, ranking, or conversion until resolved. (Severity: Critical; Owner: Dev; Time: 4–10 hours)</t>
        </is>
      </c>
    </row>
    <row r="33" ht="45" customHeight="1">
      <c r="A33" s="32" t="inlineStr">
        <is>
          <t>Issue Playbook</t>
        </is>
      </c>
      <c r="B33" s="28" t="inlineStr">
        <is>
          <t>Canonical Points Elsewhere</t>
        </is>
      </c>
      <c r="C33" s="28" t="inlineStr">
        <is>
          <t>What: Canonical targets a different URL variant.
Fix: Align canonical to preferred final URL and ensure internal links use canonical target.
Verify: Re-run the audit and confirm 'Canonical Points Elsewhere' no longer appears for affected URLs on the Issue Inventory tab.</t>
        </is>
      </c>
      <c r="D33" s="28" t="inlineStr">
        <is>
          <t>Blocks indexation, ranking, or conversion until resolved. (Severity: Critical; Owner: Dev; Time: 4–10 hours)</t>
        </is>
      </c>
    </row>
    <row r="34" ht="45" customHeight="1">
      <c r="A34" s="32" t="inlineStr">
        <is>
          <t>Issue Playbook</t>
        </is>
      </c>
      <c r="B34" s="30" t="inlineStr">
        <is>
          <t>Robots.txt Disallow Root</t>
        </is>
      </c>
      <c r="C34" s="30" t="inlineStr">
        <is>
          <t>What: Template/technical implementation quality issue.
Fix: Apply fix based on issue type and re-run audit.
Verify: Re-run the audit and confirm 'Robots.txt Disallow Root' no longer appears for affected URLs on the Issue Inventory tab.</t>
        </is>
      </c>
      <c r="D34" s="30" t="inlineStr">
        <is>
          <t>Blocks indexation, ranking, or conversion until resolved. (Severity: Critical; Owner: Server/Host; Time: 4–10 hours)</t>
        </is>
      </c>
    </row>
    <row r="35" ht="45" customHeight="1">
      <c r="A35" s="32" t="inlineStr">
        <is>
          <t>Issue Playbook</t>
        </is>
      </c>
      <c r="B35" s="28" t="inlineStr">
        <is>
          <t>CWV LCP Above 4.0s (Field Data)</t>
        </is>
      </c>
      <c r="C35" s="28" t="inlineStr">
        <is>
          <t>What: Template/technical implementation quality issue.
Fix: Apply fix based on issue type and re-run audit.
Verify: Re-run the audit and confirm 'CWV LCP Above 4.0s (Field Data)' no longer appears for affected URLs on the Issue Inventory tab.</t>
        </is>
      </c>
      <c r="D35" s="28" t="inlineStr">
        <is>
          <t>Blocks indexation, ranking, or conversion until resolved. (Severity: Critical; Owner: Dev; Time: 4–10 hours)</t>
        </is>
      </c>
    </row>
    <row r="36" ht="45" customHeight="1">
      <c r="A36" s="32" t="inlineStr">
        <is>
          <t>Issue Playbook</t>
        </is>
      </c>
      <c r="B36" s="30" t="inlineStr">
        <is>
          <t>Lab LCP Above 4.0s (Mobile)</t>
        </is>
      </c>
      <c r="C36" s="30" t="inlineStr">
        <is>
          <t>What: Template/technical implementation quality issue.
Fix: Apply fix based on issue type and re-run audit.
Verify: Re-run the audit and confirm 'Lab LCP Above 4.0s (Mobile)' no longer appears for affected URLs on the Issue Inventory tab.</t>
        </is>
      </c>
      <c r="D36" s="30" t="inlineStr">
        <is>
          <t>Blocks indexation, ranking, or conversion until resolved. (Severity: Critical; Owner: Dev; Time: 4–10 hours)</t>
        </is>
      </c>
    </row>
    <row r="37" ht="45" customHeight="1">
      <c r="A37" s="32" t="inlineStr">
        <is>
          <t>Issue Playbook</t>
        </is>
      </c>
      <c r="B37" s="28" t="inlineStr">
        <is>
          <t>Broken Internal Links</t>
        </is>
      </c>
      <c r="C37" s="28" t="inlineStr">
        <is>
          <t>What: Internal links resolve to missing or error pages.
Fix: Update internal links to valid URLs and remove dead references.
Verify: Re-run the audit and confirm 'Broken Internal Links' no longer appears for affected URLs on the Issue Inventory tab.</t>
        </is>
      </c>
      <c r="D37" s="28" t="inlineStr">
        <is>
          <t>Blocks indexation, ranking, or conversion until resolved. (Severity: Critical; Owner: Dev; Time: 4–10 hours)</t>
        </is>
      </c>
    </row>
    <row r="38" ht="45" customHeight="1">
      <c r="A38" s="32" t="inlineStr">
        <is>
          <t>Issue Playbook</t>
        </is>
      </c>
      <c r="B38" s="30" t="inlineStr">
        <is>
          <t>Redirect Chains</t>
        </is>
      </c>
      <c r="C38" s="30" t="inlineStr">
        <is>
          <t>What: Template/technical implementation quality issue.
Fix: Apply fix based on issue type and re-run audit.
Verify: Re-run the audit and confirm 'Redirect Chains' no longer appears for affected URLs on the Issue Inventory tab.</t>
        </is>
      </c>
      <c r="D38" s="30" t="inlineStr">
        <is>
          <t>Dilutes crawl budget, relevance signals, or user trust if left open. (Severity: Warning; Owner: Dev; Time: 1–4 hours)</t>
        </is>
      </c>
    </row>
    <row r="39" ht="45" customHeight="1">
      <c r="A39" s="32" t="inlineStr">
        <is>
          <t>Issue Playbook</t>
        </is>
      </c>
      <c r="B39" s="28" t="inlineStr">
        <is>
          <t>302 Redirect (Temporary)</t>
        </is>
      </c>
      <c r="C39" s="28" t="inlineStr">
        <is>
          <t>What: Template/technical implementation quality issue.
Fix: Apply fix based on issue type and re-run audit.
Verify: Re-run the audit and confirm '302 Redirect (Temporary)' no longer appears for affected URLs on the Issue Inventory tab.</t>
        </is>
      </c>
      <c r="D39" s="28" t="inlineStr">
        <is>
          <t>Dilutes crawl budget, relevance signals, or user trust if left open. (Severity: Warning; Owner: Dev; Time: 1–4 hours)</t>
        </is>
      </c>
    </row>
    <row r="40" ht="45" customHeight="1">
      <c r="A40" s="32" t="inlineStr">
        <is>
          <t>Issue Playbook</t>
        </is>
      </c>
      <c r="B40" s="30" t="inlineStr">
        <is>
          <t>Mixed 301/302 Chain</t>
        </is>
      </c>
      <c r="C40" s="30" t="inlineStr">
        <is>
          <t>What: Template/technical implementation quality issue.
Fix: Apply fix based on issue type and re-run audit.
Verify: Re-run the audit and confirm 'Mixed 301/302 Chain' no longer appears for affected URLs on the Issue Inventory tab.</t>
        </is>
      </c>
      <c r="D40" s="30" t="inlineStr">
        <is>
          <t>Dilutes crawl budget, relevance signals, or user trust if left open. (Severity: Warning; Owner: Dev; Time: 1–4 hours)</t>
        </is>
      </c>
    </row>
    <row r="41" ht="45" customHeight="1">
      <c r="A41" s="32" t="inlineStr">
        <is>
          <t>Issue Playbook</t>
        </is>
      </c>
      <c r="B41" s="28" t="inlineStr">
        <is>
          <t>Redirect Loop</t>
        </is>
      </c>
      <c r="C41" s="28" t="inlineStr">
        <is>
          <t>What: Template/technical implementation quality issue.
Fix: Apply fix based on issue type and re-run audit.
Verify: Re-run the audit and confirm 'Redirect Loop' no longer appears for affected URLs on the Issue Inventory tab.</t>
        </is>
      </c>
      <c r="D41" s="28" t="inlineStr">
        <is>
          <t>Blocks indexation, ranking, or conversion until resolved. (Severity: Critical; Owner: Dev; Time: 4–10 hours)</t>
        </is>
      </c>
    </row>
    <row r="42" ht="45" customHeight="1">
      <c r="A42" s="32" t="inlineStr">
        <is>
          <t>Issue Playbook</t>
        </is>
      </c>
      <c r="B42" s="30" t="inlineStr">
        <is>
          <t>Canonical Chain (&gt;1 hop)</t>
        </is>
      </c>
      <c r="C42" s="30" t="inlineStr">
        <is>
          <t>What: Template/technical implementation quality issue.
Fix: Apply fix based on issue type and re-run audit.
Verify: Re-run the audit and confirm 'Canonical Chain (&gt;1 hop)' no longer appears for affected URLs on the Issue Inventory tab.</t>
        </is>
      </c>
      <c r="D42" s="30" t="inlineStr">
        <is>
          <t>Dilutes crawl budget, relevance signals, or user trust if left open. (Severity: Warning; Owner: Dev; Time: 1–4 hours)</t>
        </is>
      </c>
    </row>
    <row r="43" ht="45" customHeight="1">
      <c r="A43" s="32" t="inlineStr">
        <is>
          <t>Issue Playbook</t>
        </is>
      </c>
      <c r="B43" s="28" t="inlineStr">
        <is>
          <t>Canonical Loop</t>
        </is>
      </c>
      <c r="C43" s="28" t="inlineStr">
        <is>
          <t>What: Template/technical implementation quality issue.
Fix: Apply fix based on issue type and re-run audit.
Verify: Re-run the audit and confirm 'Canonical Loop' no longer appears for affected URLs on the Issue Inventory tab.</t>
        </is>
      </c>
      <c r="D43" s="28" t="inlineStr">
        <is>
          <t>Blocks indexation, ranking, or conversion until resolved. (Severity: Critical; Owner: Dev; Time: 4–10 hours)</t>
        </is>
      </c>
    </row>
    <row r="44" ht="45" customHeight="1">
      <c r="A44" s="32" t="inlineStr">
        <is>
          <t>Issue Playbook</t>
        </is>
      </c>
      <c r="B44" s="30" t="inlineStr">
        <is>
          <t>Canonical Points to Broken URL</t>
        </is>
      </c>
      <c r="C44" s="30" t="inlineStr">
        <is>
          <t>What: Template/technical implementation quality issue.
Fix: Apply fix based on issue type and re-run audit.
Verify: Re-run the audit and confirm 'Canonical Points to Broken URL' no longer appears for affected URLs on the Issue Inventory tab.</t>
        </is>
      </c>
      <c r="D44" s="30" t="inlineStr">
        <is>
          <t>Blocks indexation, ranking, or conversion until resolved. (Severity: Critical; Owner: Dev; Time: 4–10 hours)</t>
        </is>
      </c>
    </row>
    <row r="45" ht="45" customHeight="1">
      <c r="A45" s="32" t="inlineStr">
        <is>
          <t>Issue Playbook</t>
        </is>
      </c>
      <c r="B45" s="28" t="inlineStr">
        <is>
          <t>Canonical Points to Redirect</t>
        </is>
      </c>
      <c r="C45" s="28" t="inlineStr">
        <is>
          <t>What: Template/technical implementation quality issue.
Fix: Apply fix based on issue type and re-run audit.
Verify: Re-run the audit and confirm 'Canonical Points to Redirect' no longer appears for affected URLs on the Issue Inventory tab.</t>
        </is>
      </c>
      <c r="D45" s="28" t="inlineStr">
        <is>
          <t>Dilutes crawl budget, relevance signals, or user trust if left open. (Severity: Warning; Owner: Dev; Time: 1–4 hours)</t>
        </is>
      </c>
    </row>
    <row r="46" ht="30" customHeight="1">
      <c r="A46" s="32" t="inlineStr">
        <is>
          <t>Issue Playbook</t>
        </is>
      </c>
      <c r="B46" s="30" t="inlineStr">
        <is>
          <t>Not Indexed by Google</t>
        </is>
      </c>
      <c r="C46" s="30" t="inlineStr">
        <is>
          <t>What: Google Search Console reports the URL is not indexed.
Fix: 1. Review the GSC coverage reason on the Main tab.
2. Remove accidental noindex or robots blocks.
3. Strengthen internal links and submit the URL for inspection.
Verify: Re-run the audit and confirm 'Not Indexed by Google' no longer appears for affected URLs on the Issue Inventory tab.</t>
        </is>
      </c>
      <c r="D46" s="30" t="inlineStr">
        <is>
          <t>Non-indexed pages cannot earn organic traffic. (Severity: Critical; Owner: Dev; Time: 4–10 hours)</t>
        </is>
      </c>
    </row>
    <row r="47" ht="45" customHeight="1">
      <c r="A47" s="32" t="inlineStr">
        <is>
          <t>Issue Playbook</t>
        </is>
      </c>
      <c r="B47" s="28" t="inlineStr">
        <is>
          <t>Not Crawled in &gt;30 Days</t>
        </is>
      </c>
      <c r="C47" s="28" t="inlineStr">
        <is>
          <t>What: Template/technical implementation quality issue.
Fix: Apply fix based on issue type and re-run audit.
Verify: Re-run the audit and confirm 'Not Crawled in &gt;30 Days' no longer appears for affected URLs on the Issue Inventory tab.</t>
        </is>
      </c>
      <c r="D47" s="28" t="inlineStr">
        <is>
          <t>Dilutes crawl budget, relevance signals, or user trust if left open. (Severity: Warning; Owner: Copy Writer; Time: 1–4 hours)</t>
        </is>
      </c>
    </row>
    <row r="48" ht="45" customHeight="1">
      <c r="A48" s="32" t="inlineStr">
        <is>
          <t>Issue Playbook</t>
        </is>
      </c>
      <c r="B48" s="30" t="inlineStr">
        <is>
          <t>GSC Mobile Usability Issue</t>
        </is>
      </c>
      <c r="C48" s="30" t="inlineStr">
        <is>
          <t>What: Template/technical implementation quality issue.
Fix: Apply fix based on issue type and re-run audit.
Verify: Re-run the audit and confirm 'GSC Mobile Usability Issue' no longer appears for affected URLs on the Issue Inventory tab.</t>
        </is>
      </c>
      <c r="D48" s="30" t="inlineStr">
        <is>
          <t>Dilutes crawl budget, relevance signals, or user trust if left open. (Severity: Warning; Owner: Copy Writer; Time: 1–4 hours)</t>
        </is>
      </c>
    </row>
    <row r="49" ht="45" customHeight="1">
      <c r="A49" s="32" t="inlineStr">
        <is>
          <t>Issue Playbook</t>
        </is>
      </c>
      <c r="B49" s="28" t="inlineStr">
        <is>
          <t>GSC Rich Result Error</t>
        </is>
      </c>
      <c r="C49" s="28" t="inlineStr">
        <is>
          <t>What: Template/technical implementation quality issue.
Fix: Apply fix based on issue type and re-run audit.
Verify: Re-run the audit and confirm 'GSC Rich Result Error' no longer appears for affected URLs on the Issue Inventory tab.</t>
        </is>
      </c>
      <c r="D49" s="28" t="inlineStr">
        <is>
          <t>Dilutes crawl budget, relevance signals, or user trust if left open. (Severity: Warning; Owner: Copy Writer; Time: 1–4 hours)</t>
        </is>
      </c>
    </row>
    <row r="50" ht="45" customHeight="1">
      <c r="A50" s="32" t="inlineStr">
        <is>
          <t>Issue Playbook</t>
        </is>
      </c>
      <c r="B50" s="30" t="inlineStr">
        <is>
          <t>Blocked by Googlebot</t>
        </is>
      </c>
      <c r="C50" s="30" t="inlineStr">
        <is>
          <t>What: Template/technical implementation quality issue.
Fix: Apply fix based on issue type and re-run audit.
Verify: Re-run the audit and confirm 'Blocked by Googlebot' no longer appears for affected URLs on the Issue Inventory tab.</t>
        </is>
      </c>
      <c r="D50" s="30" t="inlineStr">
        <is>
          <t>Blocks indexation, ranking, or conversion until resolved. (Severity: Critical; Owner: Dev; Time: 4–10 hours)</t>
        </is>
      </c>
    </row>
    <row r="51" ht="45" customHeight="1">
      <c r="A51" s="32" t="inlineStr">
        <is>
          <t>Issue Playbook</t>
        </is>
      </c>
      <c r="B51" s="28" t="inlineStr">
        <is>
          <t>Blocked by Bingbot</t>
        </is>
      </c>
      <c r="C51" s="28" t="inlineStr">
        <is>
          <t>What: Template/technical implementation quality issue.
Fix: Apply fix based on issue type and re-run audit.
Verify: Re-run the audit and confirm 'Blocked by Bingbot' no longer appears for affected URLs on the Issue Inventory tab.</t>
        </is>
      </c>
      <c r="D51" s="28" t="inlineStr">
        <is>
          <t>Dilutes crawl budget, relevance signals, or user trust if left open. (Severity: Warning; Owner: Copy Writer; Time: 1–4 hours)</t>
        </is>
      </c>
    </row>
    <row r="52" ht="45" customHeight="1">
      <c r="A52" s="32" t="inlineStr">
        <is>
          <t>Issue Playbook</t>
        </is>
      </c>
      <c r="B52" s="30" t="inlineStr">
        <is>
          <t>In Sitemap but Blocked by Googlebot</t>
        </is>
      </c>
      <c r="C52" s="30" t="inlineStr">
        <is>
          <t>What: Template/technical implementation quality issue.
Fix: Apply fix based on issue type and re-run audit.
Verify: Re-run the audit and confirm 'In Sitemap but Blocked by Googlebot' no longer appears for affected URLs on the Issue Inventory tab.</t>
        </is>
      </c>
      <c r="D52" s="30" t="inlineStr">
        <is>
          <t>Blocks indexation, ranking, or conversion until resolved. (Severity: Critical; Owner: Dev; Time: 4–10 hours)</t>
        </is>
      </c>
    </row>
    <row r="53" ht="45" customHeight="1">
      <c r="A53" s="32" t="inlineStr">
        <is>
          <t>Issue Playbook</t>
        </is>
      </c>
      <c r="B53" s="28" t="inlineStr">
        <is>
          <t>AI Crawlers: GPTBot Blocked</t>
        </is>
      </c>
      <c r="C53" s="28" t="inlineStr">
        <is>
          <t>What: Template/technical implementation quality issue.
Fix: Apply fix based on issue type and re-run audit.
Verify: Re-run the audit and confirm 'AI Crawlers: GPTBot Blocked' no longer appears for affected URLs on the Issue Inventory tab.</t>
        </is>
      </c>
      <c r="D53" s="28" t="inlineStr">
        <is>
          <t>Improves polish, extractability, or competitive parity when addressed. (Severity: Observation; Owner: Copy Writer; Time: 1–4 hours)</t>
        </is>
      </c>
    </row>
    <row r="54" ht="45" customHeight="1">
      <c r="A54" s="32" t="inlineStr">
        <is>
          <t>Issue Playbook</t>
        </is>
      </c>
      <c r="B54" s="30" t="inlineStr">
        <is>
          <t>AI Crawlers: ClaudeBot Blocked</t>
        </is>
      </c>
      <c r="C54" s="30" t="inlineStr">
        <is>
          <t>What: Template/technical implementation quality issue.
Fix: Apply fix based on issue type and re-run audit.
Verify: Re-run the audit and confirm 'AI Crawlers: ClaudeBot Blocked' no longer appears for affected URLs on the Issue Inventory tab.</t>
        </is>
      </c>
      <c r="D54" s="30" t="inlineStr">
        <is>
          <t>Improves polish, extractability, or competitive parity when addressed. (Severity: Observation; Owner: Copy Writer; Time: 1–4 hours)</t>
        </is>
      </c>
    </row>
    <row r="55" ht="60" customHeight="1">
      <c r="A55" s="32" t="inlineStr">
        <is>
          <t>Issue Playbook</t>
        </is>
      </c>
      <c r="B55" s="28" t="inlineStr">
        <is>
          <t>Missing Meta Description</t>
        </is>
      </c>
      <c r="C55" s="28" t="inlineStr">
        <is>
          <t>What: The meta description tag is missing.
Fix: 1. Write a unique 120–155 character summary.
2. Match search intent and include a soft call to action.
3. Avoid duplicating the title verbatim.
Verify: Re-run the audit and confirm 'Missing Meta Description' no longer appears for affected URLs on the Issue Inventory tab.</t>
        </is>
      </c>
      <c r="D55" s="28" t="inlineStr">
        <is>
          <t>Descriptions influence click-through from search results even when not a direct ranking factor. (Severity: Warning; Owner: Copy Writer; Time: 1–4 hours)</t>
        </is>
      </c>
    </row>
    <row r="56" ht="45" customHeight="1">
      <c r="A56" s="32" t="inlineStr">
        <is>
          <t>Issue Playbook</t>
        </is>
      </c>
      <c r="B56" s="30" t="inlineStr">
        <is>
          <t>Missing H1</t>
        </is>
      </c>
      <c r="C56" s="30" t="inlineStr">
        <is>
          <t>What: Template/technical implementation quality issue.
Fix: Apply fix based on issue type and re-run audit.
Verify: Re-run the audit and confirm 'Missing H1' no longer appears for affected URLs on the Issue Inventory tab.</t>
        </is>
      </c>
      <c r="D56" s="30" t="inlineStr">
        <is>
          <t>Dilutes crawl budget, relevance signals, or user trust if left open. (Severity: Warning; Owner: Copy Writer; Time: 1–4 hours)</t>
        </is>
      </c>
    </row>
    <row r="57" ht="45" customHeight="1">
      <c r="A57" s="32" t="inlineStr">
        <is>
          <t>Issue Playbook</t>
        </is>
      </c>
      <c r="B57" s="28" t="inlineStr">
        <is>
          <t>Multiple H1</t>
        </is>
      </c>
      <c r="C57" s="28" t="inlineStr">
        <is>
          <t>What: Template/technical implementation quality issue.
Fix: Apply fix based on issue type and re-run audit.
Verify: Re-run the audit and confirm 'Multiple H1' no longer appears for affected URLs on the Issue Inventory tab.</t>
        </is>
      </c>
      <c r="D57" s="28" t="inlineStr">
        <is>
          <t>Dilutes crawl budget, relevance signals, or user trust if left open. (Severity: Warning; Owner: Copy Writer; Time: 1–4 hours)</t>
        </is>
      </c>
    </row>
    <row r="58" ht="45" customHeight="1">
      <c r="A58" s="32" t="inlineStr">
        <is>
          <t>Issue Playbook</t>
        </is>
      </c>
      <c r="B58" s="30" t="inlineStr">
        <is>
          <t>CWV CLS Above 0.1 (Field Data)</t>
        </is>
      </c>
      <c r="C58" s="30" t="inlineStr">
        <is>
          <t>What: Template/technical implementation quality issue.
Fix: Apply fix based on issue type and re-run audit.
Verify: Re-run the audit and confirm 'CWV CLS Above 0.1 (Field Data)' no longer appears for affected URLs on the Issue Inventory tab.</t>
        </is>
      </c>
      <c r="D58" s="30" t="inlineStr">
        <is>
          <t>Dilutes crawl budget, relevance signals, or user trust if left open. (Severity: Warning; Owner: Dev; Time: 1–4 hours)</t>
        </is>
      </c>
    </row>
    <row r="59" ht="45" customHeight="1">
      <c r="A59" s="32" t="inlineStr">
        <is>
          <t>Issue Playbook</t>
        </is>
      </c>
      <c r="B59" s="28" t="inlineStr">
        <is>
          <t>CWV INP Above 200ms (Field Data)</t>
        </is>
      </c>
      <c r="C59" s="28" t="inlineStr">
        <is>
          <t>What: Template/technical implementation quality issue.
Fix: Apply fix based on issue type and re-run audit.
Verify: Re-run the audit and confirm 'CWV INP Above 200ms (Field Data)' no longer appears for affected URLs on the Issue Inventory tab.</t>
        </is>
      </c>
      <c r="D59" s="28" t="inlineStr">
        <is>
          <t>Dilutes crawl budget, relevance signals, or user trust if left open. (Severity: Warning; Owner: Dev; Time: 1–4 hours)</t>
        </is>
      </c>
    </row>
    <row r="60" ht="45" customHeight="1">
      <c r="A60" s="32" t="inlineStr">
        <is>
          <t>Issue Playbook</t>
        </is>
      </c>
      <c r="B60" s="30" t="inlineStr">
        <is>
          <t>Lab LCP 2.5s–4.0s (Mobile)</t>
        </is>
      </c>
      <c r="C60" s="30" t="inlineStr">
        <is>
          <t>What: Template/technical implementation quality issue.
Fix: Apply fix based on issue type and re-run audit.
Verify: Re-run the audit and confirm 'Lab LCP 2.5s–4.0s (Mobile)' no longer appears for affected URLs on the Issue Inventory tab.</t>
        </is>
      </c>
      <c r="D60" s="30" t="inlineStr">
        <is>
          <t>Dilutes crawl budget, relevance signals, or user trust if left open. (Severity: Warning; Owner: Dev; Time: 1–4 hours)</t>
        </is>
      </c>
    </row>
    <row r="61" ht="45" customHeight="1">
      <c r="A61" s="32" t="inlineStr">
        <is>
          <t>Issue Playbook</t>
        </is>
      </c>
      <c r="B61" s="28" t="inlineStr">
        <is>
          <t>Lab TBT Above 300ms (Mobile)</t>
        </is>
      </c>
      <c r="C61" s="28" t="inlineStr">
        <is>
          <t>What: Template/technical implementation quality issue.
Fix: Apply fix based on issue type and re-run audit.
Verify: Re-run the audit and confirm 'Lab TBT Above 300ms (Mobile)' no longer appears for affected URLs on the Issue Inventory tab.</t>
        </is>
      </c>
      <c r="D61" s="28" t="inlineStr">
        <is>
          <t>Dilutes crawl budget, relevance signals, or user trust if left open. (Severity: Warning; Owner: Dev; Time: 1–4 hours)</t>
        </is>
      </c>
    </row>
    <row r="62" ht="45" customHeight="1">
      <c r="A62" s="32" t="inlineStr">
        <is>
          <t>Issue Playbook</t>
        </is>
      </c>
      <c r="B62" s="30" t="inlineStr">
        <is>
          <t>Lab CLS Above 0.1 (Mobile)</t>
        </is>
      </c>
      <c r="C62" s="30" t="inlineStr">
        <is>
          <t>What: Template/technical implementation quality issue.
Fix: Apply fix based on issue type and re-run audit.
Verify: Re-run the audit and confirm 'Lab CLS Above 0.1 (Mobile)' no longer appears for affected URLs on the Issue Inventory tab.</t>
        </is>
      </c>
      <c r="D62" s="30" t="inlineStr">
        <is>
          <t>Dilutes crawl budget, relevance signals, or user trust if left open. (Severity: Warning; Owner: Dev; Time: 1–4 hours)</t>
        </is>
      </c>
    </row>
    <row r="63" ht="45" customHeight="1">
      <c r="A63" s="32" t="inlineStr">
        <is>
          <t>Issue Playbook</t>
        </is>
      </c>
      <c r="B63" s="28" t="inlineStr">
        <is>
          <t>Low Lighthouse Performance Mobile (&lt;50)</t>
        </is>
      </c>
      <c r="C63" s="28" t="inlineStr">
        <is>
          <t>What: Template/technical implementation quality issue.
Fix: Apply fix based on issue type and re-run audit.
Verify: Re-run the audit and confirm 'Low Lighthouse Performance Mobile (&lt;50)' no longer appears for affected URLs on the Issue Inventory tab.</t>
        </is>
      </c>
      <c r="D63" s="28" t="inlineStr">
        <is>
          <t>Dilutes crawl budget, relevance signals, or user trust if left open. (Severity: Warning; Owner: Dev; Time: 1–4 hours)</t>
        </is>
      </c>
    </row>
    <row r="64" ht="45" customHeight="1">
      <c r="A64" s="32" t="inlineStr">
        <is>
          <t>Issue Playbook</t>
        </is>
      </c>
      <c r="B64" s="30" t="inlineStr">
        <is>
          <t>Low Lighthouse Accessibility (&lt;80)</t>
        </is>
      </c>
      <c r="C64" s="30" t="inlineStr">
        <is>
          <t>What: Template/technical implementation quality issue.
Fix: Apply fix based on issue type and re-run audit.
Verify: Re-run the audit and confirm 'Low Lighthouse Accessibility (&lt;80)' no longer appears for affected URLs on the Issue Inventory tab.</t>
        </is>
      </c>
      <c r="D64" s="30" t="inlineStr">
        <is>
          <t>Dilutes crawl budget, relevance signals, or user trust if left open. (Severity: Warning; Owner: Dev; Time: 1–4 hours)</t>
        </is>
      </c>
    </row>
    <row r="65" ht="45" customHeight="1">
      <c r="A65" s="32" t="inlineStr">
        <is>
          <t>Issue Playbook</t>
        </is>
      </c>
      <c r="B65" s="28" t="inlineStr">
        <is>
          <t>Lab TTFB Above 600ms</t>
        </is>
      </c>
      <c r="C65" s="28" t="inlineStr">
        <is>
          <t>What: Template/technical implementation quality issue.
Fix: Apply fix based on issue type and re-run audit.
Verify: Re-run the audit and confirm 'Lab TTFB Above 600ms' no longer appears for affected URLs on the Issue Inventory tab.</t>
        </is>
      </c>
      <c r="D65" s="28" t="inlineStr">
        <is>
          <t>Dilutes crawl budget, relevance signals, or user trust if left open. (Severity: Warning; Owner: Server/Host; Time: 1–4 hours)</t>
        </is>
      </c>
    </row>
    <row r="66" ht="45" customHeight="1">
      <c r="A66" s="32" t="inlineStr">
        <is>
          <t>Issue Playbook</t>
        </is>
      </c>
      <c r="B66" s="30" t="inlineStr">
        <is>
          <t>Missing FAQ/QA Schema</t>
        </is>
      </c>
      <c r="C66" s="30" t="inlineStr">
        <is>
          <t>What: Question-style content without matching FAQPage/QAPage JSON-LD.
Fix: Publish machine-readable FAQPage or QAPage JSON-LD that mirrors visible Q&amp;A text so answer engines can treat schema as a stable API surface.
Verify: Re-run the audit and confirm 'Missing FAQ/QA Schema' no longer appears for affected URLs on the Issue Inventory tab.</t>
        </is>
      </c>
      <c r="D66" s="30" t="inlineStr">
        <is>
          <t>Dilutes crawl budget, relevance signals, or user trust if left open. (Severity: Warning; Owner: Dev; Time: 1–4 hours)</t>
        </is>
      </c>
    </row>
    <row r="67" ht="45" customHeight="1">
      <c r="A67" s="32" t="inlineStr">
        <is>
          <t>Issue Playbook</t>
        </is>
      </c>
      <c r="B67" s="28" t="inlineStr">
        <is>
          <t>Deep URL (&gt;3 clicks)</t>
        </is>
      </c>
      <c r="C67" s="28" t="inlineStr">
        <is>
          <t>What: Template/technical implementation quality issue.
Fix: Apply fix based on issue type and re-run audit.
Verify: Re-run the audit and confirm 'Deep URL (&gt;3 clicks)' no longer appears for affected URLs on the Issue Inventory tab.</t>
        </is>
      </c>
      <c r="D67" s="28" t="inlineStr">
        <is>
          <t>Dilutes crawl budget, relevance signals, or user trust if left open. (Severity: Warning; Owner: Copy Writer; Time: 1–4 hours)</t>
        </is>
      </c>
    </row>
    <row r="68" ht="45" customHeight="1">
      <c r="A68" s="32" t="inlineStr">
        <is>
          <t>Issue Playbook</t>
        </is>
      </c>
      <c r="B68" s="30" t="inlineStr">
        <is>
          <t>Low Image Alt Coverage</t>
        </is>
      </c>
      <c r="C68" s="30" t="inlineStr">
        <is>
          <t>What: Template/technical implementation quality issue.
Fix: Apply fix based on issue type and re-run audit.
Verify: Re-run the audit and confirm 'Low Image Alt Coverage' no longer appears for affected URLs on the Issue Inventory tab.</t>
        </is>
      </c>
      <c r="D68" s="30" t="inlineStr">
        <is>
          <t>Dilutes crawl budget, relevance signals, or user trust if left open. (Severity: Warning; Owner: Copy Writer; Time: 1–4 hours)</t>
        </is>
      </c>
    </row>
    <row r="69" ht="45" customHeight="1">
      <c r="A69" s="32" t="inlineStr">
        <is>
          <t>Issue Playbook</t>
        </is>
      </c>
      <c r="B69" s="28" t="inlineStr">
        <is>
          <t>Mixed Content</t>
        </is>
      </c>
      <c r="C69" s="28" t="inlineStr">
        <is>
          <t>What: HTTPS page references insecure HTTP assets.
Fix: Serve all assets over HTTPS and update hardcoded URLs.
Verify: Re-run the audit and confirm 'Mixed Content' no longer appears for affected URLs on the Issue Inventory tab.</t>
        </is>
      </c>
      <c r="D69" s="28" t="inlineStr">
        <is>
          <t>Dilutes crawl budget, relevance signals, or user trust if left open. (Severity: Warning; Owner: Dev; Time: 1–4 hours)</t>
        </is>
      </c>
    </row>
    <row r="70" ht="45" customHeight="1">
      <c r="A70" s="32" t="inlineStr">
        <is>
          <t>Issue Playbook</t>
        </is>
      </c>
      <c r="B70" s="30" t="inlineStr">
        <is>
          <t>Canonical Missing</t>
        </is>
      </c>
      <c r="C70" s="30" t="inlineStr">
        <is>
          <t>What: Template/technical implementation quality issue.
Fix: Apply fix based on issue type and re-run audit.
Verify: Re-run the audit and confirm 'Canonical Missing' no longer appears for affected URLs on the Issue Inventory tab.</t>
        </is>
      </c>
      <c r="D70" s="30" t="inlineStr">
        <is>
          <t>Dilutes crawl budget, relevance signals, or user trust if left open. (Severity: Warning; Owner: Dev; Time: 1–4 hours)</t>
        </is>
      </c>
    </row>
    <row r="71" ht="45" customHeight="1">
      <c r="A71" s="32" t="inlineStr">
        <is>
          <t>Issue Playbook</t>
        </is>
      </c>
      <c r="B71" s="28" t="inlineStr">
        <is>
          <t>Hreflang Without Reciprocity</t>
        </is>
      </c>
      <c r="C71" s="28" t="inlineStr">
        <is>
          <t>What: Hreflang alternates do not reference back to this URL.
Fix: 1. List every language variant on each page in the cluster.
2. Ensure each alternate URL returns the same set of hreflang tags.
3. Include x-default where appropriate.
Verify: Re-run the audit and confirm 'Hreflang Without Reciprocity' no longer appears for affected URLs on the Issue Inventory tab.</t>
        </is>
      </c>
      <c r="D71" s="28" t="inlineStr">
        <is>
          <t>Google may ignore one-way hreflang clusters, causing wrong-country rankings or duplicate content. (Severity: Warning; Owner: Dev; Time: 1–4 hours)</t>
        </is>
      </c>
    </row>
    <row r="72" ht="45" customHeight="1">
      <c r="A72" s="32" t="inlineStr">
        <is>
          <t>Issue Playbook</t>
        </is>
      </c>
      <c r="B72" s="30" t="inlineStr">
        <is>
          <t>Invalid Hreflang Language Code</t>
        </is>
      </c>
      <c r="C72" s="30" t="inlineStr">
        <is>
          <t>What: One or more hreflang values use non-standard language or region codes.
Fix: 1. Use ISO 639-1 language codes (e.g. en, fr).
2. Add ISO 3166-1 region only when needed (e.g. en-GB).
3. Keep x-default for the fallback URL.
Verify: Re-run the audit and confirm 'Invalid Hreflang Language Code' no longer appears for affected URLs on the Issue Inventory tab.</t>
        </is>
      </c>
      <c r="D72" s="30" t="inlineStr">
        <is>
          <t>Invalid codes are ignored by search engines and break international targeting. (Severity: Warning; Owner: Dev; Time: 1–4 hours)</t>
        </is>
      </c>
    </row>
    <row r="73" ht="45" customHeight="1">
      <c r="A73" s="32" t="inlineStr">
        <is>
          <t>Issue Playbook</t>
        </is>
      </c>
      <c r="B73" s="28" t="inlineStr">
        <is>
          <t>Uses URL Parameters</t>
        </is>
      </c>
      <c r="C73" s="28" t="inlineStr">
        <is>
          <t>What: Template/technical implementation quality issue.
Fix: Apply fix based on issue type and re-run audit.
Verify: Re-run the audit and confirm 'Uses URL Parameters' no longer appears for affected URLs on the Issue Inventory tab.</t>
        </is>
      </c>
      <c r="D73" s="28" t="inlineStr">
        <is>
          <t>Improves polish, extractability, or competitive parity when addressed. (Severity: Observation; Owner: Dev; Time: 1–4 hours)</t>
        </is>
      </c>
    </row>
    <row r="74" ht="45" customHeight="1">
      <c r="A74" s="32" t="inlineStr">
        <is>
          <t>Issue Playbook</t>
        </is>
      </c>
      <c r="B74" s="30" t="inlineStr">
        <is>
          <t>Generic Anchor Text Present</t>
        </is>
      </c>
      <c r="C74" s="30" t="inlineStr">
        <is>
          <t>What: Template/technical implementation quality issue.
Fix: Apply fix based on issue type and re-run audit.
Verify: Re-run the audit and confirm 'Generic Anchor Text Present' no longer appears for affected URLs on the Issue Inventory tab.</t>
        </is>
      </c>
      <c r="D74" s="30" t="inlineStr">
        <is>
          <t>Improves polish, extractability, or competitive parity when addressed. (Severity: Observation; Owner: Copy Writer; Time: 1–4 hours)</t>
        </is>
      </c>
    </row>
    <row r="75" ht="45" customHeight="1">
      <c r="A75" s="32" t="inlineStr">
        <is>
          <t>Issue Playbook</t>
        </is>
      </c>
      <c r="B75" s="28" t="inlineStr">
        <is>
          <t>Image Filename Quality Issues</t>
        </is>
      </c>
      <c r="C75" s="28" t="inlineStr">
        <is>
          <t>What: Template/technical implementation quality issue.
Fix: Apply fix based on issue type and re-run audit.
Verify: Re-run the audit and confirm 'Image Filename Quality Issues' no longer appears for affected URLs on the Issue Inventory tab.</t>
        </is>
      </c>
      <c r="D75" s="28" t="inlineStr">
        <is>
          <t>Improves polish, extractability, or competitive parity when addressed. (Severity: Observation; Owner: Copy Writer; Time: 1–4 hours)</t>
        </is>
      </c>
    </row>
    <row r="76" ht="45" customHeight="1">
      <c r="A76" s="32" t="inlineStr">
        <is>
          <t>Issue Playbook</t>
        </is>
      </c>
      <c r="B76" s="30" t="inlineStr">
        <is>
          <t>No Compression Header</t>
        </is>
      </c>
      <c r="C76" s="30" t="inlineStr">
        <is>
          <t>What: Template/technical implementation quality issue.
Fix: Apply fix based on issue type and re-run audit.
Verify: Re-run the audit and confirm 'No Compression Header' no longer appears for affected URLs on the Issue Inventory tab.</t>
        </is>
      </c>
      <c r="D76" s="30" t="inlineStr">
        <is>
          <t>Improves polish, extractability, or competitive parity when addressed. (Severity: Observation; Owner: Server/Host; Time: 1–4 hours)</t>
        </is>
      </c>
    </row>
    <row r="77" ht="45" customHeight="1">
      <c r="A77" s="32" t="inlineStr">
        <is>
          <t>Issue Playbook</t>
        </is>
      </c>
      <c r="B77" s="28" t="inlineStr">
        <is>
          <t>No Cache-Control Header</t>
        </is>
      </c>
      <c r="C77" s="28" t="inlineStr">
        <is>
          <t>What: Template/technical implementation quality issue.
Fix: Apply fix based on issue type and re-run audit.
Verify: Re-run the audit and confirm 'No Cache-Control Header' no longer appears for affected URLs on the Issue Inventory tab.</t>
        </is>
      </c>
      <c r="D77" s="28" t="inlineStr">
        <is>
          <t>Improves polish, extractability, or competitive parity when addressed. (Severity: Observation; Owner: Server/Host; Time: 1–4 hours)</t>
        </is>
      </c>
    </row>
    <row r="78" ht="45" customHeight="1">
      <c r="A78" s="32" t="inlineStr">
        <is>
          <t>Issue Playbook</t>
        </is>
      </c>
      <c r="B78" s="30" t="inlineStr">
        <is>
          <t>No ETag Header</t>
        </is>
      </c>
      <c r="C78" s="30" t="inlineStr">
        <is>
          <t>What: Template/technical implementation quality issue.
Fix: Apply fix based on issue type and re-run audit.
Verify: Re-run the audit and confirm 'No ETag Header' no longer appears for affected URLs on the Issue Inventory tab.</t>
        </is>
      </c>
      <c r="D78" s="30" t="inlineStr">
        <is>
          <t>Improves polish, extractability, or competitive parity when addressed. (Severity: Observation; Owner: Server/Host; Time: 1–4 hours)</t>
        </is>
      </c>
    </row>
    <row r="79" ht="45" customHeight="1">
      <c r="A79" s="32" t="inlineStr">
        <is>
          <t>Issue Playbook</t>
        </is>
      </c>
      <c r="B79" s="28" t="inlineStr">
        <is>
          <t>Thin Content</t>
        </is>
      </c>
      <c r="C79" s="28" t="inlineStr">
        <is>
          <t>What: Insufficient body content for indexing confidence.
Fix: Expand page with helpful, unique, intent-matching content.
Verify: Re-run the audit and confirm 'Thin Content' no longer appears for affected URLs on the Issue Inventory tab.</t>
        </is>
      </c>
      <c r="D79" s="28" t="inlineStr">
        <is>
          <t>Improves polish, extractability, or competitive parity when addressed. (Severity: Observation; Owner: Copy Writer; Time: 1–4 hours)</t>
        </is>
      </c>
    </row>
    <row r="80" ht="45" customHeight="1">
      <c r="A80" s="32" t="inlineStr">
        <is>
          <t>Issue Playbook</t>
        </is>
      </c>
      <c r="B80" s="30" t="inlineStr">
        <is>
          <t>Render Fallback (raw HTTP)</t>
        </is>
      </c>
      <c r="C80" s="30" t="inlineStr">
        <is>
          <t>What: Accurate crawl mode attempted Playwright rendering but fell back to the raw HTTP payload for this URL.
Fix: Re-run in accurate mode with Playwright installed, or fix page timeouts/blocking so rendered_browser extraction succeeds for parity with other URLs.
Verify: Re-run the audit and confirm 'Render Fallback (raw HTTP)' no longer appears for affected URLs on the Issue Inventory tab.</t>
        </is>
      </c>
      <c r="D80" s="30" t="inlineStr">
        <is>
          <t>Dilutes crawl budget, relevance signals, or user trust if left open. (Severity: Warning; Owner: Copy Writer; Time: 1–4 hours)</t>
        </is>
      </c>
    </row>
    <row r="81" ht="45" customHeight="1">
      <c r="A81" s="32" t="inlineStr">
        <is>
          <t>Issue Playbook</t>
        </is>
      </c>
      <c r="B81" s="28" t="inlineStr">
        <is>
          <t>Thin Content (&lt;200 words)</t>
        </is>
      </c>
      <c r="C81" s="28" t="inlineStr">
        <is>
          <t>What: Template/technical implementation quality issue.
Fix: Apply fix based on issue type and re-run audit.
Verify: Re-run the audit and confirm 'Thin Content (&lt;200 words)' no longer appears for affected URLs on the Issue Inventory tab.</t>
        </is>
      </c>
      <c r="D81" s="28" t="inlineStr">
        <is>
          <t>Dilutes crawl budget, relevance signals, or user trust if left open. (Severity: Warning; Owner: Copy Writer; Time: 1–4 hours)</t>
        </is>
      </c>
    </row>
    <row r="82" ht="45" customHeight="1">
      <c r="A82" s="32" t="inlineStr">
        <is>
          <t>Issue Playbook</t>
        </is>
      </c>
      <c r="B82" s="30" t="inlineStr">
        <is>
          <t>Near-Duplicate Content</t>
        </is>
      </c>
      <c r="C82" s="30" t="inlineStr">
        <is>
          <t>What: Template/technical implementation quality issue.
Fix: Apply fix based on issue type and re-run audit.
Verify: Re-run the audit and confirm 'Near-Duplicate Content' no longer appears for affected URLs on the Issue Inventory tab.</t>
        </is>
      </c>
      <c r="D82" s="30" t="inlineStr">
        <is>
          <t>Blocks indexation, ranking, or conversion until resolved. (Severity: Critical; Owner: Dev; Time: 4–10 hours)</t>
        </is>
      </c>
    </row>
    <row r="83" ht="45" customHeight="1">
      <c r="A83" s="32" t="inlineStr">
        <is>
          <t>Issue Playbook</t>
        </is>
      </c>
      <c r="B83" s="28" t="inlineStr">
        <is>
          <t>Draft or Test Page (URL pattern)</t>
        </is>
      </c>
      <c r="C83" s="28" t="inlineStr">
        <is>
          <t>What: Template/technical implementation quality issue.
Fix: Apply fix based on issue type and re-run audit.
Verify: Re-run the audit and confirm 'Draft or Test Page (URL pattern)' no longer appears for affected URLs on the Issue Inventory tab.</t>
        </is>
      </c>
      <c r="D83" s="28" t="inlineStr">
        <is>
          <t>Dilutes crawl budget, relevance signals, or user trust if left open. (Severity: Warning; Owner: Copy Writer; Time: 1–4 hours)</t>
        </is>
      </c>
    </row>
    <row r="84" ht="45" customHeight="1">
      <c r="A84" s="32" t="inlineStr">
        <is>
          <t>Issue Playbook</t>
        </is>
      </c>
      <c r="B84" s="30" t="inlineStr">
        <is>
          <t>No Schema Markup</t>
        </is>
      </c>
      <c r="C84" s="30" t="inlineStr">
        <is>
          <t>What: Template/technical implementation quality issue.
Fix: Apply fix based on issue type and re-run audit.
Verify: Re-run the audit and confirm 'No Schema Markup' no longer appears for affected URLs on the Issue Inventory tab.</t>
        </is>
      </c>
      <c r="D84" s="30" t="inlineStr">
        <is>
          <t>Blocks indexation, ranking, or conversion until resolved. (Severity: Critical; Owner: Dev; Time: 4–10 hours)</t>
        </is>
      </c>
    </row>
    <row r="85" ht="45" customHeight="1">
      <c r="A85" s="32" t="inlineStr">
        <is>
          <t>Issue Playbook</t>
        </is>
      </c>
      <c r="B85" s="28" t="inlineStr">
        <is>
          <t>Schema Parse Error</t>
        </is>
      </c>
      <c r="C85" s="28" t="inlineStr">
        <is>
          <t>What: Template/technical implementation quality issue.
Fix: Apply fix based on issue type and re-run audit.
Verify: Re-run the audit and confirm 'Schema Parse Error' no longer appears for affected URLs on the Issue Inventory tab.</t>
        </is>
      </c>
      <c r="D85" s="28" t="inlineStr">
        <is>
          <t>Blocks indexation, ranking, or conversion until resolved. (Severity: Critical; Owner: Dev; Time: 4–10 hours)</t>
        </is>
      </c>
    </row>
    <row r="86" ht="45" customHeight="1">
      <c r="A86" s="32" t="inlineStr">
        <is>
          <t>Issue Playbook</t>
        </is>
      </c>
      <c r="B86" s="30" t="inlineStr">
        <is>
          <t>Schema Validation Errors</t>
        </is>
      </c>
      <c r="C86" s="30" t="inlineStr">
        <is>
          <t>What: Template/technical implementation quality issue.
Fix: Apply fix based on issue type and re-run audit.
Verify: Re-run the audit and confirm 'Schema Validation Errors' no longer appears for affected URLs on the Issue Inventory tab.</t>
        </is>
      </c>
      <c r="D86" s="30" t="inlineStr">
        <is>
          <t>Dilutes crawl budget, relevance signals, or user trust if left open. (Severity: Warning; Owner: Copy Writer; Time: 1–4 hours)</t>
        </is>
      </c>
    </row>
    <row r="87" ht="45" customHeight="1">
      <c r="A87" s="32" t="inlineStr">
        <is>
          <t>Issue Playbook</t>
        </is>
      </c>
      <c r="B87" s="28" t="inlineStr">
        <is>
          <t>Schema Validation Warnings</t>
        </is>
      </c>
      <c r="C87" s="28" t="inlineStr">
        <is>
          <t>What: Template/technical implementation quality issue.
Fix: Apply fix based on issue type and re-run audit.
Verify: Re-run the audit and confirm 'Schema Validation Warnings' no longer appears for affected URLs on the Issue Inventory tab.</t>
        </is>
      </c>
      <c r="D87" s="28" t="inlineStr">
        <is>
          <t>Improves polish, extractability, or competitive parity when addressed. (Severity: Observation; Owner: Copy Writer; Time: 1–4 hours)</t>
        </is>
      </c>
    </row>
    <row r="88" ht="45" customHeight="1">
      <c r="A88" s="32" t="inlineStr">
        <is>
          <t>Issue Playbook</t>
        </is>
      </c>
      <c r="B88" s="30" t="inlineStr">
        <is>
          <t>Missing Event Schema</t>
        </is>
      </c>
      <c r="C88" s="30" t="inlineStr">
        <is>
          <t>What: Template/technical implementation quality issue.
Fix: Apply fix based on issue type and re-run audit.
Verify: Re-run the audit and confirm 'Missing Event Schema' no longer appears for affected URLs on the Issue Inventory tab.</t>
        </is>
      </c>
      <c r="D88" s="30" t="inlineStr">
        <is>
          <t>Dilutes crawl budget, relevance signals, or user trust if left open. (Severity: Warning; Owner: Copy Writer; Time: 1–4 hours)</t>
        </is>
      </c>
    </row>
    <row r="89" ht="45" customHeight="1">
      <c r="A89" s="32" t="inlineStr">
        <is>
          <t>Issue Playbook</t>
        </is>
      </c>
      <c r="B89" s="28" t="inlineStr">
        <is>
          <t>Missing Article Schema</t>
        </is>
      </c>
      <c r="C89" s="28" t="inlineStr">
        <is>
          <t>What: Template/technical implementation quality issue.
Fix: Apply fix based on issue type and re-run audit.
Verify: Re-run the audit and confirm 'Missing Article Schema' no longer appears for affected URLs on the Issue Inventory tab.</t>
        </is>
      </c>
      <c r="D89" s="28" t="inlineStr">
        <is>
          <t>Dilutes crawl budget, relevance signals, or user trust if left open. (Severity: Warning; Owner: Copy Writer; Time: 1–4 hours)</t>
        </is>
      </c>
    </row>
    <row r="90" ht="45" customHeight="1">
      <c r="A90" s="32" t="inlineStr">
        <is>
          <t>Issue Playbook</t>
        </is>
      </c>
      <c r="B90" s="30" t="inlineStr">
        <is>
          <t>Low E-E-A-T Signal Score (&lt;3)</t>
        </is>
      </c>
      <c r="C90" s="30" t="inlineStr">
        <is>
          <t>What: Template/technical implementation quality issue.
Fix: Apply fix based on issue type and re-run audit.
Verify: Re-run the audit and confirm 'Low E-E-A-T Signal Score (&lt;3)' no longer appears for affected URLs on the Issue Inventory tab.</t>
        </is>
      </c>
      <c r="D90" s="30" t="inlineStr">
        <is>
          <t>Dilutes crawl budget, relevance signals, or user trust if left open. (Severity: Warning; Owner: Copy Writer; Time: 1–4 hours)</t>
        </is>
      </c>
    </row>
    <row r="91" ht="45" customHeight="1">
      <c r="A91" s="32" t="inlineStr">
        <is>
          <t>Issue Playbook</t>
        </is>
      </c>
      <c r="B91" s="28" t="inlineStr">
        <is>
          <t>No Author Attribution</t>
        </is>
      </c>
      <c r="C91" s="28" t="inlineStr">
        <is>
          <t>What: Template/technical implementation quality issue.
Fix: Apply fix based on issue type and re-run audit.
Verify: Re-run the audit and confirm 'No Author Attribution' no longer appears for affected URLs on the Issue Inventory tab.</t>
        </is>
      </c>
      <c r="D91" s="28" t="inlineStr">
        <is>
          <t>Improves polish, extractability, or competitive parity when addressed. (Severity: Observation; Owner: Copy Writer; Time: 1–4 hours)</t>
        </is>
      </c>
    </row>
    <row r="92" ht="45" customHeight="1">
      <c r="A92" s="32" t="inlineStr">
        <is>
          <t>Issue Playbook</t>
        </is>
      </c>
      <c r="B92" s="30" t="inlineStr">
        <is>
          <t>No Publication Date</t>
        </is>
      </c>
      <c r="C92" s="30" t="inlineStr">
        <is>
          <t>What: Template/technical implementation quality issue.
Fix: Apply fix based on issue type and re-run audit.
Verify: Re-run the audit and confirm 'No Publication Date' no longer appears for affected URLs on the Issue Inventory tab.</t>
        </is>
      </c>
      <c r="D92" s="30" t="inlineStr">
        <is>
          <t>Improves polish, extractability, or competitive parity when addressed. (Severity: Observation; Owner: Copy Writer; Time: 1–4 hours)</t>
        </is>
      </c>
    </row>
    <row r="93" ht="45" customHeight="1">
      <c r="A93" s="32" t="inlineStr">
        <is>
          <t>Issue Playbook</t>
        </is>
      </c>
      <c r="B93" s="28" t="inlineStr">
        <is>
          <t>No Privacy Policy Link</t>
        </is>
      </c>
      <c r="C93" s="28" t="inlineStr">
        <is>
          <t>What: Template/technical implementation quality issue.
Fix: Apply fix based on issue type and re-run audit.
Verify: Re-run the audit and confirm 'No Privacy Policy Link' no longer appears for affected URLs on the Issue Inventory tab.</t>
        </is>
      </c>
      <c r="D93" s="28" t="inlineStr">
        <is>
          <t>Dilutes crawl budget, relevance signals, or user trust if left open. (Severity: Warning; Owner: Copy Writer; Time: 1–4 hours)</t>
        </is>
      </c>
    </row>
    <row r="94" ht="45" customHeight="1">
      <c r="A94" s="32" t="inlineStr">
        <is>
          <t>Issue Playbook</t>
        </is>
      </c>
      <c r="B94" s="30" t="inlineStr">
        <is>
          <t>No Terms Link</t>
        </is>
      </c>
      <c r="C94" s="30" t="inlineStr">
        <is>
          <t>What: Template/technical implementation quality issue.
Fix: Apply fix based on issue type and re-run audit.
Verify: Re-run the audit and confirm 'No Terms Link' no longer appears for affected URLs on the Issue Inventory tab.</t>
        </is>
      </c>
      <c r="D94" s="30" t="inlineStr">
        <is>
          <t>Dilutes crawl budget, relevance signals, or user trust if left open. (Severity: Warning; Owner: Copy Writer; Time: 1–4 hours)</t>
        </is>
      </c>
    </row>
    <row r="95" ht="45" customHeight="1">
      <c r="A95" s="32" t="inlineStr">
        <is>
          <t>Issue Playbook</t>
        </is>
      </c>
      <c r="B95" s="28" t="inlineStr">
        <is>
          <t>Stale Content (&gt;2 years)</t>
        </is>
      </c>
      <c r="C95" s="28" t="inlineStr">
        <is>
          <t>What: Template/technical implementation quality issue.
Fix: Apply fix based on issue type and re-run audit.
Verify: Re-run the audit and confirm 'Stale Content (&gt;2 years)' no longer appears for affected URLs on the Issue Inventory tab.</t>
        </is>
      </c>
      <c r="D95" s="28" t="inlineStr">
        <is>
          <t>Improves polish, extractability, or competitive parity when addressed. (Severity: Observation; Owner: Copy Writer; Time: 1–4 hours)</t>
        </is>
      </c>
    </row>
    <row r="96" ht="45" customHeight="1">
      <c r="A96" s="32" t="inlineStr">
        <is>
          <t>Issue Playbook</t>
        </is>
      </c>
      <c r="B96" s="30" t="inlineStr">
        <is>
          <t>Ageing Content (1-2 years)</t>
        </is>
      </c>
      <c r="C96" s="30" t="inlineStr">
        <is>
          <t>What: Template/technical implementation quality issue.
Fix: Apply fix based on issue type and re-run audit.
Verify: Re-run the audit and confirm 'Ageing Content (1-2 years)' no longer appears for affected URLs on the Issue Inventory tab.</t>
        </is>
      </c>
      <c r="D96" s="30" t="inlineStr">
        <is>
          <t>Improves polish, extractability, or competitive parity when addressed. (Severity: Observation; Owner: Copy Writer; Time: 1–4 hours)</t>
        </is>
      </c>
    </row>
    <row r="97" ht="45" customHeight="1">
      <c r="A97" s="32" t="inlineStr">
        <is>
          <t>Issue Playbook</t>
        </is>
      </c>
      <c r="B97" s="28" t="inlineStr">
        <is>
          <t>No Publication or Modification Date</t>
        </is>
      </c>
      <c r="C97" s="28" t="inlineStr">
        <is>
          <t>What: Template/technical implementation quality issue.
Fix: Apply fix based on issue type and re-run audit.
Verify: Re-run the audit and confirm 'No Publication or Modification Date' no longer appears for affected URLs on the Issue Inventory tab.</t>
        </is>
      </c>
      <c r="D97" s="28" t="inlineStr">
        <is>
          <t>Improves polish, extractability, or competitive parity when addressed. (Severity: Observation; Owner: Copy Writer; Time: 1–4 hours)</t>
        </is>
      </c>
    </row>
    <row r="98" ht="45" customHeight="1">
      <c r="A98" s="32" t="inlineStr">
        <is>
          <t>Issue Playbook</t>
        </is>
      </c>
      <c r="B98" s="30" t="inlineStr">
        <is>
          <t>Missing OG Title</t>
        </is>
      </c>
      <c r="C98" s="30" t="inlineStr">
        <is>
          <t>What: Template/technical implementation quality issue.
Fix: Apply fix based on issue type and re-run audit.
Verify: Re-run the audit and confirm 'Missing OG Title' no longer appears for affected URLs on the Issue Inventory tab.</t>
        </is>
      </c>
      <c r="D98" s="30" t="inlineStr">
        <is>
          <t>Dilutes crawl budget, relevance signals, or user trust if left open. (Severity: Warning; Owner: Copy Writer; Time: 1–4 hours)</t>
        </is>
      </c>
    </row>
    <row r="99" ht="45" customHeight="1">
      <c r="A99" s="32" t="inlineStr">
        <is>
          <t>Issue Playbook</t>
        </is>
      </c>
      <c r="B99" s="28" t="inlineStr">
        <is>
          <t>Missing OG Description</t>
        </is>
      </c>
      <c r="C99" s="28" t="inlineStr">
        <is>
          <t>What: Template/technical implementation quality issue.
Fix: Apply fix based on issue type and re-run audit.
Verify: Re-run the audit and confirm 'Missing OG Description' no longer appears for affected URLs on the Issue Inventory tab.</t>
        </is>
      </c>
      <c r="D99" s="28" t="inlineStr">
        <is>
          <t>Dilutes crawl budget, relevance signals, or user trust if left open. (Severity: Warning; Owner: Copy Writer; Time: 1–4 hours)</t>
        </is>
      </c>
    </row>
    <row r="100" ht="45" customHeight="1">
      <c r="A100" s="32" t="inlineStr">
        <is>
          <t>Issue Playbook</t>
        </is>
      </c>
      <c r="B100" s="30" t="inlineStr">
        <is>
          <t>Missing OG Image</t>
        </is>
      </c>
      <c r="C100" s="30" t="inlineStr">
        <is>
          <t>What: Template/technical implementation quality issue.
Fix: Apply fix based on issue type and re-run audit.
Verify: Re-run the audit and confirm 'Missing OG Image' no longer appears for affected URLs on the Issue Inventory tab.</t>
        </is>
      </c>
      <c r="D100" s="30" t="inlineStr">
        <is>
          <t>Dilutes crawl budget, relevance signals, or user trust if left open. (Severity: Warning; Owner: Copy Writer; Time: 1–4 hours)</t>
        </is>
      </c>
    </row>
    <row r="101" ht="45" customHeight="1">
      <c r="A101" s="32" t="inlineStr">
        <is>
          <t>Issue Playbook</t>
        </is>
      </c>
      <c r="B101" s="28" t="inlineStr">
        <is>
          <t>OG Image Broken (non-200)</t>
        </is>
      </c>
      <c r="C101" s="28" t="inlineStr">
        <is>
          <t>What: Template/technical implementation quality issue.
Fix: Apply fix based on issue type and re-run audit.
Verify: Re-run the audit and confirm 'OG Image Broken (non-200)' no longer appears for affected URLs on the Issue Inventory tab.</t>
        </is>
      </c>
      <c r="D101" s="28" t="inlineStr">
        <is>
          <t>Blocks indexation, ranking, or conversion until resolved. (Severity: Critical; Owner: Dev; Time: 4–10 hours)</t>
        </is>
      </c>
    </row>
    <row r="102" ht="45" customHeight="1">
      <c r="A102" s="32" t="inlineStr">
        <is>
          <t>Issue Playbook</t>
        </is>
      </c>
      <c r="B102" s="30" t="inlineStr">
        <is>
          <t>OG URL Mismatch</t>
        </is>
      </c>
      <c r="C102" s="30" t="inlineStr">
        <is>
          <t>What: Template/technical implementation quality issue.
Fix: Apply fix based on issue type and re-run audit.
Verify: Re-run the audit and confirm 'OG URL Mismatch' no longer appears for affected URLs on the Issue Inventory tab.</t>
        </is>
      </c>
      <c r="D102" s="30" t="inlineStr">
        <is>
          <t>Dilutes crawl budget, relevance signals, or user trust if left open. (Severity: Warning; Owner: Copy Writer; Time: 1–4 hours)</t>
        </is>
      </c>
    </row>
    <row r="103" ht="45" customHeight="1">
      <c r="A103" s="32" t="inlineStr">
        <is>
          <t>Issue Playbook</t>
        </is>
      </c>
      <c r="B103" s="28" t="inlineStr">
        <is>
          <t>OG Type Not Set</t>
        </is>
      </c>
      <c r="C103" s="28" t="inlineStr">
        <is>
          <t>What: Template/technical implementation quality issue.
Fix: Apply fix based on issue type and re-run audit.
Verify: Re-run the audit and confirm 'OG Type Not Set' no longer appears for affected URLs on the Issue Inventory tab.</t>
        </is>
      </c>
      <c r="D103" s="28" t="inlineStr">
        <is>
          <t>Improves polish, extractability, or competitive parity when addressed. (Severity: Observation; Owner: Copy Writer; Time: 1–4 hours)</t>
        </is>
      </c>
    </row>
    <row r="104" ht="45" customHeight="1">
      <c r="A104" s="32" t="inlineStr">
        <is>
          <t>Issue Playbook</t>
        </is>
      </c>
      <c r="B104" s="30" t="inlineStr">
        <is>
          <t>Missing Twitter Card</t>
        </is>
      </c>
      <c r="C104" s="30" t="inlineStr">
        <is>
          <t>What: Template/technical implementation quality issue.
Fix: Apply fix based on issue type and re-run audit.
Verify: Re-run the audit and confirm 'Missing Twitter Card' no longer appears for affected URLs on the Issue Inventory tab.</t>
        </is>
      </c>
      <c r="D104" s="30" t="inlineStr">
        <is>
          <t>Improves polish, extractability, or competitive parity when addressed. (Severity: Observation; Owner: Copy Writer; Time: 1–4 hours)</t>
        </is>
      </c>
    </row>
    <row r="105" ht="45" customHeight="1">
      <c r="A105" s="32" t="inlineStr">
        <is>
          <t>Issue Playbook</t>
        </is>
      </c>
      <c r="B105" s="28" t="inlineStr">
        <is>
          <t>OG Image Wrong Dimensions</t>
        </is>
      </c>
      <c r="C105" s="28" t="inlineStr">
        <is>
          <t>What: Template/technical implementation quality issue.
Fix: Apply fix based on issue type and re-run audit.
Verify: Re-run the audit and confirm 'OG Image Wrong Dimensions' no longer appears for affected URLs on the Issue Inventory tab.</t>
        </is>
      </c>
      <c r="D105" s="28" t="inlineStr">
        <is>
          <t>Improves polish, extractability, or competitive parity when addressed. (Severity: Observation; Owner: Copy Writer; Time: 1–4 hours)</t>
        </is>
      </c>
    </row>
    <row r="106" ht="45" customHeight="1">
      <c r="A106" s="32" t="inlineStr">
        <is>
          <t>Issue Playbook</t>
        </is>
      </c>
      <c r="B106" s="30" t="inlineStr">
        <is>
          <t>Broken Images</t>
        </is>
      </c>
      <c r="C106" s="30" t="inlineStr">
        <is>
          <t>What: Template/technical implementation quality issue.
Fix: Apply fix based on issue type and re-run audit.
Verify: Re-run the audit and confirm 'Broken Images' no longer appears for affected URLs on the Issue Inventory tab.</t>
        </is>
      </c>
      <c r="D106" s="30" t="inlineStr">
        <is>
          <t>Dilutes crawl budget, relevance signals, or user trust if left open. (Severity: Warning; Owner: Copy Writer; Time: 1–4 hours)</t>
        </is>
      </c>
    </row>
    <row r="107" ht="45" customHeight="1">
      <c r="A107" s="32" t="inlineStr">
        <is>
          <t>Issue Playbook</t>
        </is>
      </c>
      <c r="B107" s="28" t="inlineStr">
        <is>
          <t>High Broken Image Count (&gt;3)</t>
        </is>
      </c>
      <c r="C107" s="28" t="inlineStr">
        <is>
          <t>What: Template/technical implementation quality issue.
Fix: Apply fix based on issue type and re-run audit.
Verify: Re-run the audit and confirm 'High Broken Image Count (&gt;3)' no longer appears for affected URLs on the Issue Inventory tab.</t>
        </is>
      </c>
      <c r="D107" s="28" t="inlineStr">
        <is>
          <t>Blocks indexation, ranking, or conversion until resolved. (Severity: Critical; Owner: Dev; Time: 4–10 hours)</t>
        </is>
      </c>
    </row>
    <row r="108" ht="45" customHeight="1">
      <c r="A108" s="32" t="inlineStr">
        <is>
          <t>Issue Playbook</t>
        </is>
      </c>
      <c r="B108" s="30" t="inlineStr">
        <is>
          <t>High Third-Party Script Count (&gt;10)</t>
        </is>
      </c>
      <c r="C108" s="30" t="inlineStr">
        <is>
          <t>What: Template/technical implementation quality issue.
Fix: Apply fix based on issue type and re-run audit.
Verify: Re-run the audit and confirm 'High Third-Party Script Count (&gt;10)' no longer appears for affected URLs on the Issue Inventory tab.</t>
        </is>
      </c>
      <c r="D108" s="30" t="inlineStr">
        <is>
          <t>Dilutes crawl budget, relevance signals, or user trust if left open. (Severity: Warning; Owner: Dev; Time: 1–4 hours)</t>
        </is>
      </c>
    </row>
    <row r="109" ht="45" customHeight="1">
      <c r="A109" s="32" t="inlineStr">
        <is>
          <t>Issue Playbook</t>
        </is>
      </c>
      <c r="B109" s="28" t="inlineStr">
        <is>
          <t>Third-Party Scripts Blocking Render</t>
        </is>
      </c>
      <c r="C109" s="28" t="inlineStr">
        <is>
          <t>What: Template/technical implementation quality issue.
Fix: Apply fix based on issue type and re-run audit.
Verify: Re-run the audit and confirm 'Third-Party Scripts Blocking Render' no longer appears for affected URLs on the Issue Inventory tab.</t>
        </is>
      </c>
      <c r="D109" s="28" t="inlineStr">
        <is>
          <t>Dilutes crawl budget, relevance signals, or user trust if left open. (Severity: Warning; Owner: Dev; Time: 1–4 hours)</t>
        </is>
      </c>
    </row>
    <row r="110" ht="45" customHeight="1">
      <c r="A110" s="32" t="inlineStr">
        <is>
          <t>Issue Playbook</t>
        </is>
      </c>
      <c r="B110" s="30" t="inlineStr">
        <is>
          <t>No Consent Manager Detected</t>
        </is>
      </c>
      <c r="C110" s="30" t="inlineStr">
        <is>
          <t>What: Template/technical implementation quality issue.
Fix: Apply fix based on issue type and re-run audit.
Verify: Re-run the audit and confirm 'No Consent Manager Detected' no longer appears for affected URLs on the Issue Inventory tab.</t>
        </is>
      </c>
      <c r="D110" s="30" t="inlineStr">
        <is>
          <t>Improves polish, extractability, or competitive parity when addressed. (Severity: Observation; Owner: Copy Writer; Time: 1–4 hours)</t>
        </is>
      </c>
    </row>
    <row r="111" ht="45" customHeight="1">
      <c r="A111" s="32" t="inlineStr">
        <is>
          <t>Issue Playbook</t>
        </is>
      </c>
      <c r="B111" s="28" t="inlineStr">
        <is>
          <t>Under-Linked Priority Page</t>
        </is>
      </c>
      <c r="C111" s="28" t="inlineStr">
        <is>
          <t>What: Template/technical implementation quality issue.
Fix: Apply fix based on issue type and re-run audit.
Verify: Re-run the audit and confirm 'Under-Linked Priority Page' no longer appears for affected URLs on the Issue Inventory tab.</t>
        </is>
      </c>
      <c r="D111" s="28" t="inlineStr">
        <is>
          <t>Dilutes crawl budget, relevance signals, or user trust if left open. (Severity: Warning; Owner: Copy Writer; Time: 1–4 hours)</t>
        </is>
      </c>
    </row>
    <row r="112" ht="45" customHeight="1">
      <c r="A112" s="32" t="inlineStr">
        <is>
          <t>Issue Playbook</t>
        </is>
      </c>
      <c r="B112" s="30" t="inlineStr">
        <is>
          <t>Generic Anchor Dominance</t>
        </is>
      </c>
      <c r="C112" s="30" t="inlineStr">
        <is>
          <t>What: Template/technical implementation quality issue.
Fix: Apply fix based on issue type and re-run audit.
Verify: Re-run the audit and confirm 'Generic Anchor Dominance' no longer appears for affected URLs on the Issue Inventory tab.</t>
        </is>
      </c>
      <c r="D112" s="30" t="inlineStr">
        <is>
          <t>Improves polish, extractability, or competitive parity when addressed. (Severity: Observation; Owner: Copy Writer; Time: 1–4 hours)</t>
        </is>
      </c>
    </row>
    <row r="113" ht="45" customHeight="1">
      <c r="A113" s="32" t="inlineStr">
        <is>
          <t>Issue Playbook</t>
        </is>
      </c>
      <c r="B113" s="28" t="inlineStr">
        <is>
          <t>Low AEO Readiness Score</t>
        </is>
      </c>
      <c r="C113" s="28" t="inlineStr">
        <is>
          <t>What: The page scores below the AEO extraction-confidence threshold.
Fix: 1. Add question-style H2 headings.
2. Place a 40–60 word factual answer directly beneath each question.
3. Add FAQPage or HowTo schema that mirrors visible content.
Verify: Re-run the audit and confirm 'Low AEO Readiness Score' no longer appears for affected URLs on the Issue Inventory tab.</t>
        </is>
      </c>
      <c r="D113" s="28" t="inlineStr">
        <is>
          <t>Answer engines and AI overviews favour concise, structured, factual copy. (Severity: Warning; Owner: Copy Writer; Time: 1–4 hours)</t>
        </is>
      </c>
    </row>
    <row r="114" ht="45" customHeight="1">
      <c r="A114" s="32" t="inlineStr">
        <is>
          <t>Issue Playbook</t>
        </is>
      </c>
      <c r="B114" s="30" t="inlineStr">
        <is>
          <t>No Question Headings</t>
        </is>
      </c>
      <c r="C114" s="30" t="inlineStr">
        <is>
          <t>What: Headings are not phrased as user questions.
Fix: Rewrite priority H2/H3 headings into natural-language questions (Who/What/How) so the following paragraph can serve as a direct extractable answer.
Verify: Re-run the audit and confirm 'No Question Headings' no longer appears for affected URLs on the Issue Inventory tab.</t>
        </is>
      </c>
      <c r="D114" s="30" t="inlineStr">
        <is>
          <t>Improves polish, extractability, or competitive parity when addressed. (Severity: Observation; Owner: Copy Writer; Time: 1–4 hours)</t>
        </is>
      </c>
    </row>
    <row r="115" ht="45" customHeight="1">
      <c r="A115" s="32" t="inlineStr">
        <is>
          <t>Issue Playbook</t>
        </is>
      </c>
      <c r="B115" s="28" t="inlineStr">
        <is>
          <t>No Answer-Friendly Structure</t>
        </is>
      </c>
      <c r="C115" s="28" t="inlineStr">
        <is>
          <t>What: Dense prose without lists or tables where facts could be chunked.
Fix: Break data-heavy explanations into ul/ol steps or a comparison table so LLMs can cite discrete facts without re-parsing long paragraphs.
Verify: Re-run the audit and confirm 'No Answer-Friendly Structure' no longer appears for affected URLs on the Issue Inventory tab.</t>
        </is>
      </c>
      <c r="D115" s="28" t="inlineStr">
        <is>
          <t>Improves polish, extractability, or competitive parity when addressed. (Severity: Observation; Owner: Copy Writer; Time: 1–4 hours)</t>
        </is>
      </c>
    </row>
    <row r="116" ht="45" customHeight="1">
      <c r="A116" s="32" t="inlineStr">
        <is>
          <t>Issue Playbook</t>
        </is>
      </c>
      <c r="B116" s="30" t="inlineStr">
        <is>
          <t>No 40-60 Word Answer Paragraphs</t>
        </is>
      </c>
      <c r="C116" s="30" t="inlineStr">
        <is>
          <t>What: No 40–60 word definitional paragraph directly under a question-style H2/H3.
Fix: Refactor each target section to lead with a ~45-word factual definition (no fluff) immediately under the question heading to improve LLM Position Zero retrieval.
Verify: Re-run the audit and confirm 'No 40-60 Word Answer Paragraphs' no longer appears for affected URLs on the Issue Inventory tab.</t>
        </is>
      </c>
      <c r="D116" s="30" t="inlineStr">
        <is>
          <t>Improves polish, extractability, or competitive parity when addressed. (Severity: Observation; Owner: Copy Writer; Time: 1–4 hours)</t>
        </is>
      </c>
    </row>
    <row r="117" ht="45" customHeight="1">
      <c r="A117" s="32" t="inlineStr">
        <is>
          <t>Issue Playbook</t>
        </is>
      </c>
      <c r="B117" s="28" t="inlineStr">
        <is>
          <t>Lab TBT 150ms–300ms (Mobile)</t>
        </is>
      </c>
      <c r="C117" s="28" t="inlineStr">
        <is>
          <t>What: Template/technical implementation quality issue.
Fix: Apply fix based on issue type and re-run audit.
Verify: Re-run the audit and confirm 'Lab TBT 150ms–300ms (Mobile)' no longer appears for affected URLs on the Issue Inventory tab.</t>
        </is>
      </c>
      <c r="D117" s="28" t="inlineStr">
        <is>
          <t>Improves polish, extractability, or competitive parity when addressed. (Severity: Observation; Owner: Dev; Time: 1–4 hours)</t>
        </is>
      </c>
    </row>
    <row r="118" ht="45" customHeight="1">
      <c r="A118" s="32" t="inlineStr">
        <is>
          <t>Issue Playbook</t>
        </is>
      </c>
      <c r="B118" s="30" t="inlineStr">
        <is>
          <t>Moderate Lighthouse Performance Mobile (50–89)</t>
        </is>
      </c>
      <c r="C118" s="30" t="inlineStr">
        <is>
          <t>What: Template/technical implementation quality issue.
Fix: Apply fix based on issue type and re-run audit.
Verify: Re-run the audit and confirm 'Moderate Lighthouse Performance Mobile (50–89)' no longer appears for affected URLs on the Issue Inventory tab.</t>
        </is>
      </c>
      <c r="D118" s="30" t="inlineStr">
        <is>
          <t>Improves polish, extractability, or competitive parity when addressed. (Severity: Observation; Owner: Dev; Time: 1–4 hours)</t>
        </is>
      </c>
    </row>
    <row r="119" ht="45" customHeight="1">
      <c r="A119" s="32" t="inlineStr">
        <is>
          <t>Issue Playbook</t>
        </is>
      </c>
      <c r="B119" s="28" t="inlineStr">
        <is>
          <t>Low Lighthouse Best Practices (&lt;80)</t>
        </is>
      </c>
      <c r="C119" s="28" t="inlineStr">
        <is>
          <t>What: Template/technical implementation quality issue.
Fix: Apply fix based on issue type and re-run audit.
Verify: Re-run the audit and confirm 'Low Lighthouse Best Practices (&lt;80)' no longer appears for affected URLs on the Issue Inventory tab.</t>
        </is>
      </c>
      <c r="D119" s="28" t="inlineStr">
        <is>
          <t>Improves polish, extractability, or competitive parity when addressed. (Severity: Observation; Owner: Dev; Time: 1–4 hours)</t>
        </is>
      </c>
    </row>
    <row r="120" ht="45" customHeight="1">
      <c r="A120" s="32" t="inlineStr">
        <is>
          <t>Issue Playbook</t>
        </is>
      </c>
      <c r="B120" s="30" t="inlineStr">
        <is>
          <t>Large Page Size (&gt;1MB)</t>
        </is>
      </c>
      <c r="C120" s="30" t="inlineStr">
        <is>
          <t>What: Template/technical implementation quality issue.
Fix: Apply fix based on issue type and re-run audit.
Verify: Re-run the audit and confirm 'Large Page Size (&gt;1MB)' no longer appears for affected URLs on the Issue Inventory tab.</t>
        </is>
      </c>
      <c r="D120" s="30" t="inlineStr">
        <is>
          <t>Improves polish, extractability, or competitive parity when addressed. (Severity: Observation; Owner: Dev; Time: 1–4 hours)</t>
        </is>
      </c>
    </row>
    <row r="121" ht="45" customHeight="1">
      <c r="A121" s="32" t="inlineStr">
        <is>
          <t>Issue Playbook</t>
        </is>
      </c>
      <c r="B121" s="28" t="inlineStr">
        <is>
          <t>Large DOM Size (&gt;1500 nodes)</t>
        </is>
      </c>
      <c r="C121" s="28" t="inlineStr">
        <is>
          <t>What: Template/technical implementation quality issue.
Fix: Apply fix based on issue type and re-run audit.
Verify: Re-run the audit and confirm 'Large DOM Size (&gt;1500 nodes)' no longer appears for affected URLs on the Issue Inventory tab.</t>
        </is>
      </c>
      <c r="D121" s="28" t="inlineStr">
        <is>
          <t>Improves polish, extractability, or competitive parity when addressed. (Severity: Observation; Owner: Dev; Time: 1–4 hours)</t>
        </is>
      </c>
    </row>
    <row r="122" ht="45" customHeight="1">
      <c r="A122" s="32" t="inlineStr">
        <is>
          <t>Issue Playbook</t>
        </is>
      </c>
      <c r="B122" s="30" t="inlineStr">
        <is>
          <t>High JS Execution Time (&gt;2000ms)</t>
        </is>
      </c>
      <c r="C122" s="30" t="inlineStr">
        <is>
          <t>What: Template/technical implementation quality issue.
Fix: Apply fix based on issue type and re-run audit.
Verify: Re-run the audit and confirm 'High JS Execution Time (&gt;2000ms)' no longer appears for affected URLs on the Issue Inventory tab.</t>
        </is>
      </c>
      <c r="D122" s="30" t="inlineStr">
        <is>
          <t>Improves polish, extractability, or competitive parity when addressed. (Severity: Observation; Owner: Dev; Time: 1–4 hours)</t>
        </is>
      </c>
    </row>
    <row r="123" ht="45" customHeight="1">
      <c r="A123" s="32" t="inlineStr">
        <is>
          <t>Issue Playbook</t>
        </is>
      </c>
      <c r="B123" s="28" t="inlineStr">
        <is>
          <t>Render Blocking Resources</t>
        </is>
      </c>
      <c r="C123" s="28" t="inlineStr">
        <is>
          <t>What: Template/technical implementation quality issue.
Fix: Apply fix based on issue type and re-run audit.
Verify: Re-run the audit and confirm 'Render Blocking Resources' no longer appears for affected URLs on the Issue Inventory tab.</t>
        </is>
      </c>
      <c r="D123" s="28" t="inlineStr">
        <is>
          <t>Improves polish, extractability, or competitive parity when addressed. (Severity: Observation; Owner: Dev; Time: 1–4 hours)</t>
        </is>
      </c>
    </row>
    <row r="124" ht="45" customHeight="1">
      <c r="A124" s="32" t="inlineStr">
        <is>
          <t>Issue Playbook</t>
        </is>
      </c>
      <c r="B124" s="30" t="inlineStr">
        <is>
          <t>Origin CrUX LCP Above 4.0s (per-URL data unavailable — re-run with PSI key for URL-level data)</t>
        </is>
      </c>
      <c r="C124" s="30" t="inlineStr">
        <is>
          <t>What: Template/technical implementation quality issue.
Fix: Apply fix based on issue type and re-run audit.
Verify: Re-run the audit and confirm 'Origin CrUX LCP Above 4.0s (per-URL data unavailable — re-run with PSI key for URL-level data)' no longer appears for affected URLs on the Issue Inventory tab.</t>
        </is>
      </c>
      <c r="D124" s="30" t="inlineStr">
        <is>
          <t>Improves polish, extractability, or competitive parity when addressed. (Severity: Observation; Owner: Dev; Time: 1–4 hours)</t>
        </is>
      </c>
    </row>
    <row r="125" ht="45" customHeight="1">
      <c r="A125" s="32" t="inlineStr">
        <is>
          <t>Issue Playbook</t>
        </is>
      </c>
      <c r="B125" s="28" t="inlineStr">
        <is>
          <t>Origin CrUX INP Above 200ms (per-URL data unavailable)</t>
        </is>
      </c>
      <c r="C125" s="28" t="inlineStr">
        <is>
          <t>What: Template/technical implementation quality issue.
Fix: Apply fix based on issue type and re-run audit.
Verify: Re-run the audit and confirm 'Origin CrUX INP Above 200ms (per-URL data unavailable)' no longer appears for affected URLs on the Issue Inventory tab.</t>
        </is>
      </c>
      <c r="D125" s="28" t="inlineStr">
        <is>
          <t>Improves polish, extractability, or competitive parity when addressed. (Severity: Observation; Owner: Dev; Time: 1–4 hours)</t>
        </is>
      </c>
    </row>
    <row r="126" ht="45" customHeight="1">
      <c r="A126" s="32" t="inlineStr">
        <is>
          <t>Issue Playbook</t>
        </is>
      </c>
      <c r="B126" s="30" t="inlineStr">
        <is>
          <t>Low Regional Authority</t>
        </is>
      </c>
      <c r="C126" s="30" t="inlineStr">
        <is>
          <t>What: Template/technical implementation quality issue.
Fix: Apply fix based on issue type and re-run audit.
Verify: Re-run the audit and confirm 'Low Regional Authority' no longer appears for affected URLs on the Issue Inventory tab.</t>
        </is>
      </c>
      <c r="D126" s="30" t="inlineStr">
        <is>
          <t>Improves polish, extractability, or competitive parity when addressed. (Severity: Observation; Owner: Copy Writer; Time: 1–4 hours)</t>
        </is>
      </c>
    </row>
    <row r="127" ht="45" customHeight="1">
      <c r="A127" s="32" t="inlineStr">
        <is>
          <t>Issue Playbook</t>
        </is>
      </c>
      <c r="B127" s="28" t="inlineStr">
        <is>
          <t>llms.txt Missing</t>
        </is>
      </c>
      <c r="C127" s="28" t="inlineStr">
        <is>
          <t>What: Template/technical implementation quality issue.
Fix: Apply fix based on issue type and re-run audit.
Verify: Re-run the audit and confirm 'llms.txt Missing' no longer appears for affected URLs on the Issue Inventory tab.</t>
        </is>
      </c>
      <c r="D127" s="28" t="inlineStr">
        <is>
          <t>Improves polish, extractability, or competitive parity when addressed. (Severity: Observation; Owner: Copy Writer; Time: 1–4 hours)</t>
        </is>
      </c>
    </row>
    <row r="128" ht="45" customHeight="1">
      <c r="A128" s="32" t="inlineStr">
        <is>
          <t>Issue Playbook</t>
        </is>
      </c>
      <c r="B128" s="30" t="inlineStr">
        <is>
          <t>AI Crawlers Not Explicitly Allowed</t>
        </is>
      </c>
      <c r="C128" s="30" t="inlineStr">
        <is>
          <t>What: Template/technical implementation quality issue.
Fix: Apply fix based on issue type and re-run audit.
Verify: Re-run the audit and confirm 'AI Crawlers Not Explicitly Allowed' no longer appears for affected URLs on the Issue Inventory tab.</t>
        </is>
      </c>
      <c r="D128" s="30" t="inlineStr">
        <is>
          <t>Improves polish, extractability, or competitive parity when addressed. (Severity: Observation; Owner: Copy Writer; Time: 1–4 hours)</t>
        </is>
      </c>
    </row>
    <row r="129" ht="18" customHeight="1">
      <c r="A129" s="32" t="inlineStr"/>
      <c r="B129" s="28" t="inlineStr"/>
      <c r="C129" s="28" t="inlineStr"/>
      <c r="D129" s="28" t="inlineStr"/>
    </row>
    <row r="130" ht="18" customHeight="1">
      <c r="A130" s="32" t="inlineStr">
        <is>
          <t>[Glossary &amp; Legend]</t>
        </is>
      </c>
      <c r="B130" s="30" t="inlineStr"/>
      <c r="C130" s="30" t="inlineStr"/>
      <c r="D130" s="30" t="inlineStr"/>
    </row>
    <row r="131" ht="30" customHeight="1">
      <c r="A131" s="32" t="inlineStr">
        <is>
          <t>How To Use</t>
        </is>
      </c>
      <c r="B131" s="28" t="inlineStr">
        <is>
          <t>Step 1: Start on Dashboard</t>
        </is>
      </c>
      <c r="C131" s="28" t="inlineStr">
        <is>
          <t>5-minute executive scan</t>
        </is>
      </c>
      <c r="D131" s="28" t="inlineStr">
        <is>
          <t>Review pass rate, critical URL count, and Immediate Actions to understand overall risk first.</t>
        </is>
      </c>
    </row>
    <row r="132" ht="30" customHeight="1">
      <c r="A132" s="32" t="inlineStr">
        <is>
          <t>How To Use</t>
        </is>
      </c>
      <c r="B132" s="30" t="inlineStr">
        <is>
          <t>Step 2: Prioritize and Assign</t>
        </is>
      </c>
      <c r="C132" s="30" t="inlineStr">
        <is>
          <t>Work top-down by Business Risk Score</t>
        </is>
      </c>
      <c r="D132" s="30" t="inlineStr">
        <is>
          <t>Use Priority URLs and FixPlan to pick highest-impact items, assign owner, and set status/sprint.</t>
        </is>
      </c>
    </row>
    <row r="133" ht="30" customHeight="1">
      <c r="A133" s="32" t="inlineStr">
        <is>
          <t>How To Use</t>
        </is>
      </c>
      <c r="B133" s="28" t="inlineStr">
        <is>
          <t>Step 3: Execute and Validate</t>
        </is>
      </c>
      <c r="C133" s="28" t="inlineStr">
        <is>
          <t>Close loop every sprint</t>
        </is>
      </c>
      <c r="D133" s="28" t="inlineStr">
        <is>
          <t>Implement fixes, then verify by checking Technical/Indexability/AEO tabs and rerunning the audit.</t>
        </is>
      </c>
    </row>
    <row r="134" ht="45" customHeight="1">
      <c r="A134" s="32" t="inlineStr">
        <is>
          <t>Orientation</t>
        </is>
      </c>
      <c r="B134" s="30" t="inlineStr">
        <is>
          <t>Where to Start</t>
        </is>
      </c>
      <c r="C134" s="30" t="inlineStr">
        <is>
          <t>Critical &gt; Warning &gt; Observation</t>
        </is>
      </c>
      <c r="D134" s="30" t="inlineStr">
        <is>
          <t>If you're short on time, work only Critical and Warning issues first, then return to Observation items.</t>
        </is>
      </c>
    </row>
    <row r="135" ht="30" customHeight="1">
      <c r="A135" s="32" t="inlineStr">
        <is>
          <t>Color Key</t>
        </is>
      </c>
      <c r="B135" s="28" t="inlineStr">
        <is>
          <t>Green</t>
        </is>
      </c>
      <c r="C135" s="28" t="inlineStr">
        <is>
          <t>Good</t>
        </is>
      </c>
      <c r="D135" s="28" t="inlineStr">
        <is>
          <t>Pass / aligned with best practice or completed workflow item.</t>
        </is>
      </c>
    </row>
    <row r="136" ht="30" customHeight="1">
      <c r="A136" s="32" t="inlineStr">
        <is>
          <t>Color Key</t>
        </is>
      </c>
      <c r="B136" s="30" t="inlineStr">
        <is>
          <t>Orange</t>
        </is>
      </c>
      <c r="C136" s="30" t="inlineStr">
        <is>
          <t>Medium risk</t>
        </is>
      </c>
      <c r="D136" s="30" t="inlineStr">
        <is>
          <t>Warning / in progress / medium-priority attention needed.</t>
        </is>
      </c>
    </row>
    <row r="137" ht="30" customHeight="1">
      <c r="A137" s="32" t="inlineStr">
        <is>
          <t>Color Key</t>
        </is>
      </c>
      <c r="B137" s="28" t="inlineStr">
        <is>
          <t>Red</t>
        </is>
      </c>
      <c r="C137" s="28" t="inlineStr">
        <is>
          <t>High risk</t>
        </is>
      </c>
      <c r="D137" s="28" t="inlineStr">
        <is>
          <t>Failure / high-priority issue or to-do critical task.</t>
        </is>
      </c>
    </row>
  </sheetData>
  <mergeCells count="2">
    <mergeCell ref="C1:D1"/>
    <mergeCell ref="A1:B1"/>
  </mergeCells>
  <conditionalFormatting sqref="A3:D137">
    <cfRule type="expression" priority="1"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tabColor rgb="008E44AD"/>
    <outlinePr summaryBelow="1" summaryRight="1"/>
    <pageSetUpPr fitToPage="1"/>
  </sheetPr>
  <dimension ref="A1:S449"/>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24" customWidth="1" min="2" max="2"/>
    <col width="48" customWidth="1" min="3" max="3"/>
    <col width="13" customWidth="1" min="4" max="4"/>
    <col width="20" customWidth="1" min="5" max="5"/>
    <col width="30" customWidth="1" min="6" max="6"/>
    <col width="48" customWidth="1" min="7" max="7"/>
    <col width="13" customWidth="1" min="8" max="8"/>
    <col width="10" customWidth="1" min="9" max="9"/>
    <col width="10" customWidth="1" min="10" max="10"/>
    <col width="48" customWidth="1" min="11" max="11"/>
    <col width="48" customWidth="1" min="12" max="12"/>
    <col width="15" customWidth="1" min="13" max="13"/>
    <col width="21" customWidth="1" min="14" max="14"/>
    <col width="11" customWidth="1" min="15" max="15"/>
    <col width="13" customWidth="1" min="16" max="16"/>
    <col width="14" customWidth="1" min="17" max="17"/>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6" t="inlineStr">
        <is>
          <t>Section</t>
        </is>
      </c>
      <c r="C2" s="26" t="inlineStr">
        <is>
          <t>Issue</t>
        </is>
      </c>
      <c r="D2" s="26" t="inlineStr">
        <is>
          <t>Severity</t>
        </is>
      </c>
      <c r="E2" s="27" t="inlineStr">
        <is>
          <t>Affected URL Count</t>
        </is>
      </c>
      <c r="F2" s="26" t="inlineStr">
        <is>
          <t>Reference Area</t>
        </is>
      </c>
      <c r="G2" s="26" t="inlineStr">
        <is>
          <t>Stable Issue ID</t>
        </is>
      </c>
      <c r="H2" s="26" t="inlineStr">
        <is>
          <t>Owner</t>
        </is>
      </c>
      <c r="I2" s="26" t="inlineStr">
        <is>
          <t>Sprint</t>
        </is>
      </c>
      <c r="J2" s="26" t="inlineStr">
        <is>
          <t>Status</t>
        </is>
      </c>
      <c r="K2" s="26" t="inlineStr">
        <is>
          <t>Affected URLs Sample</t>
        </is>
      </c>
      <c r="L2" s="26" t="inlineStr">
        <is>
          <t>Source Legacy Tab</t>
        </is>
      </c>
      <c r="M2" s="26" t="inlineStr">
        <is>
          <t>Source Row ID</t>
        </is>
      </c>
      <c r="N2" s="26" t="inlineStr">
        <is>
          <t>Date First Detected</t>
        </is>
      </c>
      <c r="O2" s="27" t="inlineStr">
        <is>
          <t>Days Open</t>
        </is>
      </c>
      <c r="P2" s="26" t="inlineStr">
        <is>
          <t>Assigned To</t>
        </is>
      </c>
      <c r="Q2" s="26" t="inlineStr">
        <is>
          <t>Client Notes</t>
        </is>
      </c>
      <c r="R2" s="26" t="inlineStr">
        <is>
          <t>Open in Main</t>
        </is>
      </c>
      <c r="S2" s="26" t="inlineStr">
        <is>
          <t>Open in Reference</t>
        </is>
      </c>
    </row>
    <row r="3" ht="18" customHeight="1">
      <c r="A3" s="20" t="inlineStr"/>
      <c r="B3" s="28" t="inlineStr">
        <is>
          <t>AEO Opportunities</t>
        </is>
      </c>
      <c r="C3" s="79" t="inlineStr">
        <is>
          <t>Low AEO Readiness Score</t>
        </is>
      </c>
      <c r="D3" s="28" t="inlineStr">
        <is>
          <t>Warning</t>
        </is>
      </c>
      <c r="E3" s="20" t="n">
        <v>9</v>
      </c>
      <c r="F3" s="39" t="inlineStr">
        <is>
          <t>Content &amp; AI Readiness</t>
        </is>
      </c>
      <c r="G3" s="28" t="inlineStr"/>
      <c r="H3" s="28" t="inlineStr"/>
      <c r="I3" s="28" t="inlineStr"/>
      <c r="J3" s="28" t="inlineStr">
        <is>
          <t>Open</t>
        </is>
      </c>
      <c r="K3"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c r="L3" s="28" t="inlineStr">
        <is>
          <t>Summary (site-wide — no single URL; sort by URL to separate from per-URL issues)</t>
        </is>
      </c>
      <c r="M3" s="28" t="n">
        <v>2</v>
      </c>
      <c r="N3" s="28" t="inlineStr">
        <is>
          <t>2026-07-01 20:54:35</t>
        </is>
      </c>
      <c r="O3" s="28" t="n">
        <v>0</v>
      </c>
      <c r="P3" s="28" t="inlineStr"/>
      <c r="Q3" s="28" t="inlineStr"/>
      <c r="R3">
        <f>IFERROR(HYPERLINK("#'Main'!B"&amp;MATCH(TRIM(A3),'Main'!B:B,0),"Open"),HYPERLINK("#'Main'!B1","Open"))</f>
        <v/>
      </c>
      <c r="S3">
        <f>IFERROR(HYPERLINK("#'"&amp;SUBSTITUTE(F3,"'","''")&amp;"'!A"&amp;MATCH(A3,INDIRECT("'"&amp;SUBSTITUTE(F3,"'","''")&amp;"'!A:A"),0),"Open"),HYPERLINK("#'"&amp;SUBSTITUTE(F3,"'","''")&amp;"'!A1","Open"))</f>
        <v/>
      </c>
    </row>
    <row r="4" ht="18" customHeight="1">
      <c r="A4" s="78" t="inlineStr"/>
      <c r="B4" s="30" t="inlineStr">
        <is>
          <t>AEO Opportunities</t>
        </is>
      </c>
      <c r="C4" s="80" t="inlineStr">
        <is>
          <t>No 40-60 Word Answer Paragraphs</t>
        </is>
      </c>
      <c r="D4" s="30" t="inlineStr">
        <is>
          <t>Observation</t>
        </is>
      </c>
      <c r="E4" s="31" t="n">
        <v>9</v>
      </c>
      <c r="F4" s="41" t="inlineStr">
        <is>
          <t>Content &amp; AI Readiness</t>
        </is>
      </c>
      <c r="G4" s="30" t="inlineStr"/>
      <c r="H4" s="30" t="inlineStr"/>
      <c r="I4" s="30" t="inlineStr"/>
      <c r="J4" s="30" t="inlineStr">
        <is>
          <t>Open</t>
        </is>
      </c>
      <c r="K4" s="31"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c r="L4" s="30" t="inlineStr">
        <is>
          <t>Summary (site-wide — no single URL; sort by URL to separate from per-URL issues)</t>
        </is>
      </c>
      <c r="M4" s="30" t="n">
        <v>4</v>
      </c>
      <c r="N4" s="30" t="inlineStr">
        <is>
          <t>2026-07-01 20:54:35</t>
        </is>
      </c>
      <c r="O4" s="30" t="n">
        <v>0</v>
      </c>
      <c r="P4" s="30" t="inlineStr"/>
      <c r="Q4" s="30" t="inlineStr"/>
      <c r="R4" s="38">
        <f>IFERROR(HYPERLINK("#'Main'!B"&amp;MATCH(TRIM(A4),'Main'!B:B,0),"Open"),HYPERLINK("#'Main'!B1","Open"))</f>
        <v/>
      </c>
      <c r="S4" s="38">
        <f>IFERROR(HYPERLINK("#'"&amp;SUBSTITUTE(F4,"'","''")&amp;"'!A"&amp;MATCH(A4,INDIRECT("'"&amp;SUBSTITUTE(F4,"'","''")&amp;"'!A:A"),0),"Open"),HYPERLINK("#'"&amp;SUBSTITUTE(F4,"'","''")&amp;"'!A1","Open"))</f>
        <v/>
      </c>
    </row>
    <row r="5" ht="18" customHeight="1">
      <c r="A5" s="78" t="inlineStr"/>
      <c r="B5" s="28" t="inlineStr">
        <is>
          <t>AEO Opportunities</t>
        </is>
      </c>
      <c r="C5" s="79" t="inlineStr">
        <is>
          <t>No Answer-Friendly Structure</t>
        </is>
      </c>
      <c r="D5" s="28" t="inlineStr">
        <is>
          <t>Observation</t>
        </is>
      </c>
      <c r="E5" s="20" t="n">
        <v>9</v>
      </c>
      <c r="F5" s="39" t="inlineStr">
        <is>
          <t>Content &amp; AI Readiness</t>
        </is>
      </c>
      <c r="G5" s="28" t="inlineStr"/>
      <c r="H5" s="28" t="inlineStr"/>
      <c r="I5" s="28" t="inlineStr"/>
      <c r="J5" s="28" t="inlineStr">
        <is>
          <t>Open</t>
        </is>
      </c>
      <c r="K5"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c r="L5" s="28" t="inlineStr">
        <is>
          <t>Summary (site-wide — no single URL; sort by URL to separate from per-URL issues)</t>
        </is>
      </c>
      <c r="M5" s="28" t="n">
        <v>5</v>
      </c>
      <c r="N5" s="28" t="inlineStr">
        <is>
          <t>2026-07-01 20:54:35</t>
        </is>
      </c>
      <c r="O5" s="28" t="n">
        <v>0</v>
      </c>
      <c r="P5" s="28" t="inlineStr"/>
      <c r="Q5" s="28" t="inlineStr"/>
      <c r="R5">
        <f>IFERROR(HYPERLINK("#'Main'!B"&amp;MATCH(TRIM(A5),'Main'!B:B,0),"Open"),HYPERLINK("#'Main'!B1","Open"))</f>
        <v/>
      </c>
      <c r="S5">
        <f>IFERROR(HYPERLINK("#'"&amp;SUBSTITUTE(F5,"'","''")&amp;"'!A"&amp;MATCH(A5,INDIRECT("'"&amp;SUBSTITUTE(F5,"'","''")&amp;"'!A:A"),0),"Open"),HYPERLINK("#'"&amp;SUBSTITUTE(F5,"'","''")&amp;"'!A1","Open"))</f>
        <v/>
      </c>
    </row>
    <row r="6" ht="18" customHeight="1">
      <c r="A6" s="78" t="inlineStr"/>
      <c r="B6" s="30" t="inlineStr">
        <is>
          <t>AEO Opportunities</t>
        </is>
      </c>
      <c r="C6" s="80" t="inlineStr">
        <is>
          <t>No Question Headings</t>
        </is>
      </c>
      <c r="D6" s="30" t="inlineStr">
        <is>
          <t>Observation</t>
        </is>
      </c>
      <c r="E6" s="31" t="n">
        <v>9</v>
      </c>
      <c r="F6" s="41" t="inlineStr">
        <is>
          <t>Content &amp; AI Readiness</t>
        </is>
      </c>
      <c r="G6" s="30" t="inlineStr"/>
      <c r="H6" s="30" t="inlineStr"/>
      <c r="I6" s="30" t="inlineStr"/>
      <c r="J6" s="30" t="inlineStr">
        <is>
          <t>Open</t>
        </is>
      </c>
      <c r="K6" s="31"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Content &amp; AI Readiness tab</t>
        </is>
      </c>
      <c r="L6" s="30" t="inlineStr">
        <is>
          <t>Summary (site-wide — no single URL; sort by URL to separate from per-URL issues)</t>
        </is>
      </c>
      <c r="M6" s="30" t="n">
        <v>6</v>
      </c>
      <c r="N6" s="30" t="inlineStr">
        <is>
          <t>2026-07-01 20:54:35</t>
        </is>
      </c>
      <c r="O6" s="30" t="n">
        <v>0</v>
      </c>
      <c r="P6" s="30" t="inlineStr"/>
      <c r="Q6" s="30" t="inlineStr"/>
      <c r="R6" s="38">
        <f>IFERROR(HYPERLINK("#'Main'!B"&amp;MATCH(TRIM(A6),'Main'!B:B,0),"Open"),HYPERLINK("#'Main'!B1","Open"))</f>
        <v/>
      </c>
      <c r="S6" s="38">
        <f>IFERROR(HYPERLINK("#'"&amp;SUBSTITUTE(F6,"'","''")&amp;"'!A"&amp;MATCH(A6,INDIRECT("'"&amp;SUBSTITUTE(F6,"'","''")&amp;"'!A:A"),0),"Open"),HYPERLINK("#'"&amp;SUBSTITUTE(F6,"'","''")&amp;"'!A1","Open"))</f>
        <v/>
      </c>
    </row>
    <row r="7" ht="18" customHeight="1">
      <c r="A7" s="20" t="inlineStr"/>
      <c r="B7" s="28" t="inlineStr">
        <is>
          <t>Issue Counts</t>
        </is>
      </c>
      <c r="C7" s="79" t="inlineStr">
        <is>
          <t>Non-200 Status</t>
        </is>
      </c>
      <c r="D7" s="28" t="inlineStr">
        <is>
          <t>Critical</t>
        </is>
      </c>
      <c r="E7" s="20" t="n">
        <v>11</v>
      </c>
      <c r="F7" s="39" t="inlineStr">
        <is>
          <t>Technical Diagnostics</t>
        </is>
      </c>
      <c r="G7" s="28" t="inlineStr"/>
      <c r="H7" s="28" t="inlineStr"/>
      <c r="I7" s="28" t="inlineStr"/>
      <c r="J7" s="28" t="inlineStr">
        <is>
          <t>Open</t>
        </is>
      </c>
      <c r="K7" s="20" t="inlineStr">
        <is>
          <t>https://africanmarketingconfederation.org/ | https://africanmarketingconfederation.org/smoke-archive/page-13 | https://africanmarketingconfederation.org/smoke-archive/page-17 | https://africanmarketingconfederation.org/smoke-archive/page-26 | https://africanmarketingconfederation.org/smoke-archive/page-34 | https://africanmarketingconfederation.org/smoke-archive/page-39 | https://africanmarketingconfederation.org/smoke-archive/page-51 | https://africanmarketingconfederation.org/smoke-archive/page-52 | https://africanmarketingconfederation.org/smoke-archive/page-65 | https://africanmarketingconfederation.org/smoke-archive/page-68 | https://africanmarketingconfederation.org/smoke-archive/page-78 || Full list: see Technical Diagnostics / Link Intelligence tabs</t>
        </is>
      </c>
      <c r="L7" s="28" t="inlineStr">
        <is>
          <t>Summary (site-wide — no single URL; sort by URL to separate from per-URL issues)</t>
        </is>
      </c>
      <c r="M7" s="28" t="n">
        <v>8</v>
      </c>
      <c r="N7" s="28" t="inlineStr">
        <is>
          <t>2026-07-01 20:54:35</t>
        </is>
      </c>
      <c r="O7" s="28" t="n">
        <v>0</v>
      </c>
      <c r="P7" s="28" t="inlineStr"/>
      <c r="Q7" s="28" t="inlineStr"/>
      <c r="R7">
        <f>IFERROR(HYPERLINK("#'Main'!B"&amp;MATCH(TRIM(A7),'Main'!B:B,0),"Open"),HYPERLINK("#'Main'!B1","Open"))</f>
        <v/>
      </c>
      <c r="S7">
        <f>IFERROR(HYPERLINK("#'"&amp;SUBSTITUTE(F7,"'","''")&amp;"'!A"&amp;MATCH(A7,INDIRECT("'"&amp;SUBSTITUTE(F7,"'","''")&amp;"'!A:A"),0),"Open"),HYPERLINK("#'"&amp;SUBSTITUTE(F7,"'","''")&amp;"'!A1","Open"))</f>
        <v/>
      </c>
    </row>
    <row r="8" ht="18" customHeight="1">
      <c r="A8" s="31" t="inlineStr"/>
      <c r="B8" s="30" t="inlineStr">
        <is>
          <t>Issue Counts</t>
        </is>
      </c>
      <c r="C8" s="80" t="inlineStr">
        <is>
          <t>No Schema Markup</t>
        </is>
      </c>
      <c r="D8" s="30" t="inlineStr">
        <is>
          <t>Critical</t>
        </is>
      </c>
      <c r="E8" s="31" t="n">
        <v>6</v>
      </c>
      <c r="F8" s="41" t="inlineStr">
        <is>
          <t>Technical Diagnostics</t>
        </is>
      </c>
      <c r="G8" s="30" t="inlineStr"/>
      <c r="H8" s="30" t="inlineStr"/>
      <c r="I8" s="30" t="inlineStr"/>
      <c r="J8" s="30" t="inlineStr">
        <is>
          <t>Open</t>
        </is>
      </c>
      <c r="K8" s="31" t="inlineStr">
        <is>
          <t>https://africanmarketingconfederation.org/smoke-archive/page-12 | https://africanmarketingconfederation.org/smoke-archive/page-24 | https://africanmarketingconfederation.org/smoke-archive/page-36 | https://africanmarketingconfederation.org/smoke-archive/page-48 | https://africanmarketingconfederation.org/smoke-archive/page-60 | https://africanmarketingconfederation.org/smoke-archive/page-72 || Full list: see Technical Diagnostics / Link Intelligence tabs</t>
        </is>
      </c>
      <c r="L8" s="30" t="inlineStr">
        <is>
          <t>Summary (site-wide — no single URL; sort by URL to separate from per-URL issues)</t>
        </is>
      </c>
      <c r="M8" s="30" t="n">
        <v>9</v>
      </c>
      <c r="N8" s="30" t="inlineStr">
        <is>
          <t>2026-07-01 20:54:35</t>
        </is>
      </c>
      <c r="O8" s="30" t="n">
        <v>0</v>
      </c>
      <c r="P8" s="30" t="inlineStr"/>
      <c r="Q8" s="30" t="inlineStr"/>
      <c r="R8" s="38">
        <f>IFERROR(HYPERLINK("#'Main'!B"&amp;MATCH(TRIM(A8),'Main'!B:B,0),"Open"),HYPERLINK("#'Main'!B1","Open"))</f>
        <v/>
      </c>
      <c r="S8" s="38">
        <f>IFERROR(HYPERLINK("#'"&amp;SUBSTITUTE(F8,"'","''")&amp;"'!A"&amp;MATCH(A8,INDIRECT("'"&amp;SUBSTITUTE(F8,"'","''")&amp;"'!A:A"),0),"Open"),HYPERLINK("#'"&amp;SUBSTITUTE(F8,"'","''")&amp;"'!A1","Open"))</f>
        <v/>
      </c>
    </row>
    <row r="9" ht="18" customHeight="1">
      <c r="A9" s="20" t="inlineStr"/>
      <c r="B9" s="28" t="inlineStr">
        <is>
          <t>Issue Counts</t>
        </is>
      </c>
      <c r="C9" s="79" t="inlineStr">
        <is>
          <t>Missing OG Image</t>
        </is>
      </c>
      <c r="D9" s="28" t="inlineStr">
        <is>
          <t>Warning</t>
        </is>
      </c>
      <c r="E9" s="20" t="n">
        <v>63</v>
      </c>
      <c r="F9" s="39" t="inlineStr">
        <is>
          <t>Technical Diagnostics</t>
        </is>
      </c>
      <c r="G9" s="28" t="inlineStr"/>
      <c r="H9" s="28" t="inlineStr"/>
      <c r="I9" s="28" t="inlineStr"/>
      <c r="J9" s="28" t="inlineStr">
        <is>
          <t>Open</t>
        </is>
      </c>
      <c r="K9" s="20" t="inlineStr">
        <is>
          <t>https://africanmarketingconfederation.org/smoke-archive/page-1 | https://africanmarketingconfederation.org/smoke-archive/page-2 | https://africanmarketingconfederation.org/smoke-archive/page-3 | https://africanmarketingconfederation.org/smoke-archive/page-5 | https://africanmarketingconfederation.org/smoke-archive/page-6 | https://africanmarketingconfederation.org/smoke-archive/page-7 | https://africanmarketingconfederation.org/smoke-archive/page-9 | https://africanmarketingconfederation.org/smoke-archive/page-10 | https://africanmarketingconfederation.org/smoke-archive/page-11 | https://africanmarketingconfederation.org/smoke-archive/page-13 | https://africanmarketingconfederation.org/smoke-archive/page-14 | https://africanmarketingconfederation.org/smoke-archive/page-15 | https://africanmarketingconfederation.org/smoke-archive/page-17 | https://africanmarketingconfederation.org/smoke-archive/page-18 | https://africanmarketingconfederation.org/smoke-archive/page-19 | https://africanmarketingconfederation.org/smoke-archive/page-21 | https://africanmarketingconfederation.org/smoke-archive/page-22 | https://africanmarketingconfederation.org/smoke-archive/page-23 | https://africanmarketingconfederation.org/smoke-archive/page-25 | https://africanmarketingconfederation.org/smoke-archive/page-26 | https://africanmarketingconfederation.org/smoke-archive/page-27 | https://africanmarketingconfederation.org/smoke-archive/page-29 | https://africanmarketingconfederation.org/smoke-archive/page-30 | https://africanmarketingconfederation.org/smoke-archive/page-31 | https://africanmarketingconfederation.org/smoke-archive/page-33 || Full list: see Technical Diagnostics / Link Intelligence tabs</t>
        </is>
      </c>
      <c r="L9" s="28" t="inlineStr">
        <is>
          <t>Summary (site-wide — no single URL; sort by URL to separate from per-URL issues)</t>
        </is>
      </c>
      <c r="M9" s="28" t="n">
        <v>27</v>
      </c>
      <c r="N9" s="28" t="inlineStr">
        <is>
          <t>2026-07-01 20:54:35</t>
        </is>
      </c>
      <c r="O9" s="28" t="n">
        <v>0</v>
      </c>
      <c r="P9" s="28" t="inlineStr"/>
      <c r="Q9" s="28" t="inlineStr"/>
      <c r="R9">
        <f>IFERROR(HYPERLINK("#'Main'!B"&amp;MATCH(TRIM(A9),'Main'!B:B,0),"Open"),HYPERLINK("#'Main'!B1","Open"))</f>
        <v/>
      </c>
      <c r="S9">
        <f>IFERROR(HYPERLINK("#'"&amp;SUBSTITUTE(F9,"'","''")&amp;"'!A"&amp;MATCH(A9,INDIRECT("'"&amp;SUBSTITUTE(F9,"'","''")&amp;"'!A:A"),0),"Open"),HYPERLINK("#'"&amp;SUBSTITUTE(F9,"'","''")&amp;"'!A1","Open"))</f>
        <v/>
      </c>
    </row>
    <row r="10" ht="18" customHeight="1">
      <c r="A10" s="31" t="inlineStr"/>
      <c r="B10" s="30" t="inlineStr">
        <is>
          <t>Issue Counts</t>
        </is>
      </c>
      <c r="C10" s="80" t="inlineStr">
        <is>
          <t>Missing Meta Description</t>
        </is>
      </c>
      <c r="D10" s="30" t="inlineStr">
        <is>
          <t>Warning</t>
        </is>
      </c>
      <c r="E10" s="31" t="n">
        <v>15</v>
      </c>
      <c r="F10" s="41" t="inlineStr">
        <is>
          <t>Technical Diagnostics</t>
        </is>
      </c>
      <c r="G10" s="30" t="inlineStr"/>
      <c r="H10" s="30" t="inlineStr"/>
      <c r="I10" s="30" t="inlineStr"/>
      <c r="J10" s="30" t="inlineStr">
        <is>
          <t>Open</t>
        </is>
      </c>
      <c r="K10" s="31" t="inlineStr">
        <is>
          <t>https://africanmarketingconfederation.org/smoke-archive/page-5 | https://africanmarketingconfederation.org/smoke-archive/page-10 | https://africanmarketingconfederation.org/smoke-archive/page-15 | https://africanmarketingconfederation.org/smoke-archive/page-20 | https://africanmarketingconfederation.org/smoke-archive/page-25 | https://africanmarketingconfederation.org/smoke-archive/page-30 | https://africanmarketingconfederation.org/smoke-archive/page-35 | https://africanmarketingconfederation.org/smoke-archive/page-40 | https://africanmarketingconfederation.org/smoke-archive/page-45 | https://africanmarketingconfederation.org/smoke-archive/page-50 | https://africanmarketingconfederation.org/smoke-archive/page-55 | https://africanmarketingconfederation.org/smoke-archive/page-60 | https://africanmarketingconfederation.org/smoke-archive/page-65 | https://africanmarketingconfederation.org/smoke-archive/page-70 | https://africanmarketingconfederation.org/smoke-archive/page-75 || Full list: see Technical Diagnostics / Link Intelligence tabs</t>
        </is>
      </c>
      <c r="L10" s="30" t="inlineStr">
        <is>
          <t>Summary (site-wide — no single URL; sort by URL to separate from per-URL issues)</t>
        </is>
      </c>
      <c r="M10" s="30" t="n">
        <v>28</v>
      </c>
      <c r="N10" s="30" t="inlineStr">
        <is>
          <t>2026-07-01 20:54:35</t>
        </is>
      </c>
      <c r="O10" s="30" t="n">
        <v>0</v>
      </c>
      <c r="P10" s="30" t="inlineStr"/>
      <c r="Q10" s="30" t="inlineStr"/>
      <c r="R10" s="38">
        <f>IFERROR(HYPERLINK("#'Main'!B"&amp;MATCH(TRIM(A10),'Main'!B:B,0),"Open"),HYPERLINK("#'Main'!B1","Open"))</f>
        <v/>
      </c>
      <c r="S10" s="38">
        <f>IFERROR(HYPERLINK("#'"&amp;SUBSTITUTE(F10,"'","''")&amp;"'!A"&amp;MATCH(A10,INDIRECT("'"&amp;SUBSTITUTE(F10,"'","''")&amp;"'!A:A"),0),"Open"),HYPERLINK("#'"&amp;SUBSTITUTE(F10,"'","''")&amp;"'!A1","Open"))</f>
        <v/>
      </c>
    </row>
    <row r="11" ht="18" customHeight="1">
      <c r="A11" s="20" t="inlineStr"/>
      <c r="B11" s="28" t="inlineStr">
        <is>
          <t>Issue Counts</t>
        </is>
      </c>
      <c r="C11" s="79" t="inlineStr">
        <is>
          <t>Missing OG Description</t>
        </is>
      </c>
      <c r="D11" s="28" t="inlineStr">
        <is>
          <t>Warning</t>
        </is>
      </c>
      <c r="E11" s="20" t="n">
        <v>15</v>
      </c>
      <c r="F11" s="39" t="inlineStr">
        <is>
          <t>Technical Diagnostics</t>
        </is>
      </c>
      <c r="G11" s="28" t="inlineStr"/>
      <c r="H11" s="28" t="inlineStr"/>
      <c r="I11" s="28" t="inlineStr"/>
      <c r="J11" s="28" t="inlineStr">
        <is>
          <t>Open</t>
        </is>
      </c>
      <c r="K11" s="20" t="inlineStr">
        <is>
          <t>https://africanmarketingconfederation.org/smoke-archive/page-5 | https://africanmarketingconfederation.org/smoke-archive/page-10 | https://africanmarketingconfederation.org/smoke-archive/page-15 | https://africanmarketingconfederation.org/smoke-archive/page-20 | https://africanmarketingconfederation.org/smoke-archive/page-25 | https://africanmarketingconfederation.org/smoke-archive/page-30 | https://africanmarketingconfederation.org/smoke-archive/page-35 | https://africanmarketingconfederation.org/smoke-archive/page-40 | https://africanmarketingconfederation.org/smoke-archive/page-45 | https://africanmarketingconfederation.org/smoke-archive/page-50 | https://africanmarketingconfederation.org/smoke-archive/page-55 | https://africanmarketingconfederation.org/smoke-archive/page-60 | https://africanmarketingconfederation.org/smoke-archive/page-65 | https://africanmarketingconfederation.org/smoke-archive/page-70 | https://africanmarketingconfederation.org/smoke-archive/page-75 || Full list: see Technical Diagnostics / Link Intelligence tabs</t>
        </is>
      </c>
      <c r="L11" s="28" t="inlineStr">
        <is>
          <t>Summary (site-wide — no single URL; sort by URL to separate from per-URL issues)</t>
        </is>
      </c>
      <c r="M11" s="28" t="n">
        <v>29</v>
      </c>
      <c r="N11" s="28" t="inlineStr">
        <is>
          <t>2026-07-01 20:54:35</t>
        </is>
      </c>
      <c r="O11" s="28" t="n">
        <v>0</v>
      </c>
      <c r="P11" s="28" t="inlineStr"/>
      <c r="Q11" s="28" t="inlineStr"/>
      <c r="R11">
        <f>IFERROR(HYPERLINK("#'Main'!B"&amp;MATCH(TRIM(A11),'Main'!B:B,0),"Open"),HYPERLINK("#'Main'!B1","Open"))</f>
        <v/>
      </c>
      <c r="S11">
        <f>IFERROR(HYPERLINK("#'"&amp;SUBSTITUTE(F11,"'","''")&amp;"'!A"&amp;MATCH(A11,INDIRECT("'"&amp;SUBSTITUTE(F11,"'","''")&amp;"'!A:A"),0),"Open"),HYPERLINK("#'"&amp;SUBSTITUTE(F11,"'","''")&amp;"'!A1","Open"))</f>
        <v/>
      </c>
    </row>
    <row r="12" ht="18" customHeight="1">
      <c r="A12" s="31" t="inlineStr"/>
      <c r="B12" s="30" t="inlineStr">
        <is>
          <t>Issue Counts</t>
        </is>
      </c>
      <c r="C12" s="80" t="inlineStr">
        <is>
          <t>Low Image Alt Coverage</t>
        </is>
      </c>
      <c r="D12" s="30" t="inlineStr">
        <is>
          <t>Warning</t>
        </is>
      </c>
      <c r="E12" s="31" t="n">
        <v>13</v>
      </c>
      <c r="F12" s="41" t="inlineStr">
        <is>
          <t>Technical Diagnostics</t>
        </is>
      </c>
      <c r="G12" s="30" t="inlineStr"/>
      <c r="H12" s="30" t="inlineStr"/>
      <c r="I12" s="30" t="inlineStr"/>
      <c r="J12" s="30" t="inlineStr">
        <is>
          <t>Open</t>
        </is>
      </c>
      <c r="K12" s="31" t="inlineStr">
        <is>
          <t>https://africanmarketingconfederation.org/smoke-archive/page-6 | https://africanmarketingconfederation.org/smoke-archive/page-12 | https://africanmarketingconfederation.org/smoke-archive/page-18 | https://africanmarketingconfederation.org/smoke-archive/page-24 | https://africanmarketingconfederation.org/smoke-archive/page-30 | https://africanmarketingconfederation.org/smoke-archive/page-36 | https://africanmarketingconfederation.org/smoke-archive/page-42 | https://africanmarketingconfederation.org/smoke-archive/page-48 | https://africanmarketingconfederation.org/smoke-archive/page-54 | https://africanmarketingconfederation.org/smoke-archive/page-60 | https://africanmarketingconfederation.org/smoke-archive/page-66 | https://africanmarketingconfederation.org/smoke-archive/page-72 | https://africanmarketingconfederation.org/smoke-archive/page-78 || Full list: see Technical Diagnostics / Link Intelligence tabs</t>
        </is>
      </c>
      <c r="L12" s="30" t="inlineStr">
        <is>
          <t>Summary (site-wide — no single URL; sort by URL to separate from per-URL issues)</t>
        </is>
      </c>
      <c r="M12" s="30" t="n">
        <v>30</v>
      </c>
      <c r="N12" s="30" t="inlineStr">
        <is>
          <t>2026-07-01 20:54:35</t>
        </is>
      </c>
      <c r="O12" s="30" t="n">
        <v>0</v>
      </c>
      <c r="P12" s="30" t="inlineStr"/>
      <c r="Q12" s="30" t="inlineStr"/>
      <c r="R12" s="38">
        <f>IFERROR(HYPERLINK("#'Main'!B"&amp;MATCH(TRIM(A12),'Main'!B:B,0),"Open"),HYPERLINK("#'Main'!B1","Open"))</f>
        <v/>
      </c>
      <c r="S12" s="38">
        <f>IFERROR(HYPERLINK("#'"&amp;SUBSTITUTE(F12,"'","''")&amp;"'!A"&amp;MATCH(A12,INDIRECT("'"&amp;SUBSTITUTE(F12,"'","''")&amp;"'!A:A"),0),"Open"),HYPERLINK("#'"&amp;SUBSTITUTE(F12,"'","''")&amp;"'!A1","Open"))</f>
        <v/>
      </c>
    </row>
    <row r="13" ht="18" customHeight="1">
      <c r="A13" s="20" t="inlineStr"/>
      <c r="B13" s="28" t="inlineStr">
        <is>
          <t>Issue Counts</t>
        </is>
      </c>
      <c r="C13" s="79" t="inlineStr">
        <is>
          <t>Low E-E-A-T Signal Score (&lt;3)</t>
        </is>
      </c>
      <c r="D13" s="28" t="inlineStr">
        <is>
          <t>Warning</t>
        </is>
      </c>
      <c r="E13" s="20" t="n">
        <v>11</v>
      </c>
      <c r="F13" s="39" t="inlineStr">
        <is>
          <t>Technical Diagnostics</t>
        </is>
      </c>
      <c r="G13" s="28" t="inlineStr"/>
      <c r="H13" s="28" t="inlineStr"/>
      <c r="I13" s="28" t="inlineStr"/>
      <c r="J13" s="28" t="inlineStr">
        <is>
          <t>Open</t>
        </is>
      </c>
      <c r="K13" s="20" t="inlineStr">
        <is>
          <t>https://africanmarketingconfederation.org/smoke-archive/page-7 | https://africanmarketingconfederation.org/smoke-archive/page-14 | https://africanmarketingconfederation.org/smoke-archive/page-21 | https://africanmarketingconfederation.org/smoke-archive/page-28 | https://africanmarketingconfederation.org/smoke-archive/page-35 | https://africanmarketingconfederation.org/smoke-archive/page-42 | https://africanmarketingconfederation.org/smoke-archive/page-49 | https://africanmarketingconfederation.org/smoke-archive/page-56 | https://africanmarketingconfederation.org/smoke-archive/page-63 | https://africanmarketingconfederation.org/smoke-archive/page-70 | https://africanmarketingconfederation.org/smoke-archive/page-77 || Full list: see Technical Diagnostics / Link Intelligence tabs</t>
        </is>
      </c>
      <c r="L13" s="28" t="inlineStr">
        <is>
          <t>Summary (site-wide — no single URL; sort by URL to separate from per-URL issues)</t>
        </is>
      </c>
      <c r="M13" s="28" t="n">
        <v>31</v>
      </c>
      <c r="N13" s="28" t="inlineStr">
        <is>
          <t>2026-07-01 20:54:35</t>
        </is>
      </c>
      <c r="O13" s="28" t="n">
        <v>0</v>
      </c>
      <c r="P13" s="28" t="inlineStr"/>
      <c r="Q13" s="28" t="inlineStr"/>
      <c r="R13">
        <f>IFERROR(HYPERLINK("#'Main'!B"&amp;MATCH(TRIM(A13),'Main'!B:B,0),"Open"),HYPERLINK("#'Main'!B1","Open"))</f>
        <v/>
      </c>
      <c r="S13">
        <f>IFERROR(HYPERLINK("#'"&amp;SUBSTITUTE(F13,"'","''")&amp;"'!A"&amp;MATCH(A13,INDIRECT("'"&amp;SUBSTITUTE(F13,"'","''")&amp;"'!A:A"),0),"Open"),HYPERLINK("#'"&amp;SUBSTITUTE(F13,"'","''")&amp;"'!A1","Open"))</f>
        <v/>
      </c>
    </row>
    <row r="14" ht="18" customHeight="1">
      <c r="A14" s="31" t="inlineStr"/>
      <c r="B14" s="30" t="inlineStr">
        <is>
          <t>Issue Counts</t>
        </is>
      </c>
      <c r="C14" s="80" t="inlineStr">
        <is>
          <t>Low AEO Readiness Score</t>
        </is>
      </c>
      <c r="D14" s="30" t="inlineStr">
        <is>
          <t>Warning</t>
        </is>
      </c>
      <c r="E14" s="31" t="n">
        <v>9</v>
      </c>
      <c r="F14" s="41" t="inlineStr">
        <is>
          <t>Content &amp; AI Readiness</t>
        </is>
      </c>
      <c r="G14" s="30" t="inlineStr"/>
      <c r="H14" s="30" t="inlineStr"/>
      <c r="I14" s="30" t="inlineStr"/>
      <c r="J14" s="30" t="inlineStr">
        <is>
          <t>Open</t>
        </is>
      </c>
      <c r="K14" s="31"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c r="L14" s="30" t="inlineStr">
        <is>
          <t>Summary (site-wide — no single URL; sort by URL to separate from per-URL issues)</t>
        </is>
      </c>
      <c r="M14" s="30" t="n">
        <v>32</v>
      </c>
      <c r="N14" s="30" t="inlineStr">
        <is>
          <t>2026-07-01 20:54:35</t>
        </is>
      </c>
      <c r="O14" s="30" t="n">
        <v>0</v>
      </c>
      <c r="P14" s="30" t="inlineStr"/>
      <c r="Q14" s="30" t="inlineStr"/>
      <c r="R14" s="38">
        <f>IFERROR(HYPERLINK("#'Main'!B"&amp;MATCH(TRIM(A14),'Main'!B:B,0),"Open"),HYPERLINK("#'Main'!B1","Open"))</f>
        <v/>
      </c>
      <c r="S14" s="38">
        <f>IFERROR(HYPERLINK("#'"&amp;SUBSTITUTE(F14,"'","''")&amp;"'!A"&amp;MATCH(A14,INDIRECT("'"&amp;SUBSTITUTE(F14,"'","''")&amp;"'!A:A"),0),"Open"),HYPERLINK("#'"&amp;SUBSTITUTE(F14,"'","''")&amp;"'!A1","Open"))</f>
        <v/>
      </c>
    </row>
    <row r="15" ht="18" customHeight="1">
      <c r="A15" s="20" t="inlineStr"/>
      <c r="B15" s="28" t="inlineStr">
        <is>
          <t>Issue Counts</t>
        </is>
      </c>
      <c r="C15" s="79" t="inlineStr">
        <is>
          <t>Missing OG Title</t>
        </is>
      </c>
      <c r="D15" s="28" t="inlineStr">
        <is>
          <t>Warning</t>
        </is>
      </c>
      <c r="E15" s="20" t="n">
        <v>9</v>
      </c>
      <c r="F15" s="39" t="inlineStr">
        <is>
          <t>Technical Diagnostics</t>
        </is>
      </c>
      <c r="G15" s="28" t="inlineStr"/>
      <c r="H15" s="28" t="inlineStr"/>
      <c r="I15" s="28" t="inlineStr"/>
      <c r="J15" s="28" t="inlineStr">
        <is>
          <t>Open</t>
        </is>
      </c>
      <c r="K15" s="20" t="inlineStr">
        <is>
          <t>https://africanmarketingconfederation.org/smoke-archive/page-8 | https://africanmarketingconfederation.org/smoke-archive/page-16 | https://africanmarketingconfederation.org/smoke-archive/page-24 | https://africanmarketingconfederation.org/smoke-archive/page-32 | https://africanmarketingconfederation.org/smoke-archive/page-40 | https://africanmarketingconfederation.org/smoke-archive/page-48 | https://africanmarketingconfederation.org/smoke-archive/page-56 | https://africanmarketingconfederation.org/smoke-archive/page-64 | https://africanmarketingconfederation.org/smoke-archive/page-72 || Full list: see Technical Diagnostics / Link Intelligence tabs</t>
        </is>
      </c>
      <c r="L15" s="28" t="inlineStr">
        <is>
          <t>Summary (site-wide — no single URL; sort by URL to separate from per-URL issues)</t>
        </is>
      </c>
      <c r="M15" s="28" t="n">
        <v>33</v>
      </c>
      <c r="N15" s="28" t="inlineStr">
        <is>
          <t>2026-07-01 20:54:35</t>
        </is>
      </c>
      <c r="O15" s="28" t="n">
        <v>0</v>
      </c>
      <c r="P15" s="28" t="inlineStr"/>
      <c r="Q15" s="28" t="inlineStr"/>
      <c r="R15">
        <f>IFERROR(HYPERLINK("#'Main'!B"&amp;MATCH(TRIM(A15),'Main'!B:B,0),"Open"),HYPERLINK("#'Main'!B1","Open"))</f>
        <v/>
      </c>
      <c r="S15">
        <f>IFERROR(HYPERLINK("#'"&amp;SUBSTITUTE(F15,"'","''")&amp;"'!A"&amp;MATCH(A15,INDIRECT("'"&amp;SUBSTITUTE(F15,"'","''")&amp;"'!A:A"),0),"Open"),HYPERLINK("#'"&amp;SUBSTITUTE(F15,"'","''")&amp;"'!A1","Open"))</f>
        <v/>
      </c>
    </row>
    <row r="16" ht="18" customHeight="1">
      <c r="A16" s="78" t="inlineStr"/>
      <c r="B16" s="30" t="inlineStr">
        <is>
          <t>Issue Counts</t>
        </is>
      </c>
      <c r="C16" s="80" t="inlineStr">
        <is>
          <t>Lab TBT 150ms–300ms (Mobile)</t>
        </is>
      </c>
      <c r="D16" s="30" t="inlineStr">
        <is>
          <t>Observation</t>
        </is>
      </c>
      <c r="E16" s="31" t="n">
        <v>83</v>
      </c>
      <c r="F16" s="41" t="inlineStr">
        <is>
          <t>Technical Diagnostics</t>
        </is>
      </c>
      <c r="G16" s="30" t="inlineStr"/>
      <c r="H16" s="30" t="inlineStr"/>
      <c r="I16" s="30" t="inlineStr"/>
      <c r="J16" s="30" t="inlineStr">
        <is>
          <t>Open</t>
        </is>
      </c>
      <c r="K16" s="31"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c r="L16" s="30" t="inlineStr">
        <is>
          <t>Summary (site-wide — no single URL; sort by URL to separate from per-URL issues)</t>
        </is>
      </c>
      <c r="M16" s="30" t="n">
        <v>72</v>
      </c>
      <c r="N16" s="30" t="inlineStr">
        <is>
          <t>2026-07-01 20:54:35</t>
        </is>
      </c>
      <c r="O16" s="30" t="n">
        <v>0</v>
      </c>
      <c r="P16" s="30" t="inlineStr"/>
      <c r="Q16" s="30" t="inlineStr"/>
      <c r="R16" s="38">
        <f>IFERROR(HYPERLINK("#'Main'!B"&amp;MATCH(TRIM(A16),'Main'!B:B,0),"Open"),HYPERLINK("#'Main'!B1","Open"))</f>
        <v/>
      </c>
      <c r="S16" s="38">
        <f>IFERROR(HYPERLINK("#'"&amp;SUBSTITUTE(F16,"'","''")&amp;"'!A"&amp;MATCH(A16,INDIRECT("'"&amp;SUBSTITUTE(F16,"'","''")&amp;"'!A:A"),0),"Open"),HYPERLINK("#'"&amp;SUBSTITUTE(F16,"'","''")&amp;"'!A1","Open"))</f>
        <v/>
      </c>
    </row>
    <row r="17" ht="18" customHeight="1">
      <c r="A17" s="78" t="inlineStr"/>
      <c r="B17" s="28" t="inlineStr">
        <is>
          <t>Issue Counts</t>
        </is>
      </c>
      <c r="C17" s="79" t="inlineStr">
        <is>
          <t>Moderate Lighthouse Performance Mobile (50–89)</t>
        </is>
      </c>
      <c r="D17" s="28" t="inlineStr">
        <is>
          <t>Observation</t>
        </is>
      </c>
      <c r="E17" s="20" t="n">
        <v>83</v>
      </c>
      <c r="F17" s="39" t="inlineStr">
        <is>
          <t>Technical Diagnostics</t>
        </is>
      </c>
      <c r="G17" s="28" t="inlineStr"/>
      <c r="H17" s="28" t="inlineStr"/>
      <c r="I17" s="28" t="inlineStr"/>
      <c r="J17" s="28" t="inlineStr">
        <is>
          <t>Open</t>
        </is>
      </c>
      <c r="K17" s="20"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c r="L17" s="28" t="inlineStr">
        <is>
          <t>Summary (site-wide — no single URL; sort by URL to separate from per-URL issues)</t>
        </is>
      </c>
      <c r="M17" s="28" t="n">
        <v>73</v>
      </c>
      <c r="N17" s="28" t="inlineStr">
        <is>
          <t>2026-07-01 20:54:35</t>
        </is>
      </c>
      <c r="O17" s="28" t="n">
        <v>0</v>
      </c>
      <c r="P17" s="28" t="inlineStr"/>
      <c r="Q17" s="28" t="inlineStr"/>
      <c r="R17">
        <f>IFERROR(HYPERLINK("#'Main'!B"&amp;MATCH(TRIM(A17),'Main'!B:B,0),"Open"),HYPERLINK("#'Main'!B1","Open"))</f>
        <v/>
      </c>
      <c r="S17">
        <f>IFERROR(HYPERLINK("#'"&amp;SUBSTITUTE(F17,"'","''")&amp;"'!A"&amp;MATCH(A17,INDIRECT("'"&amp;SUBSTITUTE(F17,"'","''")&amp;"'!A:A"),0),"Open"),HYPERLINK("#'"&amp;SUBSTITUTE(F17,"'","''")&amp;"'!A1","Open"))</f>
        <v/>
      </c>
    </row>
    <row r="18" ht="18" customHeight="1">
      <c r="A18" s="78" t="inlineStr"/>
      <c r="B18" s="30" t="inlineStr">
        <is>
          <t>Issue Counts</t>
        </is>
      </c>
      <c r="C18" s="80" t="inlineStr">
        <is>
          <t>No Consent Manager Detected</t>
        </is>
      </c>
      <c r="D18" s="30" t="inlineStr">
        <is>
          <t>Observation</t>
        </is>
      </c>
      <c r="E18" s="31" t="n">
        <v>83</v>
      </c>
      <c r="F18" s="41" t="inlineStr">
        <is>
          <t>Technical Diagnostics</t>
        </is>
      </c>
      <c r="G18" s="30" t="inlineStr"/>
      <c r="H18" s="30" t="inlineStr"/>
      <c r="I18" s="30" t="inlineStr"/>
      <c r="J18" s="30" t="inlineStr">
        <is>
          <t>Open</t>
        </is>
      </c>
      <c r="K18" s="31"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c r="L18" s="30" t="inlineStr">
        <is>
          <t>Summary (site-wide — no single URL; sort by URL to separate from per-URL issues)</t>
        </is>
      </c>
      <c r="M18" s="30" t="n">
        <v>74</v>
      </c>
      <c r="N18" s="30" t="inlineStr">
        <is>
          <t>2026-07-01 20:54:35</t>
        </is>
      </c>
      <c r="O18" s="30" t="n">
        <v>0</v>
      </c>
      <c r="P18" s="30" t="inlineStr"/>
      <c r="Q18" s="30" t="inlineStr"/>
      <c r="R18" s="38">
        <f>IFERROR(HYPERLINK("#'Main'!B"&amp;MATCH(TRIM(A18),'Main'!B:B,0),"Open"),HYPERLINK("#'Main'!B1","Open"))</f>
        <v/>
      </c>
      <c r="S18" s="38">
        <f>IFERROR(HYPERLINK("#'"&amp;SUBSTITUTE(F18,"'","''")&amp;"'!A"&amp;MATCH(A18,INDIRECT("'"&amp;SUBSTITUTE(F18,"'","''")&amp;"'!A:A"),0),"Open"),HYPERLINK("#'"&amp;SUBSTITUTE(F18,"'","''")&amp;"'!A1","Open"))</f>
        <v/>
      </c>
    </row>
    <row r="19" ht="18" customHeight="1">
      <c r="A19" s="78" t="inlineStr"/>
      <c r="B19" s="28" t="inlineStr">
        <is>
          <t>Issue Counts</t>
        </is>
      </c>
      <c r="C19" s="79" t="inlineStr">
        <is>
          <t>Render Blocking Resources</t>
        </is>
      </c>
      <c r="D19" s="28" t="inlineStr">
        <is>
          <t>Observation</t>
        </is>
      </c>
      <c r="E19" s="20" t="n">
        <v>83</v>
      </c>
      <c r="F19" s="39" t="inlineStr">
        <is>
          <t>Technical Diagnostics</t>
        </is>
      </c>
      <c r="G19" s="28" t="inlineStr"/>
      <c r="H19" s="28" t="inlineStr"/>
      <c r="I19" s="28" t="inlineStr"/>
      <c r="J19" s="28" t="inlineStr">
        <is>
          <t>Open</t>
        </is>
      </c>
      <c r="K19" s="20" t="inlineStr">
        <is>
          <t>https://africanmarketingconfederation.org/ | https://africanmarketingconfederation.org/smoke-archive/page-1 | https://africanmarketingconfederation.org/smoke-archive/page-2 | https://africanmarketingconfederation.org/smoke-archive/page-3 | https://africanmarketingconfederation.org/smoke-archive/page-4 | https://africanmarketingconfederation.org/smoke-archive/page-5 | https://africanmarketingconfederation.org/smoke-archive/page-6 | https://africanmarketingconfederation.org/smoke-archive/page-7 | https://africanmarketingconfederation.org/smoke-archive/page-8 | https://africanmarketingconfederation.org/smoke-archive/page-9 | https://africanmarketingconfederation.org/smoke-archive/page-10 | https://africanmarketingconfederation.org/smoke-archive/page-11 | https://africanmarketingconfederation.org/smoke-archive/page-12 | https://africanmarketingconfederation.org/smoke-archive/page-13 | https://africanmarketingconfederation.org/smoke-archive/page-14 | https://africanmarketingconfederation.org/smoke-archive/page-15 | https://africanmarketingconfederation.org/smoke-archive/page-16 | https://africanmarketingconfederation.org/smoke-archive/page-17 | https://africanmarketingconfederation.org/smoke-archive/page-18 | https://africanmarketingconfederation.org/smoke-archive/page-19 | https://africanmarketingconfederation.org/smoke-archive/page-20 | https://africanmarketingconfederation.org/smoke-archive/page-21 | https://africanmarketingconfederation.org/smoke-archive/page-22 | https://africanmarketingconfederation.org/smoke-archive/page-23 | https://africanmarketingconfederation.org/smoke-archive/page-24 || Full list: see Technical Diagnostics / Link Intelligence tabs</t>
        </is>
      </c>
      <c r="L19" s="28" t="inlineStr">
        <is>
          <t>Summary (site-wide — no single URL; sort by URL to separate from per-URL issues)</t>
        </is>
      </c>
      <c r="M19" s="28" t="n">
        <v>75</v>
      </c>
      <c r="N19" s="28" t="inlineStr">
        <is>
          <t>2026-07-01 20:54:35</t>
        </is>
      </c>
      <c r="O19" s="28" t="n">
        <v>0</v>
      </c>
      <c r="P19" s="28" t="inlineStr"/>
      <c r="Q19" s="28" t="inlineStr"/>
      <c r="R19">
        <f>IFERROR(HYPERLINK("#'Main'!B"&amp;MATCH(TRIM(A19),'Main'!B:B,0),"Open"),HYPERLINK("#'Main'!B1","Open"))</f>
        <v/>
      </c>
      <c r="S19">
        <f>IFERROR(HYPERLINK("#'"&amp;SUBSTITUTE(F19,"'","''")&amp;"'!A"&amp;MATCH(A19,INDIRECT("'"&amp;SUBSTITUTE(F19,"'","''")&amp;"'!A:A"),0),"Open"),HYPERLINK("#'"&amp;SUBSTITUTE(F19,"'","''")&amp;"'!A1","Open"))</f>
        <v/>
      </c>
    </row>
    <row r="20" ht="18" customHeight="1">
      <c r="A20" s="78" t="inlineStr"/>
      <c r="B20" s="30" t="inlineStr">
        <is>
          <t>Issue Counts</t>
        </is>
      </c>
      <c r="C20" s="80" t="inlineStr">
        <is>
          <t>No Author Attribution</t>
        </is>
      </c>
      <c r="D20" s="30" t="inlineStr">
        <is>
          <t>Observation</t>
        </is>
      </c>
      <c r="E20" s="31" t="n">
        <v>11</v>
      </c>
      <c r="F20" s="41" t="inlineStr">
        <is>
          <t>Technical Diagnostics</t>
        </is>
      </c>
      <c r="G20" s="30" t="inlineStr"/>
      <c r="H20" s="30" t="inlineStr"/>
      <c r="I20" s="30" t="inlineStr"/>
      <c r="J20" s="30" t="inlineStr">
        <is>
          <t>Open</t>
        </is>
      </c>
      <c r="K20" s="31" t="inlineStr">
        <is>
          <t>https://africanmarketingconfederation.org/smoke-archive/page-7 | https://africanmarketingconfederation.org/smoke-archive/page-14 | https://africanmarketingconfederation.org/smoke-archive/page-21 | https://africanmarketingconfederation.org/smoke-archive/page-28 | https://africanmarketingconfederation.org/smoke-archive/page-35 | https://africanmarketingconfederation.org/smoke-archive/page-42 | https://africanmarketingconfederation.org/smoke-archive/page-49 | https://africanmarketingconfederation.org/smoke-archive/page-56 | https://africanmarketingconfederation.org/smoke-archive/page-63 | https://africanmarketingconfederation.org/smoke-archive/page-70 | https://africanmarketingconfederation.org/smoke-archive/page-77 || Full list: see Technical Diagnostics / Link Intelligence tabs</t>
        </is>
      </c>
      <c r="L20" s="30" t="inlineStr">
        <is>
          <t>Summary (site-wide — no single URL; sort by URL to separate from per-URL issues)</t>
        </is>
      </c>
      <c r="M20" s="30" t="n">
        <v>76</v>
      </c>
      <c r="N20" s="30" t="inlineStr">
        <is>
          <t>2026-07-01 20:54:35</t>
        </is>
      </c>
      <c r="O20" s="30" t="n">
        <v>0</v>
      </c>
      <c r="P20" s="30" t="inlineStr"/>
      <c r="Q20" s="30" t="inlineStr"/>
      <c r="R20" s="38">
        <f>IFERROR(HYPERLINK("#'Main'!B"&amp;MATCH(TRIM(A20),'Main'!B:B,0),"Open"),HYPERLINK("#'Main'!B1","Open"))</f>
        <v/>
      </c>
      <c r="S20" s="38">
        <f>IFERROR(HYPERLINK("#'"&amp;SUBSTITUTE(F20,"'","''")&amp;"'!A"&amp;MATCH(A20,INDIRECT("'"&amp;SUBSTITUTE(F20,"'","''")&amp;"'!A:A"),0),"Open"),HYPERLINK("#'"&amp;SUBSTITUTE(F20,"'","''")&amp;"'!A1","Open"))</f>
        <v/>
      </c>
    </row>
    <row r="21" ht="18" customHeight="1">
      <c r="A21" s="78" t="inlineStr"/>
      <c r="B21" s="28" t="inlineStr">
        <is>
          <t>Issue Counts</t>
        </is>
      </c>
      <c r="C21" s="79" t="inlineStr">
        <is>
          <t>No 40-60 Word Answer Paragraphs</t>
        </is>
      </c>
      <c r="D21" s="28" t="inlineStr">
        <is>
          <t>Observation</t>
        </is>
      </c>
      <c r="E21" s="20" t="n">
        <v>9</v>
      </c>
      <c r="F21" s="39" t="inlineStr">
        <is>
          <t>Technical Diagnostics</t>
        </is>
      </c>
      <c r="G21" s="28" t="inlineStr"/>
      <c r="H21" s="28" t="inlineStr"/>
      <c r="I21" s="28" t="inlineStr"/>
      <c r="J21" s="28" t="inlineStr">
        <is>
          <t>Open</t>
        </is>
      </c>
      <c r="K21"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c r="L21" s="28" t="inlineStr">
        <is>
          <t>Summary (site-wide — no single URL; sort by URL to separate from per-URL issues)</t>
        </is>
      </c>
      <c r="M21" s="28" t="n">
        <v>77</v>
      </c>
      <c r="N21" s="28" t="inlineStr">
        <is>
          <t>2026-07-01 20:54:35</t>
        </is>
      </c>
      <c r="O21" s="28" t="n">
        <v>0</v>
      </c>
      <c r="P21" s="28" t="inlineStr"/>
      <c r="Q21" s="28" t="inlineStr"/>
      <c r="R21">
        <f>IFERROR(HYPERLINK("#'Main'!B"&amp;MATCH(TRIM(A21),'Main'!B:B,0),"Open"),HYPERLINK("#'Main'!B1","Open"))</f>
        <v/>
      </c>
      <c r="S21">
        <f>IFERROR(HYPERLINK("#'"&amp;SUBSTITUTE(F21,"'","''")&amp;"'!A"&amp;MATCH(A21,INDIRECT("'"&amp;SUBSTITUTE(F21,"'","''")&amp;"'!A:A"),0),"Open"),HYPERLINK("#'"&amp;SUBSTITUTE(F21,"'","''")&amp;"'!A1","Open"))</f>
        <v/>
      </c>
    </row>
    <row r="22" ht="18" customHeight="1">
      <c r="A22" s="78" t="inlineStr"/>
      <c r="B22" s="30" t="inlineStr">
        <is>
          <t>Issue Counts</t>
        </is>
      </c>
      <c r="C22" s="80" t="inlineStr">
        <is>
          <t>No Answer-Friendly Structure</t>
        </is>
      </c>
      <c r="D22" s="30" t="inlineStr">
        <is>
          <t>Observation</t>
        </is>
      </c>
      <c r="E22" s="31" t="n">
        <v>9</v>
      </c>
      <c r="F22" s="41" t="inlineStr">
        <is>
          <t>Technical Diagnostics</t>
        </is>
      </c>
      <c r="G22" s="30" t="inlineStr"/>
      <c r="H22" s="30" t="inlineStr"/>
      <c r="I22" s="30" t="inlineStr"/>
      <c r="J22" s="30" t="inlineStr">
        <is>
          <t>Open</t>
        </is>
      </c>
      <c r="K22" s="31"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c r="L22" s="30" t="inlineStr">
        <is>
          <t>Summary (site-wide — no single URL; sort by URL to separate from per-URL issues)</t>
        </is>
      </c>
      <c r="M22" s="30" t="n">
        <v>78</v>
      </c>
      <c r="N22" s="30" t="inlineStr">
        <is>
          <t>2026-07-01 20:54:35</t>
        </is>
      </c>
      <c r="O22" s="30" t="n">
        <v>0</v>
      </c>
      <c r="P22" s="30" t="inlineStr"/>
      <c r="Q22" s="30" t="inlineStr"/>
      <c r="R22" s="38">
        <f>IFERROR(HYPERLINK("#'Main'!B"&amp;MATCH(TRIM(A22),'Main'!B:B,0),"Open"),HYPERLINK("#'Main'!B1","Open"))</f>
        <v/>
      </c>
      <c r="S22" s="38">
        <f>IFERROR(HYPERLINK("#'"&amp;SUBSTITUTE(F22,"'","''")&amp;"'!A"&amp;MATCH(A22,INDIRECT("'"&amp;SUBSTITUTE(F22,"'","''")&amp;"'!A:A"),0),"Open"),HYPERLINK("#'"&amp;SUBSTITUTE(F22,"'","''")&amp;"'!A1","Open"))</f>
        <v/>
      </c>
    </row>
    <row r="23" ht="18" customHeight="1">
      <c r="A23" s="78" t="inlineStr"/>
      <c r="B23" s="28" t="inlineStr">
        <is>
          <t>Issue Counts</t>
        </is>
      </c>
      <c r="C23" s="79" t="inlineStr">
        <is>
          <t>No Question Headings</t>
        </is>
      </c>
      <c r="D23" s="28" t="inlineStr">
        <is>
          <t>Observation</t>
        </is>
      </c>
      <c r="E23" s="20" t="n">
        <v>9</v>
      </c>
      <c r="F23" s="39" t="inlineStr">
        <is>
          <t>Content &amp; AI Readiness</t>
        </is>
      </c>
      <c r="G23" s="28" t="inlineStr"/>
      <c r="H23" s="28" t="inlineStr"/>
      <c r="I23" s="28" t="inlineStr"/>
      <c r="J23" s="28" t="inlineStr">
        <is>
          <t>Open</t>
        </is>
      </c>
      <c r="K23" s="20" t="inlineStr">
        <is>
          <t>https://africanmarketingconfederation.org/smoke-archive/page-9 | https://africanmarketingconfederation.org/smoke-archive/page-18 | https://africanmarketingconfederation.org/smoke-archive/page-27 | https://africanmarketingconfederation.org/smoke-archive/page-36 | https://africanmarketingconfederation.org/smoke-archive/page-45 | https://africanmarketingconfederation.org/smoke-archive/page-54 | https://africanmarketingconfederation.org/smoke-archive/page-63 | https://africanmarketingconfederation.org/smoke-archive/page-72 | https://africanmarketingconfederation.org/discovered-via-bfs-1 || Full list: see Technical Diagnostics / Link Intelligence tabs</t>
        </is>
      </c>
      <c r="L23" s="28" t="inlineStr">
        <is>
          <t>Summary (site-wide — no single URL; sort by URL to separate from per-URL issues)</t>
        </is>
      </c>
      <c r="M23" s="28" t="n">
        <v>79</v>
      </c>
      <c r="N23" s="28" t="inlineStr">
        <is>
          <t>2026-07-01 20:54:35</t>
        </is>
      </c>
      <c r="O23" s="28" t="n">
        <v>0</v>
      </c>
      <c r="P23" s="28" t="inlineStr"/>
      <c r="Q23" s="28" t="inlineStr"/>
      <c r="R23">
        <f>IFERROR(HYPERLINK("#'Main'!B"&amp;MATCH(TRIM(A23),'Main'!B:B,0),"Open"),HYPERLINK("#'Main'!B1","Open"))</f>
        <v/>
      </c>
      <c r="S23">
        <f>IFERROR(HYPERLINK("#'"&amp;SUBSTITUTE(F23,"'","''")&amp;"'!A"&amp;MATCH(A23,INDIRECT("'"&amp;SUBSTITUTE(F23,"'","''")&amp;"'!A:A"),0),"Open"),HYPERLINK("#'"&amp;SUBSTITUTE(F23,"'","''")&amp;"'!A1","Open"))</f>
        <v/>
      </c>
    </row>
    <row r="24" ht="18" customHeight="1">
      <c r="A24" s="31" t="inlineStr"/>
      <c r="B24" s="30" t="inlineStr">
        <is>
          <t>Top 10 Critical URLs</t>
        </is>
      </c>
      <c r="C24" s="30" t="inlineStr">
        <is>
          <t>#1 https://africanmarketingconfederation.org/</t>
        </is>
      </c>
      <c r="D24" s="30" t="inlineStr">
        <is>
          <t>Critical</t>
        </is>
      </c>
      <c r="E24" s="31" t="n">
        <v>1</v>
      </c>
      <c r="F24" s="41" t="inlineStr">
        <is>
          <t>Priority URLs</t>
        </is>
      </c>
      <c r="G24" s="30" t="inlineStr"/>
      <c r="H24" s="30" t="inlineStr"/>
      <c r="I24" s="30" t="inlineStr"/>
      <c r="J24" s="30" t="inlineStr">
        <is>
          <t>Open</t>
        </is>
      </c>
      <c r="K24" s="31" t="inlineStr">
        <is>
          <t>Non-200 Status</t>
        </is>
      </c>
      <c r="L24" s="30" t="inlineStr">
        <is>
          <t>Summary (site-wide — no single URL; sort by URL to separate from per-URL issues)</t>
        </is>
      </c>
      <c r="M24" s="30" t="n">
        <v>109</v>
      </c>
      <c r="N24" s="30" t="inlineStr">
        <is>
          <t>2026-07-01 20:54:35</t>
        </is>
      </c>
      <c r="O24" s="30" t="n">
        <v>0</v>
      </c>
      <c r="P24" s="30" t="inlineStr"/>
      <c r="Q24" s="30" t="inlineStr"/>
      <c r="R24" s="38">
        <f>IFERROR(HYPERLINK("#'Main'!B"&amp;MATCH(TRIM(A24),'Main'!B:B,0),"Open"),HYPERLINK("#'Main'!B1","Open"))</f>
        <v/>
      </c>
      <c r="S24" s="38">
        <f>IFERROR(HYPERLINK("#'"&amp;SUBSTITUTE(F24,"'","''")&amp;"'!A"&amp;MATCH(A24,INDIRECT("'"&amp;SUBSTITUTE(F24,"'","''")&amp;"'!A:A"),0),"Open"),HYPERLINK("#'"&amp;SUBSTITUTE(F24,"'","''")&amp;"'!A1","Open"))</f>
        <v/>
      </c>
    </row>
    <row r="25" ht="18" customHeight="1">
      <c r="A25" s="20" t="inlineStr"/>
      <c r="B25" s="28" t="inlineStr">
        <is>
          <t>Top 10 Critical URLs</t>
        </is>
      </c>
      <c r="C25" s="28" t="inlineStr">
        <is>
          <t>#2 https://africanmarketingconfederation.org/smoke-archive/page-13</t>
        </is>
      </c>
      <c r="D25" s="28" t="inlineStr">
        <is>
          <t>Critical</t>
        </is>
      </c>
      <c r="E25" s="20" t="n">
        <v>1</v>
      </c>
      <c r="F25" s="39" t="inlineStr">
        <is>
          <t>Priority URLs</t>
        </is>
      </c>
      <c r="G25" s="28" t="inlineStr"/>
      <c r="H25" s="28" t="inlineStr"/>
      <c r="I25" s="28" t="inlineStr"/>
      <c r="J25" s="28" t="inlineStr">
        <is>
          <t>Open</t>
        </is>
      </c>
      <c r="K25" s="20" t="inlineStr">
        <is>
          <t>Non-200 Status</t>
        </is>
      </c>
      <c r="L25" s="28" t="inlineStr">
        <is>
          <t>Summary (site-wide — no single URL; sort by URL to separate from per-URL issues)</t>
        </is>
      </c>
      <c r="M25" s="28" t="n">
        <v>110</v>
      </c>
      <c r="N25" s="28" t="inlineStr">
        <is>
          <t>2026-07-01 20:54:35</t>
        </is>
      </c>
      <c r="O25" s="28" t="n">
        <v>0</v>
      </c>
      <c r="P25" s="28" t="inlineStr"/>
      <c r="Q25" s="28" t="inlineStr"/>
      <c r="R25">
        <f>IFERROR(HYPERLINK("#'Main'!B"&amp;MATCH(TRIM(A25),'Main'!B:B,0),"Open"),HYPERLINK("#'Main'!B1","Open"))</f>
        <v/>
      </c>
      <c r="S25">
        <f>IFERROR(HYPERLINK("#'"&amp;SUBSTITUTE(F25,"'","''")&amp;"'!A"&amp;MATCH(A25,INDIRECT("'"&amp;SUBSTITUTE(F25,"'","''")&amp;"'!A:A"),0),"Open"),HYPERLINK("#'"&amp;SUBSTITUTE(F25,"'","''")&amp;"'!A1","Open"))</f>
        <v/>
      </c>
    </row>
    <row r="26" ht="18" customHeight="1">
      <c r="A26" s="31" t="inlineStr"/>
      <c r="B26" s="30" t="inlineStr">
        <is>
          <t>Top 10 Critical URLs</t>
        </is>
      </c>
      <c r="C26" s="30" t="inlineStr">
        <is>
          <t>#3 https://africanmarketingconfederation.org/smoke-archive/page-17</t>
        </is>
      </c>
      <c r="D26" s="30" t="inlineStr">
        <is>
          <t>Critical</t>
        </is>
      </c>
      <c r="E26" s="31" t="n">
        <v>1</v>
      </c>
      <c r="F26" s="41" t="inlineStr">
        <is>
          <t>Priority URLs</t>
        </is>
      </c>
      <c r="G26" s="30" t="inlineStr"/>
      <c r="H26" s="30" t="inlineStr"/>
      <c r="I26" s="30" t="inlineStr"/>
      <c r="J26" s="30" t="inlineStr">
        <is>
          <t>Open</t>
        </is>
      </c>
      <c r="K26" s="31" t="inlineStr">
        <is>
          <t>Non-200 Status</t>
        </is>
      </c>
      <c r="L26" s="30" t="inlineStr">
        <is>
          <t>Summary (site-wide — no single URL; sort by URL to separate from per-URL issues)</t>
        </is>
      </c>
      <c r="M26" s="30" t="n">
        <v>111</v>
      </c>
      <c r="N26" s="30" t="inlineStr">
        <is>
          <t>2026-07-01 20:54:35</t>
        </is>
      </c>
      <c r="O26" s="30" t="n">
        <v>0</v>
      </c>
      <c r="P26" s="30" t="inlineStr"/>
      <c r="Q26" s="30" t="inlineStr"/>
      <c r="R26" s="38">
        <f>IFERROR(HYPERLINK("#'Main'!B"&amp;MATCH(TRIM(A26),'Main'!B:B,0),"Open"),HYPERLINK("#'Main'!B1","Open"))</f>
        <v/>
      </c>
      <c r="S26" s="38">
        <f>IFERROR(HYPERLINK("#'"&amp;SUBSTITUTE(F26,"'","''")&amp;"'!A"&amp;MATCH(A26,INDIRECT("'"&amp;SUBSTITUTE(F26,"'","''")&amp;"'!A:A"),0),"Open"),HYPERLINK("#'"&amp;SUBSTITUTE(F26,"'","''")&amp;"'!A1","Open"))</f>
        <v/>
      </c>
    </row>
    <row r="27" ht="18" customHeight="1">
      <c r="A27" s="20" t="inlineStr"/>
      <c r="B27" s="28" t="inlineStr">
        <is>
          <t>Top 10 Critical URLs</t>
        </is>
      </c>
      <c r="C27" s="28" t="inlineStr">
        <is>
          <t>#4 https://africanmarketingconfederation.org/smoke-archive/page-26</t>
        </is>
      </c>
      <c r="D27" s="28" t="inlineStr">
        <is>
          <t>Critical</t>
        </is>
      </c>
      <c r="E27" s="20" t="n">
        <v>1</v>
      </c>
      <c r="F27" s="39" t="inlineStr">
        <is>
          <t>Priority URLs</t>
        </is>
      </c>
      <c r="G27" s="28" t="inlineStr"/>
      <c r="H27" s="28" t="inlineStr"/>
      <c r="I27" s="28" t="inlineStr"/>
      <c r="J27" s="28" t="inlineStr">
        <is>
          <t>Open</t>
        </is>
      </c>
      <c r="K27" s="20" t="inlineStr">
        <is>
          <t>Non-200 Status</t>
        </is>
      </c>
      <c r="L27" s="28" t="inlineStr">
        <is>
          <t>Summary (site-wide — no single URL; sort by URL to separate from per-URL issues)</t>
        </is>
      </c>
      <c r="M27" s="28" t="n">
        <v>112</v>
      </c>
      <c r="N27" s="28" t="inlineStr">
        <is>
          <t>2026-07-01 20:54:35</t>
        </is>
      </c>
      <c r="O27" s="28" t="n">
        <v>0</v>
      </c>
      <c r="P27" s="28" t="inlineStr"/>
      <c r="Q27" s="28" t="inlineStr"/>
      <c r="R27">
        <f>IFERROR(HYPERLINK("#'Main'!B"&amp;MATCH(TRIM(A27),'Main'!B:B,0),"Open"),HYPERLINK("#'Main'!B1","Open"))</f>
        <v/>
      </c>
      <c r="S27">
        <f>IFERROR(HYPERLINK("#'"&amp;SUBSTITUTE(F27,"'","''")&amp;"'!A"&amp;MATCH(A27,INDIRECT("'"&amp;SUBSTITUTE(F27,"'","''")&amp;"'!A:A"),0),"Open"),HYPERLINK("#'"&amp;SUBSTITUTE(F27,"'","''")&amp;"'!A1","Open"))</f>
        <v/>
      </c>
    </row>
    <row r="28" ht="18" customHeight="1">
      <c r="A28" s="31" t="inlineStr"/>
      <c r="B28" s="30" t="inlineStr">
        <is>
          <t>Top 10 Critical URLs</t>
        </is>
      </c>
      <c r="C28" s="30" t="inlineStr">
        <is>
          <t>#5 https://africanmarketingconfederation.org/smoke-archive/page-34</t>
        </is>
      </c>
      <c r="D28" s="30" t="inlineStr">
        <is>
          <t>Critical</t>
        </is>
      </c>
      <c r="E28" s="31" t="n">
        <v>1</v>
      </c>
      <c r="F28" s="41" t="inlineStr">
        <is>
          <t>Priority URLs</t>
        </is>
      </c>
      <c r="G28" s="30" t="inlineStr"/>
      <c r="H28" s="30" t="inlineStr"/>
      <c r="I28" s="30" t="inlineStr"/>
      <c r="J28" s="30" t="inlineStr">
        <is>
          <t>Open</t>
        </is>
      </c>
      <c r="K28" s="31" t="inlineStr">
        <is>
          <t>Non-200 Status</t>
        </is>
      </c>
      <c r="L28" s="30" t="inlineStr">
        <is>
          <t>Summary (site-wide — no single URL; sort by URL to separate from per-URL issues)</t>
        </is>
      </c>
      <c r="M28" s="30" t="n">
        <v>113</v>
      </c>
      <c r="N28" s="30" t="inlineStr">
        <is>
          <t>2026-07-01 20:54:35</t>
        </is>
      </c>
      <c r="O28" s="30" t="n">
        <v>0</v>
      </c>
      <c r="P28" s="30" t="inlineStr"/>
      <c r="Q28" s="30" t="inlineStr"/>
      <c r="R28" s="38">
        <f>IFERROR(HYPERLINK("#'Main'!B"&amp;MATCH(TRIM(A28),'Main'!B:B,0),"Open"),HYPERLINK("#'Main'!B1","Open"))</f>
        <v/>
      </c>
      <c r="S28" s="38">
        <f>IFERROR(HYPERLINK("#'"&amp;SUBSTITUTE(F28,"'","''")&amp;"'!A"&amp;MATCH(A28,INDIRECT("'"&amp;SUBSTITUTE(F28,"'","''")&amp;"'!A:A"),0),"Open"),HYPERLINK("#'"&amp;SUBSTITUTE(F28,"'","''")&amp;"'!A1","Open"))</f>
        <v/>
      </c>
    </row>
    <row r="29" ht="18" customHeight="1">
      <c r="A29" s="20" t="inlineStr"/>
      <c r="B29" s="28" t="inlineStr">
        <is>
          <t>Top 10 Critical URLs</t>
        </is>
      </c>
      <c r="C29" s="28" t="inlineStr">
        <is>
          <t>#6 https://africanmarketingconfederation.org/smoke-archive/page-39</t>
        </is>
      </c>
      <c r="D29" s="28" t="inlineStr">
        <is>
          <t>Critical</t>
        </is>
      </c>
      <c r="E29" s="20" t="n">
        <v>1</v>
      </c>
      <c r="F29" s="39" t="inlineStr">
        <is>
          <t>Priority URLs</t>
        </is>
      </c>
      <c r="G29" s="28" t="inlineStr"/>
      <c r="H29" s="28" t="inlineStr"/>
      <c r="I29" s="28" t="inlineStr"/>
      <c r="J29" s="28" t="inlineStr">
        <is>
          <t>Open</t>
        </is>
      </c>
      <c r="K29" s="20" t="inlineStr">
        <is>
          <t>Non-200 Status</t>
        </is>
      </c>
      <c r="L29" s="28" t="inlineStr">
        <is>
          <t>Summary (site-wide — no single URL; sort by URL to separate from per-URL issues)</t>
        </is>
      </c>
      <c r="M29" s="28" t="n">
        <v>114</v>
      </c>
      <c r="N29" s="28" t="inlineStr">
        <is>
          <t>2026-07-01 20:54:35</t>
        </is>
      </c>
      <c r="O29" s="28" t="n">
        <v>0</v>
      </c>
      <c r="P29" s="28" t="inlineStr"/>
      <c r="Q29" s="28" t="inlineStr"/>
      <c r="R29">
        <f>IFERROR(HYPERLINK("#'Main'!B"&amp;MATCH(TRIM(A29),'Main'!B:B,0),"Open"),HYPERLINK("#'Main'!B1","Open"))</f>
        <v/>
      </c>
      <c r="S29">
        <f>IFERROR(HYPERLINK("#'"&amp;SUBSTITUTE(F29,"'","''")&amp;"'!A"&amp;MATCH(A29,INDIRECT("'"&amp;SUBSTITUTE(F29,"'","''")&amp;"'!A:A"),0),"Open"),HYPERLINK("#'"&amp;SUBSTITUTE(F29,"'","''")&amp;"'!A1","Open"))</f>
        <v/>
      </c>
    </row>
    <row r="30" ht="18" customHeight="1">
      <c r="A30" s="31" t="inlineStr"/>
      <c r="B30" s="30" t="inlineStr">
        <is>
          <t>Top 10 Critical URLs</t>
        </is>
      </c>
      <c r="C30" s="30" t="inlineStr">
        <is>
          <t>#7 https://africanmarketingconfederation.org/smoke-archive/page-51</t>
        </is>
      </c>
      <c r="D30" s="30" t="inlineStr">
        <is>
          <t>Critical</t>
        </is>
      </c>
      <c r="E30" s="31" t="n">
        <v>1</v>
      </c>
      <c r="F30" s="41" t="inlineStr">
        <is>
          <t>Priority URLs</t>
        </is>
      </c>
      <c r="G30" s="30" t="inlineStr"/>
      <c r="H30" s="30" t="inlineStr"/>
      <c r="I30" s="30" t="inlineStr"/>
      <c r="J30" s="30" t="inlineStr">
        <is>
          <t>Open</t>
        </is>
      </c>
      <c r="K30" s="31" t="inlineStr">
        <is>
          <t>Non-200 Status</t>
        </is>
      </c>
      <c r="L30" s="30" t="inlineStr">
        <is>
          <t>Summary (site-wide — no single URL; sort by URL to separate from per-URL issues)</t>
        </is>
      </c>
      <c r="M30" s="30" t="n">
        <v>115</v>
      </c>
      <c r="N30" s="30" t="inlineStr">
        <is>
          <t>2026-07-01 20:54:35</t>
        </is>
      </c>
      <c r="O30" s="30" t="n">
        <v>0</v>
      </c>
      <c r="P30" s="30" t="inlineStr"/>
      <c r="Q30" s="30" t="inlineStr"/>
      <c r="R30" s="38">
        <f>IFERROR(HYPERLINK("#'Main'!B"&amp;MATCH(TRIM(A30),'Main'!B:B,0),"Open"),HYPERLINK("#'Main'!B1","Open"))</f>
        <v/>
      </c>
      <c r="S30" s="38">
        <f>IFERROR(HYPERLINK("#'"&amp;SUBSTITUTE(F30,"'","''")&amp;"'!A"&amp;MATCH(A30,INDIRECT("'"&amp;SUBSTITUTE(F30,"'","''")&amp;"'!A:A"),0),"Open"),HYPERLINK("#'"&amp;SUBSTITUTE(F30,"'","''")&amp;"'!A1","Open"))</f>
        <v/>
      </c>
    </row>
    <row r="31" ht="18" customHeight="1">
      <c r="A31" s="20" t="inlineStr"/>
      <c r="B31" s="28" t="inlineStr">
        <is>
          <t>Top 10 Critical URLs</t>
        </is>
      </c>
      <c r="C31" s="28" t="inlineStr">
        <is>
          <t>#8 https://africanmarketingconfederation.org/smoke-archive/page-52</t>
        </is>
      </c>
      <c r="D31" s="28" t="inlineStr">
        <is>
          <t>Critical</t>
        </is>
      </c>
      <c r="E31" s="20" t="n">
        <v>1</v>
      </c>
      <c r="F31" s="39" t="inlineStr">
        <is>
          <t>Priority URLs</t>
        </is>
      </c>
      <c r="G31" s="28" t="inlineStr"/>
      <c r="H31" s="28" t="inlineStr"/>
      <c r="I31" s="28" t="inlineStr"/>
      <c r="J31" s="28" t="inlineStr">
        <is>
          <t>Open</t>
        </is>
      </c>
      <c r="K31" s="20" t="inlineStr">
        <is>
          <t>Non-200 Status</t>
        </is>
      </c>
      <c r="L31" s="28" t="inlineStr">
        <is>
          <t>Summary (site-wide — no single URL; sort by URL to separate from per-URL issues)</t>
        </is>
      </c>
      <c r="M31" s="28" t="n">
        <v>116</v>
      </c>
      <c r="N31" s="28" t="inlineStr">
        <is>
          <t>2026-07-01 20:54:35</t>
        </is>
      </c>
      <c r="O31" s="28" t="n">
        <v>0</v>
      </c>
      <c r="P31" s="28" t="inlineStr"/>
      <c r="Q31" s="28" t="inlineStr"/>
      <c r="R31">
        <f>IFERROR(HYPERLINK("#'Main'!B"&amp;MATCH(TRIM(A31),'Main'!B:B,0),"Open"),HYPERLINK("#'Main'!B1","Open"))</f>
        <v/>
      </c>
      <c r="S31">
        <f>IFERROR(HYPERLINK("#'"&amp;SUBSTITUTE(F31,"'","''")&amp;"'!A"&amp;MATCH(A31,INDIRECT("'"&amp;SUBSTITUTE(F31,"'","''")&amp;"'!A:A"),0),"Open"),HYPERLINK("#'"&amp;SUBSTITUTE(F31,"'","''")&amp;"'!A1","Open"))</f>
        <v/>
      </c>
    </row>
    <row r="32" ht="18" customHeight="1">
      <c r="A32" s="31" t="inlineStr"/>
      <c r="B32" s="30" t="inlineStr">
        <is>
          <t>Top 10 Critical URLs</t>
        </is>
      </c>
      <c r="C32" s="30" t="inlineStr">
        <is>
          <t>#9 https://africanmarketingconfederation.org/smoke-archive/page-65</t>
        </is>
      </c>
      <c r="D32" s="30" t="inlineStr">
        <is>
          <t>Critical</t>
        </is>
      </c>
      <c r="E32" s="31" t="n">
        <v>1</v>
      </c>
      <c r="F32" s="41" t="inlineStr">
        <is>
          <t>Priority URLs</t>
        </is>
      </c>
      <c r="G32" s="30" t="inlineStr"/>
      <c r="H32" s="30" t="inlineStr"/>
      <c r="I32" s="30" t="inlineStr"/>
      <c r="J32" s="30" t="inlineStr">
        <is>
          <t>Open</t>
        </is>
      </c>
      <c r="K32" s="31" t="inlineStr">
        <is>
          <t>Non-200 Status</t>
        </is>
      </c>
      <c r="L32" s="30" t="inlineStr">
        <is>
          <t>Summary (site-wide — no single URL; sort by URL to separate from per-URL issues)</t>
        </is>
      </c>
      <c r="M32" s="30" t="n">
        <v>117</v>
      </c>
      <c r="N32" s="30" t="inlineStr">
        <is>
          <t>2026-07-01 20:54:35</t>
        </is>
      </c>
      <c r="O32" s="30" t="n">
        <v>0</v>
      </c>
      <c r="P32" s="30" t="inlineStr"/>
      <c r="Q32" s="30" t="inlineStr"/>
      <c r="R32" s="38">
        <f>IFERROR(HYPERLINK("#'Main'!B"&amp;MATCH(TRIM(A32),'Main'!B:B,0),"Open"),HYPERLINK("#'Main'!B1","Open"))</f>
        <v/>
      </c>
      <c r="S32" s="38">
        <f>IFERROR(HYPERLINK("#'"&amp;SUBSTITUTE(F32,"'","''")&amp;"'!A"&amp;MATCH(A32,INDIRECT("'"&amp;SUBSTITUTE(F32,"'","''")&amp;"'!A:A"),0),"Open"),HYPERLINK("#'"&amp;SUBSTITUTE(F32,"'","''")&amp;"'!A1","Open"))</f>
        <v/>
      </c>
    </row>
    <row r="33" ht="18" customHeight="1">
      <c r="A33" s="20" t="inlineStr"/>
      <c r="B33" s="28" t="inlineStr">
        <is>
          <t>Top 10 Critical URLs</t>
        </is>
      </c>
      <c r="C33" s="28" t="inlineStr">
        <is>
          <t>#10 https://africanmarketingconfederation.org/smoke-archive/page-68</t>
        </is>
      </c>
      <c r="D33" s="28" t="inlineStr">
        <is>
          <t>Critical</t>
        </is>
      </c>
      <c r="E33" s="20" t="n">
        <v>1</v>
      </c>
      <c r="F33" s="39" t="inlineStr">
        <is>
          <t>Priority URLs</t>
        </is>
      </c>
      <c r="G33" s="28" t="inlineStr"/>
      <c r="H33" s="28" t="inlineStr"/>
      <c r="I33" s="28" t="inlineStr"/>
      <c r="J33" s="28" t="inlineStr">
        <is>
          <t>Open</t>
        </is>
      </c>
      <c r="K33" s="20" t="inlineStr">
        <is>
          <t>Non-200 Status</t>
        </is>
      </c>
      <c r="L33" s="28" t="inlineStr">
        <is>
          <t>Summary (site-wide — no single URL; sort by URL to separate from per-URL issues)</t>
        </is>
      </c>
      <c r="M33" s="28" t="n">
        <v>118</v>
      </c>
      <c r="N33" s="28" t="inlineStr">
        <is>
          <t>2026-07-01 20:54:35</t>
        </is>
      </c>
      <c r="O33" s="28" t="n">
        <v>0</v>
      </c>
      <c r="P33" s="28" t="inlineStr"/>
      <c r="Q33" s="28" t="inlineStr"/>
      <c r="R33">
        <f>IFERROR(HYPERLINK("#'Main'!B"&amp;MATCH(TRIM(A33),'Main'!B:B,0),"Open"),HYPERLINK("#'Main'!B1","Open"))</f>
        <v/>
      </c>
      <c r="S33">
        <f>IFERROR(HYPERLINK("#'"&amp;SUBSTITUTE(F33,"'","''")&amp;"'!A"&amp;MATCH(A33,INDIRECT("'"&amp;SUBSTITUTE(F33,"'","''")&amp;"'!A:A"),0),"Open"),HYPERLINK("#'"&amp;SUBSTITUTE(F33,"'","''")&amp;"'!A1","Open"))</f>
        <v/>
      </c>
    </row>
    <row r="34" ht="18" customHeight="1">
      <c r="A34" s="78" t="inlineStr"/>
      <c r="B34" s="30" t="inlineStr">
        <is>
          <t>Top Issues by Template</t>
        </is>
      </c>
      <c r="C34" s="30" t="inlineStr">
        <is>
          <t>/smoke-archive/ -&gt; No Consent Manager Detected</t>
        </is>
      </c>
      <c r="D34" s="30" t="inlineStr">
        <is>
          <t>Observation</t>
        </is>
      </c>
      <c r="E34" s="31" t="n">
        <v>69</v>
      </c>
      <c r="F34" s="41" t="inlineStr">
        <is>
          <t>Template &amp; Duplication Risks</t>
        </is>
      </c>
      <c r="G34" s="30" t="inlineStr"/>
      <c r="H34" s="30" t="inlineStr"/>
      <c r="I34" s="30" t="inlineStr"/>
      <c r="J34" s="30" t="inlineStr">
        <is>
          <t>Open</t>
        </is>
      </c>
      <c r="K34" s="31" t="inlineStr"/>
      <c r="L34" s="30" t="inlineStr">
        <is>
          <t>Summary (site-wide — no single URL; sort by URL to separate from per-URL issues)</t>
        </is>
      </c>
      <c r="M34" s="30" t="n">
        <v>120</v>
      </c>
      <c r="N34" s="30" t="inlineStr">
        <is>
          <t>2026-07-01 20:54:35</t>
        </is>
      </c>
      <c r="O34" s="30" t="n">
        <v>0</v>
      </c>
      <c r="P34" s="30" t="inlineStr"/>
      <c r="Q34" s="30" t="inlineStr"/>
      <c r="R34" s="38">
        <f>IFERROR(HYPERLINK("#'Main'!B"&amp;MATCH(TRIM(A34),'Main'!B:B,0),"Open"),HYPERLINK("#'Main'!B1","Open"))</f>
        <v/>
      </c>
      <c r="S34" s="38">
        <f>IFERROR(HYPERLINK("#'"&amp;SUBSTITUTE(F34,"'","''")&amp;"'!A"&amp;MATCH(A34,INDIRECT("'"&amp;SUBSTITUTE(F34,"'","''")&amp;"'!A:A"),0),"Open"),HYPERLINK("#'"&amp;SUBSTITUTE(F34,"'","''")&amp;"'!A1","Open"))</f>
        <v/>
      </c>
    </row>
    <row r="35" ht="18" customHeight="1">
      <c r="A35" s="78" t="inlineStr"/>
      <c r="B35" s="28" t="inlineStr">
        <is>
          <t>Top Issues by Template</t>
        </is>
      </c>
      <c r="C35" s="28" t="inlineStr">
        <is>
          <t>/smoke-archive/ -&gt; Lab TBT 150ms–300ms (Mobile)</t>
        </is>
      </c>
      <c r="D35" s="28" t="inlineStr">
        <is>
          <t>Observation</t>
        </is>
      </c>
      <c r="E35" s="20" t="n">
        <v>69</v>
      </c>
      <c r="F35" s="39" t="inlineStr">
        <is>
          <t>Template &amp; Duplication Risks</t>
        </is>
      </c>
      <c r="G35" s="28" t="inlineStr"/>
      <c r="H35" s="28" t="inlineStr"/>
      <c r="I35" s="28" t="inlineStr"/>
      <c r="J35" s="28" t="inlineStr">
        <is>
          <t>Open</t>
        </is>
      </c>
      <c r="K35" s="20" t="inlineStr"/>
      <c r="L35" s="28" t="inlineStr">
        <is>
          <t>Summary (site-wide — no single URL; sort by URL to separate from per-URL issues)</t>
        </is>
      </c>
      <c r="M35" s="28" t="n">
        <v>121</v>
      </c>
      <c r="N35" s="28" t="inlineStr">
        <is>
          <t>2026-07-01 20:54:35</t>
        </is>
      </c>
      <c r="O35" s="28" t="n">
        <v>0</v>
      </c>
      <c r="P35" s="28" t="inlineStr"/>
      <c r="Q35" s="28" t="inlineStr"/>
      <c r="R35">
        <f>IFERROR(HYPERLINK("#'Main'!B"&amp;MATCH(TRIM(A35),'Main'!B:B,0),"Open"),HYPERLINK("#'Main'!B1","Open"))</f>
        <v/>
      </c>
      <c r="S35">
        <f>IFERROR(HYPERLINK("#'"&amp;SUBSTITUTE(F35,"'","''")&amp;"'!A"&amp;MATCH(A35,INDIRECT("'"&amp;SUBSTITUTE(F35,"'","''")&amp;"'!A:A"),0),"Open"),HYPERLINK("#'"&amp;SUBSTITUTE(F35,"'","''")&amp;"'!A1","Open"))</f>
        <v/>
      </c>
    </row>
    <row r="36" ht="18" customHeight="1">
      <c r="A36" s="78" t="inlineStr"/>
      <c r="B36" s="30" t="inlineStr">
        <is>
          <t>Top Issues by Template</t>
        </is>
      </c>
      <c r="C36" s="30" t="inlineStr">
        <is>
          <t>/smoke-archive/ -&gt; Moderate Lighthouse Performance Mobile (50–89)</t>
        </is>
      </c>
      <c r="D36" s="30" t="inlineStr">
        <is>
          <t>Observation</t>
        </is>
      </c>
      <c r="E36" s="31" t="n">
        <v>69</v>
      </c>
      <c r="F36" s="41" t="inlineStr">
        <is>
          <t>Template &amp; Duplication Risks</t>
        </is>
      </c>
      <c r="G36" s="30" t="inlineStr"/>
      <c r="H36" s="30" t="inlineStr"/>
      <c r="I36" s="30" t="inlineStr"/>
      <c r="J36" s="30" t="inlineStr">
        <is>
          <t>Open</t>
        </is>
      </c>
      <c r="K36" s="31" t="inlineStr"/>
      <c r="L36" s="30" t="inlineStr">
        <is>
          <t>Summary (site-wide — no single URL; sort by URL to separate from per-URL issues)</t>
        </is>
      </c>
      <c r="M36" s="30" t="n">
        <v>122</v>
      </c>
      <c r="N36" s="30" t="inlineStr">
        <is>
          <t>2026-07-01 20:54:35</t>
        </is>
      </c>
      <c r="O36" s="30" t="n">
        <v>0</v>
      </c>
      <c r="P36" s="30" t="inlineStr"/>
      <c r="Q36" s="30" t="inlineStr"/>
      <c r="R36" s="38">
        <f>IFERROR(HYPERLINK("#'Main'!B"&amp;MATCH(TRIM(A36),'Main'!B:B,0),"Open"),HYPERLINK("#'Main'!B1","Open"))</f>
        <v/>
      </c>
      <c r="S36" s="38">
        <f>IFERROR(HYPERLINK("#'"&amp;SUBSTITUTE(F36,"'","''")&amp;"'!A"&amp;MATCH(A36,INDIRECT("'"&amp;SUBSTITUTE(F36,"'","''")&amp;"'!A:A"),0),"Open"),HYPERLINK("#'"&amp;SUBSTITUTE(F36,"'","''")&amp;"'!A1","Open"))</f>
        <v/>
      </c>
    </row>
    <row r="37" ht="18" customHeight="1">
      <c r="A37" s="78" t="inlineStr"/>
      <c r="B37" s="28" t="inlineStr">
        <is>
          <t>Top Issues by Template</t>
        </is>
      </c>
      <c r="C37" s="28" t="inlineStr">
        <is>
          <t>/smoke-archive/ -&gt; Render Blocking Resources</t>
        </is>
      </c>
      <c r="D37" s="28" t="inlineStr">
        <is>
          <t>Observation</t>
        </is>
      </c>
      <c r="E37" s="20" t="n">
        <v>69</v>
      </c>
      <c r="F37" s="39" t="inlineStr">
        <is>
          <t>Template &amp; Duplication Risks</t>
        </is>
      </c>
      <c r="G37" s="28" t="inlineStr"/>
      <c r="H37" s="28" t="inlineStr"/>
      <c r="I37" s="28" t="inlineStr"/>
      <c r="J37" s="28" t="inlineStr">
        <is>
          <t>Open</t>
        </is>
      </c>
      <c r="K37" s="20" t="inlineStr"/>
      <c r="L37" s="28" t="inlineStr">
        <is>
          <t>Summary (site-wide — no single URL; sort by URL to separate from per-URL issues)</t>
        </is>
      </c>
      <c r="M37" s="28" t="n">
        <v>123</v>
      </c>
      <c r="N37" s="28" t="inlineStr">
        <is>
          <t>2026-07-01 20:54:35</t>
        </is>
      </c>
      <c r="O37" s="28" t="n">
        <v>0</v>
      </c>
      <c r="P37" s="28" t="inlineStr"/>
      <c r="Q37" s="28" t="inlineStr"/>
      <c r="R37">
        <f>IFERROR(HYPERLINK("#'Main'!B"&amp;MATCH(TRIM(A37),'Main'!B:B,0),"Open"),HYPERLINK("#'Main'!B1","Open"))</f>
        <v/>
      </c>
      <c r="S37">
        <f>IFERROR(HYPERLINK("#'"&amp;SUBSTITUTE(F37,"'","''")&amp;"'!A"&amp;MATCH(A37,INDIRECT("'"&amp;SUBSTITUTE(F37,"'","''")&amp;"'!A:A"),0),"Open"),HYPERLINK("#'"&amp;SUBSTITUTE(F37,"'","''")&amp;"'!A1","Open"))</f>
        <v/>
      </c>
    </row>
    <row r="38" ht="18" customHeight="1">
      <c r="A38" s="78" t="inlineStr"/>
      <c r="B38" s="30" t="inlineStr">
        <is>
          <t>Top Issues by Template</t>
        </is>
      </c>
      <c r="C38" s="30" t="inlineStr">
        <is>
          <t>/smoke-archive/ -&gt; Missing OG Image</t>
        </is>
      </c>
      <c r="D38" s="30" t="inlineStr">
        <is>
          <t>Observation</t>
        </is>
      </c>
      <c r="E38" s="31" t="n">
        <v>52</v>
      </c>
      <c r="F38" s="41" t="inlineStr">
        <is>
          <t>Template &amp; Duplication Risks</t>
        </is>
      </c>
      <c r="G38" s="30" t="inlineStr"/>
      <c r="H38" s="30" t="inlineStr"/>
      <c r="I38" s="30" t="inlineStr"/>
      <c r="J38" s="30" t="inlineStr">
        <is>
          <t>Open</t>
        </is>
      </c>
      <c r="K38" s="31" t="inlineStr"/>
      <c r="L38" s="30" t="inlineStr">
        <is>
          <t>Summary (site-wide — no single URL; sort by URL to separate from per-URL issues)</t>
        </is>
      </c>
      <c r="M38" s="30" t="n">
        <v>124</v>
      </c>
      <c r="N38" s="30" t="inlineStr">
        <is>
          <t>2026-07-01 20:54:35</t>
        </is>
      </c>
      <c r="O38" s="30" t="n">
        <v>0</v>
      </c>
      <c r="P38" s="30" t="inlineStr"/>
      <c r="Q38" s="30" t="inlineStr"/>
      <c r="R38" s="38">
        <f>IFERROR(HYPERLINK("#'Main'!B"&amp;MATCH(TRIM(A38),'Main'!B:B,0),"Open"),HYPERLINK("#'Main'!B1","Open"))</f>
        <v/>
      </c>
      <c r="S38" s="38">
        <f>IFERROR(HYPERLINK("#'"&amp;SUBSTITUTE(F38,"'","''")&amp;"'!A"&amp;MATCH(A38,INDIRECT("'"&amp;SUBSTITUTE(F38,"'","''")&amp;"'!A:A"),0),"Open"),HYPERLINK("#'"&amp;SUBSTITUTE(F38,"'","''")&amp;"'!A1","Open"))</f>
        <v/>
      </c>
    </row>
    <row r="39" ht="18" customHeight="1">
      <c r="A39" s="78" t="inlineStr"/>
      <c r="B39" s="28" t="inlineStr">
        <is>
          <t>Top Issues by Template</t>
        </is>
      </c>
      <c r="C39" s="28" t="inlineStr">
        <is>
          <t>/smoke-archive/ -&gt; Missing Meta Description</t>
        </is>
      </c>
      <c r="D39" s="28" t="inlineStr">
        <is>
          <t>Observation</t>
        </is>
      </c>
      <c r="E39" s="20" t="n">
        <v>14</v>
      </c>
      <c r="F39" s="39" t="inlineStr">
        <is>
          <t>Template &amp; Duplication Risks</t>
        </is>
      </c>
      <c r="G39" s="28" t="inlineStr"/>
      <c r="H39" s="28" t="inlineStr"/>
      <c r="I39" s="28" t="inlineStr"/>
      <c r="J39" s="28" t="inlineStr">
        <is>
          <t>Open</t>
        </is>
      </c>
      <c r="K39" s="20" t="inlineStr"/>
      <c r="L39" s="28" t="inlineStr">
        <is>
          <t>Summary (site-wide — no single URL; sort by URL to separate from per-URL issues)</t>
        </is>
      </c>
      <c r="M39" s="28" t="n">
        <v>125</v>
      </c>
      <c r="N39" s="28" t="inlineStr">
        <is>
          <t>2026-07-01 20:54:35</t>
        </is>
      </c>
      <c r="O39" s="28" t="n">
        <v>0</v>
      </c>
      <c r="P39" s="28" t="inlineStr"/>
      <c r="Q39" s="28" t="inlineStr"/>
      <c r="R39">
        <f>IFERROR(HYPERLINK("#'Main'!B"&amp;MATCH(TRIM(A39),'Main'!B:B,0),"Open"),HYPERLINK("#'Main'!B1","Open"))</f>
        <v/>
      </c>
      <c r="S39">
        <f>IFERROR(HYPERLINK("#'"&amp;SUBSTITUTE(F39,"'","''")&amp;"'!A"&amp;MATCH(A39,INDIRECT("'"&amp;SUBSTITUTE(F39,"'","''")&amp;"'!A:A"),0),"Open"),HYPERLINK("#'"&amp;SUBSTITUTE(F39,"'","''")&amp;"'!A1","Open"))</f>
        <v/>
      </c>
    </row>
    <row r="40" ht="18" customHeight="1">
      <c r="A40" s="78" t="inlineStr"/>
      <c r="B40" s="30" t="inlineStr">
        <is>
          <t>Top Issues by Template</t>
        </is>
      </c>
      <c r="C40" s="30" t="inlineStr">
        <is>
          <t>/smoke-archive/ -&gt; Missing OG Description</t>
        </is>
      </c>
      <c r="D40" s="30" t="inlineStr">
        <is>
          <t>Observation</t>
        </is>
      </c>
      <c r="E40" s="31" t="n">
        <v>14</v>
      </c>
      <c r="F40" s="41" t="inlineStr">
        <is>
          <t>Template &amp; Duplication Risks</t>
        </is>
      </c>
      <c r="G40" s="30" t="inlineStr"/>
      <c r="H40" s="30" t="inlineStr"/>
      <c r="I40" s="30" t="inlineStr"/>
      <c r="J40" s="30" t="inlineStr">
        <is>
          <t>Open</t>
        </is>
      </c>
      <c r="K40" s="31" t="inlineStr"/>
      <c r="L40" s="30" t="inlineStr">
        <is>
          <t>Summary (site-wide — no single URL; sort by URL to separate from per-URL issues)</t>
        </is>
      </c>
      <c r="M40" s="30" t="n">
        <v>126</v>
      </c>
      <c r="N40" s="30" t="inlineStr">
        <is>
          <t>2026-07-01 20:54:35</t>
        </is>
      </c>
      <c r="O40" s="30" t="n">
        <v>0</v>
      </c>
      <c r="P40" s="30" t="inlineStr"/>
      <c r="Q40" s="30" t="inlineStr"/>
      <c r="R40" s="38">
        <f>IFERROR(HYPERLINK("#'Main'!B"&amp;MATCH(TRIM(A40),'Main'!B:B,0),"Open"),HYPERLINK("#'Main'!B1","Open"))</f>
        <v/>
      </c>
      <c r="S40" s="38">
        <f>IFERROR(HYPERLINK("#'"&amp;SUBSTITUTE(F40,"'","''")&amp;"'!A"&amp;MATCH(A40,INDIRECT("'"&amp;SUBSTITUTE(F40,"'","''")&amp;"'!A:A"),0),"Open"),HYPERLINK("#'"&amp;SUBSTITUTE(F40,"'","''")&amp;"'!A1","Open"))</f>
        <v/>
      </c>
    </row>
    <row r="41" ht="18" customHeight="1">
      <c r="A41" s="78" t="inlineStr"/>
      <c r="B41" s="28" t="inlineStr">
        <is>
          <t>Top Issues by Template</t>
        </is>
      </c>
      <c r="C41" s="28" t="inlineStr">
        <is>
          <t>/smoke-archive/ -&gt; Low Image Alt Coverage</t>
        </is>
      </c>
      <c r="D41" s="28" t="inlineStr">
        <is>
          <t>Observation</t>
        </is>
      </c>
      <c r="E41" s="20" t="n">
        <v>12</v>
      </c>
      <c r="F41" s="39" t="inlineStr">
        <is>
          <t>Template &amp; Duplication Risks</t>
        </is>
      </c>
      <c r="G41" s="28" t="inlineStr"/>
      <c r="H41" s="28" t="inlineStr"/>
      <c r="I41" s="28" t="inlineStr"/>
      <c r="J41" s="28" t="inlineStr">
        <is>
          <t>Open</t>
        </is>
      </c>
      <c r="K41" s="20" t="inlineStr"/>
      <c r="L41" s="28" t="inlineStr">
        <is>
          <t>Summary (site-wide — no single URL; sort by URL to separate from per-URL issues)</t>
        </is>
      </c>
      <c r="M41" s="28" t="n">
        <v>127</v>
      </c>
      <c r="N41" s="28" t="inlineStr">
        <is>
          <t>2026-07-01 20:54:35</t>
        </is>
      </c>
      <c r="O41" s="28" t="n">
        <v>0</v>
      </c>
      <c r="P41" s="28" t="inlineStr"/>
      <c r="Q41" s="28" t="inlineStr"/>
      <c r="R41">
        <f>IFERROR(HYPERLINK("#'Main'!B"&amp;MATCH(TRIM(A41),'Main'!B:B,0),"Open"),HYPERLINK("#'Main'!B1","Open"))</f>
        <v/>
      </c>
      <c r="S41">
        <f>IFERROR(HYPERLINK("#'"&amp;SUBSTITUTE(F41,"'","''")&amp;"'!A"&amp;MATCH(A41,INDIRECT("'"&amp;SUBSTITUTE(F41,"'","''")&amp;"'!A:A"),0),"Open"),HYPERLINK("#'"&amp;SUBSTITUTE(F41,"'","''")&amp;"'!A1","Open"))</f>
        <v/>
      </c>
    </row>
    <row r="42" ht="18" customHeight="1">
      <c r="A42" s="78" t="inlineStr"/>
      <c r="B42" s="30" t="inlineStr">
        <is>
          <t>Top Issues by Template</t>
        </is>
      </c>
      <c r="C42" s="30" t="inlineStr">
        <is>
          <t>/smoke-archive/ -&gt; Low E-E-A-T Signal Score (&lt;3)</t>
        </is>
      </c>
      <c r="D42" s="30" t="inlineStr">
        <is>
          <t>Observation</t>
        </is>
      </c>
      <c r="E42" s="31" t="n">
        <v>11</v>
      </c>
      <c r="F42" s="41" t="inlineStr">
        <is>
          <t>Template &amp; Duplication Risks</t>
        </is>
      </c>
      <c r="G42" s="30" t="inlineStr"/>
      <c r="H42" s="30" t="inlineStr"/>
      <c r="I42" s="30" t="inlineStr"/>
      <c r="J42" s="30" t="inlineStr">
        <is>
          <t>Open</t>
        </is>
      </c>
      <c r="K42" s="31" t="inlineStr"/>
      <c r="L42" s="30" t="inlineStr">
        <is>
          <t>Summary (site-wide — no single URL; sort by URL to separate from per-URL issues)</t>
        </is>
      </c>
      <c r="M42" s="30" t="n">
        <v>128</v>
      </c>
      <c r="N42" s="30" t="inlineStr">
        <is>
          <t>2026-07-01 20:54:35</t>
        </is>
      </c>
      <c r="O42" s="30" t="n">
        <v>0</v>
      </c>
      <c r="P42" s="30" t="inlineStr"/>
      <c r="Q42" s="30" t="inlineStr"/>
      <c r="R42" s="38">
        <f>IFERROR(HYPERLINK("#'Main'!B"&amp;MATCH(TRIM(A42),'Main'!B:B,0),"Open"),HYPERLINK("#'Main'!B1","Open"))</f>
        <v/>
      </c>
      <c r="S42" s="38">
        <f>IFERROR(HYPERLINK("#'"&amp;SUBSTITUTE(F42,"'","''")&amp;"'!A"&amp;MATCH(A42,INDIRECT("'"&amp;SUBSTITUTE(F42,"'","''")&amp;"'!A:A"),0),"Open"),HYPERLINK("#'"&amp;SUBSTITUTE(F42,"'","''")&amp;"'!A1","Open"))</f>
        <v/>
      </c>
    </row>
    <row r="43" ht="18" customHeight="1">
      <c r="A43" s="78" t="inlineStr"/>
      <c r="B43" s="28" t="inlineStr">
        <is>
          <t>Top Issues by Template</t>
        </is>
      </c>
      <c r="C43" s="28" t="inlineStr">
        <is>
          <t>/smoke-archive/ -&gt; No Author Attribution</t>
        </is>
      </c>
      <c r="D43" s="28" t="inlineStr">
        <is>
          <t>Observation</t>
        </is>
      </c>
      <c r="E43" s="20" t="n">
        <v>11</v>
      </c>
      <c r="F43" s="39" t="inlineStr">
        <is>
          <t>Template &amp; Duplication Risks</t>
        </is>
      </c>
      <c r="G43" s="28" t="inlineStr"/>
      <c r="H43" s="28" t="inlineStr"/>
      <c r="I43" s="28" t="inlineStr"/>
      <c r="J43" s="28" t="inlineStr">
        <is>
          <t>Open</t>
        </is>
      </c>
      <c r="K43" s="20" t="inlineStr"/>
      <c r="L43" s="28" t="inlineStr">
        <is>
          <t>Summary (site-wide — no single URL; sort by URL to separate from per-URL issues)</t>
        </is>
      </c>
      <c r="M43" s="28" t="n">
        <v>129</v>
      </c>
      <c r="N43" s="28" t="inlineStr">
        <is>
          <t>2026-07-01 20:54:35</t>
        </is>
      </c>
      <c r="O43" s="28" t="n">
        <v>0</v>
      </c>
      <c r="P43" s="28" t="inlineStr"/>
      <c r="Q43" s="28" t="inlineStr"/>
      <c r="R43">
        <f>IFERROR(HYPERLINK("#'Main'!B"&amp;MATCH(TRIM(A43),'Main'!B:B,0),"Open"),HYPERLINK("#'Main'!B1","Open"))</f>
        <v/>
      </c>
      <c r="S43">
        <f>IFERROR(HYPERLINK("#'"&amp;SUBSTITUTE(F43,"'","''")&amp;"'!A"&amp;MATCH(A43,INDIRECT("'"&amp;SUBSTITUTE(F43,"'","''")&amp;"'!A:A"),0),"Open"),HYPERLINK("#'"&amp;SUBSTITUTE(F43,"'","''")&amp;"'!A1","Open"))</f>
        <v/>
      </c>
    </row>
    <row r="44" ht="18" customHeight="1">
      <c r="A44" s="78" t="inlineStr"/>
      <c r="B44" s="30" t="inlineStr">
        <is>
          <t>Top Issues by Template</t>
        </is>
      </c>
      <c r="C44" s="30" t="inlineStr">
        <is>
          <t>/smoke-archive/ -&gt; Non-200 Status</t>
        </is>
      </c>
      <c r="D44" s="30" t="inlineStr">
        <is>
          <t>Observation</t>
        </is>
      </c>
      <c r="E44" s="31" t="n">
        <v>10</v>
      </c>
      <c r="F44" s="41" t="inlineStr">
        <is>
          <t>Template &amp; Duplication Risks</t>
        </is>
      </c>
      <c r="G44" s="30" t="inlineStr"/>
      <c r="H44" s="30" t="inlineStr"/>
      <c r="I44" s="30" t="inlineStr"/>
      <c r="J44" s="30" t="inlineStr">
        <is>
          <t>Open</t>
        </is>
      </c>
      <c r="K44" s="31" t="inlineStr"/>
      <c r="L44" s="30" t="inlineStr">
        <is>
          <t>Summary (site-wide — no single URL; sort by URL to separate from per-URL issues)</t>
        </is>
      </c>
      <c r="M44" s="30" t="n">
        <v>130</v>
      </c>
      <c r="N44" s="30" t="inlineStr">
        <is>
          <t>2026-07-01 20:54:35</t>
        </is>
      </c>
      <c r="O44" s="30" t="n">
        <v>0</v>
      </c>
      <c r="P44" s="30" t="inlineStr"/>
      <c r="Q44" s="30" t="inlineStr"/>
      <c r="R44" s="38">
        <f>IFERROR(HYPERLINK("#'Main'!B"&amp;MATCH(TRIM(A44),'Main'!B:B,0),"Open"),HYPERLINK("#'Main'!B1","Open"))</f>
        <v/>
      </c>
      <c r="S44" s="38">
        <f>IFERROR(HYPERLINK("#'"&amp;SUBSTITUTE(F44,"'","''")&amp;"'!A"&amp;MATCH(A44,INDIRECT("'"&amp;SUBSTITUTE(F44,"'","''")&amp;"'!A:A"),0),"Open"),HYPERLINK("#'"&amp;SUBSTITUTE(F44,"'","''")&amp;"'!A1","Open"))</f>
        <v/>
      </c>
    </row>
    <row r="45" ht="18" customHeight="1">
      <c r="A45" s="78" t="inlineStr"/>
      <c r="B45" s="28" t="inlineStr">
        <is>
          <t>Top Issues by Template</t>
        </is>
      </c>
      <c r="C45" s="28" t="inlineStr">
        <is>
          <t>/smoke-archive/ -&gt; Missing OG Title</t>
        </is>
      </c>
      <c r="D45" s="28" t="inlineStr">
        <is>
          <t>Observation</t>
        </is>
      </c>
      <c r="E45" s="20" t="n">
        <v>9</v>
      </c>
      <c r="F45" s="39" t="inlineStr">
        <is>
          <t>Template &amp; Duplication Risks</t>
        </is>
      </c>
      <c r="G45" s="28" t="inlineStr"/>
      <c r="H45" s="28" t="inlineStr"/>
      <c r="I45" s="28" t="inlineStr"/>
      <c r="J45" s="28" t="inlineStr">
        <is>
          <t>Open</t>
        </is>
      </c>
      <c r="K45" s="20" t="inlineStr"/>
      <c r="L45" s="28" t="inlineStr">
        <is>
          <t>Summary (site-wide — no single URL; sort by URL to separate from per-URL issues)</t>
        </is>
      </c>
      <c r="M45" s="28" t="n">
        <v>131</v>
      </c>
      <c r="N45" s="28" t="inlineStr">
        <is>
          <t>2026-07-01 20:54:35</t>
        </is>
      </c>
      <c r="O45" s="28" t="n">
        <v>0</v>
      </c>
      <c r="P45" s="28" t="inlineStr"/>
      <c r="Q45" s="28" t="inlineStr"/>
      <c r="R45">
        <f>IFERROR(HYPERLINK("#'Main'!B"&amp;MATCH(TRIM(A45),'Main'!B:B,0),"Open"),HYPERLINK("#'Main'!B1","Open"))</f>
        <v/>
      </c>
      <c r="S45">
        <f>IFERROR(HYPERLINK("#'"&amp;SUBSTITUTE(F45,"'","''")&amp;"'!A"&amp;MATCH(A45,INDIRECT("'"&amp;SUBSTITUTE(F45,"'","''")&amp;"'!A:A"),0),"Open"),HYPERLINK("#'"&amp;SUBSTITUTE(F45,"'","''")&amp;"'!A1","Open"))</f>
        <v/>
      </c>
    </row>
    <row r="46" ht="18" customHeight="1">
      <c r="A46" s="78" t="inlineStr"/>
      <c r="B46" s="30" t="inlineStr">
        <is>
          <t>Top Issues by Template</t>
        </is>
      </c>
      <c r="C46" s="30" t="inlineStr">
        <is>
          <t>/smoke-archive/ -&gt; Low AEO Readiness Score</t>
        </is>
      </c>
      <c r="D46" s="30" t="inlineStr">
        <is>
          <t>Observation</t>
        </is>
      </c>
      <c r="E46" s="31" t="n">
        <v>8</v>
      </c>
      <c r="F46" s="41" t="inlineStr">
        <is>
          <t>Template &amp; Duplication Risks</t>
        </is>
      </c>
      <c r="G46" s="30" t="inlineStr"/>
      <c r="H46" s="30" t="inlineStr"/>
      <c r="I46" s="30" t="inlineStr"/>
      <c r="J46" s="30" t="inlineStr">
        <is>
          <t>Open</t>
        </is>
      </c>
      <c r="K46" s="31" t="inlineStr"/>
      <c r="L46" s="30" t="inlineStr">
        <is>
          <t>Summary (site-wide — no single URL; sort by URL to separate from per-URL issues)</t>
        </is>
      </c>
      <c r="M46" s="30" t="n">
        <v>132</v>
      </c>
      <c r="N46" s="30" t="inlineStr">
        <is>
          <t>2026-07-01 20:54:35</t>
        </is>
      </c>
      <c r="O46" s="30" t="n">
        <v>0</v>
      </c>
      <c r="P46" s="30" t="inlineStr"/>
      <c r="Q46" s="30" t="inlineStr"/>
      <c r="R46" s="38">
        <f>IFERROR(HYPERLINK("#'Main'!B"&amp;MATCH(TRIM(A46),'Main'!B:B,0),"Open"),HYPERLINK("#'Main'!B1","Open"))</f>
        <v/>
      </c>
      <c r="S46" s="38">
        <f>IFERROR(HYPERLINK("#'"&amp;SUBSTITUTE(F46,"'","''")&amp;"'!A"&amp;MATCH(A46,INDIRECT("'"&amp;SUBSTITUTE(F46,"'","''")&amp;"'!A:A"),0),"Open"),HYPERLINK("#'"&amp;SUBSTITUTE(F46,"'","''")&amp;"'!A1","Open"))</f>
        <v/>
      </c>
    </row>
    <row r="47" ht="18" customHeight="1">
      <c r="A47" s="78" t="inlineStr"/>
      <c r="B47" s="28" t="inlineStr">
        <is>
          <t>Top Issues by Template</t>
        </is>
      </c>
      <c r="C47" s="28" t="inlineStr">
        <is>
          <t>/smoke-archive/ -&gt; No Question Headings</t>
        </is>
      </c>
      <c r="D47" s="28" t="inlineStr">
        <is>
          <t>Observation</t>
        </is>
      </c>
      <c r="E47" s="20" t="n">
        <v>8</v>
      </c>
      <c r="F47" s="39" t="inlineStr">
        <is>
          <t>Template &amp; Duplication Risks</t>
        </is>
      </c>
      <c r="G47" s="28" t="inlineStr"/>
      <c r="H47" s="28" t="inlineStr"/>
      <c r="I47" s="28" t="inlineStr"/>
      <c r="J47" s="28" t="inlineStr">
        <is>
          <t>Open</t>
        </is>
      </c>
      <c r="K47" s="20" t="inlineStr"/>
      <c r="L47" s="28" t="inlineStr">
        <is>
          <t>Summary (site-wide — no single URL; sort by URL to separate from per-URL issues)</t>
        </is>
      </c>
      <c r="M47" s="28" t="n">
        <v>133</v>
      </c>
      <c r="N47" s="28" t="inlineStr">
        <is>
          <t>2026-07-01 20:54:35</t>
        </is>
      </c>
      <c r="O47" s="28" t="n">
        <v>0</v>
      </c>
      <c r="P47" s="28" t="inlineStr"/>
      <c r="Q47" s="28" t="inlineStr"/>
      <c r="R47">
        <f>IFERROR(HYPERLINK("#'Main'!B"&amp;MATCH(TRIM(A47),'Main'!B:B,0),"Open"),HYPERLINK("#'Main'!B1","Open"))</f>
        <v/>
      </c>
      <c r="S47">
        <f>IFERROR(HYPERLINK("#'"&amp;SUBSTITUTE(F47,"'","''")&amp;"'!A"&amp;MATCH(A47,INDIRECT("'"&amp;SUBSTITUTE(F47,"'","''")&amp;"'!A:A"),0),"Open"),HYPERLINK("#'"&amp;SUBSTITUTE(F47,"'","''")&amp;"'!A1","Open"))</f>
        <v/>
      </c>
    </row>
    <row r="48" ht="18" customHeight="1">
      <c r="A48" s="78" t="inlineStr"/>
      <c r="B48" s="30" t="inlineStr">
        <is>
          <t>Top Issues by Template</t>
        </is>
      </c>
      <c r="C48" s="30" t="inlineStr">
        <is>
          <t>/smoke-archive/ -&gt; No Answer-Friendly Structure</t>
        </is>
      </c>
      <c r="D48" s="30" t="inlineStr">
        <is>
          <t>Observation</t>
        </is>
      </c>
      <c r="E48" s="31" t="n">
        <v>8</v>
      </c>
      <c r="F48" s="41" t="inlineStr">
        <is>
          <t>Template &amp; Duplication Risks</t>
        </is>
      </c>
      <c r="G48" s="30" t="inlineStr"/>
      <c r="H48" s="30" t="inlineStr"/>
      <c r="I48" s="30" t="inlineStr"/>
      <c r="J48" s="30" t="inlineStr">
        <is>
          <t>Open</t>
        </is>
      </c>
      <c r="K48" s="31" t="inlineStr"/>
      <c r="L48" s="30" t="inlineStr">
        <is>
          <t>Summary (site-wide — no single URL; sort by URL to separate from per-URL issues)</t>
        </is>
      </c>
      <c r="M48" s="30" t="n">
        <v>134</v>
      </c>
      <c r="N48" s="30" t="inlineStr">
        <is>
          <t>2026-07-01 20:54:35</t>
        </is>
      </c>
      <c r="O48" s="30" t="n">
        <v>0</v>
      </c>
      <c r="P48" s="30" t="inlineStr"/>
      <c r="Q48" s="30" t="inlineStr"/>
      <c r="R48" s="38">
        <f>IFERROR(HYPERLINK("#'Main'!B"&amp;MATCH(TRIM(A48),'Main'!B:B,0),"Open"),HYPERLINK("#'Main'!B1","Open"))</f>
        <v/>
      </c>
      <c r="S48" s="38">
        <f>IFERROR(HYPERLINK("#'"&amp;SUBSTITUTE(F48,"'","''")&amp;"'!A"&amp;MATCH(A48,INDIRECT("'"&amp;SUBSTITUTE(F48,"'","''")&amp;"'!A:A"),0),"Open"),HYPERLINK("#'"&amp;SUBSTITUTE(F48,"'","''")&amp;"'!A1","Open"))</f>
        <v/>
      </c>
    </row>
    <row r="49" ht="18" customHeight="1">
      <c r="A49" s="78" t="inlineStr"/>
      <c r="B49" s="28" t="inlineStr">
        <is>
          <t>Top Issues by Template</t>
        </is>
      </c>
      <c r="C49" s="28" t="inlineStr">
        <is>
          <t>/smoke-archive/ -&gt; No 40-60 Word Answer Paragraphs</t>
        </is>
      </c>
      <c r="D49" s="28" t="inlineStr">
        <is>
          <t>Observation</t>
        </is>
      </c>
      <c r="E49" s="20" t="n">
        <v>8</v>
      </c>
      <c r="F49" s="39" t="inlineStr">
        <is>
          <t>Template &amp; Duplication Risks</t>
        </is>
      </c>
      <c r="G49" s="28" t="inlineStr"/>
      <c r="H49" s="28" t="inlineStr"/>
      <c r="I49" s="28" t="inlineStr"/>
      <c r="J49" s="28" t="inlineStr">
        <is>
          <t>Open</t>
        </is>
      </c>
      <c r="K49" s="20" t="inlineStr"/>
      <c r="L49" s="28" t="inlineStr">
        <is>
          <t>Summary (site-wide — no single URL; sort by URL to separate from per-URL issues)</t>
        </is>
      </c>
      <c r="M49" s="28" t="n">
        <v>135</v>
      </c>
      <c r="N49" s="28" t="inlineStr">
        <is>
          <t>2026-07-01 20:54:35</t>
        </is>
      </c>
      <c r="O49" s="28" t="n">
        <v>0</v>
      </c>
      <c r="P49" s="28" t="inlineStr"/>
      <c r="Q49" s="28" t="inlineStr"/>
      <c r="R49">
        <f>IFERROR(HYPERLINK("#'Main'!B"&amp;MATCH(TRIM(A49),'Main'!B:B,0),"Open"),HYPERLINK("#'Main'!B1","Open"))</f>
        <v/>
      </c>
      <c r="S49">
        <f>IFERROR(HYPERLINK("#'"&amp;SUBSTITUTE(F49,"'","''")&amp;"'!A"&amp;MATCH(A49,INDIRECT("'"&amp;SUBSTITUTE(F49,"'","''")&amp;"'!A:A"),0),"Open"),HYPERLINK("#'"&amp;SUBSTITUTE(F49,"'","''")&amp;"'!A1","Open"))</f>
        <v/>
      </c>
    </row>
    <row r="50" ht="18" customHeight="1">
      <c r="A50" s="78" t="inlineStr"/>
      <c r="B50" s="30" t="inlineStr">
        <is>
          <t>Top Issues by Template</t>
        </is>
      </c>
      <c r="C50" s="30" t="inlineStr">
        <is>
          <t>/smoke-archive/ -&gt; No Schema Markup</t>
        </is>
      </c>
      <c r="D50" s="30" t="inlineStr">
        <is>
          <t>Observation</t>
        </is>
      </c>
      <c r="E50" s="31" t="n">
        <v>6</v>
      </c>
      <c r="F50" s="41" t="inlineStr">
        <is>
          <t>Template &amp; Duplication Risks</t>
        </is>
      </c>
      <c r="G50" s="30" t="inlineStr"/>
      <c r="H50" s="30" t="inlineStr"/>
      <c r="I50" s="30" t="inlineStr"/>
      <c r="J50" s="30" t="inlineStr">
        <is>
          <t>Open</t>
        </is>
      </c>
      <c r="K50" s="31" t="inlineStr"/>
      <c r="L50" s="30" t="inlineStr">
        <is>
          <t>Summary (site-wide — no single URL; sort by URL to separate from per-URL issues)</t>
        </is>
      </c>
      <c r="M50" s="30" t="n">
        <v>136</v>
      </c>
      <c r="N50" s="30" t="inlineStr">
        <is>
          <t>2026-07-01 20:54:35</t>
        </is>
      </c>
      <c r="O50" s="30" t="n">
        <v>0</v>
      </c>
      <c r="P50" s="30" t="inlineStr"/>
      <c r="Q50" s="30" t="inlineStr"/>
      <c r="R50" s="38">
        <f>IFERROR(HYPERLINK("#'Main'!B"&amp;MATCH(TRIM(A50),'Main'!B:B,0),"Open"),HYPERLINK("#'Main'!B1","Open"))</f>
        <v/>
      </c>
      <c r="S50" s="38">
        <f>IFERROR(HYPERLINK("#'"&amp;SUBSTITUTE(F50,"'","''")&amp;"'!A"&amp;MATCH(A50,INDIRECT("'"&amp;SUBSTITUTE(F50,"'","''")&amp;"'!A:A"),0),"Open"),HYPERLINK("#'"&amp;SUBSTITUTE(F50,"'","''")&amp;"'!A1","Open"))</f>
        <v/>
      </c>
    </row>
    <row r="51" ht="18" customHeight="1">
      <c r="A51" s="78" t="inlineStr"/>
      <c r="B51" s="28" t="inlineStr">
        <is>
          <t>Top Issues by Template</t>
        </is>
      </c>
      <c r="C51" s="28" t="inlineStr">
        <is>
          <t>/ -&gt; Non-200 Status</t>
        </is>
      </c>
      <c r="D51" s="28" t="inlineStr">
        <is>
          <t>Observation</t>
        </is>
      </c>
      <c r="E51" s="20" t="n">
        <v>1</v>
      </c>
      <c r="F51" s="39" t="inlineStr">
        <is>
          <t>Template &amp; Duplication Risks</t>
        </is>
      </c>
      <c r="G51" s="28" t="inlineStr"/>
      <c r="H51" s="28" t="inlineStr"/>
      <c r="I51" s="28" t="inlineStr"/>
      <c r="J51" s="28" t="inlineStr">
        <is>
          <t>Open</t>
        </is>
      </c>
      <c r="K51" s="20" t="inlineStr"/>
      <c r="L51" s="28" t="inlineStr">
        <is>
          <t>Summary (site-wide — no single URL; sort by URL to separate from per-URL issues)</t>
        </is>
      </c>
      <c r="M51" s="28" t="n">
        <v>137</v>
      </c>
      <c r="N51" s="28" t="inlineStr">
        <is>
          <t>2026-07-01 20:54:35</t>
        </is>
      </c>
      <c r="O51" s="28" t="n">
        <v>0</v>
      </c>
      <c r="P51" s="28" t="inlineStr"/>
      <c r="Q51" s="28" t="inlineStr"/>
      <c r="R51">
        <f>IFERROR(HYPERLINK("#'Main'!B"&amp;MATCH(TRIM(A51),'Main'!B:B,0),"Open"),HYPERLINK("#'Main'!B1","Open"))</f>
        <v/>
      </c>
      <c r="S51">
        <f>IFERROR(HYPERLINK("#'"&amp;SUBSTITUTE(F51,"'","''")&amp;"'!A"&amp;MATCH(A51,INDIRECT("'"&amp;SUBSTITUTE(F51,"'","''")&amp;"'!A:A"),0),"Open"),HYPERLINK("#'"&amp;SUBSTITUTE(F51,"'","''")&amp;"'!A1","Open"))</f>
        <v/>
      </c>
    </row>
    <row r="52" ht="18" customHeight="1">
      <c r="A52" s="78" t="inlineStr"/>
      <c r="B52" s="30" t="inlineStr">
        <is>
          <t>Top Issues by Template</t>
        </is>
      </c>
      <c r="C52" s="30" t="inlineStr">
        <is>
          <t>/discovered-via-bfs-1/ -&gt; Missing OG Image</t>
        </is>
      </c>
      <c r="D52" s="30" t="inlineStr">
        <is>
          <t>Observation</t>
        </is>
      </c>
      <c r="E52" s="31" t="n">
        <v>1</v>
      </c>
      <c r="F52" s="41" t="inlineStr">
        <is>
          <t>Template &amp; Duplication Risks</t>
        </is>
      </c>
      <c r="G52" s="30" t="inlineStr"/>
      <c r="H52" s="30" t="inlineStr"/>
      <c r="I52" s="30" t="inlineStr"/>
      <c r="J52" s="30" t="inlineStr">
        <is>
          <t>Open</t>
        </is>
      </c>
      <c r="K52" s="31" t="inlineStr"/>
      <c r="L52" s="30" t="inlineStr">
        <is>
          <t>Summary (site-wide — no single URL; sort by URL to separate from per-URL issues)</t>
        </is>
      </c>
      <c r="M52" s="30" t="n">
        <v>138</v>
      </c>
      <c r="N52" s="30" t="inlineStr">
        <is>
          <t>2026-07-01 20:54:35</t>
        </is>
      </c>
      <c r="O52" s="30" t="n">
        <v>0</v>
      </c>
      <c r="P52" s="30" t="inlineStr"/>
      <c r="Q52" s="30" t="inlineStr"/>
      <c r="R52" s="38">
        <f>IFERROR(HYPERLINK("#'Main'!B"&amp;MATCH(TRIM(A52),'Main'!B:B,0),"Open"),HYPERLINK("#'Main'!B1","Open"))</f>
        <v/>
      </c>
      <c r="S52" s="38">
        <f>IFERROR(HYPERLINK("#'"&amp;SUBSTITUTE(F52,"'","''")&amp;"'!A"&amp;MATCH(A52,INDIRECT("'"&amp;SUBSTITUTE(F52,"'","''")&amp;"'!A:A"),0),"Open"),HYPERLINK("#'"&amp;SUBSTITUTE(F52,"'","''")&amp;"'!A1","Open"))</f>
        <v/>
      </c>
    </row>
    <row r="53" ht="18" customHeight="1">
      <c r="A53" s="78" t="inlineStr"/>
      <c r="B53" s="28" t="inlineStr">
        <is>
          <t>Top Issues by Template</t>
        </is>
      </c>
      <c r="C53" s="28" t="inlineStr">
        <is>
          <t>/discovered-via-bfs-1/ -&gt; Low AEO Readiness Score</t>
        </is>
      </c>
      <c r="D53" s="28" t="inlineStr">
        <is>
          <t>Observation</t>
        </is>
      </c>
      <c r="E53" s="20" t="n">
        <v>1</v>
      </c>
      <c r="F53" s="39" t="inlineStr">
        <is>
          <t>Template &amp; Duplication Risks</t>
        </is>
      </c>
      <c r="G53" s="28" t="inlineStr"/>
      <c r="H53" s="28" t="inlineStr"/>
      <c r="I53" s="28" t="inlineStr"/>
      <c r="J53" s="28" t="inlineStr">
        <is>
          <t>Open</t>
        </is>
      </c>
      <c r="K53" s="20" t="inlineStr"/>
      <c r="L53" s="28" t="inlineStr">
        <is>
          <t>Summary (site-wide — no single URL; sort by URL to separate from per-URL issues)</t>
        </is>
      </c>
      <c r="M53" s="28" t="n">
        <v>139</v>
      </c>
      <c r="N53" s="28" t="inlineStr">
        <is>
          <t>2026-07-01 20:54:35</t>
        </is>
      </c>
      <c r="O53" s="28" t="n">
        <v>0</v>
      </c>
      <c r="P53" s="28" t="inlineStr"/>
      <c r="Q53" s="28" t="inlineStr"/>
      <c r="R53">
        <f>IFERROR(HYPERLINK("#'Main'!B"&amp;MATCH(TRIM(A53),'Main'!B:B,0),"Open"),HYPERLINK("#'Main'!B1","Open"))</f>
        <v/>
      </c>
      <c r="S53">
        <f>IFERROR(HYPERLINK("#'"&amp;SUBSTITUTE(F53,"'","''")&amp;"'!A"&amp;MATCH(A53,INDIRECT("'"&amp;SUBSTITUTE(F53,"'","''")&amp;"'!A:A"),0),"Open"),HYPERLINK("#'"&amp;SUBSTITUTE(F53,"'","''")&amp;"'!A1","Open"))</f>
        <v/>
      </c>
    </row>
    <row r="54" ht="18" customHeight="1">
      <c r="A54" s="78" t="inlineStr">
        <is>
          <t>(site-wide)</t>
        </is>
      </c>
      <c r="B54" s="30" t="inlineStr">
        <is>
          <t>Issue Inventory</t>
        </is>
      </c>
      <c r="C54" s="80" t="inlineStr">
        <is>
          <t>No Consent Manager Detected</t>
        </is>
      </c>
      <c r="D54" s="30" t="inlineStr">
        <is>
          <t>Observation</t>
        </is>
      </c>
      <c r="E54" s="31" t="n">
        <v>1</v>
      </c>
      <c r="F54" s="41" t="inlineStr">
        <is>
          <t>Technical Diagnostics</t>
        </is>
      </c>
      <c r="G54" s="30" t="inlineStr">
        <is>
          <t>site::no_consent_manager_detected</t>
        </is>
      </c>
      <c r="H54" s="30" t="inlineStr">
        <is>
          <t>Copy Writer</t>
        </is>
      </c>
      <c r="I54" s="30" t="inlineStr"/>
      <c r="J54" s="30" t="inlineStr">
        <is>
          <t>To Do</t>
        </is>
      </c>
      <c r="K54" s="31" t="inlineStr">
        <is>
          <t>(site-wide)</t>
        </is>
      </c>
      <c r="L54" s="30" t="inlineStr">
        <is>
          <t>IssueInventory</t>
        </is>
      </c>
      <c r="M54" s="30" t="n">
        <v>2</v>
      </c>
      <c r="N54" s="30" t="inlineStr">
        <is>
          <t>2026-07-01 20:54:35</t>
        </is>
      </c>
      <c r="O54" s="30" t="n">
        <v>0</v>
      </c>
      <c r="P54" s="30" t="inlineStr"/>
      <c r="Q54" s="30" t="inlineStr"/>
      <c r="R54" s="38">
        <f>IFERROR(HYPERLINK("#'Main'!B"&amp;MATCH(TRIM(A54),'Main'!B:B,0),"Open"),HYPERLINK("#'Main'!B1","Open"))</f>
        <v/>
      </c>
      <c r="S54" s="38">
        <f>IFERROR(HYPERLINK("#'"&amp;SUBSTITUTE(F54,"'","''")&amp;"'!A"&amp;MATCH(A54,INDIRECT("'"&amp;SUBSTITUTE(F54,"'","''")&amp;"'!A:A"),0),"Open"),HYPERLINK("#'"&amp;SUBSTITUTE(F54,"'","''")&amp;"'!A1","Open"))</f>
        <v/>
      </c>
    </row>
    <row r="55" ht="18" customHeight="1">
      <c r="A55" s="35" t="inlineStr">
        <is>
          <t>https://africanmarketingconfederation.org/</t>
        </is>
      </c>
      <c r="B55" s="28" t="inlineStr">
        <is>
          <t>Issue Inventory</t>
        </is>
      </c>
      <c r="C55" s="79" t="inlineStr">
        <is>
          <t>Non-200 Status</t>
        </is>
      </c>
      <c r="D55" s="28" t="inlineStr">
        <is>
          <t>Critical</t>
        </is>
      </c>
      <c r="E55" s="20" t="n">
        <v>1</v>
      </c>
      <c r="F55" s="39" t="inlineStr">
        <is>
          <t>Technical Diagnostics</t>
        </is>
      </c>
      <c r="G55" s="28" t="inlineStr">
        <is>
          <t>https://africanmarketingconfederation.org/::non-200_status</t>
        </is>
      </c>
      <c r="H55" s="28" t="inlineStr">
        <is>
          <t>Server/Host</t>
        </is>
      </c>
      <c r="I55" s="28" t="inlineStr"/>
      <c r="J55" s="28" t="inlineStr">
        <is>
          <t>To Do</t>
        </is>
      </c>
      <c r="K55" s="20" t="inlineStr">
        <is>
          <t>https://africanmarketingconfederation.org/</t>
        </is>
      </c>
      <c r="L55" s="28" t="inlineStr">
        <is>
          <t>IssueInventory</t>
        </is>
      </c>
      <c r="M55" s="28" t="n">
        <v>3</v>
      </c>
      <c r="N55" s="28" t="inlineStr">
        <is>
          <t>2026-07-01 20:54:35</t>
        </is>
      </c>
      <c r="O55" s="28" t="n">
        <v>0</v>
      </c>
      <c r="P55" s="28" t="inlineStr"/>
      <c r="Q55" s="28" t="inlineStr"/>
      <c r="R55">
        <f>IFERROR(HYPERLINK("#'Main'!B"&amp;MATCH(TRIM(A55),'Main'!B:B,0),"Open"),HYPERLINK("#'Main'!B1","Open"))</f>
        <v/>
      </c>
      <c r="S55">
        <f>IFERROR(HYPERLINK("#'"&amp;SUBSTITUTE(F55,"'","''")&amp;"'!A"&amp;MATCH(A55,INDIRECT("'"&amp;SUBSTITUTE(F55,"'","''")&amp;"'!A:A"),0),"Open"),HYPERLINK("#'"&amp;SUBSTITUTE(F55,"'","''")&amp;"'!A1","Open"))</f>
        <v/>
      </c>
    </row>
    <row r="56" ht="18" customHeight="1">
      <c r="A56" s="37" t="inlineStr">
        <is>
          <t>https://africanmarketingconfederation.org/smoke-archive/page-1</t>
        </is>
      </c>
      <c r="B56" s="30" t="inlineStr">
        <is>
          <t>Issue Inventory</t>
        </is>
      </c>
      <c r="C56" s="80" t="inlineStr">
        <is>
          <t>Missing OG Image</t>
        </is>
      </c>
      <c r="D56" s="30" t="inlineStr">
        <is>
          <t>Warning</t>
        </is>
      </c>
      <c r="E56" s="31" t="n">
        <v>1</v>
      </c>
      <c r="F56" s="41" t="inlineStr">
        <is>
          <t>Technical Diagnostics</t>
        </is>
      </c>
      <c r="G56" s="30" t="inlineStr">
        <is>
          <t>https://africanmarketingconfederation.org/smoke-archive/page-1::missing_og_image</t>
        </is>
      </c>
      <c r="H56" s="30" t="inlineStr">
        <is>
          <t>Copy Writer</t>
        </is>
      </c>
      <c r="I56" s="30" t="inlineStr"/>
      <c r="J56" s="30" t="inlineStr">
        <is>
          <t>To Do</t>
        </is>
      </c>
      <c r="K56" s="31" t="inlineStr">
        <is>
          <t>https://africanmarketingconfederation.org/smoke-archive/page-1</t>
        </is>
      </c>
      <c r="L56" s="30" t="inlineStr">
        <is>
          <t>IssueInventory</t>
        </is>
      </c>
      <c r="M56" s="30" t="n">
        <v>4</v>
      </c>
      <c r="N56" s="30" t="inlineStr">
        <is>
          <t>2026-07-01 20:54:35</t>
        </is>
      </c>
      <c r="O56" s="30" t="n">
        <v>0</v>
      </c>
      <c r="P56" s="30" t="inlineStr"/>
      <c r="Q56" s="30" t="inlineStr"/>
      <c r="R56" s="38">
        <f>IFERROR(HYPERLINK("#'Main'!B"&amp;MATCH(TRIM(A56),'Main'!B:B,0),"Open"),HYPERLINK("#'Main'!B1","Open"))</f>
        <v/>
      </c>
      <c r="S56" s="38">
        <f>IFERROR(HYPERLINK("#'"&amp;SUBSTITUTE(F56,"'","''")&amp;"'!A"&amp;MATCH(A56,INDIRECT("'"&amp;SUBSTITUTE(F56,"'","''")&amp;"'!A:A"),0),"Open"),HYPERLINK("#'"&amp;SUBSTITUTE(F56,"'","''")&amp;"'!A1","Open"))</f>
        <v/>
      </c>
    </row>
    <row r="57" ht="18" customHeight="1">
      <c r="A57" s="35" t="inlineStr">
        <is>
          <t>https://africanmarketingconfederation.org/smoke-archive/page-1</t>
        </is>
      </c>
      <c r="B57" s="28" t="inlineStr">
        <is>
          <t>Issue Inventory</t>
        </is>
      </c>
      <c r="C57" s="79" t="inlineStr">
        <is>
          <t>Lab TBT 150ms–300ms (Mobile)</t>
        </is>
      </c>
      <c r="D57" s="28" t="inlineStr">
        <is>
          <t>Observation</t>
        </is>
      </c>
      <c r="E57" s="20" t="n">
        <v>1</v>
      </c>
      <c r="F57" s="39" t="inlineStr">
        <is>
          <t>Technical Diagnostics</t>
        </is>
      </c>
      <c r="G57" s="28" t="inlineStr">
        <is>
          <t>https://africanmarketingconfederation.org/smoke-archive/page-1::lab_tbt_150ms_300ms_mobile_</t>
        </is>
      </c>
      <c r="H57" s="28" t="inlineStr">
        <is>
          <t>Dev</t>
        </is>
      </c>
      <c r="I57" s="28" t="inlineStr"/>
      <c r="J57" s="28" t="inlineStr">
        <is>
          <t>To Do</t>
        </is>
      </c>
      <c r="K57" s="20" t="inlineStr">
        <is>
          <t>https://africanmarketingconfederation.org/smoke-archive/page-1</t>
        </is>
      </c>
      <c r="L57" s="28" t="inlineStr">
        <is>
          <t>IssueInventory</t>
        </is>
      </c>
      <c r="M57" s="28" t="n">
        <v>5</v>
      </c>
      <c r="N57" s="28" t="inlineStr">
        <is>
          <t>2026-07-01 20:54:35</t>
        </is>
      </c>
      <c r="O57" s="28" t="n">
        <v>0</v>
      </c>
      <c r="P57" s="28" t="inlineStr"/>
      <c r="Q57" s="28" t="inlineStr"/>
      <c r="R57">
        <f>IFERROR(HYPERLINK("#'Main'!B"&amp;MATCH(TRIM(A57),'Main'!B:B,0),"Open"),HYPERLINK("#'Main'!B1","Open"))</f>
        <v/>
      </c>
      <c r="S57">
        <f>IFERROR(HYPERLINK("#'"&amp;SUBSTITUTE(F57,"'","''")&amp;"'!A"&amp;MATCH(A57,INDIRECT("'"&amp;SUBSTITUTE(F57,"'","''")&amp;"'!A:A"),0),"Open"),HYPERLINK("#'"&amp;SUBSTITUTE(F57,"'","''")&amp;"'!A1","Open"))</f>
        <v/>
      </c>
    </row>
    <row r="58" ht="18" customHeight="1">
      <c r="A58" s="37" t="inlineStr">
        <is>
          <t>https://africanmarketingconfederation.org/smoke-archive/page-1</t>
        </is>
      </c>
      <c r="B58" s="30" t="inlineStr">
        <is>
          <t>Issue Inventory</t>
        </is>
      </c>
      <c r="C58" s="80" t="inlineStr">
        <is>
          <t>Moderate Lighthouse Performance Mobile (50–89)</t>
        </is>
      </c>
      <c r="D58" s="30" t="inlineStr">
        <is>
          <t>Observation</t>
        </is>
      </c>
      <c r="E58" s="31" t="n">
        <v>1</v>
      </c>
      <c r="F58" s="41" t="inlineStr">
        <is>
          <t>Technical Diagnostics</t>
        </is>
      </c>
      <c r="G58" s="30" t="inlineStr">
        <is>
          <t>https://africanmarketingconfederation.org/smoke-archive/page-1::moderate_lighthouse_performance_mobile_50_89_</t>
        </is>
      </c>
      <c r="H58" s="30" t="inlineStr">
        <is>
          <t>Dev</t>
        </is>
      </c>
      <c r="I58" s="30" t="inlineStr"/>
      <c r="J58" s="30" t="inlineStr">
        <is>
          <t>To Do</t>
        </is>
      </c>
      <c r="K58" s="31" t="inlineStr">
        <is>
          <t>https://africanmarketingconfederation.org/smoke-archive/page-1</t>
        </is>
      </c>
      <c r="L58" s="30" t="inlineStr">
        <is>
          <t>IssueInventory</t>
        </is>
      </c>
      <c r="M58" s="30" t="n">
        <v>6</v>
      </c>
      <c r="N58" s="30" t="inlineStr">
        <is>
          <t>2026-07-01 20:54:35</t>
        </is>
      </c>
      <c r="O58" s="30" t="n">
        <v>0</v>
      </c>
      <c r="P58" s="30" t="inlineStr"/>
      <c r="Q58" s="30" t="inlineStr"/>
      <c r="R58" s="38">
        <f>IFERROR(HYPERLINK("#'Main'!B"&amp;MATCH(TRIM(A58),'Main'!B:B,0),"Open"),HYPERLINK("#'Main'!B1","Open"))</f>
        <v/>
      </c>
      <c r="S58" s="38">
        <f>IFERROR(HYPERLINK("#'"&amp;SUBSTITUTE(F58,"'","''")&amp;"'!A"&amp;MATCH(A58,INDIRECT("'"&amp;SUBSTITUTE(F58,"'","''")&amp;"'!A:A"),0),"Open"),HYPERLINK("#'"&amp;SUBSTITUTE(F58,"'","''")&amp;"'!A1","Open"))</f>
        <v/>
      </c>
    </row>
    <row r="59" ht="18" customHeight="1">
      <c r="A59" s="35" t="inlineStr">
        <is>
          <t>https://africanmarketingconfederation.org/smoke-archive/page-1</t>
        </is>
      </c>
      <c r="B59" s="28" t="inlineStr">
        <is>
          <t>Issue Inventory</t>
        </is>
      </c>
      <c r="C59" s="79" t="inlineStr">
        <is>
          <t>Render Blocking Resources</t>
        </is>
      </c>
      <c r="D59" s="28" t="inlineStr">
        <is>
          <t>Observation</t>
        </is>
      </c>
      <c r="E59" s="20" t="n">
        <v>1</v>
      </c>
      <c r="F59" s="39" t="inlineStr">
        <is>
          <t>Technical Diagnostics</t>
        </is>
      </c>
      <c r="G59" s="28" t="inlineStr">
        <is>
          <t>https://africanmarketingconfederation.org/smoke-archive/page-1::render_blocking_resources</t>
        </is>
      </c>
      <c r="H59" s="28" t="inlineStr">
        <is>
          <t>Dev</t>
        </is>
      </c>
      <c r="I59" s="28" t="inlineStr"/>
      <c r="J59" s="28" t="inlineStr">
        <is>
          <t>To Do</t>
        </is>
      </c>
      <c r="K59" s="20" t="inlineStr">
        <is>
          <t>https://africanmarketingconfederation.org/smoke-archive/page-1</t>
        </is>
      </c>
      <c r="L59" s="28" t="inlineStr">
        <is>
          <t>IssueInventory</t>
        </is>
      </c>
      <c r="M59" s="28" t="n">
        <v>7</v>
      </c>
      <c r="N59" s="28" t="inlineStr">
        <is>
          <t>2026-07-01 20:54:35</t>
        </is>
      </c>
      <c r="O59" s="28" t="n">
        <v>0</v>
      </c>
      <c r="P59" s="28" t="inlineStr"/>
      <c r="Q59" s="28" t="inlineStr"/>
      <c r="R59">
        <f>IFERROR(HYPERLINK("#'Main'!B"&amp;MATCH(TRIM(A59),'Main'!B:B,0),"Open"),HYPERLINK("#'Main'!B1","Open"))</f>
        <v/>
      </c>
      <c r="S59">
        <f>IFERROR(HYPERLINK("#'"&amp;SUBSTITUTE(F59,"'","''")&amp;"'!A"&amp;MATCH(A59,INDIRECT("'"&amp;SUBSTITUTE(F59,"'","''")&amp;"'!A:A"),0),"Open"),HYPERLINK("#'"&amp;SUBSTITUTE(F59,"'","''")&amp;"'!A1","Open"))</f>
        <v/>
      </c>
    </row>
    <row r="60" ht="18" customHeight="1">
      <c r="A60" s="37" t="inlineStr">
        <is>
          <t>https://africanmarketingconfederation.org/smoke-archive/page-2</t>
        </is>
      </c>
      <c r="B60" s="30" t="inlineStr">
        <is>
          <t>Issue Inventory</t>
        </is>
      </c>
      <c r="C60" s="80" t="inlineStr">
        <is>
          <t>Missing OG Image</t>
        </is>
      </c>
      <c r="D60" s="30" t="inlineStr">
        <is>
          <t>Warning</t>
        </is>
      </c>
      <c r="E60" s="31" t="n">
        <v>1</v>
      </c>
      <c r="F60" s="41" t="inlineStr">
        <is>
          <t>Technical Diagnostics</t>
        </is>
      </c>
      <c r="G60" s="30" t="inlineStr">
        <is>
          <t>https://africanmarketingconfederation.org/smoke-archive/page-2::missing_og_image</t>
        </is>
      </c>
      <c r="H60" s="30" t="inlineStr">
        <is>
          <t>Copy Writer</t>
        </is>
      </c>
      <c r="I60" s="30" t="inlineStr"/>
      <c r="J60" s="30" t="inlineStr">
        <is>
          <t>To Do</t>
        </is>
      </c>
      <c r="K60" s="31" t="inlineStr">
        <is>
          <t>https://africanmarketingconfederation.org/smoke-archive/page-2</t>
        </is>
      </c>
      <c r="L60" s="30" t="inlineStr">
        <is>
          <t>IssueInventory</t>
        </is>
      </c>
      <c r="M60" s="30" t="n">
        <v>8</v>
      </c>
      <c r="N60" s="30" t="inlineStr">
        <is>
          <t>2026-07-01 20:54:35</t>
        </is>
      </c>
      <c r="O60" s="30" t="n">
        <v>0</v>
      </c>
      <c r="P60" s="30" t="inlineStr"/>
      <c r="Q60" s="30" t="inlineStr"/>
      <c r="R60" s="38">
        <f>IFERROR(HYPERLINK("#'Main'!B"&amp;MATCH(TRIM(A60),'Main'!B:B,0),"Open"),HYPERLINK("#'Main'!B1","Open"))</f>
        <v/>
      </c>
      <c r="S60" s="38">
        <f>IFERROR(HYPERLINK("#'"&amp;SUBSTITUTE(F60,"'","''")&amp;"'!A"&amp;MATCH(A60,INDIRECT("'"&amp;SUBSTITUTE(F60,"'","''")&amp;"'!A:A"),0),"Open"),HYPERLINK("#'"&amp;SUBSTITUTE(F60,"'","''")&amp;"'!A1","Open"))</f>
        <v/>
      </c>
    </row>
    <row r="61" ht="18" customHeight="1">
      <c r="A61" s="35" t="inlineStr">
        <is>
          <t>https://africanmarketingconfederation.org/smoke-archive/page-2</t>
        </is>
      </c>
      <c r="B61" s="28" t="inlineStr">
        <is>
          <t>Issue Inventory</t>
        </is>
      </c>
      <c r="C61" s="79" t="inlineStr">
        <is>
          <t>Lab TBT 150ms–300ms (Mobile)</t>
        </is>
      </c>
      <c r="D61" s="28" t="inlineStr">
        <is>
          <t>Observation</t>
        </is>
      </c>
      <c r="E61" s="20" t="n">
        <v>1</v>
      </c>
      <c r="F61" s="39" t="inlineStr">
        <is>
          <t>Technical Diagnostics</t>
        </is>
      </c>
      <c r="G61" s="28" t="inlineStr">
        <is>
          <t>https://africanmarketingconfederation.org/smoke-archive/page-2::lab_tbt_150ms_300ms_mobile_</t>
        </is>
      </c>
      <c r="H61" s="28" t="inlineStr">
        <is>
          <t>Dev</t>
        </is>
      </c>
      <c r="I61" s="28" t="inlineStr"/>
      <c r="J61" s="28" t="inlineStr">
        <is>
          <t>To Do</t>
        </is>
      </c>
      <c r="K61" s="20" t="inlineStr">
        <is>
          <t>https://africanmarketingconfederation.org/smoke-archive/page-2</t>
        </is>
      </c>
      <c r="L61" s="28" t="inlineStr">
        <is>
          <t>IssueInventory</t>
        </is>
      </c>
      <c r="M61" s="28" t="n">
        <v>9</v>
      </c>
      <c r="N61" s="28" t="inlineStr">
        <is>
          <t>2026-07-01 20:54:35</t>
        </is>
      </c>
      <c r="O61" s="28" t="n">
        <v>0</v>
      </c>
      <c r="P61" s="28" t="inlineStr"/>
      <c r="Q61" s="28" t="inlineStr"/>
      <c r="R61">
        <f>IFERROR(HYPERLINK("#'Main'!B"&amp;MATCH(TRIM(A61),'Main'!B:B,0),"Open"),HYPERLINK("#'Main'!B1","Open"))</f>
        <v/>
      </c>
      <c r="S61">
        <f>IFERROR(HYPERLINK("#'"&amp;SUBSTITUTE(F61,"'","''")&amp;"'!A"&amp;MATCH(A61,INDIRECT("'"&amp;SUBSTITUTE(F61,"'","''")&amp;"'!A:A"),0),"Open"),HYPERLINK("#'"&amp;SUBSTITUTE(F61,"'","''")&amp;"'!A1","Open"))</f>
        <v/>
      </c>
    </row>
    <row r="62" ht="18" customHeight="1">
      <c r="A62" s="37" t="inlineStr">
        <is>
          <t>https://africanmarketingconfederation.org/smoke-archive/page-2</t>
        </is>
      </c>
      <c r="B62" s="30" t="inlineStr">
        <is>
          <t>Issue Inventory</t>
        </is>
      </c>
      <c r="C62" s="80" t="inlineStr">
        <is>
          <t>Moderate Lighthouse Performance Mobile (50–89)</t>
        </is>
      </c>
      <c r="D62" s="30" t="inlineStr">
        <is>
          <t>Observation</t>
        </is>
      </c>
      <c r="E62" s="31" t="n">
        <v>1</v>
      </c>
      <c r="F62" s="41" t="inlineStr">
        <is>
          <t>Technical Diagnostics</t>
        </is>
      </c>
      <c r="G62" s="30" t="inlineStr">
        <is>
          <t>https://africanmarketingconfederation.org/smoke-archive/page-2::moderate_lighthouse_performance_mobile_50_89_</t>
        </is>
      </c>
      <c r="H62" s="30" t="inlineStr">
        <is>
          <t>Dev</t>
        </is>
      </c>
      <c r="I62" s="30" t="inlineStr"/>
      <c r="J62" s="30" t="inlineStr">
        <is>
          <t>To Do</t>
        </is>
      </c>
      <c r="K62" s="31" t="inlineStr">
        <is>
          <t>https://africanmarketingconfederation.org/smoke-archive/page-2</t>
        </is>
      </c>
      <c r="L62" s="30" t="inlineStr">
        <is>
          <t>IssueInventory</t>
        </is>
      </c>
      <c r="M62" s="30" t="n">
        <v>10</v>
      </c>
      <c r="N62" s="30" t="inlineStr">
        <is>
          <t>2026-07-01 20:54:35</t>
        </is>
      </c>
      <c r="O62" s="30" t="n">
        <v>0</v>
      </c>
      <c r="P62" s="30" t="inlineStr"/>
      <c r="Q62" s="30" t="inlineStr"/>
      <c r="R62" s="38">
        <f>IFERROR(HYPERLINK("#'Main'!B"&amp;MATCH(TRIM(A62),'Main'!B:B,0),"Open"),HYPERLINK("#'Main'!B1","Open"))</f>
        <v/>
      </c>
      <c r="S62" s="38">
        <f>IFERROR(HYPERLINK("#'"&amp;SUBSTITUTE(F62,"'","''")&amp;"'!A"&amp;MATCH(A62,INDIRECT("'"&amp;SUBSTITUTE(F62,"'","''")&amp;"'!A:A"),0),"Open"),HYPERLINK("#'"&amp;SUBSTITUTE(F62,"'","''")&amp;"'!A1","Open"))</f>
        <v/>
      </c>
    </row>
    <row r="63" ht="18" customHeight="1">
      <c r="A63" s="35" t="inlineStr">
        <is>
          <t>https://africanmarketingconfederation.org/smoke-archive/page-2</t>
        </is>
      </c>
      <c r="B63" s="28" t="inlineStr">
        <is>
          <t>Issue Inventory</t>
        </is>
      </c>
      <c r="C63" s="79" t="inlineStr">
        <is>
          <t>Render Blocking Resources</t>
        </is>
      </c>
      <c r="D63" s="28" t="inlineStr">
        <is>
          <t>Observation</t>
        </is>
      </c>
      <c r="E63" s="20" t="n">
        <v>1</v>
      </c>
      <c r="F63" s="39" t="inlineStr">
        <is>
          <t>Technical Diagnostics</t>
        </is>
      </c>
      <c r="G63" s="28" t="inlineStr">
        <is>
          <t>https://africanmarketingconfederation.org/smoke-archive/page-2::render_blocking_resources</t>
        </is>
      </c>
      <c r="H63" s="28" t="inlineStr">
        <is>
          <t>Dev</t>
        </is>
      </c>
      <c r="I63" s="28" t="inlineStr"/>
      <c r="J63" s="28" t="inlineStr">
        <is>
          <t>To Do</t>
        </is>
      </c>
      <c r="K63" s="20" t="inlineStr">
        <is>
          <t>https://africanmarketingconfederation.org/smoke-archive/page-2</t>
        </is>
      </c>
      <c r="L63" s="28" t="inlineStr">
        <is>
          <t>IssueInventory</t>
        </is>
      </c>
      <c r="M63" s="28" t="n">
        <v>11</v>
      </c>
      <c r="N63" s="28" t="inlineStr">
        <is>
          <t>2026-07-01 20:54:35</t>
        </is>
      </c>
      <c r="O63" s="28" t="n">
        <v>0</v>
      </c>
      <c r="P63" s="28" t="inlineStr"/>
      <c r="Q63" s="28" t="inlineStr"/>
      <c r="R63">
        <f>IFERROR(HYPERLINK("#'Main'!B"&amp;MATCH(TRIM(A63),'Main'!B:B,0),"Open"),HYPERLINK("#'Main'!B1","Open"))</f>
        <v/>
      </c>
      <c r="S63">
        <f>IFERROR(HYPERLINK("#'"&amp;SUBSTITUTE(F63,"'","''")&amp;"'!A"&amp;MATCH(A63,INDIRECT("'"&amp;SUBSTITUTE(F63,"'","''")&amp;"'!A:A"),0),"Open"),HYPERLINK("#'"&amp;SUBSTITUTE(F63,"'","''")&amp;"'!A1","Open"))</f>
        <v/>
      </c>
    </row>
    <row r="64" ht="18" customHeight="1">
      <c r="A64" s="37" t="inlineStr">
        <is>
          <t>https://africanmarketingconfederation.org/smoke-archive/page-3</t>
        </is>
      </c>
      <c r="B64" s="30" t="inlineStr">
        <is>
          <t>Issue Inventory</t>
        </is>
      </c>
      <c r="C64" s="80" t="inlineStr">
        <is>
          <t>Missing OG Image</t>
        </is>
      </c>
      <c r="D64" s="30" t="inlineStr">
        <is>
          <t>Warning</t>
        </is>
      </c>
      <c r="E64" s="31" t="n">
        <v>1</v>
      </c>
      <c r="F64" s="41" t="inlineStr">
        <is>
          <t>Technical Diagnostics</t>
        </is>
      </c>
      <c r="G64" s="30" t="inlineStr">
        <is>
          <t>https://africanmarketingconfederation.org/smoke-archive/page-3::missing_og_image</t>
        </is>
      </c>
      <c r="H64" s="30" t="inlineStr">
        <is>
          <t>Copy Writer</t>
        </is>
      </c>
      <c r="I64" s="30" t="inlineStr"/>
      <c r="J64" s="30" t="inlineStr">
        <is>
          <t>To Do</t>
        </is>
      </c>
      <c r="K64" s="31" t="inlineStr">
        <is>
          <t>https://africanmarketingconfederation.org/smoke-archive/page-3</t>
        </is>
      </c>
      <c r="L64" s="30" t="inlineStr">
        <is>
          <t>IssueInventory</t>
        </is>
      </c>
      <c r="M64" s="30" t="n">
        <v>12</v>
      </c>
      <c r="N64" s="30" t="inlineStr">
        <is>
          <t>2026-07-01 20:54:35</t>
        </is>
      </c>
      <c r="O64" s="30" t="n">
        <v>0</v>
      </c>
      <c r="P64" s="30" t="inlineStr"/>
      <c r="Q64" s="30" t="inlineStr"/>
      <c r="R64" s="38">
        <f>IFERROR(HYPERLINK("#'Main'!B"&amp;MATCH(TRIM(A64),'Main'!B:B,0),"Open"),HYPERLINK("#'Main'!B1","Open"))</f>
        <v/>
      </c>
      <c r="S64" s="38">
        <f>IFERROR(HYPERLINK("#'"&amp;SUBSTITUTE(F64,"'","''")&amp;"'!A"&amp;MATCH(A64,INDIRECT("'"&amp;SUBSTITUTE(F64,"'","''")&amp;"'!A:A"),0),"Open"),HYPERLINK("#'"&amp;SUBSTITUTE(F64,"'","''")&amp;"'!A1","Open"))</f>
        <v/>
      </c>
    </row>
    <row r="65" ht="18" customHeight="1">
      <c r="A65" s="35" t="inlineStr">
        <is>
          <t>https://africanmarketingconfederation.org/smoke-archive/page-3</t>
        </is>
      </c>
      <c r="B65" s="28" t="inlineStr">
        <is>
          <t>Issue Inventory</t>
        </is>
      </c>
      <c r="C65" s="79" t="inlineStr">
        <is>
          <t>Lab TBT 150ms–300ms (Mobile)</t>
        </is>
      </c>
      <c r="D65" s="28" t="inlineStr">
        <is>
          <t>Observation</t>
        </is>
      </c>
      <c r="E65" s="20" t="n">
        <v>1</v>
      </c>
      <c r="F65" s="39" t="inlineStr">
        <is>
          <t>Technical Diagnostics</t>
        </is>
      </c>
      <c r="G65" s="28" t="inlineStr">
        <is>
          <t>https://africanmarketingconfederation.org/smoke-archive/page-3::lab_tbt_150ms_300ms_mobile_</t>
        </is>
      </c>
      <c r="H65" s="28" t="inlineStr">
        <is>
          <t>Dev</t>
        </is>
      </c>
      <c r="I65" s="28" t="inlineStr"/>
      <c r="J65" s="28" t="inlineStr">
        <is>
          <t>To Do</t>
        </is>
      </c>
      <c r="K65" s="20" t="inlineStr">
        <is>
          <t>https://africanmarketingconfederation.org/smoke-archive/page-3</t>
        </is>
      </c>
      <c r="L65" s="28" t="inlineStr">
        <is>
          <t>IssueInventory</t>
        </is>
      </c>
      <c r="M65" s="28" t="n">
        <v>13</v>
      </c>
      <c r="N65" s="28" t="inlineStr">
        <is>
          <t>2026-07-01 20:54:35</t>
        </is>
      </c>
      <c r="O65" s="28" t="n">
        <v>0</v>
      </c>
      <c r="P65" s="28" t="inlineStr"/>
      <c r="Q65" s="28" t="inlineStr"/>
      <c r="R65">
        <f>IFERROR(HYPERLINK("#'Main'!B"&amp;MATCH(TRIM(A65),'Main'!B:B,0),"Open"),HYPERLINK("#'Main'!B1","Open"))</f>
        <v/>
      </c>
      <c r="S65">
        <f>IFERROR(HYPERLINK("#'"&amp;SUBSTITUTE(F65,"'","''")&amp;"'!A"&amp;MATCH(A65,INDIRECT("'"&amp;SUBSTITUTE(F65,"'","''")&amp;"'!A:A"),0),"Open"),HYPERLINK("#'"&amp;SUBSTITUTE(F65,"'","''")&amp;"'!A1","Open"))</f>
        <v/>
      </c>
    </row>
    <row r="66" ht="18" customHeight="1">
      <c r="A66" s="37" t="inlineStr">
        <is>
          <t>https://africanmarketingconfederation.org/smoke-archive/page-3</t>
        </is>
      </c>
      <c r="B66" s="30" t="inlineStr">
        <is>
          <t>Issue Inventory</t>
        </is>
      </c>
      <c r="C66" s="80" t="inlineStr">
        <is>
          <t>Moderate Lighthouse Performance Mobile (50–89)</t>
        </is>
      </c>
      <c r="D66" s="30" t="inlineStr">
        <is>
          <t>Observation</t>
        </is>
      </c>
      <c r="E66" s="31" t="n">
        <v>1</v>
      </c>
      <c r="F66" s="41" t="inlineStr">
        <is>
          <t>Technical Diagnostics</t>
        </is>
      </c>
      <c r="G66" s="30" t="inlineStr">
        <is>
          <t>https://africanmarketingconfederation.org/smoke-archive/page-3::moderate_lighthouse_performance_mobile_50_89_</t>
        </is>
      </c>
      <c r="H66" s="30" t="inlineStr">
        <is>
          <t>Dev</t>
        </is>
      </c>
      <c r="I66" s="30" t="inlineStr"/>
      <c r="J66" s="30" t="inlineStr">
        <is>
          <t>To Do</t>
        </is>
      </c>
      <c r="K66" s="31" t="inlineStr">
        <is>
          <t>https://africanmarketingconfederation.org/smoke-archive/page-3</t>
        </is>
      </c>
      <c r="L66" s="30" t="inlineStr">
        <is>
          <t>IssueInventory</t>
        </is>
      </c>
      <c r="M66" s="30" t="n">
        <v>14</v>
      </c>
      <c r="N66" s="30" t="inlineStr">
        <is>
          <t>2026-07-01 20:54:35</t>
        </is>
      </c>
      <c r="O66" s="30" t="n">
        <v>0</v>
      </c>
      <c r="P66" s="30" t="inlineStr"/>
      <c r="Q66" s="30" t="inlineStr"/>
      <c r="R66" s="38">
        <f>IFERROR(HYPERLINK("#'Main'!B"&amp;MATCH(TRIM(A66),'Main'!B:B,0),"Open"),HYPERLINK("#'Main'!B1","Open"))</f>
        <v/>
      </c>
      <c r="S66" s="38">
        <f>IFERROR(HYPERLINK("#'"&amp;SUBSTITUTE(F66,"'","''")&amp;"'!A"&amp;MATCH(A66,INDIRECT("'"&amp;SUBSTITUTE(F66,"'","''")&amp;"'!A:A"),0),"Open"),HYPERLINK("#'"&amp;SUBSTITUTE(F66,"'","''")&amp;"'!A1","Open"))</f>
        <v/>
      </c>
    </row>
    <row r="67" ht="18" customHeight="1">
      <c r="A67" s="35" t="inlineStr">
        <is>
          <t>https://africanmarketingconfederation.org/smoke-archive/page-3</t>
        </is>
      </c>
      <c r="B67" s="28" t="inlineStr">
        <is>
          <t>Issue Inventory</t>
        </is>
      </c>
      <c r="C67" s="79" t="inlineStr">
        <is>
          <t>Render Blocking Resources</t>
        </is>
      </c>
      <c r="D67" s="28" t="inlineStr">
        <is>
          <t>Observation</t>
        </is>
      </c>
      <c r="E67" s="20" t="n">
        <v>1</v>
      </c>
      <c r="F67" s="39" t="inlineStr">
        <is>
          <t>Technical Diagnostics</t>
        </is>
      </c>
      <c r="G67" s="28" t="inlineStr">
        <is>
          <t>https://africanmarketingconfederation.org/smoke-archive/page-3::render_blocking_resources</t>
        </is>
      </c>
      <c r="H67" s="28" t="inlineStr">
        <is>
          <t>Dev</t>
        </is>
      </c>
      <c r="I67" s="28" t="inlineStr"/>
      <c r="J67" s="28" t="inlineStr">
        <is>
          <t>To Do</t>
        </is>
      </c>
      <c r="K67" s="20" t="inlineStr">
        <is>
          <t>https://africanmarketingconfederation.org/smoke-archive/page-3</t>
        </is>
      </c>
      <c r="L67" s="28" t="inlineStr">
        <is>
          <t>IssueInventory</t>
        </is>
      </c>
      <c r="M67" s="28" t="n">
        <v>15</v>
      </c>
      <c r="N67" s="28" t="inlineStr">
        <is>
          <t>2026-07-01 20:54:35</t>
        </is>
      </c>
      <c r="O67" s="28" t="n">
        <v>0</v>
      </c>
      <c r="P67" s="28" t="inlineStr"/>
      <c r="Q67" s="28" t="inlineStr"/>
      <c r="R67">
        <f>IFERROR(HYPERLINK("#'Main'!B"&amp;MATCH(TRIM(A67),'Main'!B:B,0),"Open"),HYPERLINK("#'Main'!B1","Open"))</f>
        <v/>
      </c>
      <c r="S67">
        <f>IFERROR(HYPERLINK("#'"&amp;SUBSTITUTE(F67,"'","''")&amp;"'!A"&amp;MATCH(A67,INDIRECT("'"&amp;SUBSTITUTE(F67,"'","''")&amp;"'!A:A"),0),"Open"),HYPERLINK("#'"&amp;SUBSTITUTE(F67,"'","''")&amp;"'!A1","Open"))</f>
        <v/>
      </c>
    </row>
    <row r="68" ht="18" customHeight="1">
      <c r="A68" s="37" t="inlineStr">
        <is>
          <t>https://africanmarketingconfederation.org/smoke-archive/page-4</t>
        </is>
      </c>
      <c r="B68" s="30" t="inlineStr">
        <is>
          <t>Issue Inventory</t>
        </is>
      </c>
      <c r="C68" s="80" t="inlineStr">
        <is>
          <t>Lab TBT 150ms–300ms (Mobile)</t>
        </is>
      </c>
      <c r="D68" s="30" t="inlineStr">
        <is>
          <t>Observation</t>
        </is>
      </c>
      <c r="E68" s="31" t="n">
        <v>1</v>
      </c>
      <c r="F68" s="41" t="inlineStr">
        <is>
          <t>Technical Diagnostics</t>
        </is>
      </c>
      <c r="G68" s="30" t="inlineStr">
        <is>
          <t>https://africanmarketingconfederation.org/smoke-archive/page-4::lab_tbt_150ms_300ms_mobile_</t>
        </is>
      </c>
      <c r="H68" s="30" t="inlineStr">
        <is>
          <t>Dev</t>
        </is>
      </c>
      <c r="I68" s="30" t="inlineStr"/>
      <c r="J68" s="30" t="inlineStr">
        <is>
          <t>To Do</t>
        </is>
      </c>
      <c r="K68" s="31" t="inlineStr">
        <is>
          <t>https://africanmarketingconfederation.org/smoke-archive/page-4</t>
        </is>
      </c>
      <c r="L68" s="30" t="inlineStr">
        <is>
          <t>IssueInventory</t>
        </is>
      </c>
      <c r="M68" s="30" t="n">
        <v>16</v>
      </c>
      <c r="N68" s="30" t="inlineStr">
        <is>
          <t>2026-07-01 20:54:35</t>
        </is>
      </c>
      <c r="O68" s="30" t="n">
        <v>0</v>
      </c>
      <c r="P68" s="30" t="inlineStr"/>
      <c r="Q68" s="30" t="inlineStr"/>
      <c r="R68" s="38">
        <f>IFERROR(HYPERLINK("#'Main'!B"&amp;MATCH(TRIM(A68),'Main'!B:B,0),"Open"),HYPERLINK("#'Main'!B1","Open"))</f>
        <v/>
      </c>
      <c r="S68" s="38">
        <f>IFERROR(HYPERLINK("#'"&amp;SUBSTITUTE(F68,"'","''")&amp;"'!A"&amp;MATCH(A68,INDIRECT("'"&amp;SUBSTITUTE(F68,"'","''")&amp;"'!A:A"),0),"Open"),HYPERLINK("#'"&amp;SUBSTITUTE(F68,"'","''")&amp;"'!A1","Open"))</f>
        <v/>
      </c>
    </row>
    <row r="69" ht="18" customHeight="1">
      <c r="A69" s="35" t="inlineStr">
        <is>
          <t>https://africanmarketingconfederation.org/smoke-archive/page-4</t>
        </is>
      </c>
      <c r="B69" s="28" t="inlineStr">
        <is>
          <t>Issue Inventory</t>
        </is>
      </c>
      <c r="C69" s="79" t="inlineStr">
        <is>
          <t>Moderate Lighthouse Performance Mobile (50–89)</t>
        </is>
      </c>
      <c r="D69" s="28" t="inlineStr">
        <is>
          <t>Observation</t>
        </is>
      </c>
      <c r="E69" s="20" t="n">
        <v>1</v>
      </c>
      <c r="F69" s="39" t="inlineStr">
        <is>
          <t>Technical Diagnostics</t>
        </is>
      </c>
      <c r="G69" s="28" t="inlineStr">
        <is>
          <t>https://africanmarketingconfederation.org/smoke-archive/page-4::moderate_lighthouse_performance_mobile_50_89_</t>
        </is>
      </c>
      <c r="H69" s="28" t="inlineStr">
        <is>
          <t>Dev</t>
        </is>
      </c>
      <c r="I69" s="28" t="inlineStr"/>
      <c r="J69" s="28" t="inlineStr">
        <is>
          <t>To Do</t>
        </is>
      </c>
      <c r="K69" s="20" t="inlineStr">
        <is>
          <t>https://africanmarketingconfederation.org/smoke-archive/page-4</t>
        </is>
      </c>
      <c r="L69" s="28" t="inlineStr">
        <is>
          <t>IssueInventory</t>
        </is>
      </c>
      <c r="M69" s="28" t="n">
        <v>17</v>
      </c>
      <c r="N69" s="28" t="inlineStr">
        <is>
          <t>2026-07-01 20:54:35</t>
        </is>
      </c>
      <c r="O69" s="28" t="n">
        <v>0</v>
      </c>
      <c r="P69" s="28" t="inlineStr"/>
      <c r="Q69" s="28" t="inlineStr"/>
      <c r="R69">
        <f>IFERROR(HYPERLINK("#'Main'!B"&amp;MATCH(TRIM(A69),'Main'!B:B,0),"Open"),HYPERLINK("#'Main'!B1","Open"))</f>
        <v/>
      </c>
      <c r="S69">
        <f>IFERROR(HYPERLINK("#'"&amp;SUBSTITUTE(F69,"'","''")&amp;"'!A"&amp;MATCH(A69,INDIRECT("'"&amp;SUBSTITUTE(F69,"'","''")&amp;"'!A:A"),0),"Open"),HYPERLINK("#'"&amp;SUBSTITUTE(F69,"'","''")&amp;"'!A1","Open"))</f>
        <v/>
      </c>
    </row>
    <row r="70" ht="18" customHeight="1">
      <c r="A70" s="37" t="inlineStr">
        <is>
          <t>https://africanmarketingconfederation.org/smoke-archive/page-4</t>
        </is>
      </c>
      <c r="B70" s="30" t="inlineStr">
        <is>
          <t>Issue Inventory</t>
        </is>
      </c>
      <c r="C70" s="80" t="inlineStr">
        <is>
          <t>Render Blocking Resources</t>
        </is>
      </c>
      <c r="D70" s="30" t="inlineStr">
        <is>
          <t>Observation</t>
        </is>
      </c>
      <c r="E70" s="31" t="n">
        <v>1</v>
      </c>
      <c r="F70" s="41" t="inlineStr">
        <is>
          <t>Technical Diagnostics</t>
        </is>
      </c>
      <c r="G70" s="30" t="inlineStr">
        <is>
          <t>https://africanmarketingconfederation.org/smoke-archive/page-4::render_blocking_resources</t>
        </is>
      </c>
      <c r="H70" s="30" t="inlineStr">
        <is>
          <t>Dev</t>
        </is>
      </c>
      <c r="I70" s="30" t="inlineStr"/>
      <c r="J70" s="30" t="inlineStr">
        <is>
          <t>To Do</t>
        </is>
      </c>
      <c r="K70" s="31" t="inlineStr">
        <is>
          <t>https://africanmarketingconfederation.org/smoke-archive/page-4</t>
        </is>
      </c>
      <c r="L70" s="30" t="inlineStr">
        <is>
          <t>IssueInventory</t>
        </is>
      </c>
      <c r="M70" s="30" t="n">
        <v>18</v>
      </c>
      <c r="N70" s="30" t="inlineStr">
        <is>
          <t>2026-07-01 20:54:35</t>
        </is>
      </c>
      <c r="O70" s="30" t="n">
        <v>0</v>
      </c>
      <c r="P70" s="30" t="inlineStr"/>
      <c r="Q70" s="30" t="inlineStr"/>
      <c r="R70" s="38">
        <f>IFERROR(HYPERLINK("#'Main'!B"&amp;MATCH(TRIM(A70),'Main'!B:B,0),"Open"),HYPERLINK("#'Main'!B1","Open"))</f>
        <v/>
      </c>
      <c r="S70" s="38">
        <f>IFERROR(HYPERLINK("#'"&amp;SUBSTITUTE(F70,"'","''")&amp;"'!A"&amp;MATCH(A70,INDIRECT("'"&amp;SUBSTITUTE(F70,"'","''")&amp;"'!A:A"),0),"Open"),HYPERLINK("#'"&amp;SUBSTITUTE(F70,"'","''")&amp;"'!A1","Open"))</f>
        <v/>
      </c>
    </row>
    <row r="71" ht="18" customHeight="1">
      <c r="A71" s="35" t="inlineStr">
        <is>
          <t>https://africanmarketingconfederation.org/smoke-archive/page-5</t>
        </is>
      </c>
      <c r="B71" s="28" t="inlineStr">
        <is>
          <t>Issue Inventory</t>
        </is>
      </c>
      <c r="C71" s="79" t="inlineStr">
        <is>
          <t>Missing Meta Description</t>
        </is>
      </c>
      <c r="D71" s="28" t="inlineStr">
        <is>
          <t>Warning</t>
        </is>
      </c>
      <c r="E71" s="20" t="n">
        <v>1</v>
      </c>
      <c r="F71" s="39" t="inlineStr">
        <is>
          <t>Technical Diagnostics</t>
        </is>
      </c>
      <c r="G71" s="28" t="inlineStr">
        <is>
          <t>https://africanmarketingconfederation.org/smoke-archive/page-5::missing_meta_description</t>
        </is>
      </c>
      <c r="H71" s="28" t="inlineStr">
        <is>
          <t>Copy Writer</t>
        </is>
      </c>
      <c r="I71" s="28" t="inlineStr"/>
      <c r="J71" s="28" t="inlineStr">
        <is>
          <t>To Do</t>
        </is>
      </c>
      <c r="K71" s="20" t="inlineStr">
        <is>
          <t>https://africanmarketingconfederation.org/smoke-archive/page-5</t>
        </is>
      </c>
      <c r="L71" s="28" t="inlineStr">
        <is>
          <t>IssueInventory</t>
        </is>
      </c>
      <c r="M71" s="28" t="n">
        <v>19</v>
      </c>
      <c r="N71" s="28" t="inlineStr">
        <is>
          <t>2026-07-01 20:54:35</t>
        </is>
      </c>
      <c r="O71" s="28" t="n">
        <v>0</v>
      </c>
      <c r="P71" s="28" t="inlineStr"/>
      <c r="Q71" s="28" t="inlineStr"/>
      <c r="R71">
        <f>IFERROR(HYPERLINK("#'Main'!B"&amp;MATCH(TRIM(A71),'Main'!B:B,0),"Open"),HYPERLINK("#'Main'!B1","Open"))</f>
        <v/>
      </c>
      <c r="S71">
        <f>IFERROR(HYPERLINK("#'"&amp;SUBSTITUTE(F71,"'","''")&amp;"'!A"&amp;MATCH(A71,INDIRECT("'"&amp;SUBSTITUTE(F71,"'","''")&amp;"'!A:A"),0),"Open"),HYPERLINK("#'"&amp;SUBSTITUTE(F71,"'","''")&amp;"'!A1","Open"))</f>
        <v/>
      </c>
    </row>
    <row r="72" ht="18" customHeight="1">
      <c r="A72" s="37" t="inlineStr">
        <is>
          <t>https://africanmarketingconfederation.org/smoke-archive/page-5</t>
        </is>
      </c>
      <c r="B72" s="30" t="inlineStr">
        <is>
          <t>Issue Inventory</t>
        </is>
      </c>
      <c r="C72" s="80" t="inlineStr">
        <is>
          <t>Missing OG Description</t>
        </is>
      </c>
      <c r="D72" s="30" t="inlineStr">
        <is>
          <t>Warning</t>
        </is>
      </c>
      <c r="E72" s="31" t="n">
        <v>1</v>
      </c>
      <c r="F72" s="41" t="inlineStr">
        <is>
          <t>Technical Diagnostics</t>
        </is>
      </c>
      <c r="G72" s="30" t="inlineStr">
        <is>
          <t>https://africanmarketingconfederation.org/smoke-archive/page-5::missing_og_description</t>
        </is>
      </c>
      <c r="H72" s="30" t="inlineStr">
        <is>
          <t>Copy Writer</t>
        </is>
      </c>
      <c r="I72" s="30" t="inlineStr"/>
      <c r="J72" s="30" t="inlineStr">
        <is>
          <t>To Do</t>
        </is>
      </c>
      <c r="K72" s="31" t="inlineStr">
        <is>
          <t>https://africanmarketingconfederation.org/smoke-archive/page-5</t>
        </is>
      </c>
      <c r="L72" s="30" t="inlineStr">
        <is>
          <t>IssueInventory</t>
        </is>
      </c>
      <c r="M72" s="30" t="n">
        <v>20</v>
      </c>
      <c r="N72" s="30" t="inlineStr">
        <is>
          <t>2026-07-01 20:54:35</t>
        </is>
      </c>
      <c r="O72" s="30" t="n">
        <v>0</v>
      </c>
      <c r="P72" s="30" t="inlineStr"/>
      <c r="Q72" s="30" t="inlineStr"/>
      <c r="R72" s="38">
        <f>IFERROR(HYPERLINK("#'Main'!B"&amp;MATCH(TRIM(A72),'Main'!B:B,0),"Open"),HYPERLINK("#'Main'!B1","Open"))</f>
        <v/>
      </c>
      <c r="S72" s="38">
        <f>IFERROR(HYPERLINK("#'"&amp;SUBSTITUTE(F72,"'","''")&amp;"'!A"&amp;MATCH(A72,INDIRECT("'"&amp;SUBSTITUTE(F72,"'","''")&amp;"'!A:A"),0),"Open"),HYPERLINK("#'"&amp;SUBSTITUTE(F72,"'","''")&amp;"'!A1","Open"))</f>
        <v/>
      </c>
    </row>
    <row r="73" ht="18" customHeight="1">
      <c r="A73" s="35" t="inlineStr">
        <is>
          <t>https://africanmarketingconfederation.org/smoke-archive/page-5</t>
        </is>
      </c>
      <c r="B73" s="28" t="inlineStr">
        <is>
          <t>Issue Inventory</t>
        </is>
      </c>
      <c r="C73" s="79" t="inlineStr">
        <is>
          <t>Missing OG Image</t>
        </is>
      </c>
      <c r="D73" s="28" t="inlineStr">
        <is>
          <t>Warning</t>
        </is>
      </c>
      <c r="E73" s="20" t="n">
        <v>1</v>
      </c>
      <c r="F73" s="39" t="inlineStr">
        <is>
          <t>Technical Diagnostics</t>
        </is>
      </c>
      <c r="G73" s="28" t="inlineStr">
        <is>
          <t>https://africanmarketingconfederation.org/smoke-archive/page-5::missing_og_image</t>
        </is>
      </c>
      <c r="H73" s="28" t="inlineStr">
        <is>
          <t>Copy Writer</t>
        </is>
      </c>
      <c r="I73" s="28" t="inlineStr"/>
      <c r="J73" s="28" t="inlineStr">
        <is>
          <t>To Do</t>
        </is>
      </c>
      <c r="K73" s="20" t="inlineStr">
        <is>
          <t>https://africanmarketingconfederation.org/smoke-archive/page-5</t>
        </is>
      </c>
      <c r="L73" s="28" t="inlineStr">
        <is>
          <t>IssueInventory</t>
        </is>
      </c>
      <c r="M73" s="28" t="n">
        <v>21</v>
      </c>
      <c r="N73" s="28" t="inlineStr">
        <is>
          <t>2026-07-01 20:54:35</t>
        </is>
      </c>
      <c r="O73" s="28" t="n">
        <v>0</v>
      </c>
      <c r="P73" s="28" t="inlineStr"/>
      <c r="Q73" s="28" t="inlineStr"/>
      <c r="R73">
        <f>IFERROR(HYPERLINK("#'Main'!B"&amp;MATCH(TRIM(A73),'Main'!B:B,0),"Open"),HYPERLINK("#'Main'!B1","Open"))</f>
        <v/>
      </c>
      <c r="S73">
        <f>IFERROR(HYPERLINK("#'"&amp;SUBSTITUTE(F73,"'","''")&amp;"'!A"&amp;MATCH(A73,INDIRECT("'"&amp;SUBSTITUTE(F73,"'","''")&amp;"'!A:A"),0),"Open"),HYPERLINK("#'"&amp;SUBSTITUTE(F73,"'","''")&amp;"'!A1","Open"))</f>
        <v/>
      </c>
    </row>
    <row r="74" ht="18" customHeight="1">
      <c r="A74" s="37" t="inlineStr">
        <is>
          <t>https://africanmarketingconfederation.org/smoke-archive/page-5</t>
        </is>
      </c>
      <c r="B74" s="30" t="inlineStr">
        <is>
          <t>Issue Inventory</t>
        </is>
      </c>
      <c r="C74" s="80" t="inlineStr">
        <is>
          <t>Lab TBT 150ms–300ms (Mobile)</t>
        </is>
      </c>
      <c r="D74" s="30" t="inlineStr">
        <is>
          <t>Observation</t>
        </is>
      </c>
      <c r="E74" s="31" t="n">
        <v>1</v>
      </c>
      <c r="F74" s="41" t="inlineStr">
        <is>
          <t>Technical Diagnostics</t>
        </is>
      </c>
      <c r="G74" s="30" t="inlineStr">
        <is>
          <t>https://africanmarketingconfederation.org/smoke-archive/page-5::lab_tbt_150ms_300ms_mobile_</t>
        </is>
      </c>
      <c r="H74" s="30" t="inlineStr">
        <is>
          <t>Dev</t>
        </is>
      </c>
      <c r="I74" s="30" t="inlineStr"/>
      <c r="J74" s="30" t="inlineStr">
        <is>
          <t>To Do</t>
        </is>
      </c>
      <c r="K74" s="31" t="inlineStr">
        <is>
          <t>https://africanmarketingconfederation.org/smoke-archive/page-5</t>
        </is>
      </c>
      <c r="L74" s="30" t="inlineStr">
        <is>
          <t>IssueInventory</t>
        </is>
      </c>
      <c r="M74" s="30" t="n">
        <v>22</v>
      </c>
      <c r="N74" s="30" t="inlineStr">
        <is>
          <t>2026-07-01 20:54:35</t>
        </is>
      </c>
      <c r="O74" s="30" t="n">
        <v>0</v>
      </c>
      <c r="P74" s="30" t="inlineStr"/>
      <c r="Q74" s="30" t="inlineStr"/>
      <c r="R74" s="38">
        <f>IFERROR(HYPERLINK("#'Main'!B"&amp;MATCH(TRIM(A74),'Main'!B:B,0),"Open"),HYPERLINK("#'Main'!B1","Open"))</f>
        <v/>
      </c>
      <c r="S74" s="38">
        <f>IFERROR(HYPERLINK("#'"&amp;SUBSTITUTE(F74,"'","''")&amp;"'!A"&amp;MATCH(A74,INDIRECT("'"&amp;SUBSTITUTE(F74,"'","''")&amp;"'!A:A"),0),"Open"),HYPERLINK("#'"&amp;SUBSTITUTE(F74,"'","''")&amp;"'!A1","Open"))</f>
        <v/>
      </c>
    </row>
    <row r="75" ht="18" customHeight="1">
      <c r="A75" s="35" t="inlineStr">
        <is>
          <t>https://africanmarketingconfederation.org/smoke-archive/page-5</t>
        </is>
      </c>
      <c r="B75" s="28" t="inlineStr">
        <is>
          <t>Issue Inventory</t>
        </is>
      </c>
      <c r="C75" s="79" t="inlineStr">
        <is>
          <t>Moderate Lighthouse Performance Mobile (50–89)</t>
        </is>
      </c>
      <c r="D75" s="28" t="inlineStr">
        <is>
          <t>Observation</t>
        </is>
      </c>
      <c r="E75" s="20" t="n">
        <v>1</v>
      </c>
      <c r="F75" s="39" t="inlineStr">
        <is>
          <t>Technical Diagnostics</t>
        </is>
      </c>
      <c r="G75" s="28" t="inlineStr">
        <is>
          <t>https://africanmarketingconfederation.org/smoke-archive/page-5::moderate_lighthouse_performance_mobile_50_89_</t>
        </is>
      </c>
      <c r="H75" s="28" t="inlineStr">
        <is>
          <t>Dev</t>
        </is>
      </c>
      <c r="I75" s="28" t="inlineStr"/>
      <c r="J75" s="28" t="inlineStr">
        <is>
          <t>To Do</t>
        </is>
      </c>
      <c r="K75" s="20" t="inlineStr">
        <is>
          <t>https://africanmarketingconfederation.org/smoke-archive/page-5</t>
        </is>
      </c>
      <c r="L75" s="28" t="inlineStr">
        <is>
          <t>IssueInventory</t>
        </is>
      </c>
      <c r="M75" s="28" t="n">
        <v>23</v>
      </c>
      <c r="N75" s="28" t="inlineStr">
        <is>
          <t>2026-07-01 20:54:35</t>
        </is>
      </c>
      <c r="O75" s="28" t="n">
        <v>0</v>
      </c>
      <c r="P75" s="28" t="inlineStr"/>
      <c r="Q75" s="28" t="inlineStr"/>
      <c r="R75">
        <f>IFERROR(HYPERLINK("#'Main'!B"&amp;MATCH(TRIM(A75),'Main'!B:B,0),"Open"),HYPERLINK("#'Main'!B1","Open"))</f>
        <v/>
      </c>
      <c r="S75">
        <f>IFERROR(HYPERLINK("#'"&amp;SUBSTITUTE(F75,"'","''")&amp;"'!A"&amp;MATCH(A75,INDIRECT("'"&amp;SUBSTITUTE(F75,"'","''")&amp;"'!A:A"),0),"Open"),HYPERLINK("#'"&amp;SUBSTITUTE(F75,"'","''")&amp;"'!A1","Open"))</f>
        <v/>
      </c>
    </row>
    <row r="76" ht="18" customHeight="1">
      <c r="A76" s="37" t="inlineStr">
        <is>
          <t>https://africanmarketingconfederation.org/smoke-archive/page-5</t>
        </is>
      </c>
      <c r="B76" s="30" t="inlineStr">
        <is>
          <t>Issue Inventory</t>
        </is>
      </c>
      <c r="C76" s="80" t="inlineStr">
        <is>
          <t>Render Blocking Resources</t>
        </is>
      </c>
      <c r="D76" s="30" t="inlineStr">
        <is>
          <t>Observation</t>
        </is>
      </c>
      <c r="E76" s="31" t="n">
        <v>1</v>
      </c>
      <c r="F76" s="41" t="inlineStr">
        <is>
          <t>Technical Diagnostics</t>
        </is>
      </c>
      <c r="G76" s="30" t="inlineStr">
        <is>
          <t>https://africanmarketingconfederation.org/smoke-archive/page-5::render_blocking_resources</t>
        </is>
      </c>
      <c r="H76" s="30" t="inlineStr">
        <is>
          <t>Dev</t>
        </is>
      </c>
      <c r="I76" s="30" t="inlineStr"/>
      <c r="J76" s="30" t="inlineStr">
        <is>
          <t>To Do</t>
        </is>
      </c>
      <c r="K76" s="31" t="inlineStr">
        <is>
          <t>https://africanmarketingconfederation.org/smoke-archive/page-5</t>
        </is>
      </c>
      <c r="L76" s="30" t="inlineStr">
        <is>
          <t>IssueInventory</t>
        </is>
      </c>
      <c r="M76" s="30" t="n">
        <v>24</v>
      </c>
      <c r="N76" s="30" t="inlineStr">
        <is>
          <t>2026-07-01 20:54:35</t>
        </is>
      </c>
      <c r="O76" s="30" t="n">
        <v>0</v>
      </c>
      <c r="P76" s="30" t="inlineStr"/>
      <c r="Q76" s="30" t="inlineStr"/>
      <c r="R76" s="38">
        <f>IFERROR(HYPERLINK("#'Main'!B"&amp;MATCH(TRIM(A76),'Main'!B:B,0),"Open"),HYPERLINK("#'Main'!B1","Open"))</f>
        <v/>
      </c>
      <c r="S76" s="38">
        <f>IFERROR(HYPERLINK("#'"&amp;SUBSTITUTE(F76,"'","''")&amp;"'!A"&amp;MATCH(A76,INDIRECT("'"&amp;SUBSTITUTE(F76,"'","''")&amp;"'!A:A"),0),"Open"),HYPERLINK("#'"&amp;SUBSTITUTE(F76,"'","''")&amp;"'!A1","Open"))</f>
        <v/>
      </c>
    </row>
    <row r="77" ht="18" customHeight="1">
      <c r="A77" s="35" t="inlineStr">
        <is>
          <t>https://africanmarketingconfederation.org/smoke-archive/page-6</t>
        </is>
      </c>
      <c r="B77" s="28" t="inlineStr">
        <is>
          <t>Issue Inventory</t>
        </is>
      </c>
      <c r="C77" s="79" t="inlineStr">
        <is>
          <t>Low Image Alt Coverage</t>
        </is>
      </c>
      <c r="D77" s="28" t="inlineStr">
        <is>
          <t>Warning</t>
        </is>
      </c>
      <c r="E77" s="20" t="n">
        <v>1</v>
      </c>
      <c r="F77" s="39" t="inlineStr">
        <is>
          <t>Technical Diagnostics</t>
        </is>
      </c>
      <c r="G77" s="28" t="inlineStr">
        <is>
          <t>https://africanmarketingconfederation.org/smoke-archive/page-6::low_image_alt_coverage</t>
        </is>
      </c>
      <c r="H77" s="28" t="inlineStr">
        <is>
          <t>Copy Writer</t>
        </is>
      </c>
      <c r="I77" s="28" t="inlineStr"/>
      <c r="J77" s="28" t="inlineStr">
        <is>
          <t>To Do</t>
        </is>
      </c>
      <c r="K77" s="20" t="inlineStr">
        <is>
          <t>https://africanmarketingconfederation.org/smoke-archive/page-6</t>
        </is>
      </c>
      <c r="L77" s="28" t="inlineStr">
        <is>
          <t>IssueInventory</t>
        </is>
      </c>
      <c r="M77" s="28" t="n">
        <v>25</v>
      </c>
      <c r="N77" s="28" t="inlineStr">
        <is>
          <t>2026-07-01 20:54:35</t>
        </is>
      </c>
      <c r="O77" s="28" t="n">
        <v>0</v>
      </c>
      <c r="P77" s="28" t="inlineStr"/>
      <c r="Q77" s="28" t="inlineStr"/>
      <c r="R77">
        <f>IFERROR(HYPERLINK("#'Main'!B"&amp;MATCH(TRIM(A77),'Main'!B:B,0),"Open"),HYPERLINK("#'Main'!B1","Open"))</f>
        <v/>
      </c>
      <c r="S77">
        <f>IFERROR(HYPERLINK("#'"&amp;SUBSTITUTE(F77,"'","''")&amp;"'!A"&amp;MATCH(A77,INDIRECT("'"&amp;SUBSTITUTE(F77,"'","''")&amp;"'!A:A"),0),"Open"),HYPERLINK("#'"&amp;SUBSTITUTE(F77,"'","''")&amp;"'!A1","Open"))</f>
        <v/>
      </c>
    </row>
    <row r="78" ht="18" customHeight="1">
      <c r="A78" s="37" t="inlineStr">
        <is>
          <t>https://africanmarketingconfederation.org/smoke-archive/page-6</t>
        </is>
      </c>
      <c r="B78" s="30" t="inlineStr">
        <is>
          <t>Issue Inventory</t>
        </is>
      </c>
      <c r="C78" s="80" t="inlineStr">
        <is>
          <t>Missing OG Image</t>
        </is>
      </c>
      <c r="D78" s="30" t="inlineStr">
        <is>
          <t>Warning</t>
        </is>
      </c>
      <c r="E78" s="31" t="n">
        <v>1</v>
      </c>
      <c r="F78" s="41" t="inlineStr">
        <is>
          <t>Technical Diagnostics</t>
        </is>
      </c>
      <c r="G78" s="30" t="inlineStr">
        <is>
          <t>https://africanmarketingconfederation.org/smoke-archive/page-6::missing_og_image</t>
        </is>
      </c>
      <c r="H78" s="30" t="inlineStr">
        <is>
          <t>Copy Writer</t>
        </is>
      </c>
      <c r="I78" s="30" t="inlineStr"/>
      <c r="J78" s="30" t="inlineStr">
        <is>
          <t>To Do</t>
        </is>
      </c>
      <c r="K78" s="31" t="inlineStr">
        <is>
          <t>https://africanmarketingconfederation.org/smoke-archive/page-6</t>
        </is>
      </c>
      <c r="L78" s="30" t="inlineStr">
        <is>
          <t>IssueInventory</t>
        </is>
      </c>
      <c r="M78" s="30" t="n">
        <v>26</v>
      </c>
      <c r="N78" s="30" t="inlineStr">
        <is>
          <t>2026-07-01 20:54:35</t>
        </is>
      </c>
      <c r="O78" s="30" t="n">
        <v>0</v>
      </c>
      <c r="P78" s="30" t="inlineStr"/>
      <c r="Q78" s="30" t="inlineStr"/>
      <c r="R78" s="38">
        <f>IFERROR(HYPERLINK("#'Main'!B"&amp;MATCH(TRIM(A78),'Main'!B:B,0),"Open"),HYPERLINK("#'Main'!B1","Open"))</f>
        <v/>
      </c>
      <c r="S78" s="38">
        <f>IFERROR(HYPERLINK("#'"&amp;SUBSTITUTE(F78,"'","''")&amp;"'!A"&amp;MATCH(A78,INDIRECT("'"&amp;SUBSTITUTE(F78,"'","''")&amp;"'!A:A"),0),"Open"),HYPERLINK("#'"&amp;SUBSTITUTE(F78,"'","''")&amp;"'!A1","Open"))</f>
        <v/>
      </c>
    </row>
    <row r="79" ht="18" customHeight="1">
      <c r="A79" s="35" t="inlineStr">
        <is>
          <t>https://africanmarketingconfederation.org/smoke-archive/page-6</t>
        </is>
      </c>
      <c r="B79" s="28" t="inlineStr">
        <is>
          <t>Issue Inventory</t>
        </is>
      </c>
      <c r="C79" s="79" t="inlineStr">
        <is>
          <t>Lab TBT 150ms–300ms (Mobile)</t>
        </is>
      </c>
      <c r="D79" s="28" t="inlineStr">
        <is>
          <t>Observation</t>
        </is>
      </c>
      <c r="E79" s="20" t="n">
        <v>1</v>
      </c>
      <c r="F79" s="39" t="inlineStr">
        <is>
          <t>Technical Diagnostics</t>
        </is>
      </c>
      <c r="G79" s="28" t="inlineStr">
        <is>
          <t>https://africanmarketingconfederation.org/smoke-archive/page-6::lab_tbt_150ms_300ms_mobile_</t>
        </is>
      </c>
      <c r="H79" s="28" t="inlineStr">
        <is>
          <t>Dev</t>
        </is>
      </c>
      <c r="I79" s="28" t="inlineStr"/>
      <c r="J79" s="28" t="inlineStr">
        <is>
          <t>To Do</t>
        </is>
      </c>
      <c r="K79" s="20" t="inlineStr">
        <is>
          <t>https://africanmarketingconfederation.org/smoke-archive/page-6</t>
        </is>
      </c>
      <c r="L79" s="28" t="inlineStr">
        <is>
          <t>IssueInventory</t>
        </is>
      </c>
      <c r="M79" s="28" t="n">
        <v>27</v>
      </c>
      <c r="N79" s="28" t="inlineStr">
        <is>
          <t>2026-07-01 20:54:35</t>
        </is>
      </c>
      <c r="O79" s="28" t="n">
        <v>0</v>
      </c>
      <c r="P79" s="28" t="inlineStr"/>
      <c r="Q79" s="28" t="inlineStr"/>
      <c r="R79">
        <f>IFERROR(HYPERLINK("#'Main'!B"&amp;MATCH(TRIM(A79),'Main'!B:B,0),"Open"),HYPERLINK("#'Main'!B1","Open"))</f>
        <v/>
      </c>
      <c r="S79">
        <f>IFERROR(HYPERLINK("#'"&amp;SUBSTITUTE(F79,"'","''")&amp;"'!A"&amp;MATCH(A79,INDIRECT("'"&amp;SUBSTITUTE(F79,"'","''")&amp;"'!A:A"),0),"Open"),HYPERLINK("#'"&amp;SUBSTITUTE(F79,"'","''")&amp;"'!A1","Open"))</f>
        <v/>
      </c>
    </row>
    <row r="80" ht="18" customHeight="1">
      <c r="A80" s="37" t="inlineStr">
        <is>
          <t>https://africanmarketingconfederation.org/smoke-archive/page-6</t>
        </is>
      </c>
      <c r="B80" s="30" t="inlineStr">
        <is>
          <t>Issue Inventory</t>
        </is>
      </c>
      <c r="C80" s="80" t="inlineStr">
        <is>
          <t>Moderate Lighthouse Performance Mobile (50–89)</t>
        </is>
      </c>
      <c r="D80" s="30" t="inlineStr">
        <is>
          <t>Observation</t>
        </is>
      </c>
      <c r="E80" s="31" t="n">
        <v>1</v>
      </c>
      <c r="F80" s="41" t="inlineStr">
        <is>
          <t>Technical Diagnostics</t>
        </is>
      </c>
      <c r="G80" s="30" t="inlineStr">
        <is>
          <t>https://africanmarketingconfederation.org/smoke-archive/page-6::moderate_lighthouse_performance_mobile_50_89_</t>
        </is>
      </c>
      <c r="H80" s="30" t="inlineStr">
        <is>
          <t>Dev</t>
        </is>
      </c>
      <c r="I80" s="30" t="inlineStr"/>
      <c r="J80" s="30" t="inlineStr">
        <is>
          <t>To Do</t>
        </is>
      </c>
      <c r="K80" s="31" t="inlineStr">
        <is>
          <t>https://africanmarketingconfederation.org/smoke-archive/page-6</t>
        </is>
      </c>
      <c r="L80" s="30" t="inlineStr">
        <is>
          <t>IssueInventory</t>
        </is>
      </c>
      <c r="M80" s="30" t="n">
        <v>28</v>
      </c>
      <c r="N80" s="30" t="inlineStr">
        <is>
          <t>2026-07-01 20:54:35</t>
        </is>
      </c>
      <c r="O80" s="30" t="n">
        <v>0</v>
      </c>
      <c r="P80" s="30" t="inlineStr"/>
      <c r="Q80" s="30" t="inlineStr"/>
      <c r="R80" s="38">
        <f>IFERROR(HYPERLINK("#'Main'!B"&amp;MATCH(TRIM(A80),'Main'!B:B,0),"Open"),HYPERLINK("#'Main'!B1","Open"))</f>
        <v/>
      </c>
      <c r="S80" s="38">
        <f>IFERROR(HYPERLINK("#'"&amp;SUBSTITUTE(F80,"'","''")&amp;"'!A"&amp;MATCH(A80,INDIRECT("'"&amp;SUBSTITUTE(F80,"'","''")&amp;"'!A:A"),0),"Open"),HYPERLINK("#'"&amp;SUBSTITUTE(F80,"'","''")&amp;"'!A1","Open"))</f>
        <v/>
      </c>
    </row>
    <row r="81" ht="18" customHeight="1">
      <c r="A81" s="35" t="inlineStr">
        <is>
          <t>https://africanmarketingconfederation.org/smoke-archive/page-6</t>
        </is>
      </c>
      <c r="B81" s="28" t="inlineStr">
        <is>
          <t>Issue Inventory</t>
        </is>
      </c>
      <c r="C81" s="79" t="inlineStr">
        <is>
          <t>Render Blocking Resources</t>
        </is>
      </c>
      <c r="D81" s="28" t="inlineStr">
        <is>
          <t>Observation</t>
        </is>
      </c>
      <c r="E81" s="20" t="n">
        <v>1</v>
      </c>
      <c r="F81" s="39" t="inlineStr">
        <is>
          <t>Technical Diagnostics</t>
        </is>
      </c>
      <c r="G81" s="28" t="inlineStr">
        <is>
          <t>https://africanmarketingconfederation.org/smoke-archive/page-6::render_blocking_resources</t>
        </is>
      </c>
      <c r="H81" s="28" t="inlineStr">
        <is>
          <t>Dev</t>
        </is>
      </c>
      <c r="I81" s="28" t="inlineStr"/>
      <c r="J81" s="28" t="inlineStr">
        <is>
          <t>To Do</t>
        </is>
      </c>
      <c r="K81" s="20" t="inlineStr">
        <is>
          <t>https://africanmarketingconfederation.org/smoke-archive/page-6</t>
        </is>
      </c>
      <c r="L81" s="28" t="inlineStr">
        <is>
          <t>IssueInventory</t>
        </is>
      </c>
      <c r="M81" s="28" t="n">
        <v>29</v>
      </c>
      <c r="N81" s="28" t="inlineStr">
        <is>
          <t>2026-07-01 20:54:35</t>
        </is>
      </c>
      <c r="O81" s="28" t="n">
        <v>0</v>
      </c>
      <c r="P81" s="28" t="inlineStr"/>
      <c r="Q81" s="28" t="inlineStr"/>
      <c r="R81">
        <f>IFERROR(HYPERLINK("#'Main'!B"&amp;MATCH(TRIM(A81),'Main'!B:B,0),"Open"),HYPERLINK("#'Main'!B1","Open"))</f>
        <v/>
      </c>
      <c r="S81">
        <f>IFERROR(HYPERLINK("#'"&amp;SUBSTITUTE(F81,"'","''")&amp;"'!A"&amp;MATCH(A81,INDIRECT("'"&amp;SUBSTITUTE(F81,"'","''")&amp;"'!A:A"),0),"Open"),HYPERLINK("#'"&amp;SUBSTITUTE(F81,"'","''")&amp;"'!A1","Open"))</f>
        <v/>
      </c>
    </row>
    <row r="82" ht="18" customHeight="1">
      <c r="A82" s="37" t="inlineStr">
        <is>
          <t>https://africanmarketingconfederation.org/smoke-archive/page-7</t>
        </is>
      </c>
      <c r="B82" s="30" t="inlineStr">
        <is>
          <t>Issue Inventory</t>
        </is>
      </c>
      <c r="C82" s="80" t="inlineStr">
        <is>
          <t>Low E-E-A-T Signal Score (&lt;3)</t>
        </is>
      </c>
      <c r="D82" s="30" t="inlineStr">
        <is>
          <t>Warning</t>
        </is>
      </c>
      <c r="E82" s="31" t="n">
        <v>1</v>
      </c>
      <c r="F82" s="41" t="inlineStr">
        <is>
          <t>Technical Diagnostics</t>
        </is>
      </c>
      <c r="G82" s="30" t="inlineStr">
        <is>
          <t>https://africanmarketingconfederation.org/smoke-archive/page-7::low_e-e-a-t_signal_score_3_</t>
        </is>
      </c>
      <c r="H82" s="30" t="inlineStr">
        <is>
          <t>Copy Writer</t>
        </is>
      </c>
      <c r="I82" s="30" t="inlineStr"/>
      <c r="J82" s="30" t="inlineStr">
        <is>
          <t>To Do</t>
        </is>
      </c>
      <c r="K82" s="31" t="inlineStr">
        <is>
          <t>https://africanmarketingconfederation.org/smoke-archive/page-7</t>
        </is>
      </c>
      <c r="L82" s="30" t="inlineStr">
        <is>
          <t>IssueInventory</t>
        </is>
      </c>
      <c r="M82" s="30" t="n">
        <v>30</v>
      </c>
      <c r="N82" s="30" t="inlineStr">
        <is>
          <t>2026-07-01 20:54:35</t>
        </is>
      </c>
      <c r="O82" s="30" t="n">
        <v>0</v>
      </c>
      <c r="P82" s="30" t="inlineStr"/>
      <c r="Q82" s="30" t="inlineStr"/>
      <c r="R82" s="38">
        <f>IFERROR(HYPERLINK("#'Main'!B"&amp;MATCH(TRIM(A82),'Main'!B:B,0),"Open"),HYPERLINK("#'Main'!B1","Open"))</f>
        <v/>
      </c>
      <c r="S82" s="38">
        <f>IFERROR(HYPERLINK("#'"&amp;SUBSTITUTE(F82,"'","''")&amp;"'!A"&amp;MATCH(A82,INDIRECT("'"&amp;SUBSTITUTE(F82,"'","''")&amp;"'!A:A"),0),"Open"),HYPERLINK("#'"&amp;SUBSTITUTE(F82,"'","''")&amp;"'!A1","Open"))</f>
        <v/>
      </c>
    </row>
    <row r="83" ht="18" customHeight="1">
      <c r="A83" s="35" t="inlineStr">
        <is>
          <t>https://africanmarketingconfederation.org/smoke-archive/page-7</t>
        </is>
      </c>
      <c r="B83" s="28" t="inlineStr">
        <is>
          <t>Issue Inventory</t>
        </is>
      </c>
      <c r="C83" s="79" t="inlineStr">
        <is>
          <t>Missing OG Image</t>
        </is>
      </c>
      <c r="D83" s="28" t="inlineStr">
        <is>
          <t>Warning</t>
        </is>
      </c>
      <c r="E83" s="20" t="n">
        <v>1</v>
      </c>
      <c r="F83" s="39" t="inlineStr">
        <is>
          <t>Technical Diagnostics</t>
        </is>
      </c>
      <c r="G83" s="28" t="inlineStr">
        <is>
          <t>https://africanmarketingconfederation.org/smoke-archive/page-7::missing_og_image</t>
        </is>
      </c>
      <c r="H83" s="28" t="inlineStr">
        <is>
          <t>Copy Writer</t>
        </is>
      </c>
      <c r="I83" s="28" t="inlineStr"/>
      <c r="J83" s="28" t="inlineStr">
        <is>
          <t>To Do</t>
        </is>
      </c>
      <c r="K83" s="20" t="inlineStr">
        <is>
          <t>https://africanmarketingconfederation.org/smoke-archive/page-7</t>
        </is>
      </c>
      <c r="L83" s="28" t="inlineStr">
        <is>
          <t>IssueInventory</t>
        </is>
      </c>
      <c r="M83" s="28" t="n">
        <v>31</v>
      </c>
      <c r="N83" s="28" t="inlineStr">
        <is>
          <t>2026-07-01 20:54:35</t>
        </is>
      </c>
      <c r="O83" s="28" t="n">
        <v>0</v>
      </c>
      <c r="P83" s="28" t="inlineStr"/>
      <c r="Q83" s="28" t="inlineStr"/>
      <c r="R83">
        <f>IFERROR(HYPERLINK("#'Main'!B"&amp;MATCH(TRIM(A83),'Main'!B:B,0),"Open"),HYPERLINK("#'Main'!B1","Open"))</f>
        <v/>
      </c>
      <c r="S83">
        <f>IFERROR(HYPERLINK("#'"&amp;SUBSTITUTE(F83,"'","''")&amp;"'!A"&amp;MATCH(A83,INDIRECT("'"&amp;SUBSTITUTE(F83,"'","''")&amp;"'!A:A"),0),"Open"),HYPERLINK("#'"&amp;SUBSTITUTE(F83,"'","''")&amp;"'!A1","Open"))</f>
        <v/>
      </c>
    </row>
    <row r="84" ht="18" customHeight="1">
      <c r="A84" s="37" t="inlineStr">
        <is>
          <t>https://africanmarketingconfederation.org/smoke-archive/page-7</t>
        </is>
      </c>
      <c r="B84" s="30" t="inlineStr">
        <is>
          <t>Issue Inventory</t>
        </is>
      </c>
      <c r="C84" s="80" t="inlineStr">
        <is>
          <t>No Author Attribution</t>
        </is>
      </c>
      <c r="D84" s="30" t="inlineStr">
        <is>
          <t>Observation</t>
        </is>
      </c>
      <c r="E84" s="31" t="n">
        <v>1</v>
      </c>
      <c r="F84" s="41" t="inlineStr">
        <is>
          <t>Technical Diagnostics</t>
        </is>
      </c>
      <c r="G84" s="30" t="inlineStr">
        <is>
          <t>https://africanmarketingconfederation.org/smoke-archive/page-7::no_author_attribution</t>
        </is>
      </c>
      <c r="H84" s="30" t="inlineStr">
        <is>
          <t>Copy Writer</t>
        </is>
      </c>
      <c r="I84" s="30" t="inlineStr"/>
      <c r="J84" s="30" t="inlineStr">
        <is>
          <t>To Do</t>
        </is>
      </c>
      <c r="K84" s="31" t="inlineStr">
        <is>
          <t>https://africanmarketingconfederation.org/smoke-archive/page-7</t>
        </is>
      </c>
      <c r="L84" s="30" t="inlineStr">
        <is>
          <t>IssueInventory</t>
        </is>
      </c>
      <c r="M84" s="30" t="n">
        <v>32</v>
      </c>
      <c r="N84" s="30" t="inlineStr">
        <is>
          <t>2026-07-01 20:54:35</t>
        </is>
      </c>
      <c r="O84" s="30" t="n">
        <v>0</v>
      </c>
      <c r="P84" s="30" t="inlineStr"/>
      <c r="Q84" s="30" t="inlineStr"/>
      <c r="R84" s="38">
        <f>IFERROR(HYPERLINK("#'Main'!B"&amp;MATCH(TRIM(A84),'Main'!B:B,0),"Open"),HYPERLINK("#'Main'!B1","Open"))</f>
        <v/>
      </c>
      <c r="S84" s="38">
        <f>IFERROR(HYPERLINK("#'"&amp;SUBSTITUTE(F84,"'","''")&amp;"'!A"&amp;MATCH(A84,INDIRECT("'"&amp;SUBSTITUTE(F84,"'","''")&amp;"'!A:A"),0),"Open"),HYPERLINK("#'"&amp;SUBSTITUTE(F84,"'","''")&amp;"'!A1","Open"))</f>
        <v/>
      </c>
    </row>
    <row r="85" ht="18" customHeight="1">
      <c r="A85" s="35" t="inlineStr">
        <is>
          <t>https://africanmarketingconfederation.org/smoke-archive/page-7</t>
        </is>
      </c>
      <c r="B85" s="28" t="inlineStr">
        <is>
          <t>Issue Inventory</t>
        </is>
      </c>
      <c r="C85" s="79" t="inlineStr">
        <is>
          <t>Lab TBT 150ms–300ms (Mobile)</t>
        </is>
      </c>
      <c r="D85" s="28" t="inlineStr">
        <is>
          <t>Observation</t>
        </is>
      </c>
      <c r="E85" s="20" t="n">
        <v>1</v>
      </c>
      <c r="F85" s="39" t="inlineStr">
        <is>
          <t>Technical Diagnostics</t>
        </is>
      </c>
      <c r="G85" s="28" t="inlineStr">
        <is>
          <t>https://africanmarketingconfederation.org/smoke-archive/page-7::lab_tbt_150ms_300ms_mobile_</t>
        </is>
      </c>
      <c r="H85" s="28" t="inlineStr">
        <is>
          <t>Dev</t>
        </is>
      </c>
      <c r="I85" s="28" t="inlineStr"/>
      <c r="J85" s="28" t="inlineStr">
        <is>
          <t>To Do</t>
        </is>
      </c>
      <c r="K85" s="20" t="inlineStr">
        <is>
          <t>https://africanmarketingconfederation.org/smoke-archive/page-7</t>
        </is>
      </c>
      <c r="L85" s="28" t="inlineStr">
        <is>
          <t>IssueInventory</t>
        </is>
      </c>
      <c r="M85" s="28" t="n">
        <v>33</v>
      </c>
      <c r="N85" s="28" t="inlineStr">
        <is>
          <t>2026-07-01 20:54:35</t>
        </is>
      </c>
      <c r="O85" s="28" t="n">
        <v>0</v>
      </c>
      <c r="P85" s="28" t="inlineStr"/>
      <c r="Q85" s="28" t="inlineStr"/>
      <c r="R85">
        <f>IFERROR(HYPERLINK("#'Main'!B"&amp;MATCH(TRIM(A85),'Main'!B:B,0),"Open"),HYPERLINK("#'Main'!B1","Open"))</f>
        <v/>
      </c>
      <c r="S85">
        <f>IFERROR(HYPERLINK("#'"&amp;SUBSTITUTE(F85,"'","''")&amp;"'!A"&amp;MATCH(A85,INDIRECT("'"&amp;SUBSTITUTE(F85,"'","''")&amp;"'!A:A"),0),"Open"),HYPERLINK("#'"&amp;SUBSTITUTE(F85,"'","''")&amp;"'!A1","Open"))</f>
        <v/>
      </c>
    </row>
    <row r="86" ht="18" customHeight="1">
      <c r="A86" s="37" t="inlineStr">
        <is>
          <t>https://africanmarketingconfederation.org/smoke-archive/page-7</t>
        </is>
      </c>
      <c r="B86" s="30" t="inlineStr">
        <is>
          <t>Issue Inventory</t>
        </is>
      </c>
      <c r="C86" s="80" t="inlineStr">
        <is>
          <t>Moderate Lighthouse Performance Mobile (50–89)</t>
        </is>
      </c>
      <c r="D86" s="30" t="inlineStr">
        <is>
          <t>Observation</t>
        </is>
      </c>
      <c r="E86" s="31" t="n">
        <v>1</v>
      </c>
      <c r="F86" s="41" t="inlineStr">
        <is>
          <t>Technical Diagnostics</t>
        </is>
      </c>
      <c r="G86" s="30" t="inlineStr">
        <is>
          <t>https://africanmarketingconfederation.org/smoke-archive/page-7::moderate_lighthouse_performance_mobile_50_89_</t>
        </is>
      </c>
      <c r="H86" s="30" t="inlineStr">
        <is>
          <t>Dev</t>
        </is>
      </c>
      <c r="I86" s="30" t="inlineStr"/>
      <c r="J86" s="30" t="inlineStr">
        <is>
          <t>To Do</t>
        </is>
      </c>
      <c r="K86" s="31" t="inlineStr">
        <is>
          <t>https://africanmarketingconfederation.org/smoke-archive/page-7</t>
        </is>
      </c>
      <c r="L86" s="30" t="inlineStr">
        <is>
          <t>IssueInventory</t>
        </is>
      </c>
      <c r="M86" s="30" t="n">
        <v>34</v>
      </c>
      <c r="N86" s="30" t="inlineStr">
        <is>
          <t>2026-07-01 20:54:35</t>
        </is>
      </c>
      <c r="O86" s="30" t="n">
        <v>0</v>
      </c>
      <c r="P86" s="30" t="inlineStr"/>
      <c r="Q86" s="30" t="inlineStr"/>
      <c r="R86" s="38">
        <f>IFERROR(HYPERLINK("#'Main'!B"&amp;MATCH(TRIM(A86),'Main'!B:B,0),"Open"),HYPERLINK("#'Main'!B1","Open"))</f>
        <v/>
      </c>
      <c r="S86" s="38">
        <f>IFERROR(HYPERLINK("#'"&amp;SUBSTITUTE(F86,"'","''")&amp;"'!A"&amp;MATCH(A86,INDIRECT("'"&amp;SUBSTITUTE(F86,"'","''")&amp;"'!A:A"),0),"Open"),HYPERLINK("#'"&amp;SUBSTITUTE(F86,"'","''")&amp;"'!A1","Open"))</f>
        <v/>
      </c>
    </row>
    <row r="87" ht="18" customHeight="1">
      <c r="A87" s="35" t="inlineStr">
        <is>
          <t>https://africanmarketingconfederation.org/smoke-archive/page-7</t>
        </is>
      </c>
      <c r="B87" s="28" t="inlineStr">
        <is>
          <t>Issue Inventory</t>
        </is>
      </c>
      <c r="C87" s="79" t="inlineStr">
        <is>
          <t>Render Blocking Resources</t>
        </is>
      </c>
      <c r="D87" s="28" t="inlineStr">
        <is>
          <t>Observation</t>
        </is>
      </c>
      <c r="E87" s="20" t="n">
        <v>1</v>
      </c>
      <c r="F87" s="39" t="inlineStr">
        <is>
          <t>Technical Diagnostics</t>
        </is>
      </c>
      <c r="G87" s="28" t="inlineStr">
        <is>
          <t>https://africanmarketingconfederation.org/smoke-archive/page-7::render_blocking_resources</t>
        </is>
      </c>
      <c r="H87" s="28" t="inlineStr">
        <is>
          <t>Dev</t>
        </is>
      </c>
      <c r="I87" s="28" t="inlineStr"/>
      <c r="J87" s="28" t="inlineStr">
        <is>
          <t>To Do</t>
        </is>
      </c>
      <c r="K87" s="20" t="inlineStr">
        <is>
          <t>https://africanmarketingconfederation.org/smoke-archive/page-7</t>
        </is>
      </c>
      <c r="L87" s="28" t="inlineStr">
        <is>
          <t>IssueInventory</t>
        </is>
      </c>
      <c r="M87" s="28" t="n">
        <v>35</v>
      </c>
      <c r="N87" s="28" t="inlineStr">
        <is>
          <t>2026-07-01 20:54:35</t>
        </is>
      </c>
      <c r="O87" s="28" t="n">
        <v>0</v>
      </c>
      <c r="P87" s="28" t="inlineStr"/>
      <c r="Q87" s="28" t="inlineStr"/>
      <c r="R87">
        <f>IFERROR(HYPERLINK("#'Main'!B"&amp;MATCH(TRIM(A87),'Main'!B:B,0),"Open"),HYPERLINK("#'Main'!B1","Open"))</f>
        <v/>
      </c>
      <c r="S87">
        <f>IFERROR(HYPERLINK("#'"&amp;SUBSTITUTE(F87,"'","''")&amp;"'!A"&amp;MATCH(A87,INDIRECT("'"&amp;SUBSTITUTE(F87,"'","''")&amp;"'!A:A"),0),"Open"),HYPERLINK("#'"&amp;SUBSTITUTE(F87,"'","''")&amp;"'!A1","Open"))</f>
        <v/>
      </c>
    </row>
    <row r="88" ht="18" customHeight="1">
      <c r="A88" s="37" t="inlineStr">
        <is>
          <t>https://africanmarketingconfederation.org/smoke-archive/page-8</t>
        </is>
      </c>
      <c r="B88" s="30" t="inlineStr">
        <is>
          <t>Issue Inventory</t>
        </is>
      </c>
      <c r="C88" s="80" t="inlineStr">
        <is>
          <t>Missing OG Title</t>
        </is>
      </c>
      <c r="D88" s="30" t="inlineStr">
        <is>
          <t>Warning</t>
        </is>
      </c>
      <c r="E88" s="31" t="n">
        <v>1</v>
      </c>
      <c r="F88" s="41" t="inlineStr">
        <is>
          <t>Technical Diagnostics</t>
        </is>
      </c>
      <c r="G88" s="30" t="inlineStr">
        <is>
          <t>https://africanmarketingconfederation.org/smoke-archive/page-8::missing_og_title</t>
        </is>
      </c>
      <c r="H88" s="30" t="inlineStr">
        <is>
          <t>Copy Writer</t>
        </is>
      </c>
      <c r="I88" s="30" t="inlineStr"/>
      <c r="J88" s="30" t="inlineStr">
        <is>
          <t>To Do</t>
        </is>
      </c>
      <c r="K88" s="31" t="inlineStr">
        <is>
          <t>https://africanmarketingconfederation.org/smoke-archive/page-8</t>
        </is>
      </c>
      <c r="L88" s="30" t="inlineStr">
        <is>
          <t>IssueInventory</t>
        </is>
      </c>
      <c r="M88" s="30" t="n">
        <v>36</v>
      </c>
      <c r="N88" s="30" t="inlineStr">
        <is>
          <t>2026-07-01 20:54:35</t>
        </is>
      </c>
      <c r="O88" s="30" t="n">
        <v>0</v>
      </c>
      <c r="P88" s="30" t="inlineStr"/>
      <c r="Q88" s="30" t="inlineStr"/>
      <c r="R88" s="38">
        <f>IFERROR(HYPERLINK("#'Main'!B"&amp;MATCH(TRIM(A88),'Main'!B:B,0),"Open"),HYPERLINK("#'Main'!B1","Open"))</f>
        <v/>
      </c>
      <c r="S88" s="38">
        <f>IFERROR(HYPERLINK("#'"&amp;SUBSTITUTE(F88,"'","''")&amp;"'!A"&amp;MATCH(A88,INDIRECT("'"&amp;SUBSTITUTE(F88,"'","''")&amp;"'!A:A"),0),"Open"),HYPERLINK("#'"&amp;SUBSTITUTE(F88,"'","''")&amp;"'!A1","Open"))</f>
        <v/>
      </c>
    </row>
    <row r="89" ht="18" customHeight="1">
      <c r="A89" s="35" t="inlineStr">
        <is>
          <t>https://africanmarketingconfederation.org/smoke-archive/page-8</t>
        </is>
      </c>
      <c r="B89" s="28" t="inlineStr">
        <is>
          <t>Issue Inventory</t>
        </is>
      </c>
      <c r="C89" s="79" t="inlineStr">
        <is>
          <t>Lab TBT 150ms–300ms (Mobile)</t>
        </is>
      </c>
      <c r="D89" s="28" t="inlineStr">
        <is>
          <t>Observation</t>
        </is>
      </c>
      <c r="E89" s="20" t="n">
        <v>1</v>
      </c>
      <c r="F89" s="39" t="inlineStr">
        <is>
          <t>Technical Diagnostics</t>
        </is>
      </c>
      <c r="G89" s="28" t="inlineStr">
        <is>
          <t>https://africanmarketingconfederation.org/smoke-archive/page-8::lab_tbt_150ms_300ms_mobile_</t>
        </is>
      </c>
      <c r="H89" s="28" t="inlineStr">
        <is>
          <t>Dev</t>
        </is>
      </c>
      <c r="I89" s="28" t="inlineStr"/>
      <c r="J89" s="28" t="inlineStr">
        <is>
          <t>To Do</t>
        </is>
      </c>
      <c r="K89" s="20" t="inlineStr">
        <is>
          <t>https://africanmarketingconfederation.org/smoke-archive/page-8</t>
        </is>
      </c>
      <c r="L89" s="28" t="inlineStr">
        <is>
          <t>IssueInventory</t>
        </is>
      </c>
      <c r="M89" s="28" t="n">
        <v>37</v>
      </c>
      <c r="N89" s="28" t="inlineStr">
        <is>
          <t>2026-07-01 20:54:35</t>
        </is>
      </c>
      <c r="O89" s="28" t="n">
        <v>0</v>
      </c>
      <c r="P89" s="28" t="inlineStr"/>
      <c r="Q89" s="28" t="inlineStr"/>
      <c r="R89">
        <f>IFERROR(HYPERLINK("#'Main'!B"&amp;MATCH(TRIM(A89),'Main'!B:B,0),"Open"),HYPERLINK("#'Main'!B1","Open"))</f>
        <v/>
      </c>
      <c r="S89">
        <f>IFERROR(HYPERLINK("#'"&amp;SUBSTITUTE(F89,"'","''")&amp;"'!A"&amp;MATCH(A89,INDIRECT("'"&amp;SUBSTITUTE(F89,"'","''")&amp;"'!A:A"),0),"Open"),HYPERLINK("#'"&amp;SUBSTITUTE(F89,"'","''")&amp;"'!A1","Open"))</f>
        <v/>
      </c>
    </row>
    <row r="90" ht="18" customHeight="1">
      <c r="A90" s="37" t="inlineStr">
        <is>
          <t>https://africanmarketingconfederation.org/smoke-archive/page-8</t>
        </is>
      </c>
      <c r="B90" s="30" t="inlineStr">
        <is>
          <t>Issue Inventory</t>
        </is>
      </c>
      <c r="C90" s="80" t="inlineStr">
        <is>
          <t>Moderate Lighthouse Performance Mobile (50–89)</t>
        </is>
      </c>
      <c r="D90" s="30" t="inlineStr">
        <is>
          <t>Observation</t>
        </is>
      </c>
      <c r="E90" s="31" t="n">
        <v>1</v>
      </c>
      <c r="F90" s="41" t="inlineStr">
        <is>
          <t>Technical Diagnostics</t>
        </is>
      </c>
      <c r="G90" s="30" t="inlineStr">
        <is>
          <t>https://africanmarketingconfederation.org/smoke-archive/page-8::moderate_lighthouse_performance_mobile_50_89_</t>
        </is>
      </c>
      <c r="H90" s="30" t="inlineStr">
        <is>
          <t>Dev</t>
        </is>
      </c>
      <c r="I90" s="30" t="inlineStr"/>
      <c r="J90" s="30" t="inlineStr">
        <is>
          <t>To Do</t>
        </is>
      </c>
      <c r="K90" s="31" t="inlineStr">
        <is>
          <t>https://africanmarketingconfederation.org/smoke-archive/page-8</t>
        </is>
      </c>
      <c r="L90" s="30" t="inlineStr">
        <is>
          <t>IssueInventory</t>
        </is>
      </c>
      <c r="M90" s="30" t="n">
        <v>38</v>
      </c>
      <c r="N90" s="30" t="inlineStr">
        <is>
          <t>2026-07-01 20:54:35</t>
        </is>
      </c>
      <c r="O90" s="30" t="n">
        <v>0</v>
      </c>
      <c r="P90" s="30" t="inlineStr"/>
      <c r="Q90" s="30" t="inlineStr"/>
      <c r="R90" s="38">
        <f>IFERROR(HYPERLINK("#'Main'!B"&amp;MATCH(TRIM(A90),'Main'!B:B,0),"Open"),HYPERLINK("#'Main'!B1","Open"))</f>
        <v/>
      </c>
      <c r="S90" s="38">
        <f>IFERROR(HYPERLINK("#'"&amp;SUBSTITUTE(F90,"'","''")&amp;"'!A"&amp;MATCH(A90,INDIRECT("'"&amp;SUBSTITUTE(F90,"'","''")&amp;"'!A:A"),0),"Open"),HYPERLINK("#'"&amp;SUBSTITUTE(F90,"'","''")&amp;"'!A1","Open"))</f>
        <v/>
      </c>
    </row>
    <row r="91" ht="18" customHeight="1">
      <c r="A91" s="35" t="inlineStr">
        <is>
          <t>https://africanmarketingconfederation.org/smoke-archive/page-8</t>
        </is>
      </c>
      <c r="B91" s="28" t="inlineStr">
        <is>
          <t>Issue Inventory</t>
        </is>
      </c>
      <c r="C91" s="79" t="inlineStr">
        <is>
          <t>Render Blocking Resources</t>
        </is>
      </c>
      <c r="D91" s="28" t="inlineStr">
        <is>
          <t>Observation</t>
        </is>
      </c>
      <c r="E91" s="20" t="n">
        <v>1</v>
      </c>
      <c r="F91" s="39" t="inlineStr">
        <is>
          <t>Technical Diagnostics</t>
        </is>
      </c>
      <c r="G91" s="28" t="inlineStr">
        <is>
          <t>https://africanmarketingconfederation.org/smoke-archive/page-8::render_blocking_resources</t>
        </is>
      </c>
      <c r="H91" s="28" t="inlineStr">
        <is>
          <t>Dev</t>
        </is>
      </c>
      <c r="I91" s="28" t="inlineStr"/>
      <c r="J91" s="28" t="inlineStr">
        <is>
          <t>To Do</t>
        </is>
      </c>
      <c r="K91" s="20" t="inlineStr">
        <is>
          <t>https://africanmarketingconfederation.org/smoke-archive/page-8</t>
        </is>
      </c>
      <c r="L91" s="28" t="inlineStr">
        <is>
          <t>IssueInventory</t>
        </is>
      </c>
      <c r="M91" s="28" t="n">
        <v>39</v>
      </c>
      <c r="N91" s="28" t="inlineStr">
        <is>
          <t>2026-07-01 20:54:35</t>
        </is>
      </c>
      <c r="O91" s="28" t="n">
        <v>0</v>
      </c>
      <c r="P91" s="28" t="inlineStr"/>
      <c r="Q91" s="28" t="inlineStr"/>
      <c r="R91">
        <f>IFERROR(HYPERLINK("#'Main'!B"&amp;MATCH(TRIM(A91),'Main'!B:B,0),"Open"),HYPERLINK("#'Main'!B1","Open"))</f>
        <v/>
      </c>
      <c r="S91">
        <f>IFERROR(HYPERLINK("#'"&amp;SUBSTITUTE(F91,"'","''")&amp;"'!A"&amp;MATCH(A91,INDIRECT("'"&amp;SUBSTITUTE(F91,"'","''")&amp;"'!A:A"),0),"Open"),HYPERLINK("#'"&amp;SUBSTITUTE(F91,"'","''")&amp;"'!A1","Open"))</f>
        <v/>
      </c>
    </row>
    <row r="92" ht="18" customHeight="1">
      <c r="A92" s="37" t="inlineStr">
        <is>
          <t>https://africanmarketingconfederation.org/smoke-archive/page-9</t>
        </is>
      </c>
      <c r="B92" s="30" t="inlineStr">
        <is>
          <t>Issue Inventory</t>
        </is>
      </c>
      <c r="C92" s="80" t="inlineStr">
        <is>
          <t>Missing OG Image</t>
        </is>
      </c>
      <c r="D92" s="30" t="inlineStr">
        <is>
          <t>Warning</t>
        </is>
      </c>
      <c r="E92" s="31" t="n">
        <v>1</v>
      </c>
      <c r="F92" s="41" t="inlineStr">
        <is>
          <t>Technical Diagnostics</t>
        </is>
      </c>
      <c r="G92" s="30" t="inlineStr">
        <is>
          <t>https://africanmarketingconfederation.org/smoke-archive/page-9::missing_og_image</t>
        </is>
      </c>
      <c r="H92" s="30" t="inlineStr">
        <is>
          <t>Copy Writer</t>
        </is>
      </c>
      <c r="I92" s="30" t="inlineStr"/>
      <c r="J92" s="30" t="inlineStr">
        <is>
          <t>To Do</t>
        </is>
      </c>
      <c r="K92" s="31" t="inlineStr">
        <is>
          <t>https://africanmarketingconfederation.org/smoke-archive/page-9</t>
        </is>
      </c>
      <c r="L92" s="30" t="inlineStr">
        <is>
          <t>IssueInventory</t>
        </is>
      </c>
      <c r="M92" s="30" t="n">
        <v>40</v>
      </c>
      <c r="N92" s="30" t="inlineStr">
        <is>
          <t>2026-07-01 20:54:35</t>
        </is>
      </c>
      <c r="O92" s="30" t="n">
        <v>0</v>
      </c>
      <c r="P92" s="30" t="inlineStr"/>
      <c r="Q92" s="30" t="inlineStr"/>
      <c r="R92" s="38">
        <f>IFERROR(HYPERLINK("#'Main'!B"&amp;MATCH(TRIM(A92),'Main'!B:B,0),"Open"),HYPERLINK("#'Main'!B1","Open"))</f>
        <v/>
      </c>
      <c r="S92" s="38">
        <f>IFERROR(HYPERLINK("#'"&amp;SUBSTITUTE(F92,"'","''")&amp;"'!A"&amp;MATCH(A92,INDIRECT("'"&amp;SUBSTITUTE(F92,"'","''")&amp;"'!A:A"),0),"Open"),HYPERLINK("#'"&amp;SUBSTITUTE(F92,"'","''")&amp;"'!A1","Open"))</f>
        <v/>
      </c>
    </row>
    <row r="93" ht="18" customHeight="1">
      <c r="A93" s="35" t="inlineStr">
        <is>
          <t>https://africanmarketingconfederation.org/smoke-archive/page-9</t>
        </is>
      </c>
      <c r="B93" s="28" t="inlineStr">
        <is>
          <t>Issue Inventory</t>
        </is>
      </c>
      <c r="C93" s="79" t="inlineStr">
        <is>
          <t>Low AEO Readiness Score</t>
        </is>
      </c>
      <c r="D93" s="28" t="inlineStr">
        <is>
          <t>Warning</t>
        </is>
      </c>
      <c r="E93" s="20" t="n">
        <v>1</v>
      </c>
      <c r="F93" s="39" t="inlineStr">
        <is>
          <t>Content &amp; AI Readiness</t>
        </is>
      </c>
      <c r="G93" s="28" t="inlineStr">
        <is>
          <t>https://africanmarketingconfederation.org/smoke-archive/page-9::low_aeo_readiness_score</t>
        </is>
      </c>
      <c r="H93" s="28" t="inlineStr">
        <is>
          <t>Copy Writer</t>
        </is>
      </c>
      <c r="I93" s="28" t="inlineStr"/>
      <c r="J93" s="28" t="inlineStr">
        <is>
          <t>To Do</t>
        </is>
      </c>
      <c r="K93" s="20" t="inlineStr">
        <is>
          <t>https://africanmarketingconfederation.org/smoke-archive/page-9</t>
        </is>
      </c>
      <c r="L93" s="28" t="inlineStr">
        <is>
          <t>IssueInventory</t>
        </is>
      </c>
      <c r="M93" s="28" t="n">
        <v>41</v>
      </c>
      <c r="N93" s="28" t="inlineStr">
        <is>
          <t>2026-07-01 20:54:35</t>
        </is>
      </c>
      <c r="O93" s="28" t="n">
        <v>0</v>
      </c>
      <c r="P93" s="28" t="inlineStr"/>
      <c r="Q93" s="28" t="inlineStr"/>
      <c r="R93">
        <f>IFERROR(HYPERLINK("#'Main'!B"&amp;MATCH(TRIM(A93),'Main'!B:B,0),"Open"),HYPERLINK("#'Main'!B1","Open"))</f>
        <v/>
      </c>
      <c r="S93">
        <f>IFERROR(HYPERLINK("#'"&amp;SUBSTITUTE(F93,"'","''")&amp;"'!A"&amp;MATCH(A93,INDIRECT("'"&amp;SUBSTITUTE(F93,"'","''")&amp;"'!A:A"),0),"Open"),HYPERLINK("#'"&amp;SUBSTITUTE(F93,"'","''")&amp;"'!A1","Open"))</f>
        <v/>
      </c>
    </row>
    <row r="94" ht="18" customHeight="1">
      <c r="A94" s="37" t="inlineStr">
        <is>
          <t>https://africanmarketingconfederation.org/smoke-archive/page-9</t>
        </is>
      </c>
      <c r="B94" s="30" t="inlineStr">
        <is>
          <t>Issue Inventory</t>
        </is>
      </c>
      <c r="C94" s="80" t="inlineStr">
        <is>
          <t>No Question Headings</t>
        </is>
      </c>
      <c r="D94" s="30" t="inlineStr">
        <is>
          <t>Observation</t>
        </is>
      </c>
      <c r="E94" s="31" t="n">
        <v>1</v>
      </c>
      <c r="F94" s="41" t="inlineStr">
        <is>
          <t>Content &amp; AI Readiness</t>
        </is>
      </c>
      <c r="G94" s="30" t="inlineStr">
        <is>
          <t>https://africanmarketingconfederation.org/smoke-archive/page-9::no_question_headings</t>
        </is>
      </c>
      <c r="H94" s="30" t="inlineStr">
        <is>
          <t>Copy Writer</t>
        </is>
      </c>
      <c r="I94" s="30" t="inlineStr"/>
      <c r="J94" s="30" t="inlineStr">
        <is>
          <t>To Do</t>
        </is>
      </c>
      <c r="K94" s="31" t="inlineStr">
        <is>
          <t>https://africanmarketingconfederation.org/smoke-archive/page-9</t>
        </is>
      </c>
      <c r="L94" s="30" t="inlineStr">
        <is>
          <t>IssueInventory</t>
        </is>
      </c>
      <c r="M94" s="30" t="n">
        <v>42</v>
      </c>
      <c r="N94" s="30" t="inlineStr">
        <is>
          <t>2026-07-01 20:54:35</t>
        </is>
      </c>
      <c r="O94" s="30" t="n">
        <v>0</v>
      </c>
      <c r="P94" s="30" t="inlineStr"/>
      <c r="Q94" s="30" t="inlineStr"/>
      <c r="R94" s="38">
        <f>IFERROR(HYPERLINK("#'Main'!B"&amp;MATCH(TRIM(A94),'Main'!B:B,0),"Open"),HYPERLINK("#'Main'!B1","Open"))</f>
        <v/>
      </c>
      <c r="S94" s="38">
        <f>IFERROR(HYPERLINK("#'"&amp;SUBSTITUTE(F94,"'","''")&amp;"'!A"&amp;MATCH(A94,INDIRECT("'"&amp;SUBSTITUTE(F94,"'","''")&amp;"'!A:A"),0),"Open"),HYPERLINK("#'"&amp;SUBSTITUTE(F94,"'","''")&amp;"'!A1","Open"))</f>
        <v/>
      </c>
    </row>
    <row r="95" ht="18" customHeight="1">
      <c r="A95" s="35" t="inlineStr">
        <is>
          <t>https://africanmarketingconfederation.org/smoke-archive/page-9</t>
        </is>
      </c>
      <c r="B95" s="28" t="inlineStr">
        <is>
          <t>Issue Inventory</t>
        </is>
      </c>
      <c r="C95" s="79" t="inlineStr">
        <is>
          <t>No Answer-Friendly Structure</t>
        </is>
      </c>
      <c r="D95" s="28" t="inlineStr">
        <is>
          <t>Observation</t>
        </is>
      </c>
      <c r="E95" s="20" t="n">
        <v>1</v>
      </c>
      <c r="F95" s="39" t="inlineStr">
        <is>
          <t>Technical Diagnostics</t>
        </is>
      </c>
      <c r="G95" s="28" t="inlineStr">
        <is>
          <t>https://africanmarketingconfederation.org/smoke-archive/page-9::no_answer-friendly_structure</t>
        </is>
      </c>
      <c r="H95" s="28" t="inlineStr">
        <is>
          <t>Copy Writer</t>
        </is>
      </c>
      <c r="I95" s="28" t="inlineStr"/>
      <c r="J95" s="28" t="inlineStr">
        <is>
          <t>To Do</t>
        </is>
      </c>
      <c r="K95" s="20" t="inlineStr">
        <is>
          <t>https://africanmarketingconfederation.org/smoke-archive/page-9</t>
        </is>
      </c>
      <c r="L95" s="28" t="inlineStr">
        <is>
          <t>IssueInventory</t>
        </is>
      </c>
      <c r="M95" s="28" t="n">
        <v>43</v>
      </c>
      <c r="N95" s="28" t="inlineStr">
        <is>
          <t>2026-07-01 20:54:35</t>
        </is>
      </c>
      <c r="O95" s="28" t="n">
        <v>0</v>
      </c>
      <c r="P95" s="28" t="inlineStr"/>
      <c r="Q95" s="28" t="inlineStr"/>
      <c r="R95">
        <f>IFERROR(HYPERLINK("#'Main'!B"&amp;MATCH(TRIM(A95),'Main'!B:B,0),"Open"),HYPERLINK("#'Main'!B1","Open"))</f>
        <v/>
      </c>
      <c r="S95">
        <f>IFERROR(HYPERLINK("#'"&amp;SUBSTITUTE(F95,"'","''")&amp;"'!A"&amp;MATCH(A95,INDIRECT("'"&amp;SUBSTITUTE(F95,"'","''")&amp;"'!A:A"),0),"Open"),HYPERLINK("#'"&amp;SUBSTITUTE(F95,"'","''")&amp;"'!A1","Open"))</f>
        <v/>
      </c>
    </row>
    <row r="96" ht="18" customHeight="1">
      <c r="A96" s="37" t="inlineStr">
        <is>
          <t>https://africanmarketingconfederation.org/smoke-archive/page-9</t>
        </is>
      </c>
      <c r="B96" s="30" t="inlineStr">
        <is>
          <t>Issue Inventory</t>
        </is>
      </c>
      <c r="C96" s="80" t="inlineStr">
        <is>
          <t>No 40-60 Word Answer Paragraphs</t>
        </is>
      </c>
      <c r="D96" s="30" t="inlineStr">
        <is>
          <t>Observation</t>
        </is>
      </c>
      <c r="E96" s="31" t="n">
        <v>1</v>
      </c>
      <c r="F96" s="41" t="inlineStr">
        <is>
          <t>Technical Diagnostics</t>
        </is>
      </c>
      <c r="G96" s="30" t="inlineStr">
        <is>
          <t>https://africanmarketingconfederation.org/smoke-archive/page-9::no_40-60_word_answer_paragraphs</t>
        </is>
      </c>
      <c r="H96" s="30" t="inlineStr">
        <is>
          <t>Copy Writer</t>
        </is>
      </c>
      <c r="I96" s="30" t="inlineStr"/>
      <c r="J96" s="30" t="inlineStr">
        <is>
          <t>To Do</t>
        </is>
      </c>
      <c r="K96" s="31" t="inlineStr">
        <is>
          <t>https://africanmarketingconfederation.org/smoke-archive/page-9</t>
        </is>
      </c>
      <c r="L96" s="30" t="inlineStr">
        <is>
          <t>IssueInventory</t>
        </is>
      </c>
      <c r="M96" s="30" t="n">
        <v>44</v>
      </c>
      <c r="N96" s="30" t="inlineStr">
        <is>
          <t>2026-07-01 20:54:35</t>
        </is>
      </c>
      <c r="O96" s="30" t="n">
        <v>0</v>
      </c>
      <c r="P96" s="30" t="inlineStr"/>
      <c r="Q96" s="30" t="inlineStr"/>
      <c r="R96" s="38">
        <f>IFERROR(HYPERLINK("#'Main'!B"&amp;MATCH(TRIM(A96),'Main'!B:B,0),"Open"),HYPERLINK("#'Main'!B1","Open"))</f>
        <v/>
      </c>
      <c r="S96" s="38">
        <f>IFERROR(HYPERLINK("#'"&amp;SUBSTITUTE(F96,"'","''")&amp;"'!A"&amp;MATCH(A96,INDIRECT("'"&amp;SUBSTITUTE(F96,"'","''")&amp;"'!A:A"),0),"Open"),HYPERLINK("#'"&amp;SUBSTITUTE(F96,"'","''")&amp;"'!A1","Open"))</f>
        <v/>
      </c>
    </row>
    <row r="97" ht="18" customHeight="1">
      <c r="A97" s="35" t="inlineStr">
        <is>
          <t>https://africanmarketingconfederation.org/smoke-archive/page-9</t>
        </is>
      </c>
      <c r="B97" s="28" t="inlineStr">
        <is>
          <t>Issue Inventory</t>
        </is>
      </c>
      <c r="C97" s="79" t="inlineStr">
        <is>
          <t>Lab TBT 150ms–300ms (Mobile)</t>
        </is>
      </c>
      <c r="D97" s="28" t="inlineStr">
        <is>
          <t>Observation</t>
        </is>
      </c>
      <c r="E97" s="20" t="n">
        <v>1</v>
      </c>
      <c r="F97" s="39" t="inlineStr">
        <is>
          <t>Technical Diagnostics</t>
        </is>
      </c>
      <c r="G97" s="28" t="inlineStr">
        <is>
          <t>https://africanmarketingconfederation.org/smoke-archive/page-9::lab_tbt_150ms_300ms_mobile_</t>
        </is>
      </c>
      <c r="H97" s="28" t="inlineStr">
        <is>
          <t>Dev</t>
        </is>
      </c>
      <c r="I97" s="28" t="inlineStr"/>
      <c r="J97" s="28" t="inlineStr">
        <is>
          <t>To Do</t>
        </is>
      </c>
      <c r="K97" s="20" t="inlineStr">
        <is>
          <t>https://africanmarketingconfederation.org/smoke-archive/page-9</t>
        </is>
      </c>
      <c r="L97" s="28" t="inlineStr">
        <is>
          <t>IssueInventory</t>
        </is>
      </c>
      <c r="M97" s="28" t="n">
        <v>45</v>
      </c>
      <c r="N97" s="28" t="inlineStr">
        <is>
          <t>2026-07-01 20:54:35</t>
        </is>
      </c>
      <c r="O97" s="28" t="n">
        <v>0</v>
      </c>
      <c r="P97" s="28" t="inlineStr"/>
      <c r="Q97" s="28" t="inlineStr"/>
      <c r="R97">
        <f>IFERROR(HYPERLINK("#'Main'!B"&amp;MATCH(TRIM(A97),'Main'!B:B,0),"Open"),HYPERLINK("#'Main'!B1","Open"))</f>
        <v/>
      </c>
      <c r="S97">
        <f>IFERROR(HYPERLINK("#'"&amp;SUBSTITUTE(F97,"'","''")&amp;"'!A"&amp;MATCH(A97,INDIRECT("'"&amp;SUBSTITUTE(F97,"'","''")&amp;"'!A:A"),0),"Open"),HYPERLINK("#'"&amp;SUBSTITUTE(F97,"'","''")&amp;"'!A1","Open"))</f>
        <v/>
      </c>
    </row>
    <row r="98" ht="18" customHeight="1">
      <c r="A98" s="37" t="inlineStr">
        <is>
          <t>https://africanmarketingconfederation.org/smoke-archive/page-9</t>
        </is>
      </c>
      <c r="B98" s="30" t="inlineStr">
        <is>
          <t>Issue Inventory</t>
        </is>
      </c>
      <c r="C98" s="80" t="inlineStr">
        <is>
          <t>Moderate Lighthouse Performance Mobile (50–89)</t>
        </is>
      </c>
      <c r="D98" s="30" t="inlineStr">
        <is>
          <t>Observation</t>
        </is>
      </c>
      <c r="E98" s="31" t="n">
        <v>1</v>
      </c>
      <c r="F98" s="41" t="inlineStr">
        <is>
          <t>Technical Diagnostics</t>
        </is>
      </c>
      <c r="G98" s="30" t="inlineStr">
        <is>
          <t>https://africanmarketingconfederation.org/smoke-archive/page-9::moderate_lighthouse_performance_mobile_50_89_</t>
        </is>
      </c>
      <c r="H98" s="30" t="inlineStr">
        <is>
          <t>Dev</t>
        </is>
      </c>
      <c r="I98" s="30" t="inlineStr"/>
      <c r="J98" s="30" t="inlineStr">
        <is>
          <t>To Do</t>
        </is>
      </c>
      <c r="K98" s="31" t="inlineStr">
        <is>
          <t>https://africanmarketingconfederation.org/smoke-archive/page-9</t>
        </is>
      </c>
      <c r="L98" s="30" t="inlineStr">
        <is>
          <t>IssueInventory</t>
        </is>
      </c>
      <c r="M98" s="30" t="n">
        <v>46</v>
      </c>
      <c r="N98" s="30" t="inlineStr">
        <is>
          <t>2026-07-01 20:54:35</t>
        </is>
      </c>
      <c r="O98" s="30" t="n">
        <v>0</v>
      </c>
      <c r="P98" s="30" t="inlineStr"/>
      <c r="Q98" s="30" t="inlineStr"/>
      <c r="R98" s="38">
        <f>IFERROR(HYPERLINK("#'Main'!B"&amp;MATCH(TRIM(A98),'Main'!B:B,0),"Open"),HYPERLINK("#'Main'!B1","Open"))</f>
        <v/>
      </c>
      <c r="S98" s="38">
        <f>IFERROR(HYPERLINK("#'"&amp;SUBSTITUTE(F98,"'","''")&amp;"'!A"&amp;MATCH(A98,INDIRECT("'"&amp;SUBSTITUTE(F98,"'","''")&amp;"'!A:A"),0),"Open"),HYPERLINK("#'"&amp;SUBSTITUTE(F98,"'","''")&amp;"'!A1","Open"))</f>
        <v/>
      </c>
    </row>
    <row r="99" ht="18" customHeight="1">
      <c r="A99" s="35" t="inlineStr">
        <is>
          <t>https://africanmarketingconfederation.org/smoke-archive/page-9</t>
        </is>
      </c>
      <c r="B99" s="28" t="inlineStr">
        <is>
          <t>Issue Inventory</t>
        </is>
      </c>
      <c r="C99" s="79" t="inlineStr">
        <is>
          <t>Render Blocking Resources</t>
        </is>
      </c>
      <c r="D99" s="28" t="inlineStr">
        <is>
          <t>Observation</t>
        </is>
      </c>
      <c r="E99" s="20" t="n">
        <v>1</v>
      </c>
      <c r="F99" s="39" t="inlineStr">
        <is>
          <t>Technical Diagnostics</t>
        </is>
      </c>
      <c r="G99" s="28" t="inlineStr">
        <is>
          <t>https://africanmarketingconfederation.org/smoke-archive/page-9::render_blocking_resources</t>
        </is>
      </c>
      <c r="H99" s="28" t="inlineStr">
        <is>
          <t>Dev</t>
        </is>
      </c>
      <c r="I99" s="28" t="inlineStr"/>
      <c r="J99" s="28" t="inlineStr">
        <is>
          <t>To Do</t>
        </is>
      </c>
      <c r="K99" s="20" t="inlineStr">
        <is>
          <t>https://africanmarketingconfederation.org/smoke-archive/page-9</t>
        </is>
      </c>
      <c r="L99" s="28" t="inlineStr">
        <is>
          <t>IssueInventory</t>
        </is>
      </c>
      <c r="M99" s="28" t="n">
        <v>47</v>
      </c>
      <c r="N99" s="28" t="inlineStr">
        <is>
          <t>2026-07-01 20:54:35</t>
        </is>
      </c>
      <c r="O99" s="28" t="n">
        <v>0</v>
      </c>
      <c r="P99" s="28" t="inlineStr"/>
      <c r="Q99" s="28" t="inlineStr"/>
      <c r="R99">
        <f>IFERROR(HYPERLINK("#'Main'!B"&amp;MATCH(TRIM(A99),'Main'!B:B,0),"Open"),HYPERLINK("#'Main'!B1","Open"))</f>
        <v/>
      </c>
      <c r="S99">
        <f>IFERROR(HYPERLINK("#'"&amp;SUBSTITUTE(F99,"'","''")&amp;"'!A"&amp;MATCH(A99,INDIRECT("'"&amp;SUBSTITUTE(F99,"'","''")&amp;"'!A:A"),0),"Open"),HYPERLINK("#'"&amp;SUBSTITUTE(F99,"'","''")&amp;"'!A1","Open"))</f>
        <v/>
      </c>
    </row>
    <row r="100" ht="18" customHeight="1">
      <c r="A100" s="37" t="inlineStr">
        <is>
          <t>https://africanmarketingconfederation.org/smoke-archive/page-10</t>
        </is>
      </c>
      <c r="B100" s="30" t="inlineStr">
        <is>
          <t>Issue Inventory</t>
        </is>
      </c>
      <c r="C100" s="80" t="inlineStr">
        <is>
          <t>Missing Meta Description</t>
        </is>
      </c>
      <c r="D100" s="30" t="inlineStr">
        <is>
          <t>Warning</t>
        </is>
      </c>
      <c r="E100" s="31" t="n">
        <v>1</v>
      </c>
      <c r="F100" s="41" t="inlineStr">
        <is>
          <t>Technical Diagnostics</t>
        </is>
      </c>
      <c r="G100" s="30" t="inlineStr">
        <is>
          <t>https://africanmarketingconfederation.org/smoke-archive/page-10::missing_meta_description</t>
        </is>
      </c>
      <c r="H100" s="30" t="inlineStr">
        <is>
          <t>Copy Writer</t>
        </is>
      </c>
      <c r="I100" s="30" t="inlineStr"/>
      <c r="J100" s="30" t="inlineStr">
        <is>
          <t>To Do</t>
        </is>
      </c>
      <c r="K100" s="31" t="inlineStr">
        <is>
          <t>https://africanmarketingconfederation.org/smoke-archive/page-10</t>
        </is>
      </c>
      <c r="L100" s="30" t="inlineStr">
        <is>
          <t>IssueInventory</t>
        </is>
      </c>
      <c r="M100" s="30" t="n">
        <v>48</v>
      </c>
      <c r="N100" s="30" t="inlineStr">
        <is>
          <t>2026-07-01 20:54:35</t>
        </is>
      </c>
      <c r="O100" s="30" t="n">
        <v>0</v>
      </c>
      <c r="P100" s="30" t="inlineStr"/>
      <c r="Q100" s="30" t="inlineStr"/>
      <c r="R100" s="38">
        <f>IFERROR(HYPERLINK("#'Main'!B"&amp;MATCH(TRIM(A100),'Main'!B:B,0),"Open"),HYPERLINK("#'Main'!B1","Open"))</f>
        <v/>
      </c>
      <c r="S100" s="38">
        <f>IFERROR(HYPERLINK("#'"&amp;SUBSTITUTE(F100,"'","''")&amp;"'!A"&amp;MATCH(A100,INDIRECT("'"&amp;SUBSTITUTE(F100,"'","''")&amp;"'!A:A"),0),"Open"),HYPERLINK("#'"&amp;SUBSTITUTE(F100,"'","''")&amp;"'!A1","Open"))</f>
        <v/>
      </c>
    </row>
    <row r="101" ht="18" customHeight="1">
      <c r="A101" s="35" t="inlineStr">
        <is>
          <t>https://africanmarketingconfederation.org/smoke-archive/page-10</t>
        </is>
      </c>
      <c r="B101" s="28" t="inlineStr">
        <is>
          <t>Issue Inventory</t>
        </is>
      </c>
      <c r="C101" s="79" t="inlineStr">
        <is>
          <t>Missing OG Description</t>
        </is>
      </c>
      <c r="D101" s="28" t="inlineStr">
        <is>
          <t>Warning</t>
        </is>
      </c>
      <c r="E101" s="20" t="n">
        <v>1</v>
      </c>
      <c r="F101" s="39" t="inlineStr">
        <is>
          <t>Technical Diagnostics</t>
        </is>
      </c>
      <c r="G101" s="28" t="inlineStr">
        <is>
          <t>https://africanmarketingconfederation.org/smoke-archive/page-10::missing_og_description</t>
        </is>
      </c>
      <c r="H101" s="28" t="inlineStr">
        <is>
          <t>Copy Writer</t>
        </is>
      </c>
      <c r="I101" s="28" t="inlineStr"/>
      <c r="J101" s="28" t="inlineStr">
        <is>
          <t>To Do</t>
        </is>
      </c>
      <c r="K101" s="20" t="inlineStr">
        <is>
          <t>https://africanmarketingconfederation.org/smoke-archive/page-10</t>
        </is>
      </c>
      <c r="L101" s="28" t="inlineStr">
        <is>
          <t>IssueInventory</t>
        </is>
      </c>
      <c r="M101" s="28" t="n">
        <v>49</v>
      </c>
      <c r="N101" s="28" t="inlineStr">
        <is>
          <t>2026-07-01 20:54:35</t>
        </is>
      </c>
      <c r="O101" s="28" t="n">
        <v>0</v>
      </c>
      <c r="P101" s="28" t="inlineStr"/>
      <c r="Q101" s="28" t="inlineStr"/>
      <c r="R101">
        <f>IFERROR(HYPERLINK("#'Main'!B"&amp;MATCH(TRIM(A101),'Main'!B:B,0),"Open"),HYPERLINK("#'Main'!B1","Open"))</f>
        <v/>
      </c>
      <c r="S101">
        <f>IFERROR(HYPERLINK("#'"&amp;SUBSTITUTE(F101,"'","''")&amp;"'!A"&amp;MATCH(A101,INDIRECT("'"&amp;SUBSTITUTE(F101,"'","''")&amp;"'!A:A"),0),"Open"),HYPERLINK("#'"&amp;SUBSTITUTE(F101,"'","''")&amp;"'!A1","Open"))</f>
        <v/>
      </c>
    </row>
    <row r="102" ht="18" customHeight="1">
      <c r="A102" s="37" t="inlineStr">
        <is>
          <t>https://africanmarketingconfederation.org/smoke-archive/page-10</t>
        </is>
      </c>
      <c r="B102" s="30" t="inlineStr">
        <is>
          <t>Issue Inventory</t>
        </is>
      </c>
      <c r="C102" s="80" t="inlineStr">
        <is>
          <t>Missing OG Image</t>
        </is>
      </c>
      <c r="D102" s="30" t="inlineStr">
        <is>
          <t>Warning</t>
        </is>
      </c>
      <c r="E102" s="31" t="n">
        <v>1</v>
      </c>
      <c r="F102" s="41" t="inlineStr">
        <is>
          <t>Technical Diagnostics</t>
        </is>
      </c>
      <c r="G102" s="30" t="inlineStr">
        <is>
          <t>https://africanmarketingconfederation.org/smoke-archive/page-10::missing_og_image</t>
        </is>
      </c>
      <c r="H102" s="30" t="inlineStr">
        <is>
          <t>Copy Writer</t>
        </is>
      </c>
      <c r="I102" s="30" t="inlineStr"/>
      <c r="J102" s="30" t="inlineStr">
        <is>
          <t>To Do</t>
        </is>
      </c>
      <c r="K102" s="31" t="inlineStr">
        <is>
          <t>https://africanmarketingconfederation.org/smoke-archive/page-10</t>
        </is>
      </c>
      <c r="L102" s="30" t="inlineStr">
        <is>
          <t>IssueInventory</t>
        </is>
      </c>
      <c r="M102" s="30" t="n">
        <v>50</v>
      </c>
      <c r="N102" s="30" t="inlineStr">
        <is>
          <t>2026-07-01 20:54:35</t>
        </is>
      </c>
      <c r="O102" s="30" t="n">
        <v>0</v>
      </c>
      <c r="P102" s="30" t="inlineStr"/>
      <c r="Q102" s="30" t="inlineStr"/>
      <c r="R102" s="38">
        <f>IFERROR(HYPERLINK("#'Main'!B"&amp;MATCH(TRIM(A102),'Main'!B:B,0),"Open"),HYPERLINK("#'Main'!B1","Open"))</f>
        <v/>
      </c>
      <c r="S102" s="38">
        <f>IFERROR(HYPERLINK("#'"&amp;SUBSTITUTE(F102,"'","''")&amp;"'!A"&amp;MATCH(A102,INDIRECT("'"&amp;SUBSTITUTE(F102,"'","''")&amp;"'!A:A"),0),"Open"),HYPERLINK("#'"&amp;SUBSTITUTE(F102,"'","''")&amp;"'!A1","Open"))</f>
        <v/>
      </c>
    </row>
    <row r="103" ht="18" customHeight="1">
      <c r="A103" s="35" t="inlineStr">
        <is>
          <t>https://africanmarketingconfederation.org/smoke-archive/page-10</t>
        </is>
      </c>
      <c r="B103" s="28" t="inlineStr">
        <is>
          <t>Issue Inventory</t>
        </is>
      </c>
      <c r="C103" s="79" t="inlineStr">
        <is>
          <t>Lab TBT 150ms–300ms (Mobile)</t>
        </is>
      </c>
      <c r="D103" s="28" t="inlineStr">
        <is>
          <t>Observation</t>
        </is>
      </c>
      <c r="E103" s="20" t="n">
        <v>1</v>
      </c>
      <c r="F103" s="39" t="inlineStr">
        <is>
          <t>Technical Diagnostics</t>
        </is>
      </c>
      <c r="G103" s="28" t="inlineStr">
        <is>
          <t>https://africanmarketingconfederation.org/smoke-archive/page-10::lab_tbt_150ms_300ms_mobile_</t>
        </is>
      </c>
      <c r="H103" s="28" t="inlineStr">
        <is>
          <t>Dev</t>
        </is>
      </c>
      <c r="I103" s="28" t="inlineStr"/>
      <c r="J103" s="28" t="inlineStr">
        <is>
          <t>To Do</t>
        </is>
      </c>
      <c r="K103" s="20" t="inlineStr">
        <is>
          <t>https://africanmarketingconfederation.org/smoke-archive/page-10</t>
        </is>
      </c>
      <c r="L103" s="28" t="inlineStr">
        <is>
          <t>IssueInventory</t>
        </is>
      </c>
      <c r="M103" s="28" t="n">
        <v>51</v>
      </c>
      <c r="N103" s="28" t="inlineStr">
        <is>
          <t>2026-07-01 20:54:35</t>
        </is>
      </c>
      <c r="O103" s="28" t="n">
        <v>0</v>
      </c>
      <c r="P103" s="28" t="inlineStr"/>
      <c r="Q103" s="28" t="inlineStr"/>
      <c r="R103">
        <f>IFERROR(HYPERLINK("#'Main'!B"&amp;MATCH(TRIM(A103),'Main'!B:B,0),"Open"),HYPERLINK("#'Main'!B1","Open"))</f>
        <v/>
      </c>
      <c r="S103">
        <f>IFERROR(HYPERLINK("#'"&amp;SUBSTITUTE(F103,"'","''")&amp;"'!A"&amp;MATCH(A103,INDIRECT("'"&amp;SUBSTITUTE(F103,"'","''")&amp;"'!A:A"),0),"Open"),HYPERLINK("#'"&amp;SUBSTITUTE(F103,"'","''")&amp;"'!A1","Open"))</f>
        <v/>
      </c>
    </row>
    <row r="104" ht="18" customHeight="1">
      <c r="A104" s="37" t="inlineStr">
        <is>
          <t>https://africanmarketingconfederation.org/smoke-archive/page-10</t>
        </is>
      </c>
      <c r="B104" s="30" t="inlineStr">
        <is>
          <t>Issue Inventory</t>
        </is>
      </c>
      <c r="C104" s="80" t="inlineStr">
        <is>
          <t>Moderate Lighthouse Performance Mobile (50–89)</t>
        </is>
      </c>
      <c r="D104" s="30" t="inlineStr">
        <is>
          <t>Observation</t>
        </is>
      </c>
      <c r="E104" s="31" t="n">
        <v>1</v>
      </c>
      <c r="F104" s="41" t="inlineStr">
        <is>
          <t>Technical Diagnostics</t>
        </is>
      </c>
      <c r="G104" s="30" t="inlineStr">
        <is>
          <t>https://africanmarketingconfederation.org/smoke-archive/page-10::moderate_lighthouse_performance_mobile_50_89_</t>
        </is>
      </c>
      <c r="H104" s="30" t="inlineStr">
        <is>
          <t>Dev</t>
        </is>
      </c>
      <c r="I104" s="30" t="inlineStr"/>
      <c r="J104" s="30" t="inlineStr">
        <is>
          <t>To Do</t>
        </is>
      </c>
      <c r="K104" s="31" t="inlineStr">
        <is>
          <t>https://africanmarketingconfederation.org/smoke-archive/page-10</t>
        </is>
      </c>
      <c r="L104" s="30" t="inlineStr">
        <is>
          <t>IssueInventory</t>
        </is>
      </c>
      <c r="M104" s="30" t="n">
        <v>52</v>
      </c>
      <c r="N104" s="30" t="inlineStr">
        <is>
          <t>2026-07-01 20:54:35</t>
        </is>
      </c>
      <c r="O104" s="30" t="n">
        <v>0</v>
      </c>
      <c r="P104" s="30" t="inlineStr"/>
      <c r="Q104" s="30" t="inlineStr"/>
      <c r="R104" s="38">
        <f>IFERROR(HYPERLINK("#'Main'!B"&amp;MATCH(TRIM(A104),'Main'!B:B,0),"Open"),HYPERLINK("#'Main'!B1","Open"))</f>
        <v/>
      </c>
      <c r="S104" s="38">
        <f>IFERROR(HYPERLINK("#'"&amp;SUBSTITUTE(F104,"'","''")&amp;"'!A"&amp;MATCH(A104,INDIRECT("'"&amp;SUBSTITUTE(F104,"'","''")&amp;"'!A:A"),0),"Open"),HYPERLINK("#'"&amp;SUBSTITUTE(F104,"'","''")&amp;"'!A1","Open"))</f>
        <v/>
      </c>
    </row>
    <row r="105" ht="18" customHeight="1">
      <c r="A105" s="35" t="inlineStr">
        <is>
          <t>https://africanmarketingconfederation.org/smoke-archive/page-10</t>
        </is>
      </c>
      <c r="B105" s="28" t="inlineStr">
        <is>
          <t>Issue Inventory</t>
        </is>
      </c>
      <c r="C105" s="79" t="inlineStr">
        <is>
          <t>Render Blocking Resources</t>
        </is>
      </c>
      <c r="D105" s="28" t="inlineStr">
        <is>
          <t>Observation</t>
        </is>
      </c>
      <c r="E105" s="20" t="n">
        <v>1</v>
      </c>
      <c r="F105" s="39" t="inlineStr">
        <is>
          <t>Technical Diagnostics</t>
        </is>
      </c>
      <c r="G105" s="28" t="inlineStr">
        <is>
          <t>https://africanmarketingconfederation.org/smoke-archive/page-10::render_blocking_resources</t>
        </is>
      </c>
      <c r="H105" s="28" t="inlineStr">
        <is>
          <t>Dev</t>
        </is>
      </c>
      <c r="I105" s="28" t="inlineStr"/>
      <c r="J105" s="28" t="inlineStr">
        <is>
          <t>To Do</t>
        </is>
      </c>
      <c r="K105" s="20" t="inlineStr">
        <is>
          <t>https://africanmarketingconfederation.org/smoke-archive/page-10</t>
        </is>
      </c>
      <c r="L105" s="28" t="inlineStr">
        <is>
          <t>IssueInventory</t>
        </is>
      </c>
      <c r="M105" s="28" t="n">
        <v>53</v>
      </c>
      <c r="N105" s="28" t="inlineStr">
        <is>
          <t>2026-07-01 20:54:35</t>
        </is>
      </c>
      <c r="O105" s="28" t="n">
        <v>0</v>
      </c>
      <c r="P105" s="28" t="inlineStr"/>
      <c r="Q105" s="28" t="inlineStr"/>
      <c r="R105">
        <f>IFERROR(HYPERLINK("#'Main'!B"&amp;MATCH(TRIM(A105),'Main'!B:B,0),"Open"),HYPERLINK("#'Main'!B1","Open"))</f>
        <v/>
      </c>
      <c r="S105">
        <f>IFERROR(HYPERLINK("#'"&amp;SUBSTITUTE(F105,"'","''")&amp;"'!A"&amp;MATCH(A105,INDIRECT("'"&amp;SUBSTITUTE(F105,"'","''")&amp;"'!A:A"),0),"Open"),HYPERLINK("#'"&amp;SUBSTITUTE(F105,"'","''")&amp;"'!A1","Open"))</f>
        <v/>
      </c>
    </row>
    <row r="106" ht="18" customHeight="1">
      <c r="A106" s="37" t="inlineStr">
        <is>
          <t>https://africanmarketingconfederation.org/smoke-archive/page-11</t>
        </is>
      </c>
      <c r="B106" s="30" t="inlineStr">
        <is>
          <t>Issue Inventory</t>
        </is>
      </c>
      <c r="C106" s="80" t="inlineStr">
        <is>
          <t>Missing OG Image</t>
        </is>
      </c>
      <c r="D106" s="30" t="inlineStr">
        <is>
          <t>Warning</t>
        </is>
      </c>
      <c r="E106" s="31" t="n">
        <v>1</v>
      </c>
      <c r="F106" s="41" t="inlineStr">
        <is>
          <t>Technical Diagnostics</t>
        </is>
      </c>
      <c r="G106" s="30" t="inlineStr">
        <is>
          <t>https://africanmarketingconfederation.org/smoke-archive/page-11::missing_og_image</t>
        </is>
      </c>
      <c r="H106" s="30" t="inlineStr">
        <is>
          <t>Copy Writer</t>
        </is>
      </c>
      <c r="I106" s="30" t="inlineStr"/>
      <c r="J106" s="30" t="inlineStr">
        <is>
          <t>To Do</t>
        </is>
      </c>
      <c r="K106" s="31" t="inlineStr">
        <is>
          <t>https://africanmarketingconfederation.org/smoke-archive/page-11</t>
        </is>
      </c>
      <c r="L106" s="30" t="inlineStr">
        <is>
          <t>IssueInventory</t>
        </is>
      </c>
      <c r="M106" s="30" t="n">
        <v>54</v>
      </c>
      <c r="N106" s="30" t="inlineStr">
        <is>
          <t>2026-07-01 20:54:35</t>
        </is>
      </c>
      <c r="O106" s="30" t="n">
        <v>0</v>
      </c>
      <c r="P106" s="30" t="inlineStr"/>
      <c r="Q106" s="30" t="inlineStr"/>
      <c r="R106" s="38">
        <f>IFERROR(HYPERLINK("#'Main'!B"&amp;MATCH(TRIM(A106),'Main'!B:B,0),"Open"),HYPERLINK("#'Main'!B1","Open"))</f>
        <v/>
      </c>
      <c r="S106" s="38">
        <f>IFERROR(HYPERLINK("#'"&amp;SUBSTITUTE(F106,"'","''")&amp;"'!A"&amp;MATCH(A106,INDIRECT("'"&amp;SUBSTITUTE(F106,"'","''")&amp;"'!A:A"),0),"Open"),HYPERLINK("#'"&amp;SUBSTITUTE(F106,"'","''")&amp;"'!A1","Open"))</f>
        <v/>
      </c>
    </row>
    <row r="107" ht="18" customHeight="1">
      <c r="A107" s="35" t="inlineStr">
        <is>
          <t>https://africanmarketingconfederation.org/smoke-archive/page-11</t>
        </is>
      </c>
      <c r="B107" s="28" t="inlineStr">
        <is>
          <t>Issue Inventory</t>
        </is>
      </c>
      <c r="C107" s="79" t="inlineStr">
        <is>
          <t>Lab TBT 150ms–300ms (Mobile)</t>
        </is>
      </c>
      <c r="D107" s="28" t="inlineStr">
        <is>
          <t>Observation</t>
        </is>
      </c>
      <c r="E107" s="20" t="n">
        <v>1</v>
      </c>
      <c r="F107" s="39" t="inlineStr">
        <is>
          <t>Technical Diagnostics</t>
        </is>
      </c>
      <c r="G107" s="28" t="inlineStr">
        <is>
          <t>https://africanmarketingconfederation.org/smoke-archive/page-11::lab_tbt_150ms_300ms_mobile_</t>
        </is>
      </c>
      <c r="H107" s="28" t="inlineStr">
        <is>
          <t>Dev</t>
        </is>
      </c>
      <c r="I107" s="28" t="inlineStr"/>
      <c r="J107" s="28" t="inlineStr">
        <is>
          <t>To Do</t>
        </is>
      </c>
      <c r="K107" s="20" t="inlineStr">
        <is>
          <t>https://africanmarketingconfederation.org/smoke-archive/page-11</t>
        </is>
      </c>
      <c r="L107" s="28" t="inlineStr">
        <is>
          <t>IssueInventory</t>
        </is>
      </c>
      <c r="M107" s="28" t="n">
        <v>55</v>
      </c>
      <c r="N107" s="28" t="inlineStr">
        <is>
          <t>2026-07-01 20:54:35</t>
        </is>
      </c>
      <c r="O107" s="28" t="n">
        <v>0</v>
      </c>
      <c r="P107" s="28" t="inlineStr"/>
      <c r="Q107" s="28" t="inlineStr"/>
      <c r="R107">
        <f>IFERROR(HYPERLINK("#'Main'!B"&amp;MATCH(TRIM(A107),'Main'!B:B,0),"Open"),HYPERLINK("#'Main'!B1","Open"))</f>
        <v/>
      </c>
      <c r="S107">
        <f>IFERROR(HYPERLINK("#'"&amp;SUBSTITUTE(F107,"'","''")&amp;"'!A"&amp;MATCH(A107,INDIRECT("'"&amp;SUBSTITUTE(F107,"'","''")&amp;"'!A:A"),0),"Open"),HYPERLINK("#'"&amp;SUBSTITUTE(F107,"'","''")&amp;"'!A1","Open"))</f>
        <v/>
      </c>
    </row>
    <row r="108" ht="18" customHeight="1">
      <c r="A108" s="37" t="inlineStr">
        <is>
          <t>https://africanmarketingconfederation.org/smoke-archive/page-11</t>
        </is>
      </c>
      <c r="B108" s="30" t="inlineStr">
        <is>
          <t>Issue Inventory</t>
        </is>
      </c>
      <c r="C108" s="80" t="inlineStr">
        <is>
          <t>Moderate Lighthouse Performance Mobile (50–89)</t>
        </is>
      </c>
      <c r="D108" s="30" t="inlineStr">
        <is>
          <t>Observation</t>
        </is>
      </c>
      <c r="E108" s="31" t="n">
        <v>1</v>
      </c>
      <c r="F108" s="41" t="inlineStr">
        <is>
          <t>Technical Diagnostics</t>
        </is>
      </c>
      <c r="G108" s="30" t="inlineStr">
        <is>
          <t>https://africanmarketingconfederation.org/smoke-archive/page-11::moderate_lighthouse_performance_mobile_50_89_</t>
        </is>
      </c>
      <c r="H108" s="30" t="inlineStr">
        <is>
          <t>Dev</t>
        </is>
      </c>
      <c r="I108" s="30" t="inlineStr"/>
      <c r="J108" s="30" t="inlineStr">
        <is>
          <t>To Do</t>
        </is>
      </c>
      <c r="K108" s="31" t="inlineStr">
        <is>
          <t>https://africanmarketingconfederation.org/smoke-archive/page-11</t>
        </is>
      </c>
      <c r="L108" s="30" t="inlineStr">
        <is>
          <t>IssueInventory</t>
        </is>
      </c>
      <c r="M108" s="30" t="n">
        <v>56</v>
      </c>
      <c r="N108" s="30" t="inlineStr">
        <is>
          <t>2026-07-01 20:54:35</t>
        </is>
      </c>
      <c r="O108" s="30" t="n">
        <v>0</v>
      </c>
      <c r="P108" s="30" t="inlineStr"/>
      <c r="Q108" s="30" t="inlineStr"/>
      <c r="R108" s="38">
        <f>IFERROR(HYPERLINK("#'Main'!B"&amp;MATCH(TRIM(A108),'Main'!B:B,0),"Open"),HYPERLINK("#'Main'!B1","Open"))</f>
        <v/>
      </c>
      <c r="S108" s="38">
        <f>IFERROR(HYPERLINK("#'"&amp;SUBSTITUTE(F108,"'","''")&amp;"'!A"&amp;MATCH(A108,INDIRECT("'"&amp;SUBSTITUTE(F108,"'","''")&amp;"'!A:A"),0),"Open"),HYPERLINK("#'"&amp;SUBSTITUTE(F108,"'","''")&amp;"'!A1","Open"))</f>
        <v/>
      </c>
    </row>
    <row r="109" ht="18" customHeight="1">
      <c r="A109" s="35" t="inlineStr">
        <is>
          <t>https://africanmarketingconfederation.org/smoke-archive/page-11</t>
        </is>
      </c>
      <c r="B109" s="28" t="inlineStr">
        <is>
          <t>Issue Inventory</t>
        </is>
      </c>
      <c r="C109" s="79" t="inlineStr">
        <is>
          <t>Render Blocking Resources</t>
        </is>
      </c>
      <c r="D109" s="28" t="inlineStr">
        <is>
          <t>Observation</t>
        </is>
      </c>
      <c r="E109" s="20" t="n">
        <v>1</v>
      </c>
      <c r="F109" s="39" t="inlineStr">
        <is>
          <t>Technical Diagnostics</t>
        </is>
      </c>
      <c r="G109" s="28" t="inlineStr">
        <is>
          <t>https://africanmarketingconfederation.org/smoke-archive/page-11::render_blocking_resources</t>
        </is>
      </c>
      <c r="H109" s="28" t="inlineStr">
        <is>
          <t>Dev</t>
        </is>
      </c>
      <c r="I109" s="28" t="inlineStr"/>
      <c r="J109" s="28" t="inlineStr">
        <is>
          <t>To Do</t>
        </is>
      </c>
      <c r="K109" s="20" t="inlineStr">
        <is>
          <t>https://africanmarketingconfederation.org/smoke-archive/page-11</t>
        </is>
      </c>
      <c r="L109" s="28" t="inlineStr">
        <is>
          <t>IssueInventory</t>
        </is>
      </c>
      <c r="M109" s="28" t="n">
        <v>57</v>
      </c>
      <c r="N109" s="28" t="inlineStr">
        <is>
          <t>2026-07-01 20:54:35</t>
        </is>
      </c>
      <c r="O109" s="28" t="n">
        <v>0</v>
      </c>
      <c r="P109" s="28" t="inlineStr"/>
      <c r="Q109" s="28" t="inlineStr"/>
      <c r="R109">
        <f>IFERROR(HYPERLINK("#'Main'!B"&amp;MATCH(TRIM(A109),'Main'!B:B,0),"Open"),HYPERLINK("#'Main'!B1","Open"))</f>
        <v/>
      </c>
      <c r="S109">
        <f>IFERROR(HYPERLINK("#'"&amp;SUBSTITUTE(F109,"'","''")&amp;"'!A"&amp;MATCH(A109,INDIRECT("'"&amp;SUBSTITUTE(F109,"'","''")&amp;"'!A:A"),0),"Open"),HYPERLINK("#'"&amp;SUBSTITUTE(F109,"'","''")&amp;"'!A1","Open"))</f>
        <v/>
      </c>
    </row>
    <row r="110" ht="18" customHeight="1">
      <c r="A110" s="37" t="inlineStr">
        <is>
          <t>https://africanmarketingconfederation.org/smoke-archive/page-12</t>
        </is>
      </c>
      <c r="B110" s="30" t="inlineStr">
        <is>
          <t>Issue Inventory</t>
        </is>
      </c>
      <c r="C110" s="80" t="inlineStr">
        <is>
          <t>No Schema Markup</t>
        </is>
      </c>
      <c r="D110" s="30" t="inlineStr">
        <is>
          <t>Critical</t>
        </is>
      </c>
      <c r="E110" s="31" t="n">
        <v>1</v>
      </c>
      <c r="F110" s="41" t="inlineStr">
        <is>
          <t>Technical Diagnostics</t>
        </is>
      </c>
      <c r="G110" s="30" t="inlineStr">
        <is>
          <t>https://africanmarketingconfederation.org/smoke-archive/page-12::no_schema_markup</t>
        </is>
      </c>
      <c r="H110" s="30" t="inlineStr">
        <is>
          <t>Dev</t>
        </is>
      </c>
      <c r="I110" s="30" t="inlineStr"/>
      <c r="J110" s="30" t="inlineStr">
        <is>
          <t>To Do</t>
        </is>
      </c>
      <c r="K110" s="31" t="inlineStr">
        <is>
          <t>https://africanmarketingconfederation.org/smoke-archive/page-12</t>
        </is>
      </c>
      <c r="L110" s="30" t="inlineStr">
        <is>
          <t>IssueInventory</t>
        </is>
      </c>
      <c r="M110" s="30" t="n">
        <v>58</v>
      </c>
      <c r="N110" s="30" t="inlineStr">
        <is>
          <t>2026-07-01 20:54:35</t>
        </is>
      </c>
      <c r="O110" s="30" t="n">
        <v>0</v>
      </c>
      <c r="P110" s="30" t="inlineStr"/>
      <c r="Q110" s="30" t="inlineStr"/>
      <c r="R110" s="38">
        <f>IFERROR(HYPERLINK("#'Main'!B"&amp;MATCH(TRIM(A110),'Main'!B:B,0),"Open"),HYPERLINK("#'Main'!B1","Open"))</f>
        <v/>
      </c>
      <c r="S110" s="38">
        <f>IFERROR(HYPERLINK("#'"&amp;SUBSTITUTE(F110,"'","''")&amp;"'!A"&amp;MATCH(A110,INDIRECT("'"&amp;SUBSTITUTE(F110,"'","''")&amp;"'!A:A"),0),"Open"),HYPERLINK("#'"&amp;SUBSTITUTE(F110,"'","''")&amp;"'!A1","Open"))</f>
        <v/>
      </c>
    </row>
    <row r="111" ht="18" customHeight="1">
      <c r="A111" s="35" t="inlineStr">
        <is>
          <t>https://africanmarketingconfederation.org/smoke-archive/page-12</t>
        </is>
      </c>
      <c r="B111" s="28" t="inlineStr">
        <is>
          <t>Issue Inventory</t>
        </is>
      </c>
      <c r="C111" s="79" t="inlineStr">
        <is>
          <t>Low Image Alt Coverage</t>
        </is>
      </c>
      <c r="D111" s="28" t="inlineStr">
        <is>
          <t>Warning</t>
        </is>
      </c>
      <c r="E111" s="20" t="n">
        <v>1</v>
      </c>
      <c r="F111" s="39" t="inlineStr">
        <is>
          <t>Technical Diagnostics</t>
        </is>
      </c>
      <c r="G111" s="28" t="inlineStr">
        <is>
          <t>https://africanmarketingconfederation.org/smoke-archive/page-12::low_image_alt_coverage</t>
        </is>
      </c>
      <c r="H111" s="28" t="inlineStr">
        <is>
          <t>Copy Writer</t>
        </is>
      </c>
      <c r="I111" s="28" t="inlineStr"/>
      <c r="J111" s="28" t="inlineStr">
        <is>
          <t>To Do</t>
        </is>
      </c>
      <c r="K111" s="20" t="inlineStr">
        <is>
          <t>https://africanmarketingconfederation.org/smoke-archive/page-12</t>
        </is>
      </c>
      <c r="L111" s="28" t="inlineStr">
        <is>
          <t>IssueInventory</t>
        </is>
      </c>
      <c r="M111" s="28" t="n">
        <v>59</v>
      </c>
      <c r="N111" s="28" t="inlineStr">
        <is>
          <t>2026-07-01 20:54:35</t>
        </is>
      </c>
      <c r="O111" s="28" t="n">
        <v>0</v>
      </c>
      <c r="P111" s="28" t="inlineStr"/>
      <c r="Q111" s="28" t="inlineStr"/>
      <c r="R111">
        <f>IFERROR(HYPERLINK("#'Main'!B"&amp;MATCH(TRIM(A111),'Main'!B:B,0),"Open"),HYPERLINK("#'Main'!B1","Open"))</f>
        <v/>
      </c>
      <c r="S111">
        <f>IFERROR(HYPERLINK("#'"&amp;SUBSTITUTE(F111,"'","''")&amp;"'!A"&amp;MATCH(A111,INDIRECT("'"&amp;SUBSTITUTE(F111,"'","''")&amp;"'!A:A"),0),"Open"),HYPERLINK("#'"&amp;SUBSTITUTE(F111,"'","''")&amp;"'!A1","Open"))</f>
        <v/>
      </c>
    </row>
    <row r="112" ht="18" customHeight="1">
      <c r="A112" s="37" t="inlineStr">
        <is>
          <t>https://africanmarketingconfederation.org/smoke-archive/page-12</t>
        </is>
      </c>
      <c r="B112" s="30" t="inlineStr">
        <is>
          <t>Issue Inventory</t>
        </is>
      </c>
      <c r="C112" s="80" t="inlineStr">
        <is>
          <t>Lab TBT 150ms–300ms (Mobile)</t>
        </is>
      </c>
      <c r="D112" s="30" t="inlineStr">
        <is>
          <t>Observation</t>
        </is>
      </c>
      <c r="E112" s="31" t="n">
        <v>1</v>
      </c>
      <c r="F112" s="41" t="inlineStr">
        <is>
          <t>Technical Diagnostics</t>
        </is>
      </c>
      <c r="G112" s="30" t="inlineStr">
        <is>
          <t>https://africanmarketingconfederation.org/smoke-archive/page-12::lab_tbt_150ms_300ms_mobile_</t>
        </is>
      </c>
      <c r="H112" s="30" t="inlineStr">
        <is>
          <t>Dev</t>
        </is>
      </c>
      <c r="I112" s="30" t="inlineStr"/>
      <c r="J112" s="30" t="inlineStr">
        <is>
          <t>To Do</t>
        </is>
      </c>
      <c r="K112" s="31" t="inlineStr">
        <is>
          <t>https://africanmarketingconfederation.org/smoke-archive/page-12</t>
        </is>
      </c>
      <c r="L112" s="30" t="inlineStr">
        <is>
          <t>IssueInventory</t>
        </is>
      </c>
      <c r="M112" s="30" t="n">
        <v>60</v>
      </c>
      <c r="N112" s="30" t="inlineStr">
        <is>
          <t>2026-07-01 20:54:35</t>
        </is>
      </c>
      <c r="O112" s="30" t="n">
        <v>0</v>
      </c>
      <c r="P112" s="30" t="inlineStr"/>
      <c r="Q112" s="30" t="inlineStr"/>
      <c r="R112" s="38">
        <f>IFERROR(HYPERLINK("#'Main'!B"&amp;MATCH(TRIM(A112),'Main'!B:B,0),"Open"),HYPERLINK("#'Main'!B1","Open"))</f>
        <v/>
      </c>
      <c r="S112" s="38">
        <f>IFERROR(HYPERLINK("#'"&amp;SUBSTITUTE(F112,"'","''")&amp;"'!A"&amp;MATCH(A112,INDIRECT("'"&amp;SUBSTITUTE(F112,"'","''")&amp;"'!A:A"),0),"Open"),HYPERLINK("#'"&amp;SUBSTITUTE(F112,"'","''")&amp;"'!A1","Open"))</f>
        <v/>
      </c>
    </row>
    <row r="113" ht="18" customHeight="1">
      <c r="A113" s="35" t="inlineStr">
        <is>
          <t>https://africanmarketingconfederation.org/smoke-archive/page-12</t>
        </is>
      </c>
      <c r="B113" s="28" t="inlineStr">
        <is>
          <t>Issue Inventory</t>
        </is>
      </c>
      <c r="C113" s="79" t="inlineStr">
        <is>
          <t>Moderate Lighthouse Performance Mobile (50–89)</t>
        </is>
      </c>
      <c r="D113" s="28" t="inlineStr">
        <is>
          <t>Observation</t>
        </is>
      </c>
      <c r="E113" s="20" t="n">
        <v>1</v>
      </c>
      <c r="F113" s="39" t="inlineStr">
        <is>
          <t>Technical Diagnostics</t>
        </is>
      </c>
      <c r="G113" s="28" t="inlineStr">
        <is>
          <t>https://africanmarketingconfederation.org/smoke-archive/page-12::moderate_lighthouse_performance_mobile_50_89_</t>
        </is>
      </c>
      <c r="H113" s="28" t="inlineStr">
        <is>
          <t>Dev</t>
        </is>
      </c>
      <c r="I113" s="28" t="inlineStr"/>
      <c r="J113" s="28" t="inlineStr">
        <is>
          <t>To Do</t>
        </is>
      </c>
      <c r="K113" s="20" t="inlineStr">
        <is>
          <t>https://africanmarketingconfederation.org/smoke-archive/page-12</t>
        </is>
      </c>
      <c r="L113" s="28" t="inlineStr">
        <is>
          <t>IssueInventory</t>
        </is>
      </c>
      <c r="M113" s="28" t="n">
        <v>61</v>
      </c>
      <c r="N113" s="28" t="inlineStr">
        <is>
          <t>2026-07-01 20:54:35</t>
        </is>
      </c>
      <c r="O113" s="28" t="n">
        <v>0</v>
      </c>
      <c r="P113" s="28" t="inlineStr"/>
      <c r="Q113" s="28" t="inlineStr"/>
      <c r="R113">
        <f>IFERROR(HYPERLINK("#'Main'!B"&amp;MATCH(TRIM(A113),'Main'!B:B,0),"Open"),HYPERLINK("#'Main'!B1","Open"))</f>
        <v/>
      </c>
      <c r="S113">
        <f>IFERROR(HYPERLINK("#'"&amp;SUBSTITUTE(F113,"'","''")&amp;"'!A"&amp;MATCH(A113,INDIRECT("'"&amp;SUBSTITUTE(F113,"'","''")&amp;"'!A:A"),0),"Open"),HYPERLINK("#'"&amp;SUBSTITUTE(F113,"'","''")&amp;"'!A1","Open"))</f>
        <v/>
      </c>
    </row>
    <row r="114" ht="18" customHeight="1">
      <c r="A114" s="37" t="inlineStr">
        <is>
          <t>https://africanmarketingconfederation.org/smoke-archive/page-12</t>
        </is>
      </c>
      <c r="B114" s="30" t="inlineStr">
        <is>
          <t>Issue Inventory</t>
        </is>
      </c>
      <c r="C114" s="80" t="inlineStr">
        <is>
          <t>Render Blocking Resources</t>
        </is>
      </c>
      <c r="D114" s="30" t="inlineStr">
        <is>
          <t>Observation</t>
        </is>
      </c>
      <c r="E114" s="31" t="n">
        <v>1</v>
      </c>
      <c r="F114" s="41" t="inlineStr">
        <is>
          <t>Technical Diagnostics</t>
        </is>
      </c>
      <c r="G114" s="30" t="inlineStr">
        <is>
          <t>https://africanmarketingconfederation.org/smoke-archive/page-12::render_blocking_resources</t>
        </is>
      </c>
      <c r="H114" s="30" t="inlineStr">
        <is>
          <t>Dev</t>
        </is>
      </c>
      <c r="I114" s="30" t="inlineStr"/>
      <c r="J114" s="30" t="inlineStr">
        <is>
          <t>To Do</t>
        </is>
      </c>
      <c r="K114" s="31" t="inlineStr">
        <is>
          <t>https://africanmarketingconfederation.org/smoke-archive/page-12</t>
        </is>
      </c>
      <c r="L114" s="30" t="inlineStr">
        <is>
          <t>IssueInventory</t>
        </is>
      </c>
      <c r="M114" s="30" t="n">
        <v>62</v>
      </c>
      <c r="N114" s="30" t="inlineStr">
        <is>
          <t>2026-07-01 20:54:35</t>
        </is>
      </c>
      <c r="O114" s="30" t="n">
        <v>0</v>
      </c>
      <c r="P114" s="30" t="inlineStr"/>
      <c r="Q114" s="30" t="inlineStr"/>
      <c r="R114" s="38">
        <f>IFERROR(HYPERLINK("#'Main'!B"&amp;MATCH(TRIM(A114),'Main'!B:B,0),"Open"),HYPERLINK("#'Main'!B1","Open"))</f>
        <v/>
      </c>
      <c r="S114" s="38">
        <f>IFERROR(HYPERLINK("#'"&amp;SUBSTITUTE(F114,"'","''")&amp;"'!A"&amp;MATCH(A114,INDIRECT("'"&amp;SUBSTITUTE(F114,"'","''")&amp;"'!A:A"),0),"Open"),HYPERLINK("#'"&amp;SUBSTITUTE(F114,"'","''")&amp;"'!A1","Open"))</f>
        <v/>
      </c>
    </row>
    <row r="115" ht="18" customHeight="1">
      <c r="A115" s="35" t="inlineStr">
        <is>
          <t>https://africanmarketingconfederation.org/smoke-archive/page-13</t>
        </is>
      </c>
      <c r="B115" s="28" t="inlineStr">
        <is>
          <t>Issue Inventory</t>
        </is>
      </c>
      <c r="C115" s="79" t="inlineStr">
        <is>
          <t>Non-200 Status</t>
        </is>
      </c>
      <c r="D115" s="28" t="inlineStr">
        <is>
          <t>Critical</t>
        </is>
      </c>
      <c r="E115" s="20" t="n">
        <v>1</v>
      </c>
      <c r="F115" s="39" t="inlineStr">
        <is>
          <t>Technical Diagnostics</t>
        </is>
      </c>
      <c r="G115" s="28" t="inlineStr">
        <is>
          <t>https://africanmarketingconfederation.org/smoke-archive/page-13::non-200_status</t>
        </is>
      </c>
      <c r="H115" s="28" t="inlineStr">
        <is>
          <t>Server/Host</t>
        </is>
      </c>
      <c r="I115" s="28" t="inlineStr"/>
      <c r="J115" s="28" t="inlineStr">
        <is>
          <t>To Do</t>
        </is>
      </c>
      <c r="K115" s="20" t="inlineStr">
        <is>
          <t>https://africanmarketingconfederation.org/smoke-archive/page-13</t>
        </is>
      </c>
      <c r="L115" s="28" t="inlineStr">
        <is>
          <t>IssueInventory</t>
        </is>
      </c>
      <c r="M115" s="28" t="n">
        <v>63</v>
      </c>
      <c r="N115" s="28" t="inlineStr">
        <is>
          <t>2026-07-01 20:54:35</t>
        </is>
      </c>
      <c r="O115" s="28" t="n">
        <v>0</v>
      </c>
      <c r="P115" s="28" t="inlineStr"/>
      <c r="Q115" s="28" t="inlineStr"/>
      <c r="R115">
        <f>IFERROR(HYPERLINK("#'Main'!B"&amp;MATCH(TRIM(A115),'Main'!B:B,0),"Open"),HYPERLINK("#'Main'!B1","Open"))</f>
        <v/>
      </c>
      <c r="S115">
        <f>IFERROR(HYPERLINK("#'"&amp;SUBSTITUTE(F115,"'","''")&amp;"'!A"&amp;MATCH(A115,INDIRECT("'"&amp;SUBSTITUTE(F115,"'","''")&amp;"'!A:A"),0),"Open"),HYPERLINK("#'"&amp;SUBSTITUTE(F115,"'","''")&amp;"'!A1","Open"))</f>
        <v/>
      </c>
    </row>
    <row r="116" ht="18" customHeight="1">
      <c r="A116" s="37" t="inlineStr">
        <is>
          <t>https://africanmarketingconfederation.org/smoke-archive/page-14</t>
        </is>
      </c>
      <c r="B116" s="30" t="inlineStr">
        <is>
          <t>Issue Inventory</t>
        </is>
      </c>
      <c r="C116" s="80" t="inlineStr">
        <is>
          <t>Low E-E-A-T Signal Score (&lt;3)</t>
        </is>
      </c>
      <c r="D116" s="30" t="inlineStr">
        <is>
          <t>Warning</t>
        </is>
      </c>
      <c r="E116" s="31" t="n">
        <v>1</v>
      </c>
      <c r="F116" s="41" t="inlineStr">
        <is>
          <t>Technical Diagnostics</t>
        </is>
      </c>
      <c r="G116" s="30" t="inlineStr">
        <is>
          <t>https://africanmarketingconfederation.org/smoke-archive/page-14::low_e-e-a-t_signal_score_3_</t>
        </is>
      </c>
      <c r="H116" s="30" t="inlineStr">
        <is>
          <t>Copy Writer</t>
        </is>
      </c>
      <c r="I116" s="30" t="inlineStr"/>
      <c r="J116" s="30" t="inlineStr">
        <is>
          <t>To Do</t>
        </is>
      </c>
      <c r="K116" s="31" t="inlineStr">
        <is>
          <t>https://africanmarketingconfederation.org/smoke-archive/page-14</t>
        </is>
      </c>
      <c r="L116" s="30" t="inlineStr">
        <is>
          <t>IssueInventory</t>
        </is>
      </c>
      <c r="M116" s="30" t="n">
        <v>64</v>
      </c>
      <c r="N116" s="30" t="inlineStr">
        <is>
          <t>2026-07-01 20:54:35</t>
        </is>
      </c>
      <c r="O116" s="30" t="n">
        <v>0</v>
      </c>
      <c r="P116" s="30" t="inlineStr"/>
      <c r="Q116" s="30" t="inlineStr"/>
      <c r="R116" s="38">
        <f>IFERROR(HYPERLINK("#'Main'!B"&amp;MATCH(TRIM(A116),'Main'!B:B,0),"Open"),HYPERLINK("#'Main'!B1","Open"))</f>
        <v/>
      </c>
      <c r="S116" s="38">
        <f>IFERROR(HYPERLINK("#'"&amp;SUBSTITUTE(F116,"'","''")&amp;"'!A"&amp;MATCH(A116,INDIRECT("'"&amp;SUBSTITUTE(F116,"'","''")&amp;"'!A:A"),0),"Open"),HYPERLINK("#'"&amp;SUBSTITUTE(F116,"'","''")&amp;"'!A1","Open"))</f>
        <v/>
      </c>
    </row>
    <row r="117" ht="18" customHeight="1">
      <c r="A117" s="35" t="inlineStr">
        <is>
          <t>https://africanmarketingconfederation.org/smoke-archive/page-14</t>
        </is>
      </c>
      <c r="B117" s="28" t="inlineStr">
        <is>
          <t>Issue Inventory</t>
        </is>
      </c>
      <c r="C117" s="79" t="inlineStr">
        <is>
          <t>Missing OG Image</t>
        </is>
      </c>
      <c r="D117" s="28" t="inlineStr">
        <is>
          <t>Warning</t>
        </is>
      </c>
      <c r="E117" s="20" t="n">
        <v>1</v>
      </c>
      <c r="F117" s="39" t="inlineStr">
        <is>
          <t>Technical Diagnostics</t>
        </is>
      </c>
      <c r="G117" s="28" t="inlineStr">
        <is>
          <t>https://africanmarketingconfederation.org/smoke-archive/page-14::missing_og_image</t>
        </is>
      </c>
      <c r="H117" s="28" t="inlineStr">
        <is>
          <t>Copy Writer</t>
        </is>
      </c>
      <c r="I117" s="28" t="inlineStr"/>
      <c r="J117" s="28" t="inlineStr">
        <is>
          <t>To Do</t>
        </is>
      </c>
      <c r="K117" s="20" t="inlineStr">
        <is>
          <t>https://africanmarketingconfederation.org/smoke-archive/page-14</t>
        </is>
      </c>
      <c r="L117" s="28" t="inlineStr">
        <is>
          <t>IssueInventory</t>
        </is>
      </c>
      <c r="M117" s="28" t="n">
        <v>65</v>
      </c>
      <c r="N117" s="28" t="inlineStr">
        <is>
          <t>2026-07-01 20:54:35</t>
        </is>
      </c>
      <c r="O117" s="28" t="n">
        <v>0</v>
      </c>
      <c r="P117" s="28" t="inlineStr"/>
      <c r="Q117" s="28" t="inlineStr"/>
      <c r="R117">
        <f>IFERROR(HYPERLINK("#'Main'!B"&amp;MATCH(TRIM(A117),'Main'!B:B,0),"Open"),HYPERLINK("#'Main'!B1","Open"))</f>
        <v/>
      </c>
      <c r="S117">
        <f>IFERROR(HYPERLINK("#'"&amp;SUBSTITUTE(F117,"'","''")&amp;"'!A"&amp;MATCH(A117,INDIRECT("'"&amp;SUBSTITUTE(F117,"'","''")&amp;"'!A:A"),0),"Open"),HYPERLINK("#'"&amp;SUBSTITUTE(F117,"'","''")&amp;"'!A1","Open"))</f>
        <v/>
      </c>
    </row>
    <row r="118" ht="18" customHeight="1">
      <c r="A118" s="37" t="inlineStr">
        <is>
          <t>https://africanmarketingconfederation.org/smoke-archive/page-14</t>
        </is>
      </c>
      <c r="B118" s="30" t="inlineStr">
        <is>
          <t>Issue Inventory</t>
        </is>
      </c>
      <c r="C118" s="80" t="inlineStr">
        <is>
          <t>No Author Attribution</t>
        </is>
      </c>
      <c r="D118" s="30" t="inlineStr">
        <is>
          <t>Observation</t>
        </is>
      </c>
      <c r="E118" s="31" t="n">
        <v>1</v>
      </c>
      <c r="F118" s="41" t="inlineStr">
        <is>
          <t>Technical Diagnostics</t>
        </is>
      </c>
      <c r="G118" s="30" t="inlineStr">
        <is>
          <t>https://africanmarketingconfederation.org/smoke-archive/page-14::no_author_attribution</t>
        </is>
      </c>
      <c r="H118" s="30" t="inlineStr">
        <is>
          <t>Copy Writer</t>
        </is>
      </c>
      <c r="I118" s="30" t="inlineStr"/>
      <c r="J118" s="30" t="inlineStr">
        <is>
          <t>To Do</t>
        </is>
      </c>
      <c r="K118" s="31" t="inlineStr">
        <is>
          <t>https://africanmarketingconfederation.org/smoke-archive/page-14</t>
        </is>
      </c>
      <c r="L118" s="30" t="inlineStr">
        <is>
          <t>IssueInventory</t>
        </is>
      </c>
      <c r="M118" s="30" t="n">
        <v>66</v>
      </c>
      <c r="N118" s="30" t="inlineStr">
        <is>
          <t>2026-07-01 20:54:35</t>
        </is>
      </c>
      <c r="O118" s="30" t="n">
        <v>0</v>
      </c>
      <c r="P118" s="30" t="inlineStr"/>
      <c r="Q118" s="30" t="inlineStr"/>
      <c r="R118" s="38">
        <f>IFERROR(HYPERLINK("#'Main'!B"&amp;MATCH(TRIM(A118),'Main'!B:B,0),"Open"),HYPERLINK("#'Main'!B1","Open"))</f>
        <v/>
      </c>
      <c r="S118" s="38">
        <f>IFERROR(HYPERLINK("#'"&amp;SUBSTITUTE(F118,"'","''")&amp;"'!A"&amp;MATCH(A118,INDIRECT("'"&amp;SUBSTITUTE(F118,"'","''")&amp;"'!A:A"),0),"Open"),HYPERLINK("#'"&amp;SUBSTITUTE(F118,"'","''")&amp;"'!A1","Open"))</f>
        <v/>
      </c>
    </row>
    <row r="119" ht="18" customHeight="1">
      <c r="A119" s="35" t="inlineStr">
        <is>
          <t>https://africanmarketingconfederation.org/smoke-archive/page-14</t>
        </is>
      </c>
      <c r="B119" s="28" t="inlineStr">
        <is>
          <t>Issue Inventory</t>
        </is>
      </c>
      <c r="C119" s="79" t="inlineStr">
        <is>
          <t>Lab TBT 150ms–300ms (Mobile)</t>
        </is>
      </c>
      <c r="D119" s="28" t="inlineStr">
        <is>
          <t>Observation</t>
        </is>
      </c>
      <c r="E119" s="20" t="n">
        <v>1</v>
      </c>
      <c r="F119" s="39" t="inlineStr">
        <is>
          <t>Technical Diagnostics</t>
        </is>
      </c>
      <c r="G119" s="28" t="inlineStr">
        <is>
          <t>https://africanmarketingconfederation.org/smoke-archive/page-14::lab_tbt_150ms_300ms_mobile_</t>
        </is>
      </c>
      <c r="H119" s="28" t="inlineStr">
        <is>
          <t>Dev</t>
        </is>
      </c>
      <c r="I119" s="28" t="inlineStr"/>
      <c r="J119" s="28" t="inlineStr">
        <is>
          <t>To Do</t>
        </is>
      </c>
      <c r="K119" s="20" t="inlineStr">
        <is>
          <t>https://africanmarketingconfederation.org/smoke-archive/page-14</t>
        </is>
      </c>
      <c r="L119" s="28" t="inlineStr">
        <is>
          <t>IssueInventory</t>
        </is>
      </c>
      <c r="M119" s="28" t="n">
        <v>67</v>
      </c>
      <c r="N119" s="28" t="inlineStr">
        <is>
          <t>2026-07-01 20:54:35</t>
        </is>
      </c>
      <c r="O119" s="28" t="n">
        <v>0</v>
      </c>
      <c r="P119" s="28" t="inlineStr"/>
      <c r="Q119" s="28" t="inlineStr"/>
      <c r="R119">
        <f>IFERROR(HYPERLINK("#'Main'!B"&amp;MATCH(TRIM(A119),'Main'!B:B,0),"Open"),HYPERLINK("#'Main'!B1","Open"))</f>
        <v/>
      </c>
      <c r="S119">
        <f>IFERROR(HYPERLINK("#'"&amp;SUBSTITUTE(F119,"'","''")&amp;"'!A"&amp;MATCH(A119,INDIRECT("'"&amp;SUBSTITUTE(F119,"'","''")&amp;"'!A:A"),0),"Open"),HYPERLINK("#'"&amp;SUBSTITUTE(F119,"'","''")&amp;"'!A1","Open"))</f>
        <v/>
      </c>
    </row>
    <row r="120" ht="18" customHeight="1">
      <c r="A120" s="37" t="inlineStr">
        <is>
          <t>https://africanmarketingconfederation.org/smoke-archive/page-14</t>
        </is>
      </c>
      <c r="B120" s="30" t="inlineStr">
        <is>
          <t>Issue Inventory</t>
        </is>
      </c>
      <c r="C120" s="80" t="inlineStr">
        <is>
          <t>Moderate Lighthouse Performance Mobile (50–89)</t>
        </is>
      </c>
      <c r="D120" s="30" t="inlineStr">
        <is>
          <t>Observation</t>
        </is>
      </c>
      <c r="E120" s="31" t="n">
        <v>1</v>
      </c>
      <c r="F120" s="41" t="inlineStr">
        <is>
          <t>Technical Diagnostics</t>
        </is>
      </c>
      <c r="G120" s="30" t="inlineStr">
        <is>
          <t>https://africanmarketingconfederation.org/smoke-archive/page-14::moderate_lighthouse_performance_mobile_50_89_</t>
        </is>
      </c>
      <c r="H120" s="30" t="inlineStr">
        <is>
          <t>Dev</t>
        </is>
      </c>
      <c r="I120" s="30" t="inlineStr"/>
      <c r="J120" s="30" t="inlineStr">
        <is>
          <t>To Do</t>
        </is>
      </c>
      <c r="K120" s="31" t="inlineStr">
        <is>
          <t>https://africanmarketingconfederation.org/smoke-archive/page-14</t>
        </is>
      </c>
      <c r="L120" s="30" t="inlineStr">
        <is>
          <t>IssueInventory</t>
        </is>
      </c>
      <c r="M120" s="30" t="n">
        <v>68</v>
      </c>
      <c r="N120" s="30" t="inlineStr">
        <is>
          <t>2026-07-01 20:54:35</t>
        </is>
      </c>
      <c r="O120" s="30" t="n">
        <v>0</v>
      </c>
      <c r="P120" s="30" t="inlineStr"/>
      <c r="Q120" s="30" t="inlineStr"/>
      <c r="R120" s="38">
        <f>IFERROR(HYPERLINK("#'Main'!B"&amp;MATCH(TRIM(A120),'Main'!B:B,0),"Open"),HYPERLINK("#'Main'!B1","Open"))</f>
        <v/>
      </c>
      <c r="S120" s="38">
        <f>IFERROR(HYPERLINK("#'"&amp;SUBSTITUTE(F120,"'","''")&amp;"'!A"&amp;MATCH(A120,INDIRECT("'"&amp;SUBSTITUTE(F120,"'","''")&amp;"'!A:A"),0),"Open"),HYPERLINK("#'"&amp;SUBSTITUTE(F120,"'","''")&amp;"'!A1","Open"))</f>
        <v/>
      </c>
    </row>
    <row r="121" ht="18" customHeight="1">
      <c r="A121" s="35" t="inlineStr">
        <is>
          <t>https://africanmarketingconfederation.org/smoke-archive/page-14</t>
        </is>
      </c>
      <c r="B121" s="28" t="inlineStr">
        <is>
          <t>Issue Inventory</t>
        </is>
      </c>
      <c r="C121" s="79" t="inlineStr">
        <is>
          <t>Render Blocking Resources</t>
        </is>
      </c>
      <c r="D121" s="28" t="inlineStr">
        <is>
          <t>Observation</t>
        </is>
      </c>
      <c r="E121" s="20" t="n">
        <v>1</v>
      </c>
      <c r="F121" s="39" t="inlineStr">
        <is>
          <t>Technical Diagnostics</t>
        </is>
      </c>
      <c r="G121" s="28" t="inlineStr">
        <is>
          <t>https://africanmarketingconfederation.org/smoke-archive/page-14::render_blocking_resources</t>
        </is>
      </c>
      <c r="H121" s="28" t="inlineStr">
        <is>
          <t>Dev</t>
        </is>
      </c>
      <c r="I121" s="28" t="inlineStr"/>
      <c r="J121" s="28" t="inlineStr">
        <is>
          <t>To Do</t>
        </is>
      </c>
      <c r="K121" s="20" t="inlineStr">
        <is>
          <t>https://africanmarketingconfederation.org/smoke-archive/page-14</t>
        </is>
      </c>
      <c r="L121" s="28" t="inlineStr">
        <is>
          <t>IssueInventory</t>
        </is>
      </c>
      <c r="M121" s="28" t="n">
        <v>69</v>
      </c>
      <c r="N121" s="28" t="inlineStr">
        <is>
          <t>2026-07-01 20:54:35</t>
        </is>
      </c>
      <c r="O121" s="28" t="n">
        <v>0</v>
      </c>
      <c r="P121" s="28" t="inlineStr"/>
      <c r="Q121" s="28" t="inlineStr"/>
      <c r="R121">
        <f>IFERROR(HYPERLINK("#'Main'!B"&amp;MATCH(TRIM(A121),'Main'!B:B,0),"Open"),HYPERLINK("#'Main'!B1","Open"))</f>
        <v/>
      </c>
      <c r="S121">
        <f>IFERROR(HYPERLINK("#'"&amp;SUBSTITUTE(F121,"'","''")&amp;"'!A"&amp;MATCH(A121,INDIRECT("'"&amp;SUBSTITUTE(F121,"'","''")&amp;"'!A:A"),0),"Open"),HYPERLINK("#'"&amp;SUBSTITUTE(F121,"'","''")&amp;"'!A1","Open"))</f>
        <v/>
      </c>
    </row>
    <row r="122" ht="18" customHeight="1">
      <c r="A122" s="37" t="inlineStr">
        <is>
          <t>https://africanmarketingconfederation.org/smoke-archive/page-15</t>
        </is>
      </c>
      <c r="B122" s="30" t="inlineStr">
        <is>
          <t>Issue Inventory</t>
        </is>
      </c>
      <c r="C122" s="80" t="inlineStr">
        <is>
          <t>Missing Meta Description</t>
        </is>
      </c>
      <c r="D122" s="30" t="inlineStr">
        <is>
          <t>Warning</t>
        </is>
      </c>
      <c r="E122" s="31" t="n">
        <v>1</v>
      </c>
      <c r="F122" s="41" t="inlineStr">
        <is>
          <t>Technical Diagnostics</t>
        </is>
      </c>
      <c r="G122" s="30" t="inlineStr">
        <is>
          <t>https://africanmarketingconfederation.org/smoke-archive/page-15::missing_meta_description</t>
        </is>
      </c>
      <c r="H122" s="30" t="inlineStr">
        <is>
          <t>Copy Writer</t>
        </is>
      </c>
      <c r="I122" s="30" t="inlineStr"/>
      <c r="J122" s="30" t="inlineStr">
        <is>
          <t>To Do</t>
        </is>
      </c>
      <c r="K122" s="31" t="inlineStr">
        <is>
          <t>https://africanmarketingconfederation.org/smoke-archive/page-15</t>
        </is>
      </c>
      <c r="L122" s="30" t="inlineStr">
        <is>
          <t>IssueInventory</t>
        </is>
      </c>
      <c r="M122" s="30" t="n">
        <v>70</v>
      </c>
      <c r="N122" s="30" t="inlineStr">
        <is>
          <t>2026-07-01 20:54:35</t>
        </is>
      </c>
      <c r="O122" s="30" t="n">
        <v>0</v>
      </c>
      <c r="P122" s="30" t="inlineStr"/>
      <c r="Q122" s="30" t="inlineStr"/>
      <c r="R122" s="38">
        <f>IFERROR(HYPERLINK("#'Main'!B"&amp;MATCH(TRIM(A122),'Main'!B:B,0),"Open"),HYPERLINK("#'Main'!B1","Open"))</f>
        <v/>
      </c>
      <c r="S122" s="38">
        <f>IFERROR(HYPERLINK("#'"&amp;SUBSTITUTE(F122,"'","''")&amp;"'!A"&amp;MATCH(A122,INDIRECT("'"&amp;SUBSTITUTE(F122,"'","''")&amp;"'!A:A"),0),"Open"),HYPERLINK("#'"&amp;SUBSTITUTE(F122,"'","''")&amp;"'!A1","Open"))</f>
        <v/>
      </c>
    </row>
    <row r="123" ht="18" customHeight="1">
      <c r="A123" s="35" t="inlineStr">
        <is>
          <t>https://africanmarketingconfederation.org/smoke-archive/page-15</t>
        </is>
      </c>
      <c r="B123" s="28" t="inlineStr">
        <is>
          <t>Issue Inventory</t>
        </is>
      </c>
      <c r="C123" s="79" t="inlineStr">
        <is>
          <t>Missing OG Description</t>
        </is>
      </c>
      <c r="D123" s="28" t="inlineStr">
        <is>
          <t>Warning</t>
        </is>
      </c>
      <c r="E123" s="20" t="n">
        <v>1</v>
      </c>
      <c r="F123" s="39" t="inlineStr">
        <is>
          <t>Technical Diagnostics</t>
        </is>
      </c>
      <c r="G123" s="28" t="inlineStr">
        <is>
          <t>https://africanmarketingconfederation.org/smoke-archive/page-15::missing_og_description</t>
        </is>
      </c>
      <c r="H123" s="28" t="inlineStr">
        <is>
          <t>Copy Writer</t>
        </is>
      </c>
      <c r="I123" s="28" t="inlineStr"/>
      <c r="J123" s="28" t="inlineStr">
        <is>
          <t>To Do</t>
        </is>
      </c>
      <c r="K123" s="20" t="inlineStr">
        <is>
          <t>https://africanmarketingconfederation.org/smoke-archive/page-15</t>
        </is>
      </c>
      <c r="L123" s="28" t="inlineStr">
        <is>
          <t>IssueInventory</t>
        </is>
      </c>
      <c r="M123" s="28" t="n">
        <v>71</v>
      </c>
      <c r="N123" s="28" t="inlineStr">
        <is>
          <t>2026-07-01 20:54:35</t>
        </is>
      </c>
      <c r="O123" s="28" t="n">
        <v>0</v>
      </c>
      <c r="P123" s="28" t="inlineStr"/>
      <c r="Q123" s="28" t="inlineStr"/>
      <c r="R123">
        <f>IFERROR(HYPERLINK("#'Main'!B"&amp;MATCH(TRIM(A123),'Main'!B:B,0),"Open"),HYPERLINK("#'Main'!B1","Open"))</f>
        <v/>
      </c>
      <c r="S123">
        <f>IFERROR(HYPERLINK("#'"&amp;SUBSTITUTE(F123,"'","''")&amp;"'!A"&amp;MATCH(A123,INDIRECT("'"&amp;SUBSTITUTE(F123,"'","''")&amp;"'!A:A"),0),"Open"),HYPERLINK("#'"&amp;SUBSTITUTE(F123,"'","''")&amp;"'!A1","Open"))</f>
        <v/>
      </c>
    </row>
    <row r="124" ht="18" customHeight="1">
      <c r="A124" s="37" t="inlineStr">
        <is>
          <t>https://africanmarketingconfederation.org/smoke-archive/page-15</t>
        </is>
      </c>
      <c r="B124" s="30" t="inlineStr">
        <is>
          <t>Issue Inventory</t>
        </is>
      </c>
      <c r="C124" s="80" t="inlineStr">
        <is>
          <t>Missing OG Image</t>
        </is>
      </c>
      <c r="D124" s="30" t="inlineStr">
        <is>
          <t>Warning</t>
        </is>
      </c>
      <c r="E124" s="31" t="n">
        <v>1</v>
      </c>
      <c r="F124" s="41" t="inlineStr">
        <is>
          <t>Technical Diagnostics</t>
        </is>
      </c>
      <c r="G124" s="30" t="inlineStr">
        <is>
          <t>https://africanmarketingconfederation.org/smoke-archive/page-15::missing_og_image</t>
        </is>
      </c>
      <c r="H124" s="30" t="inlineStr">
        <is>
          <t>Copy Writer</t>
        </is>
      </c>
      <c r="I124" s="30" t="inlineStr"/>
      <c r="J124" s="30" t="inlineStr">
        <is>
          <t>To Do</t>
        </is>
      </c>
      <c r="K124" s="31" t="inlineStr">
        <is>
          <t>https://africanmarketingconfederation.org/smoke-archive/page-15</t>
        </is>
      </c>
      <c r="L124" s="30" t="inlineStr">
        <is>
          <t>IssueInventory</t>
        </is>
      </c>
      <c r="M124" s="30" t="n">
        <v>72</v>
      </c>
      <c r="N124" s="30" t="inlineStr">
        <is>
          <t>2026-07-01 20:54:35</t>
        </is>
      </c>
      <c r="O124" s="30" t="n">
        <v>0</v>
      </c>
      <c r="P124" s="30" t="inlineStr"/>
      <c r="Q124" s="30" t="inlineStr"/>
      <c r="R124" s="38">
        <f>IFERROR(HYPERLINK("#'Main'!B"&amp;MATCH(TRIM(A124),'Main'!B:B,0),"Open"),HYPERLINK("#'Main'!B1","Open"))</f>
        <v/>
      </c>
      <c r="S124" s="38">
        <f>IFERROR(HYPERLINK("#'"&amp;SUBSTITUTE(F124,"'","''")&amp;"'!A"&amp;MATCH(A124,INDIRECT("'"&amp;SUBSTITUTE(F124,"'","''")&amp;"'!A:A"),0),"Open"),HYPERLINK("#'"&amp;SUBSTITUTE(F124,"'","''")&amp;"'!A1","Open"))</f>
        <v/>
      </c>
    </row>
    <row r="125" ht="18" customHeight="1">
      <c r="A125" s="35" t="inlineStr">
        <is>
          <t>https://africanmarketingconfederation.org/smoke-archive/page-15</t>
        </is>
      </c>
      <c r="B125" s="28" t="inlineStr">
        <is>
          <t>Issue Inventory</t>
        </is>
      </c>
      <c r="C125" s="79" t="inlineStr">
        <is>
          <t>Lab TBT 150ms–300ms (Mobile)</t>
        </is>
      </c>
      <c r="D125" s="28" t="inlineStr">
        <is>
          <t>Observation</t>
        </is>
      </c>
      <c r="E125" s="20" t="n">
        <v>1</v>
      </c>
      <c r="F125" s="39" t="inlineStr">
        <is>
          <t>Technical Diagnostics</t>
        </is>
      </c>
      <c r="G125" s="28" t="inlineStr">
        <is>
          <t>https://africanmarketingconfederation.org/smoke-archive/page-15::lab_tbt_150ms_300ms_mobile_</t>
        </is>
      </c>
      <c r="H125" s="28" t="inlineStr">
        <is>
          <t>Dev</t>
        </is>
      </c>
      <c r="I125" s="28" t="inlineStr"/>
      <c r="J125" s="28" t="inlineStr">
        <is>
          <t>To Do</t>
        </is>
      </c>
      <c r="K125" s="20" t="inlineStr">
        <is>
          <t>https://africanmarketingconfederation.org/smoke-archive/page-15</t>
        </is>
      </c>
      <c r="L125" s="28" t="inlineStr">
        <is>
          <t>IssueInventory</t>
        </is>
      </c>
      <c r="M125" s="28" t="n">
        <v>73</v>
      </c>
      <c r="N125" s="28" t="inlineStr">
        <is>
          <t>2026-07-01 20:54:35</t>
        </is>
      </c>
      <c r="O125" s="28" t="n">
        <v>0</v>
      </c>
      <c r="P125" s="28" t="inlineStr"/>
      <c r="Q125" s="28" t="inlineStr"/>
      <c r="R125">
        <f>IFERROR(HYPERLINK("#'Main'!B"&amp;MATCH(TRIM(A125),'Main'!B:B,0),"Open"),HYPERLINK("#'Main'!B1","Open"))</f>
        <v/>
      </c>
      <c r="S125">
        <f>IFERROR(HYPERLINK("#'"&amp;SUBSTITUTE(F125,"'","''")&amp;"'!A"&amp;MATCH(A125,INDIRECT("'"&amp;SUBSTITUTE(F125,"'","''")&amp;"'!A:A"),0),"Open"),HYPERLINK("#'"&amp;SUBSTITUTE(F125,"'","''")&amp;"'!A1","Open"))</f>
        <v/>
      </c>
    </row>
    <row r="126" ht="18" customHeight="1">
      <c r="A126" s="37" t="inlineStr">
        <is>
          <t>https://africanmarketingconfederation.org/smoke-archive/page-15</t>
        </is>
      </c>
      <c r="B126" s="30" t="inlineStr">
        <is>
          <t>Issue Inventory</t>
        </is>
      </c>
      <c r="C126" s="80" t="inlineStr">
        <is>
          <t>Moderate Lighthouse Performance Mobile (50–89)</t>
        </is>
      </c>
      <c r="D126" s="30" t="inlineStr">
        <is>
          <t>Observation</t>
        </is>
      </c>
      <c r="E126" s="31" t="n">
        <v>1</v>
      </c>
      <c r="F126" s="41" t="inlineStr">
        <is>
          <t>Technical Diagnostics</t>
        </is>
      </c>
      <c r="G126" s="30" t="inlineStr">
        <is>
          <t>https://africanmarketingconfederation.org/smoke-archive/page-15::moderate_lighthouse_performance_mobile_50_89_</t>
        </is>
      </c>
      <c r="H126" s="30" t="inlineStr">
        <is>
          <t>Dev</t>
        </is>
      </c>
      <c r="I126" s="30" t="inlineStr"/>
      <c r="J126" s="30" t="inlineStr">
        <is>
          <t>To Do</t>
        </is>
      </c>
      <c r="K126" s="31" t="inlineStr">
        <is>
          <t>https://africanmarketingconfederation.org/smoke-archive/page-15</t>
        </is>
      </c>
      <c r="L126" s="30" t="inlineStr">
        <is>
          <t>IssueInventory</t>
        </is>
      </c>
      <c r="M126" s="30" t="n">
        <v>74</v>
      </c>
      <c r="N126" s="30" t="inlineStr">
        <is>
          <t>2026-07-01 20:54:35</t>
        </is>
      </c>
      <c r="O126" s="30" t="n">
        <v>0</v>
      </c>
      <c r="P126" s="30" t="inlineStr"/>
      <c r="Q126" s="30" t="inlineStr"/>
      <c r="R126" s="38">
        <f>IFERROR(HYPERLINK("#'Main'!B"&amp;MATCH(TRIM(A126),'Main'!B:B,0),"Open"),HYPERLINK("#'Main'!B1","Open"))</f>
        <v/>
      </c>
      <c r="S126" s="38">
        <f>IFERROR(HYPERLINK("#'"&amp;SUBSTITUTE(F126,"'","''")&amp;"'!A"&amp;MATCH(A126,INDIRECT("'"&amp;SUBSTITUTE(F126,"'","''")&amp;"'!A:A"),0),"Open"),HYPERLINK("#'"&amp;SUBSTITUTE(F126,"'","''")&amp;"'!A1","Open"))</f>
        <v/>
      </c>
    </row>
    <row r="127" ht="18" customHeight="1">
      <c r="A127" s="35" t="inlineStr">
        <is>
          <t>https://africanmarketingconfederation.org/smoke-archive/page-15</t>
        </is>
      </c>
      <c r="B127" s="28" t="inlineStr">
        <is>
          <t>Issue Inventory</t>
        </is>
      </c>
      <c r="C127" s="79" t="inlineStr">
        <is>
          <t>Render Blocking Resources</t>
        </is>
      </c>
      <c r="D127" s="28" t="inlineStr">
        <is>
          <t>Observation</t>
        </is>
      </c>
      <c r="E127" s="20" t="n">
        <v>1</v>
      </c>
      <c r="F127" s="39" t="inlineStr">
        <is>
          <t>Technical Diagnostics</t>
        </is>
      </c>
      <c r="G127" s="28" t="inlineStr">
        <is>
          <t>https://africanmarketingconfederation.org/smoke-archive/page-15::render_blocking_resources</t>
        </is>
      </c>
      <c r="H127" s="28" t="inlineStr">
        <is>
          <t>Dev</t>
        </is>
      </c>
      <c r="I127" s="28" t="inlineStr"/>
      <c r="J127" s="28" t="inlineStr">
        <is>
          <t>To Do</t>
        </is>
      </c>
      <c r="K127" s="20" t="inlineStr">
        <is>
          <t>https://africanmarketingconfederation.org/smoke-archive/page-15</t>
        </is>
      </c>
      <c r="L127" s="28" t="inlineStr">
        <is>
          <t>IssueInventory</t>
        </is>
      </c>
      <c r="M127" s="28" t="n">
        <v>75</v>
      </c>
      <c r="N127" s="28" t="inlineStr">
        <is>
          <t>2026-07-01 20:54:35</t>
        </is>
      </c>
      <c r="O127" s="28" t="n">
        <v>0</v>
      </c>
      <c r="P127" s="28" t="inlineStr"/>
      <c r="Q127" s="28" t="inlineStr"/>
      <c r="R127">
        <f>IFERROR(HYPERLINK("#'Main'!B"&amp;MATCH(TRIM(A127),'Main'!B:B,0),"Open"),HYPERLINK("#'Main'!B1","Open"))</f>
        <v/>
      </c>
      <c r="S127">
        <f>IFERROR(HYPERLINK("#'"&amp;SUBSTITUTE(F127,"'","''")&amp;"'!A"&amp;MATCH(A127,INDIRECT("'"&amp;SUBSTITUTE(F127,"'","''")&amp;"'!A:A"),0),"Open"),HYPERLINK("#'"&amp;SUBSTITUTE(F127,"'","''")&amp;"'!A1","Open"))</f>
        <v/>
      </c>
    </row>
    <row r="128" ht="18" customHeight="1">
      <c r="A128" s="37" t="inlineStr">
        <is>
          <t>https://africanmarketingconfederation.org/smoke-archive/page-16</t>
        </is>
      </c>
      <c r="B128" s="30" t="inlineStr">
        <is>
          <t>Issue Inventory</t>
        </is>
      </c>
      <c r="C128" s="80" t="inlineStr">
        <is>
          <t>Missing OG Title</t>
        </is>
      </c>
      <c r="D128" s="30" t="inlineStr">
        <is>
          <t>Warning</t>
        </is>
      </c>
      <c r="E128" s="31" t="n">
        <v>1</v>
      </c>
      <c r="F128" s="41" t="inlineStr">
        <is>
          <t>Technical Diagnostics</t>
        </is>
      </c>
      <c r="G128" s="30" t="inlineStr">
        <is>
          <t>https://africanmarketingconfederation.org/smoke-archive/page-16::missing_og_title</t>
        </is>
      </c>
      <c r="H128" s="30" t="inlineStr">
        <is>
          <t>Copy Writer</t>
        </is>
      </c>
      <c r="I128" s="30" t="inlineStr"/>
      <c r="J128" s="30" t="inlineStr">
        <is>
          <t>To Do</t>
        </is>
      </c>
      <c r="K128" s="31" t="inlineStr">
        <is>
          <t>https://africanmarketingconfederation.org/smoke-archive/page-16</t>
        </is>
      </c>
      <c r="L128" s="30" t="inlineStr">
        <is>
          <t>IssueInventory</t>
        </is>
      </c>
      <c r="M128" s="30" t="n">
        <v>76</v>
      </c>
      <c r="N128" s="30" t="inlineStr">
        <is>
          <t>2026-07-01 20:54:35</t>
        </is>
      </c>
      <c r="O128" s="30" t="n">
        <v>0</v>
      </c>
      <c r="P128" s="30" t="inlineStr"/>
      <c r="Q128" s="30" t="inlineStr"/>
      <c r="R128" s="38">
        <f>IFERROR(HYPERLINK("#'Main'!B"&amp;MATCH(TRIM(A128),'Main'!B:B,0),"Open"),HYPERLINK("#'Main'!B1","Open"))</f>
        <v/>
      </c>
      <c r="S128" s="38">
        <f>IFERROR(HYPERLINK("#'"&amp;SUBSTITUTE(F128,"'","''")&amp;"'!A"&amp;MATCH(A128,INDIRECT("'"&amp;SUBSTITUTE(F128,"'","''")&amp;"'!A:A"),0),"Open"),HYPERLINK("#'"&amp;SUBSTITUTE(F128,"'","''")&amp;"'!A1","Open"))</f>
        <v/>
      </c>
    </row>
    <row r="129" ht="18" customHeight="1">
      <c r="A129" s="35" t="inlineStr">
        <is>
          <t>https://africanmarketingconfederation.org/smoke-archive/page-16</t>
        </is>
      </c>
      <c r="B129" s="28" t="inlineStr">
        <is>
          <t>Issue Inventory</t>
        </is>
      </c>
      <c r="C129" s="79" t="inlineStr">
        <is>
          <t>Lab TBT 150ms–300ms (Mobile)</t>
        </is>
      </c>
      <c r="D129" s="28" t="inlineStr">
        <is>
          <t>Observation</t>
        </is>
      </c>
      <c r="E129" s="20" t="n">
        <v>1</v>
      </c>
      <c r="F129" s="39" t="inlineStr">
        <is>
          <t>Technical Diagnostics</t>
        </is>
      </c>
      <c r="G129" s="28" t="inlineStr">
        <is>
          <t>https://africanmarketingconfederation.org/smoke-archive/page-16::lab_tbt_150ms_300ms_mobile_</t>
        </is>
      </c>
      <c r="H129" s="28" t="inlineStr">
        <is>
          <t>Dev</t>
        </is>
      </c>
      <c r="I129" s="28" t="inlineStr"/>
      <c r="J129" s="28" t="inlineStr">
        <is>
          <t>To Do</t>
        </is>
      </c>
      <c r="K129" s="20" t="inlineStr">
        <is>
          <t>https://africanmarketingconfederation.org/smoke-archive/page-16</t>
        </is>
      </c>
      <c r="L129" s="28" t="inlineStr">
        <is>
          <t>IssueInventory</t>
        </is>
      </c>
      <c r="M129" s="28" t="n">
        <v>77</v>
      </c>
      <c r="N129" s="28" t="inlineStr">
        <is>
          <t>2026-07-01 20:54:35</t>
        </is>
      </c>
      <c r="O129" s="28" t="n">
        <v>0</v>
      </c>
      <c r="P129" s="28" t="inlineStr"/>
      <c r="Q129" s="28" t="inlineStr"/>
      <c r="R129">
        <f>IFERROR(HYPERLINK("#'Main'!B"&amp;MATCH(TRIM(A129),'Main'!B:B,0),"Open"),HYPERLINK("#'Main'!B1","Open"))</f>
        <v/>
      </c>
      <c r="S129">
        <f>IFERROR(HYPERLINK("#'"&amp;SUBSTITUTE(F129,"'","''")&amp;"'!A"&amp;MATCH(A129,INDIRECT("'"&amp;SUBSTITUTE(F129,"'","''")&amp;"'!A:A"),0),"Open"),HYPERLINK("#'"&amp;SUBSTITUTE(F129,"'","''")&amp;"'!A1","Open"))</f>
        <v/>
      </c>
    </row>
    <row r="130" ht="18" customHeight="1">
      <c r="A130" s="37" t="inlineStr">
        <is>
          <t>https://africanmarketingconfederation.org/smoke-archive/page-16</t>
        </is>
      </c>
      <c r="B130" s="30" t="inlineStr">
        <is>
          <t>Issue Inventory</t>
        </is>
      </c>
      <c r="C130" s="80" t="inlineStr">
        <is>
          <t>Moderate Lighthouse Performance Mobile (50–89)</t>
        </is>
      </c>
      <c r="D130" s="30" t="inlineStr">
        <is>
          <t>Observation</t>
        </is>
      </c>
      <c r="E130" s="31" t="n">
        <v>1</v>
      </c>
      <c r="F130" s="41" t="inlineStr">
        <is>
          <t>Technical Diagnostics</t>
        </is>
      </c>
      <c r="G130" s="30" t="inlineStr">
        <is>
          <t>https://africanmarketingconfederation.org/smoke-archive/page-16::moderate_lighthouse_performance_mobile_50_89_</t>
        </is>
      </c>
      <c r="H130" s="30" t="inlineStr">
        <is>
          <t>Dev</t>
        </is>
      </c>
      <c r="I130" s="30" t="inlineStr"/>
      <c r="J130" s="30" t="inlineStr">
        <is>
          <t>To Do</t>
        </is>
      </c>
      <c r="K130" s="31" t="inlineStr">
        <is>
          <t>https://africanmarketingconfederation.org/smoke-archive/page-16</t>
        </is>
      </c>
      <c r="L130" s="30" t="inlineStr">
        <is>
          <t>IssueInventory</t>
        </is>
      </c>
      <c r="M130" s="30" t="n">
        <v>78</v>
      </c>
      <c r="N130" s="30" t="inlineStr">
        <is>
          <t>2026-07-01 20:54:35</t>
        </is>
      </c>
      <c r="O130" s="30" t="n">
        <v>0</v>
      </c>
      <c r="P130" s="30" t="inlineStr"/>
      <c r="Q130" s="30" t="inlineStr"/>
      <c r="R130" s="38">
        <f>IFERROR(HYPERLINK("#'Main'!B"&amp;MATCH(TRIM(A130),'Main'!B:B,0),"Open"),HYPERLINK("#'Main'!B1","Open"))</f>
        <v/>
      </c>
      <c r="S130" s="38">
        <f>IFERROR(HYPERLINK("#'"&amp;SUBSTITUTE(F130,"'","''")&amp;"'!A"&amp;MATCH(A130,INDIRECT("'"&amp;SUBSTITUTE(F130,"'","''")&amp;"'!A:A"),0),"Open"),HYPERLINK("#'"&amp;SUBSTITUTE(F130,"'","''")&amp;"'!A1","Open"))</f>
        <v/>
      </c>
    </row>
    <row r="131" ht="18" customHeight="1">
      <c r="A131" s="35" t="inlineStr">
        <is>
          <t>https://africanmarketingconfederation.org/smoke-archive/page-16</t>
        </is>
      </c>
      <c r="B131" s="28" t="inlineStr">
        <is>
          <t>Issue Inventory</t>
        </is>
      </c>
      <c r="C131" s="79" t="inlineStr">
        <is>
          <t>Render Blocking Resources</t>
        </is>
      </c>
      <c r="D131" s="28" t="inlineStr">
        <is>
          <t>Observation</t>
        </is>
      </c>
      <c r="E131" s="20" t="n">
        <v>1</v>
      </c>
      <c r="F131" s="39" t="inlineStr">
        <is>
          <t>Technical Diagnostics</t>
        </is>
      </c>
      <c r="G131" s="28" t="inlineStr">
        <is>
          <t>https://africanmarketingconfederation.org/smoke-archive/page-16::render_blocking_resources</t>
        </is>
      </c>
      <c r="H131" s="28" t="inlineStr">
        <is>
          <t>Dev</t>
        </is>
      </c>
      <c r="I131" s="28" t="inlineStr"/>
      <c r="J131" s="28" t="inlineStr">
        <is>
          <t>To Do</t>
        </is>
      </c>
      <c r="K131" s="20" t="inlineStr">
        <is>
          <t>https://africanmarketingconfederation.org/smoke-archive/page-16</t>
        </is>
      </c>
      <c r="L131" s="28" t="inlineStr">
        <is>
          <t>IssueInventory</t>
        </is>
      </c>
      <c r="M131" s="28" t="n">
        <v>79</v>
      </c>
      <c r="N131" s="28" t="inlineStr">
        <is>
          <t>2026-07-01 20:54:35</t>
        </is>
      </c>
      <c r="O131" s="28" t="n">
        <v>0</v>
      </c>
      <c r="P131" s="28" t="inlineStr"/>
      <c r="Q131" s="28" t="inlineStr"/>
      <c r="R131">
        <f>IFERROR(HYPERLINK("#'Main'!B"&amp;MATCH(TRIM(A131),'Main'!B:B,0),"Open"),HYPERLINK("#'Main'!B1","Open"))</f>
        <v/>
      </c>
      <c r="S131">
        <f>IFERROR(HYPERLINK("#'"&amp;SUBSTITUTE(F131,"'","''")&amp;"'!A"&amp;MATCH(A131,INDIRECT("'"&amp;SUBSTITUTE(F131,"'","''")&amp;"'!A:A"),0),"Open"),HYPERLINK("#'"&amp;SUBSTITUTE(F131,"'","''")&amp;"'!A1","Open"))</f>
        <v/>
      </c>
    </row>
    <row r="132" ht="18" customHeight="1">
      <c r="A132" s="37" t="inlineStr">
        <is>
          <t>https://africanmarketingconfederation.org/smoke-archive/page-17</t>
        </is>
      </c>
      <c r="B132" s="30" t="inlineStr">
        <is>
          <t>Issue Inventory</t>
        </is>
      </c>
      <c r="C132" s="80" t="inlineStr">
        <is>
          <t>Non-200 Status</t>
        </is>
      </c>
      <c r="D132" s="30" t="inlineStr">
        <is>
          <t>Critical</t>
        </is>
      </c>
      <c r="E132" s="31" t="n">
        <v>1</v>
      </c>
      <c r="F132" s="41" t="inlineStr">
        <is>
          <t>Technical Diagnostics</t>
        </is>
      </c>
      <c r="G132" s="30" t="inlineStr">
        <is>
          <t>https://africanmarketingconfederation.org/smoke-archive/page-17::non-200_status</t>
        </is>
      </c>
      <c r="H132" s="30" t="inlineStr">
        <is>
          <t>Server/Host</t>
        </is>
      </c>
      <c r="I132" s="30" t="inlineStr"/>
      <c r="J132" s="30" t="inlineStr">
        <is>
          <t>To Do</t>
        </is>
      </c>
      <c r="K132" s="31" t="inlineStr">
        <is>
          <t>https://africanmarketingconfederation.org/smoke-archive/page-17</t>
        </is>
      </c>
      <c r="L132" s="30" t="inlineStr">
        <is>
          <t>IssueInventory</t>
        </is>
      </c>
      <c r="M132" s="30" t="n">
        <v>80</v>
      </c>
      <c r="N132" s="30" t="inlineStr">
        <is>
          <t>2026-07-01 20:54:35</t>
        </is>
      </c>
      <c r="O132" s="30" t="n">
        <v>0</v>
      </c>
      <c r="P132" s="30" t="inlineStr"/>
      <c r="Q132" s="30" t="inlineStr"/>
      <c r="R132" s="38">
        <f>IFERROR(HYPERLINK("#'Main'!B"&amp;MATCH(TRIM(A132),'Main'!B:B,0),"Open"),HYPERLINK("#'Main'!B1","Open"))</f>
        <v/>
      </c>
      <c r="S132" s="38">
        <f>IFERROR(HYPERLINK("#'"&amp;SUBSTITUTE(F132,"'","''")&amp;"'!A"&amp;MATCH(A132,INDIRECT("'"&amp;SUBSTITUTE(F132,"'","''")&amp;"'!A:A"),0),"Open"),HYPERLINK("#'"&amp;SUBSTITUTE(F132,"'","''")&amp;"'!A1","Open"))</f>
        <v/>
      </c>
    </row>
    <row r="133" ht="18" customHeight="1">
      <c r="A133" s="35" t="inlineStr">
        <is>
          <t>https://africanmarketingconfederation.org/smoke-archive/page-18</t>
        </is>
      </c>
      <c r="B133" s="28" t="inlineStr">
        <is>
          <t>Issue Inventory</t>
        </is>
      </c>
      <c r="C133" s="79" t="inlineStr">
        <is>
          <t>Low Image Alt Coverage</t>
        </is>
      </c>
      <c r="D133" s="28" t="inlineStr">
        <is>
          <t>Warning</t>
        </is>
      </c>
      <c r="E133" s="20" t="n">
        <v>1</v>
      </c>
      <c r="F133" s="39" t="inlineStr">
        <is>
          <t>Technical Diagnostics</t>
        </is>
      </c>
      <c r="G133" s="28" t="inlineStr">
        <is>
          <t>https://africanmarketingconfederation.org/smoke-archive/page-18::low_image_alt_coverage</t>
        </is>
      </c>
      <c r="H133" s="28" t="inlineStr">
        <is>
          <t>Copy Writer</t>
        </is>
      </c>
      <c r="I133" s="28" t="inlineStr"/>
      <c r="J133" s="28" t="inlineStr">
        <is>
          <t>To Do</t>
        </is>
      </c>
      <c r="K133" s="20" t="inlineStr">
        <is>
          <t>https://africanmarketingconfederation.org/smoke-archive/page-18</t>
        </is>
      </c>
      <c r="L133" s="28" t="inlineStr">
        <is>
          <t>IssueInventory</t>
        </is>
      </c>
      <c r="M133" s="28" t="n">
        <v>81</v>
      </c>
      <c r="N133" s="28" t="inlineStr">
        <is>
          <t>2026-07-01 20:54:35</t>
        </is>
      </c>
      <c r="O133" s="28" t="n">
        <v>0</v>
      </c>
      <c r="P133" s="28" t="inlineStr"/>
      <c r="Q133" s="28" t="inlineStr"/>
      <c r="R133">
        <f>IFERROR(HYPERLINK("#'Main'!B"&amp;MATCH(TRIM(A133),'Main'!B:B,0),"Open"),HYPERLINK("#'Main'!B1","Open"))</f>
        <v/>
      </c>
      <c r="S133">
        <f>IFERROR(HYPERLINK("#'"&amp;SUBSTITUTE(F133,"'","''")&amp;"'!A"&amp;MATCH(A133,INDIRECT("'"&amp;SUBSTITUTE(F133,"'","''")&amp;"'!A:A"),0),"Open"),HYPERLINK("#'"&amp;SUBSTITUTE(F133,"'","''")&amp;"'!A1","Open"))</f>
        <v/>
      </c>
    </row>
    <row r="134" ht="18" customHeight="1">
      <c r="A134" s="37" t="inlineStr">
        <is>
          <t>https://africanmarketingconfederation.org/smoke-archive/page-18</t>
        </is>
      </c>
      <c r="B134" s="30" t="inlineStr">
        <is>
          <t>Issue Inventory</t>
        </is>
      </c>
      <c r="C134" s="80" t="inlineStr">
        <is>
          <t>Missing OG Image</t>
        </is>
      </c>
      <c r="D134" s="30" t="inlineStr">
        <is>
          <t>Warning</t>
        </is>
      </c>
      <c r="E134" s="31" t="n">
        <v>1</v>
      </c>
      <c r="F134" s="41" t="inlineStr">
        <is>
          <t>Technical Diagnostics</t>
        </is>
      </c>
      <c r="G134" s="30" t="inlineStr">
        <is>
          <t>https://africanmarketingconfederation.org/smoke-archive/page-18::missing_og_image</t>
        </is>
      </c>
      <c r="H134" s="30" t="inlineStr">
        <is>
          <t>Copy Writer</t>
        </is>
      </c>
      <c r="I134" s="30" t="inlineStr"/>
      <c r="J134" s="30" t="inlineStr">
        <is>
          <t>To Do</t>
        </is>
      </c>
      <c r="K134" s="31" t="inlineStr">
        <is>
          <t>https://africanmarketingconfederation.org/smoke-archive/page-18</t>
        </is>
      </c>
      <c r="L134" s="30" t="inlineStr">
        <is>
          <t>IssueInventory</t>
        </is>
      </c>
      <c r="M134" s="30" t="n">
        <v>82</v>
      </c>
      <c r="N134" s="30" t="inlineStr">
        <is>
          <t>2026-07-01 20:54:35</t>
        </is>
      </c>
      <c r="O134" s="30" t="n">
        <v>0</v>
      </c>
      <c r="P134" s="30" t="inlineStr"/>
      <c r="Q134" s="30" t="inlineStr"/>
      <c r="R134" s="38">
        <f>IFERROR(HYPERLINK("#'Main'!B"&amp;MATCH(TRIM(A134),'Main'!B:B,0),"Open"),HYPERLINK("#'Main'!B1","Open"))</f>
        <v/>
      </c>
      <c r="S134" s="38">
        <f>IFERROR(HYPERLINK("#'"&amp;SUBSTITUTE(F134,"'","''")&amp;"'!A"&amp;MATCH(A134,INDIRECT("'"&amp;SUBSTITUTE(F134,"'","''")&amp;"'!A:A"),0),"Open"),HYPERLINK("#'"&amp;SUBSTITUTE(F134,"'","''")&amp;"'!A1","Open"))</f>
        <v/>
      </c>
    </row>
    <row r="135" ht="18" customHeight="1">
      <c r="A135" s="35" t="inlineStr">
        <is>
          <t>https://africanmarketingconfederation.org/smoke-archive/page-18</t>
        </is>
      </c>
      <c r="B135" s="28" t="inlineStr">
        <is>
          <t>Issue Inventory</t>
        </is>
      </c>
      <c r="C135" s="79" t="inlineStr">
        <is>
          <t>Low AEO Readiness Score</t>
        </is>
      </c>
      <c r="D135" s="28" t="inlineStr">
        <is>
          <t>Warning</t>
        </is>
      </c>
      <c r="E135" s="20" t="n">
        <v>1</v>
      </c>
      <c r="F135" s="39" t="inlineStr">
        <is>
          <t>Content &amp; AI Readiness</t>
        </is>
      </c>
      <c r="G135" s="28" t="inlineStr">
        <is>
          <t>https://africanmarketingconfederation.org/smoke-archive/page-18::low_aeo_readiness_score</t>
        </is>
      </c>
      <c r="H135" s="28" t="inlineStr">
        <is>
          <t>Copy Writer</t>
        </is>
      </c>
      <c r="I135" s="28" t="inlineStr"/>
      <c r="J135" s="28" t="inlineStr">
        <is>
          <t>To Do</t>
        </is>
      </c>
      <c r="K135" s="20" t="inlineStr">
        <is>
          <t>https://africanmarketingconfederation.org/smoke-archive/page-18</t>
        </is>
      </c>
      <c r="L135" s="28" t="inlineStr">
        <is>
          <t>IssueInventory</t>
        </is>
      </c>
      <c r="M135" s="28" t="n">
        <v>83</v>
      </c>
      <c r="N135" s="28" t="inlineStr">
        <is>
          <t>2026-07-01 20:54:35</t>
        </is>
      </c>
      <c r="O135" s="28" t="n">
        <v>0</v>
      </c>
      <c r="P135" s="28" t="inlineStr"/>
      <c r="Q135" s="28" t="inlineStr"/>
      <c r="R135">
        <f>IFERROR(HYPERLINK("#'Main'!B"&amp;MATCH(TRIM(A135),'Main'!B:B,0),"Open"),HYPERLINK("#'Main'!B1","Open"))</f>
        <v/>
      </c>
      <c r="S135">
        <f>IFERROR(HYPERLINK("#'"&amp;SUBSTITUTE(F135,"'","''")&amp;"'!A"&amp;MATCH(A135,INDIRECT("'"&amp;SUBSTITUTE(F135,"'","''")&amp;"'!A:A"),0),"Open"),HYPERLINK("#'"&amp;SUBSTITUTE(F135,"'","''")&amp;"'!A1","Open"))</f>
        <v/>
      </c>
    </row>
    <row r="136" ht="18" customHeight="1">
      <c r="A136" s="37" t="inlineStr">
        <is>
          <t>https://africanmarketingconfederation.org/smoke-archive/page-18</t>
        </is>
      </c>
      <c r="B136" s="30" t="inlineStr">
        <is>
          <t>Issue Inventory</t>
        </is>
      </c>
      <c r="C136" s="80" t="inlineStr">
        <is>
          <t>No Question Headings</t>
        </is>
      </c>
      <c r="D136" s="30" t="inlineStr">
        <is>
          <t>Observation</t>
        </is>
      </c>
      <c r="E136" s="31" t="n">
        <v>1</v>
      </c>
      <c r="F136" s="41" t="inlineStr">
        <is>
          <t>Content &amp; AI Readiness</t>
        </is>
      </c>
      <c r="G136" s="30" t="inlineStr">
        <is>
          <t>https://africanmarketingconfederation.org/smoke-archive/page-18::no_question_headings</t>
        </is>
      </c>
      <c r="H136" s="30" t="inlineStr">
        <is>
          <t>Copy Writer</t>
        </is>
      </c>
      <c r="I136" s="30" t="inlineStr"/>
      <c r="J136" s="30" t="inlineStr">
        <is>
          <t>To Do</t>
        </is>
      </c>
      <c r="K136" s="31" t="inlineStr">
        <is>
          <t>https://africanmarketingconfederation.org/smoke-archive/page-18</t>
        </is>
      </c>
      <c r="L136" s="30" t="inlineStr">
        <is>
          <t>IssueInventory</t>
        </is>
      </c>
      <c r="M136" s="30" t="n">
        <v>84</v>
      </c>
      <c r="N136" s="30" t="inlineStr">
        <is>
          <t>2026-07-01 20:54:35</t>
        </is>
      </c>
      <c r="O136" s="30" t="n">
        <v>0</v>
      </c>
      <c r="P136" s="30" t="inlineStr"/>
      <c r="Q136" s="30" t="inlineStr"/>
      <c r="R136" s="38">
        <f>IFERROR(HYPERLINK("#'Main'!B"&amp;MATCH(TRIM(A136),'Main'!B:B,0),"Open"),HYPERLINK("#'Main'!B1","Open"))</f>
        <v/>
      </c>
      <c r="S136" s="38">
        <f>IFERROR(HYPERLINK("#'"&amp;SUBSTITUTE(F136,"'","''")&amp;"'!A"&amp;MATCH(A136,INDIRECT("'"&amp;SUBSTITUTE(F136,"'","''")&amp;"'!A:A"),0),"Open"),HYPERLINK("#'"&amp;SUBSTITUTE(F136,"'","''")&amp;"'!A1","Open"))</f>
        <v/>
      </c>
    </row>
    <row r="137" ht="18" customHeight="1">
      <c r="A137" s="35" t="inlineStr">
        <is>
          <t>https://africanmarketingconfederation.org/smoke-archive/page-18</t>
        </is>
      </c>
      <c r="B137" s="28" t="inlineStr">
        <is>
          <t>Issue Inventory</t>
        </is>
      </c>
      <c r="C137" s="79" t="inlineStr">
        <is>
          <t>No Answer-Friendly Structure</t>
        </is>
      </c>
      <c r="D137" s="28" t="inlineStr">
        <is>
          <t>Observation</t>
        </is>
      </c>
      <c r="E137" s="20" t="n">
        <v>1</v>
      </c>
      <c r="F137" s="39" t="inlineStr">
        <is>
          <t>Technical Diagnostics</t>
        </is>
      </c>
      <c r="G137" s="28" t="inlineStr">
        <is>
          <t>https://africanmarketingconfederation.org/smoke-archive/page-18::no_answer-friendly_structure</t>
        </is>
      </c>
      <c r="H137" s="28" t="inlineStr">
        <is>
          <t>Copy Writer</t>
        </is>
      </c>
      <c r="I137" s="28" t="inlineStr"/>
      <c r="J137" s="28" t="inlineStr">
        <is>
          <t>To Do</t>
        </is>
      </c>
      <c r="K137" s="20" t="inlineStr">
        <is>
          <t>https://africanmarketingconfederation.org/smoke-archive/page-18</t>
        </is>
      </c>
      <c r="L137" s="28" t="inlineStr">
        <is>
          <t>IssueInventory</t>
        </is>
      </c>
      <c r="M137" s="28" t="n">
        <v>85</v>
      </c>
      <c r="N137" s="28" t="inlineStr">
        <is>
          <t>2026-07-01 20:54:35</t>
        </is>
      </c>
      <c r="O137" s="28" t="n">
        <v>0</v>
      </c>
      <c r="P137" s="28" t="inlineStr"/>
      <c r="Q137" s="28" t="inlineStr"/>
      <c r="R137">
        <f>IFERROR(HYPERLINK("#'Main'!B"&amp;MATCH(TRIM(A137),'Main'!B:B,0),"Open"),HYPERLINK("#'Main'!B1","Open"))</f>
        <v/>
      </c>
      <c r="S137">
        <f>IFERROR(HYPERLINK("#'"&amp;SUBSTITUTE(F137,"'","''")&amp;"'!A"&amp;MATCH(A137,INDIRECT("'"&amp;SUBSTITUTE(F137,"'","''")&amp;"'!A:A"),0),"Open"),HYPERLINK("#'"&amp;SUBSTITUTE(F137,"'","''")&amp;"'!A1","Open"))</f>
        <v/>
      </c>
    </row>
    <row r="138" ht="18" customHeight="1">
      <c r="A138" s="37" t="inlineStr">
        <is>
          <t>https://africanmarketingconfederation.org/smoke-archive/page-18</t>
        </is>
      </c>
      <c r="B138" s="30" t="inlineStr">
        <is>
          <t>Issue Inventory</t>
        </is>
      </c>
      <c r="C138" s="80" t="inlineStr">
        <is>
          <t>No 40-60 Word Answer Paragraphs</t>
        </is>
      </c>
      <c r="D138" s="30" t="inlineStr">
        <is>
          <t>Observation</t>
        </is>
      </c>
      <c r="E138" s="31" t="n">
        <v>1</v>
      </c>
      <c r="F138" s="41" t="inlineStr">
        <is>
          <t>Technical Diagnostics</t>
        </is>
      </c>
      <c r="G138" s="30" t="inlineStr">
        <is>
          <t>https://africanmarketingconfederation.org/smoke-archive/page-18::no_40-60_word_answer_paragraphs</t>
        </is>
      </c>
      <c r="H138" s="30" t="inlineStr">
        <is>
          <t>Copy Writer</t>
        </is>
      </c>
      <c r="I138" s="30" t="inlineStr"/>
      <c r="J138" s="30" t="inlineStr">
        <is>
          <t>To Do</t>
        </is>
      </c>
      <c r="K138" s="31" t="inlineStr">
        <is>
          <t>https://africanmarketingconfederation.org/smoke-archive/page-18</t>
        </is>
      </c>
      <c r="L138" s="30" t="inlineStr">
        <is>
          <t>IssueInventory</t>
        </is>
      </c>
      <c r="M138" s="30" t="n">
        <v>86</v>
      </c>
      <c r="N138" s="30" t="inlineStr">
        <is>
          <t>2026-07-01 20:54:35</t>
        </is>
      </c>
      <c r="O138" s="30" t="n">
        <v>0</v>
      </c>
      <c r="P138" s="30" t="inlineStr"/>
      <c r="Q138" s="30" t="inlineStr"/>
      <c r="R138" s="38">
        <f>IFERROR(HYPERLINK("#'Main'!B"&amp;MATCH(TRIM(A138),'Main'!B:B,0),"Open"),HYPERLINK("#'Main'!B1","Open"))</f>
        <v/>
      </c>
      <c r="S138" s="38">
        <f>IFERROR(HYPERLINK("#'"&amp;SUBSTITUTE(F138,"'","''")&amp;"'!A"&amp;MATCH(A138,INDIRECT("'"&amp;SUBSTITUTE(F138,"'","''")&amp;"'!A:A"),0),"Open"),HYPERLINK("#'"&amp;SUBSTITUTE(F138,"'","''")&amp;"'!A1","Open"))</f>
        <v/>
      </c>
    </row>
    <row r="139" ht="18" customHeight="1">
      <c r="A139" s="35" t="inlineStr">
        <is>
          <t>https://africanmarketingconfederation.org/smoke-archive/page-18</t>
        </is>
      </c>
      <c r="B139" s="28" t="inlineStr">
        <is>
          <t>Issue Inventory</t>
        </is>
      </c>
      <c r="C139" s="79" t="inlineStr">
        <is>
          <t>Lab TBT 150ms–300ms (Mobile)</t>
        </is>
      </c>
      <c r="D139" s="28" t="inlineStr">
        <is>
          <t>Observation</t>
        </is>
      </c>
      <c r="E139" s="20" t="n">
        <v>1</v>
      </c>
      <c r="F139" s="39" t="inlineStr">
        <is>
          <t>Technical Diagnostics</t>
        </is>
      </c>
      <c r="G139" s="28" t="inlineStr">
        <is>
          <t>https://africanmarketingconfederation.org/smoke-archive/page-18::lab_tbt_150ms_300ms_mobile_</t>
        </is>
      </c>
      <c r="H139" s="28" t="inlineStr">
        <is>
          <t>Dev</t>
        </is>
      </c>
      <c r="I139" s="28" t="inlineStr"/>
      <c r="J139" s="28" t="inlineStr">
        <is>
          <t>To Do</t>
        </is>
      </c>
      <c r="K139" s="20" t="inlineStr">
        <is>
          <t>https://africanmarketingconfederation.org/smoke-archive/page-18</t>
        </is>
      </c>
      <c r="L139" s="28" t="inlineStr">
        <is>
          <t>IssueInventory</t>
        </is>
      </c>
      <c r="M139" s="28" t="n">
        <v>87</v>
      </c>
      <c r="N139" s="28" t="inlineStr">
        <is>
          <t>2026-07-01 20:54:35</t>
        </is>
      </c>
      <c r="O139" s="28" t="n">
        <v>0</v>
      </c>
      <c r="P139" s="28" t="inlineStr"/>
      <c r="Q139" s="28" t="inlineStr"/>
      <c r="R139">
        <f>IFERROR(HYPERLINK("#'Main'!B"&amp;MATCH(TRIM(A139),'Main'!B:B,0),"Open"),HYPERLINK("#'Main'!B1","Open"))</f>
        <v/>
      </c>
      <c r="S139">
        <f>IFERROR(HYPERLINK("#'"&amp;SUBSTITUTE(F139,"'","''")&amp;"'!A"&amp;MATCH(A139,INDIRECT("'"&amp;SUBSTITUTE(F139,"'","''")&amp;"'!A:A"),0),"Open"),HYPERLINK("#'"&amp;SUBSTITUTE(F139,"'","''")&amp;"'!A1","Open"))</f>
        <v/>
      </c>
    </row>
    <row r="140" ht="18" customHeight="1">
      <c r="A140" s="37" t="inlineStr">
        <is>
          <t>https://africanmarketingconfederation.org/smoke-archive/page-18</t>
        </is>
      </c>
      <c r="B140" s="30" t="inlineStr">
        <is>
          <t>Issue Inventory</t>
        </is>
      </c>
      <c r="C140" s="80" t="inlineStr">
        <is>
          <t>Moderate Lighthouse Performance Mobile (50–89)</t>
        </is>
      </c>
      <c r="D140" s="30" t="inlineStr">
        <is>
          <t>Observation</t>
        </is>
      </c>
      <c r="E140" s="31" t="n">
        <v>1</v>
      </c>
      <c r="F140" s="41" t="inlineStr">
        <is>
          <t>Technical Diagnostics</t>
        </is>
      </c>
      <c r="G140" s="30" t="inlineStr">
        <is>
          <t>https://africanmarketingconfederation.org/smoke-archive/page-18::moderate_lighthouse_performance_mobile_50_89_</t>
        </is>
      </c>
      <c r="H140" s="30" t="inlineStr">
        <is>
          <t>Dev</t>
        </is>
      </c>
      <c r="I140" s="30" t="inlineStr"/>
      <c r="J140" s="30" t="inlineStr">
        <is>
          <t>To Do</t>
        </is>
      </c>
      <c r="K140" s="31" t="inlineStr">
        <is>
          <t>https://africanmarketingconfederation.org/smoke-archive/page-18</t>
        </is>
      </c>
      <c r="L140" s="30" t="inlineStr">
        <is>
          <t>IssueInventory</t>
        </is>
      </c>
      <c r="M140" s="30" t="n">
        <v>88</v>
      </c>
      <c r="N140" s="30" t="inlineStr">
        <is>
          <t>2026-07-01 20:54:35</t>
        </is>
      </c>
      <c r="O140" s="30" t="n">
        <v>0</v>
      </c>
      <c r="P140" s="30" t="inlineStr"/>
      <c r="Q140" s="30" t="inlineStr"/>
      <c r="R140" s="38">
        <f>IFERROR(HYPERLINK("#'Main'!B"&amp;MATCH(TRIM(A140),'Main'!B:B,0),"Open"),HYPERLINK("#'Main'!B1","Open"))</f>
        <v/>
      </c>
      <c r="S140" s="38">
        <f>IFERROR(HYPERLINK("#'"&amp;SUBSTITUTE(F140,"'","''")&amp;"'!A"&amp;MATCH(A140,INDIRECT("'"&amp;SUBSTITUTE(F140,"'","''")&amp;"'!A:A"),0),"Open"),HYPERLINK("#'"&amp;SUBSTITUTE(F140,"'","''")&amp;"'!A1","Open"))</f>
        <v/>
      </c>
    </row>
    <row r="141" ht="18" customHeight="1">
      <c r="A141" s="35" t="inlineStr">
        <is>
          <t>https://africanmarketingconfederation.org/smoke-archive/page-18</t>
        </is>
      </c>
      <c r="B141" s="28" t="inlineStr">
        <is>
          <t>Issue Inventory</t>
        </is>
      </c>
      <c r="C141" s="79" t="inlineStr">
        <is>
          <t>Render Blocking Resources</t>
        </is>
      </c>
      <c r="D141" s="28" t="inlineStr">
        <is>
          <t>Observation</t>
        </is>
      </c>
      <c r="E141" s="20" t="n">
        <v>1</v>
      </c>
      <c r="F141" s="39" t="inlineStr">
        <is>
          <t>Technical Diagnostics</t>
        </is>
      </c>
      <c r="G141" s="28" t="inlineStr">
        <is>
          <t>https://africanmarketingconfederation.org/smoke-archive/page-18::render_blocking_resources</t>
        </is>
      </c>
      <c r="H141" s="28" t="inlineStr">
        <is>
          <t>Dev</t>
        </is>
      </c>
      <c r="I141" s="28" t="inlineStr"/>
      <c r="J141" s="28" t="inlineStr">
        <is>
          <t>To Do</t>
        </is>
      </c>
      <c r="K141" s="20" t="inlineStr">
        <is>
          <t>https://africanmarketingconfederation.org/smoke-archive/page-18</t>
        </is>
      </c>
      <c r="L141" s="28" t="inlineStr">
        <is>
          <t>IssueInventory</t>
        </is>
      </c>
      <c r="M141" s="28" t="n">
        <v>89</v>
      </c>
      <c r="N141" s="28" t="inlineStr">
        <is>
          <t>2026-07-01 20:54:35</t>
        </is>
      </c>
      <c r="O141" s="28" t="n">
        <v>0</v>
      </c>
      <c r="P141" s="28" t="inlineStr"/>
      <c r="Q141" s="28" t="inlineStr"/>
      <c r="R141">
        <f>IFERROR(HYPERLINK("#'Main'!B"&amp;MATCH(TRIM(A141),'Main'!B:B,0),"Open"),HYPERLINK("#'Main'!B1","Open"))</f>
        <v/>
      </c>
      <c r="S141">
        <f>IFERROR(HYPERLINK("#'"&amp;SUBSTITUTE(F141,"'","''")&amp;"'!A"&amp;MATCH(A141,INDIRECT("'"&amp;SUBSTITUTE(F141,"'","''")&amp;"'!A:A"),0),"Open"),HYPERLINK("#'"&amp;SUBSTITUTE(F141,"'","''")&amp;"'!A1","Open"))</f>
        <v/>
      </c>
    </row>
    <row r="142" ht="18" customHeight="1">
      <c r="A142" s="37" t="inlineStr">
        <is>
          <t>https://africanmarketingconfederation.org/smoke-archive/page-19</t>
        </is>
      </c>
      <c r="B142" s="30" t="inlineStr">
        <is>
          <t>Issue Inventory</t>
        </is>
      </c>
      <c r="C142" s="80" t="inlineStr">
        <is>
          <t>Missing OG Image</t>
        </is>
      </c>
      <c r="D142" s="30" t="inlineStr">
        <is>
          <t>Warning</t>
        </is>
      </c>
      <c r="E142" s="31" t="n">
        <v>1</v>
      </c>
      <c r="F142" s="41" t="inlineStr">
        <is>
          <t>Technical Diagnostics</t>
        </is>
      </c>
      <c r="G142" s="30" t="inlineStr">
        <is>
          <t>https://africanmarketingconfederation.org/smoke-archive/page-19::missing_og_image</t>
        </is>
      </c>
      <c r="H142" s="30" t="inlineStr">
        <is>
          <t>Copy Writer</t>
        </is>
      </c>
      <c r="I142" s="30" t="inlineStr"/>
      <c r="J142" s="30" t="inlineStr">
        <is>
          <t>To Do</t>
        </is>
      </c>
      <c r="K142" s="31" t="inlineStr">
        <is>
          <t>https://africanmarketingconfederation.org/smoke-archive/page-19</t>
        </is>
      </c>
      <c r="L142" s="30" t="inlineStr">
        <is>
          <t>IssueInventory</t>
        </is>
      </c>
      <c r="M142" s="30" t="n">
        <v>90</v>
      </c>
      <c r="N142" s="30" t="inlineStr">
        <is>
          <t>2026-07-01 20:54:35</t>
        </is>
      </c>
      <c r="O142" s="30" t="n">
        <v>0</v>
      </c>
      <c r="P142" s="30" t="inlineStr"/>
      <c r="Q142" s="30" t="inlineStr"/>
      <c r="R142" s="38">
        <f>IFERROR(HYPERLINK("#'Main'!B"&amp;MATCH(TRIM(A142),'Main'!B:B,0),"Open"),HYPERLINK("#'Main'!B1","Open"))</f>
        <v/>
      </c>
      <c r="S142" s="38">
        <f>IFERROR(HYPERLINK("#'"&amp;SUBSTITUTE(F142,"'","''")&amp;"'!A"&amp;MATCH(A142,INDIRECT("'"&amp;SUBSTITUTE(F142,"'","''")&amp;"'!A:A"),0),"Open"),HYPERLINK("#'"&amp;SUBSTITUTE(F142,"'","''")&amp;"'!A1","Open"))</f>
        <v/>
      </c>
    </row>
    <row r="143" ht="18" customHeight="1">
      <c r="A143" s="35" t="inlineStr">
        <is>
          <t>https://africanmarketingconfederation.org/smoke-archive/page-19</t>
        </is>
      </c>
      <c r="B143" s="28" t="inlineStr">
        <is>
          <t>Issue Inventory</t>
        </is>
      </c>
      <c r="C143" s="79" t="inlineStr">
        <is>
          <t>Lab TBT 150ms–300ms (Mobile)</t>
        </is>
      </c>
      <c r="D143" s="28" t="inlineStr">
        <is>
          <t>Observation</t>
        </is>
      </c>
      <c r="E143" s="20" t="n">
        <v>1</v>
      </c>
      <c r="F143" s="39" t="inlineStr">
        <is>
          <t>Technical Diagnostics</t>
        </is>
      </c>
      <c r="G143" s="28" t="inlineStr">
        <is>
          <t>https://africanmarketingconfederation.org/smoke-archive/page-19::lab_tbt_150ms_300ms_mobile_</t>
        </is>
      </c>
      <c r="H143" s="28" t="inlineStr">
        <is>
          <t>Dev</t>
        </is>
      </c>
      <c r="I143" s="28" t="inlineStr"/>
      <c r="J143" s="28" t="inlineStr">
        <is>
          <t>To Do</t>
        </is>
      </c>
      <c r="K143" s="20" t="inlineStr">
        <is>
          <t>https://africanmarketingconfederation.org/smoke-archive/page-19</t>
        </is>
      </c>
      <c r="L143" s="28" t="inlineStr">
        <is>
          <t>IssueInventory</t>
        </is>
      </c>
      <c r="M143" s="28" t="n">
        <v>91</v>
      </c>
      <c r="N143" s="28" t="inlineStr">
        <is>
          <t>2026-07-01 20:54:35</t>
        </is>
      </c>
      <c r="O143" s="28" t="n">
        <v>0</v>
      </c>
      <c r="P143" s="28" t="inlineStr"/>
      <c r="Q143" s="28" t="inlineStr"/>
      <c r="R143">
        <f>IFERROR(HYPERLINK("#'Main'!B"&amp;MATCH(TRIM(A143),'Main'!B:B,0),"Open"),HYPERLINK("#'Main'!B1","Open"))</f>
        <v/>
      </c>
      <c r="S143">
        <f>IFERROR(HYPERLINK("#'"&amp;SUBSTITUTE(F143,"'","''")&amp;"'!A"&amp;MATCH(A143,INDIRECT("'"&amp;SUBSTITUTE(F143,"'","''")&amp;"'!A:A"),0),"Open"),HYPERLINK("#'"&amp;SUBSTITUTE(F143,"'","''")&amp;"'!A1","Open"))</f>
        <v/>
      </c>
    </row>
    <row r="144" ht="18" customHeight="1">
      <c r="A144" s="37" t="inlineStr">
        <is>
          <t>https://africanmarketingconfederation.org/smoke-archive/page-19</t>
        </is>
      </c>
      <c r="B144" s="30" t="inlineStr">
        <is>
          <t>Issue Inventory</t>
        </is>
      </c>
      <c r="C144" s="80" t="inlineStr">
        <is>
          <t>Moderate Lighthouse Performance Mobile (50–89)</t>
        </is>
      </c>
      <c r="D144" s="30" t="inlineStr">
        <is>
          <t>Observation</t>
        </is>
      </c>
      <c r="E144" s="31" t="n">
        <v>1</v>
      </c>
      <c r="F144" s="41" t="inlineStr">
        <is>
          <t>Technical Diagnostics</t>
        </is>
      </c>
      <c r="G144" s="30" t="inlineStr">
        <is>
          <t>https://africanmarketingconfederation.org/smoke-archive/page-19::moderate_lighthouse_performance_mobile_50_89_</t>
        </is>
      </c>
      <c r="H144" s="30" t="inlineStr">
        <is>
          <t>Dev</t>
        </is>
      </c>
      <c r="I144" s="30" t="inlineStr"/>
      <c r="J144" s="30" t="inlineStr">
        <is>
          <t>To Do</t>
        </is>
      </c>
      <c r="K144" s="31" t="inlineStr">
        <is>
          <t>https://africanmarketingconfederation.org/smoke-archive/page-19</t>
        </is>
      </c>
      <c r="L144" s="30" t="inlineStr">
        <is>
          <t>IssueInventory</t>
        </is>
      </c>
      <c r="M144" s="30" t="n">
        <v>92</v>
      </c>
      <c r="N144" s="30" t="inlineStr">
        <is>
          <t>2026-07-01 20:54:35</t>
        </is>
      </c>
      <c r="O144" s="30" t="n">
        <v>0</v>
      </c>
      <c r="P144" s="30" t="inlineStr"/>
      <c r="Q144" s="30" t="inlineStr"/>
      <c r="R144" s="38">
        <f>IFERROR(HYPERLINK("#'Main'!B"&amp;MATCH(TRIM(A144),'Main'!B:B,0),"Open"),HYPERLINK("#'Main'!B1","Open"))</f>
        <v/>
      </c>
      <c r="S144" s="38">
        <f>IFERROR(HYPERLINK("#'"&amp;SUBSTITUTE(F144,"'","''")&amp;"'!A"&amp;MATCH(A144,INDIRECT("'"&amp;SUBSTITUTE(F144,"'","''")&amp;"'!A:A"),0),"Open"),HYPERLINK("#'"&amp;SUBSTITUTE(F144,"'","''")&amp;"'!A1","Open"))</f>
        <v/>
      </c>
    </row>
    <row r="145" ht="18" customHeight="1">
      <c r="A145" s="35" t="inlineStr">
        <is>
          <t>https://africanmarketingconfederation.org/smoke-archive/page-19</t>
        </is>
      </c>
      <c r="B145" s="28" t="inlineStr">
        <is>
          <t>Issue Inventory</t>
        </is>
      </c>
      <c r="C145" s="79" t="inlineStr">
        <is>
          <t>Render Blocking Resources</t>
        </is>
      </c>
      <c r="D145" s="28" t="inlineStr">
        <is>
          <t>Observation</t>
        </is>
      </c>
      <c r="E145" s="20" t="n">
        <v>1</v>
      </c>
      <c r="F145" s="39" t="inlineStr">
        <is>
          <t>Technical Diagnostics</t>
        </is>
      </c>
      <c r="G145" s="28" t="inlineStr">
        <is>
          <t>https://africanmarketingconfederation.org/smoke-archive/page-19::render_blocking_resources</t>
        </is>
      </c>
      <c r="H145" s="28" t="inlineStr">
        <is>
          <t>Dev</t>
        </is>
      </c>
      <c r="I145" s="28" t="inlineStr"/>
      <c r="J145" s="28" t="inlineStr">
        <is>
          <t>To Do</t>
        </is>
      </c>
      <c r="K145" s="20" t="inlineStr">
        <is>
          <t>https://africanmarketingconfederation.org/smoke-archive/page-19</t>
        </is>
      </c>
      <c r="L145" s="28" t="inlineStr">
        <is>
          <t>IssueInventory</t>
        </is>
      </c>
      <c r="M145" s="28" t="n">
        <v>93</v>
      </c>
      <c r="N145" s="28" t="inlineStr">
        <is>
          <t>2026-07-01 20:54:35</t>
        </is>
      </c>
      <c r="O145" s="28" t="n">
        <v>0</v>
      </c>
      <c r="P145" s="28" t="inlineStr"/>
      <c r="Q145" s="28" t="inlineStr"/>
      <c r="R145">
        <f>IFERROR(HYPERLINK("#'Main'!B"&amp;MATCH(TRIM(A145),'Main'!B:B,0),"Open"),HYPERLINK("#'Main'!B1","Open"))</f>
        <v/>
      </c>
      <c r="S145">
        <f>IFERROR(HYPERLINK("#'"&amp;SUBSTITUTE(F145,"'","''")&amp;"'!A"&amp;MATCH(A145,INDIRECT("'"&amp;SUBSTITUTE(F145,"'","''")&amp;"'!A:A"),0),"Open"),HYPERLINK("#'"&amp;SUBSTITUTE(F145,"'","''")&amp;"'!A1","Open"))</f>
        <v/>
      </c>
    </row>
    <row r="146" ht="18" customHeight="1">
      <c r="A146" s="37" t="inlineStr">
        <is>
          <t>https://africanmarketingconfederation.org/smoke-archive/page-20</t>
        </is>
      </c>
      <c r="B146" s="30" t="inlineStr">
        <is>
          <t>Issue Inventory</t>
        </is>
      </c>
      <c r="C146" s="80" t="inlineStr">
        <is>
          <t>Missing Meta Description</t>
        </is>
      </c>
      <c r="D146" s="30" t="inlineStr">
        <is>
          <t>Warning</t>
        </is>
      </c>
      <c r="E146" s="31" t="n">
        <v>1</v>
      </c>
      <c r="F146" s="41" t="inlineStr">
        <is>
          <t>Technical Diagnostics</t>
        </is>
      </c>
      <c r="G146" s="30" t="inlineStr">
        <is>
          <t>https://africanmarketingconfederation.org/smoke-archive/page-20::missing_meta_description</t>
        </is>
      </c>
      <c r="H146" s="30" t="inlineStr">
        <is>
          <t>Copy Writer</t>
        </is>
      </c>
      <c r="I146" s="30" t="inlineStr"/>
      <c r="J146" s="30" t="inlineStr">
        <is>
          <t>To Do</t>
        </is>
      </c>
      <c r="K146" s="31" t="inlineStr">
        <is>
          <t>https://africanmarketingconfederation.org/smoke-archive/page-20</t>
        </is>
      </c>
      <c r="L146" s="30" t="inlineStr">
        <is>
          <t>IssueInventory</t>
        </is>
      </c>
      <c r="M146" s="30" t="n">
        <v>94</v>
      </c>
      <c r="N146" s="30" t="inlineStr">
        <is>
          <t>2026-07-01 20:54:35</t>
        </is>
      </c>
      <c r="O146" s="30" t="n">
        <v>0</v>
      </c>
      <c r="P146" s="30" t="inlineStr"/>
      <c r="Q146" s="30" t="inlineStr"/>
      <c r="R146" s="38">
        <f>IFERROR(HYPERLINK("#'Main'!B"&amp;MATCH(TRIM(A146),'Main'!B:B,0),"Open"),HYPERLINK("#'Main'!B1","Open"))</f>
        <v/>
      </c>
      <c r="S146" s="38">
        <f>IFERROR(HYPERLINK("#'"&amp;SUBSTITUTE(F146,"'","''")&amp;"'!A"&amp;MATCH(A146,INDIRECT("'"&amp;SUBSTITUTE(F146,"'","''")&amp;"'!A:A"),0),"Open"),HYPERLINK("#'"&amp;SUBSTITUTE(F146,"'","''")&amp;"'!A1","Open"))</f>
        <v/>
      </c>
    </row>
    <row r="147" ht="18" customHeight="1">
      <c r="A147" s="35" t="inlineStr">
        <is>
          <t>https://africanmarketingconfederation.org/smoke-archive/page-20</t>
        </is>
      </c>
      <c r="B147" s="28" t="inlineStr">
        <is>
          <t>Issue Inventory</t>
        </is>
      </c>
      <c r="C147" s="79" t="inlineStr">
        <is>
          <t>Missing OG Description</t>
        </is>
      </c>
      <c r="D147" s="28" t="inlineStr">
        <is>
          <t>Warning</t>
        </is>
      </c>
      <c r="E147" s="20" t="n">
        <v>1</v>
      </c>
      <c r="F147" s="39" t="inlineStr">
        <is>
          <t>Technical Diagnostics</t>
        </is>
      </c>
      <c r="G147" s="28" t="inlineStr">
        <is>
          <t>https://africanmarketingconfederation.org/smoke-archive/page-20::missing_og_description</t>
        </is>
      </c>
      <c r="H147" s="28" t="inlineStr">
        <is>
          <t>Copy Writer</t>
        </is>
      </c>
      <c r="I147" s="28" t="inlineStr"/>
      <c r="J147" s="28" t="inlineStr">
        <is>
          <t>To Do</t>
        </is>
      </c>
      <c r="K147" s="20" t="inlineStr">
        <is>
          <t>https://africanmarketingconfederation.org/smoke-archive/page-20</t>
        </is>
      </c>
      <c r="L147" s="28" t="inlineStr">
        <is>
          <t>IssueInventory</t>
        </is>
      </c>
      <c r="M147" s="28" t="n">
        <v>95</v>
      </c>
      <c r="N147" s="28" t="inlineStr">
        <is>
          <t>2026-07-01 20:54:35</t>
        </is>
      </c>
      <c r="O147" s="28" t="n">
        <v>0</v>
      </c>
      <c r="P147" s="28" t="inlineStr"/>
      <c r="Q147" s="28" t="inlineStr"/>
      <c r="R147">
        <f>IFERROR(HYPERLINK("#'Main'!B"&amp;MATCH(TRIM(A147),'Main'!B:B,0),"Open"),HYPERLINK("#'Main'!B1","Open"))</f>
        <v/>
      </c>
      <c r="S147">
        <f>IFERROR(HYPERLINK("#'"&amp;SUBSTITUTE(F147,"'","''")&amp;"'!A"&amp;MATCH(A147,INDIRECT("'"&amp;SUBSTITUTE(F147,"'","''")&amp;"'!A:A"),0),"Open"),HYPERLINK("#'"&amp;SUBSTITUTE(F147,"'","''")&amp;"'!A1","Open"))</f>
        <v/>
      </c>
    </row>
    <row r="148" ht="18" customHeight="1">
      <c r="A148" s="37" t="inlineStr">
        <is>
          <t>https://africanmarketingconfederation.org/smoke-archive/page-20</t>
        </is>
      </c>
      <c r="B148" s="30" t="inlineStr">
        <is>
          <t>Issue Inventory</t>
        </is>
      </c>
      <c r="C148" s="80" t="inlineStr">
        <is>
          <t>Lab TBT 150ms–300ms (Mobile)</t>
        </is>
      </c>
      <c r="D148" s="30" t="inlineStr">
        <is>
          <t>Observation</t>
        </is>
      </c>
      <c r="E148" s="31" t="n">
        <v>1</v>
      </c>
      <c r="F148" s="41" t="inlineStr">
        <is>
          <t>Technical Diagnostics</t>
        </is>
      </c>
      <c r="G148" s="30" t="inlineStr">
        <is>
          <t>https://africanmarketingconfederation.org/smoke-archive/page-20::lab_tbt_150ms_300ms_mobile_</t>
        </is>
      </c>
      <c r="H148" s="30" t="inlineStr">
        <is>
          <t>Dev</t>
        </is>
      </c>
      <c r="I148" s="30" t="inlineStr"/>
      <c r="J148" s="30" t="inlineStr">
        <is>
          <t>To Do</t>
        </is>
      </c>
      <c r="K148" s="31" t="inlineStr">
        <is>
          <t>https://africanmarketingconfederation.org/smoke-archive/page-20</t>
        </is>
      </c>
      <c r="L148" s="30" t="inlineStr">
        <is>
          <t>IssueInventory</t>
        </is>
      </c>
      <c r="M148" s="30" t="n">
        <v>96</v>
      </c>
      <c r="N148" s="30" t="inlineStr">
        <is>
          <t>2026-07-01 20:54:35</t>
        </is>
      </c>
      <c r="O148" s="30" t="n">
        <v>0</v>
      </c>
      <c r="P148" s="30" t="inlineStr"/>
      <c r="Q148" s="30" t="inlineStr"/>
      <c r="R148" s="38">
        <f>IFERROR(HYPERLINK("#'Main'!B"&amp;MATCH(TRIM(A148),'Main'!B:B,0),"Open"),HYPERLINK("#'Main'!B1","Open"))</f>
        <v/>
      </c>
      <c r="S148" s="38">
        <f>IFERROR(HYPERLINK("#'"&amp;SUBSTITUTE(F148,"'","''")&amp;"'!A"&amp;MATCH(A148,INDIRECT("'"&amp;SUBSTITUTE(F148,"'","''")&amp;"'!A:A"),0),"Open"),HYPERLINK("#'"&amp;SUBSTITUTE(F148,"'","''")&amp;"'!A1","Open"))</f>
        <v/>
      </c>
    </row>
    <row r="149" ht="18" customHeight="1">
      <c r="A149" s="35" t="inlineStr">
        <is>
          <t>https://africanmarketingconfederation.org/smoke-archive/page-20</t>
        </is>
      </c>
      <c r="B149" s="28" t="inlineStr">
        <is>
          <t>Issue Inventory</t>
        </is>
      </c>
      <c r="C149" s="79" t="inlineStr">
        <is>
          <t>Moderate Lighthouse Performance Mobile (50–89)</t>
        </is>
      </c>
      <c r="D149" s="28" t="inlineStr">
        <is>
          <t>Observation</t>
        </is>
      </c>
      <c r="E149" s="20" t="n">
        <v>1</v>
      </c>
      <c r="F149" s="39" t="inlineStr">
        <is>
          <t>Technical Diagnostics</t>
        </is>
      </c>
      <c r="G149" s="28" t="inlineStr">
        <is>
          <t>https://africanmarketingconfederation.org/smoke-archive/page-20::moderate_lighthouse_performance_mobile_50_89_</t>
        </is>
      </c>
      <c r="H149" s="28" t="inlineStr">
        <is>
          <t>Dev</t>
        </is>
      </c>
      <c r="I149" s="28" t="inlineStr"/>
      <c r="J149" s="28" t="inlineStr">
        <is>
          <t>To Do</t>
        </is>
      </c>
      <c r="K149" s="20" t="inlineStr">
        <is>
          <t>https://africanmarketingconfederation.org/smoke-archive/page-20</t>
        </is>
      </c>
      <c r="L149" s="28" t="inlineStr">
        <is>
          <t>IssueInventory</t>
        </is>
      </c>
      <c r="M149" s="28" t="n">
        <v>97</v>
      </c>
      <c r="N149" s="28" t="inlineStr">
        <is>
          <t>2026-07-01 20:54:35</t>
        </is>
      </c>
      <c r="O149" s="28" t="n">
        <v>0</v>
      </c>
      <c r="P149" s="28" t="inlineStr"/>
      <c r="Q149" s="28" t="inlineStr"/>
      <c r="R149">
        <f>IFERROR(HYPERLINK("#'Main'!B"&amp;MATCH(TRIM(A149),'Main'!B:B,0),"Open"),HYPERLINK("#'Main'!B1","Open"))</f>
        <v/>
      </c>
      <c r="S149">
        <f>IFERROR(HYPERLINK("#'"&amp;SUBSTITUTE(F149,"'","''")&amp;"'!A"&amp;MATCH(A149,INDIRECT("'"&amp;SUBSTITUTE(F149,"'","''")&amp;"'!A:A"),0),"Open"),HYPERLINK("#'"&amp;SUBSTITUTE(F149,"'","''")&amp;"'!A1","Open"))</f>
        <v/>
      </c>
    </row>
    <row r="150" ht="18" customHeight="1">
      <c r="A150" s="37" t="inlineStr">
        <is>
          <t>https://africanmarketingconfederation.org/smoke-archive/page-20</t>
        </is>
      </c>
      <c r="B150" s="30" t="inlineStr">
        <is>
          <t>Issue Inventory</t>
        </is>
      </c>
      <c r="C150" s="80" t="inlineStr">
        <is>
          <t>Render Blocking Resources</t>
        </is>
      </c>
      <c r="D150" s="30" t="inlineStr">
        <is>
          <t>Observation</t>
        </is>
      </c>
      <c r="E150" s="31" t="n">
        <v>1</v>
      </c>
      <c r="F150" s="41" t="inlineStr">
        <is>
          <t>Technical Diagnostics</t>
        </is>
      </c>
      <c r="G150" s="30" t="inlineStr">
        <is>
          <t>https://africanmarketingconfederation.org/smoke-archive/page-20::render_blocking_resources</t>
        </is>
      </c>
      <c r="H150" s="30" t="inlineStr">
        <is>
          <t>Dev</t>
        </is>
      </c>
      <c r="I150" s="30" t="inlineStr"/>
      <c r="J150" s="30" t="inlineStr">
        <is>
          <t>To Do</t>
        </is>
      </c>
      <c r="K150" s="31" t="inlineStr">
        <is>
          <t>https://africanmarketingconfederation.org/smoke-archive/page-20</t>
        </is>
      </c>
      <c r="L150" s="30" t="inlineStr">
        <is>
          <t>IssueInventory</t>
        </is>
      </c>
      <c r="M150" s="30" t="n">
        <v>98</v>
      </c>
      <c r="N150" s="30" t="inlineStr">
        <is>
          <t>2026-07-01 20:54:35</t>
        </is>
      </c>
      <c r="O150" s="30" t="n">
        <v>0</v>
      </c>
      <c r="P150" s="30" t="inlineStr"/>
      <c r="Q150" s="30" t="inlineStr"/>
      <c r="R150" s="38">
        <f>IFERROR(HYPERLINK("#'Main'!B"&amp;MATCH(TRIM(A150),'Main'!B:B,0),"Open"),HYPERLINK("#'Main'!B1","Open"))</f>
        <v/>
      </c>
      <c r="S150" s="38">
        <f>IFERROR(HYPERLINK("#'"&amp;SUBSTITUTE(F150,"'","''")&amp;"'!A"&amp;MATCH(A150,INDIRECT("'"&amp;SUBSTITUTE(F150,"'","''")&amp;"'!A:A"),0),"Open"),HYPERLINK("#'"&amp;SUBSTITUTE(F150,"'","''")&amp;"'!A1","Open"))</f>
        <v/>
      </c>
    </row>
    <row r="151" ht="18" customHeight="1">
      <c r="A151" s="35" t="inlineStr">
        <is>
          <t>https://africanmarketingconfederation.org/smoke-archive/page-21</t>
        </is>
      </c>
      <c r="B151" s="28" t="inlineStr">
        <is>
          <t>Issue Inventory</t>
        </is>
      </c>
      <c r="C151" s="79" t="inlineStr">
        <is>
          <t>Low E-E-A-T Signal Score (&lt;3)</t>
        </is>
      </c>
      <c r="D151" s="28" t="inlineStr">
        <is>
          <t>Warning</t>
        </is>
      </c>
      <c r="E151" s="20" t="n">
        <v>1</v>
      </c>
      <c r="F151" s="39" t="inlineStr">
        <is>
          <t>Technical Diagnostics</t>
        </is>
      </c>
      <c r="G151" s="28" t="inlineStr">
        <is>
          <t>https://africanmarketingconfederation.org/smoke-archive/page-21::low_e-e-a-t_signal_score_3_</t>
        </is>
      </c>
      <c r="H151" s="28" t="inlineStr">
        <is>
          <t>Copy Writer</t>
        </is>
      </c>
      <c r="I151" s="28" t="inlineStr"/>
      <c r="J151" s="28" t="inlineStr">
        <is>
          <t>To Do</t>
        </is>
      </c>
      <c r="K151" s="20" t="inlineStr">
        <is>
          <t>https://africanmarketingconfederation.org/smoke-archive/page-21</t>
        </is>
      </c>
      <c r="L151" s="28" t="inlineStr">
        <is>
          <t>IssueInventory</t>
        </is>
      </c>
      <c r="M151" s="28" t="n">
        <v>99</v>
      </c>
      <c r="N151" s="28" t="inlineStr">
        <is>
          <t>2026-07-01 20:54:35</t>
        </is>
      </c>
      <c r="O151" s="28" t="n">
        <v>0</v>
      </c>
      <c r="P151" s="28" t="inlineStr"/>
      <c r="Q151" s="28" t="inlineStr"/>
      <c r="R151">
        <f>IFERROR(HYPERLINK("#'Main'!B"&amp;MATCH(TRIM(A151),'Main'!B:B,0),"Open"),HYPERLINK("#'Main'!B1","Open"))</f>
        <v/>
      </c>
      <c r="S151">
        <f>IFERROR(HYPERLINK("#'"&amp;SUBSTITUTE(F151,"'","''")&amp;"'!A"&amp;MATCH(A151,INDIRECT("'"&amp;SUBSTITUTE(F151,"'","''")&amp;"'!A:A"),0),"Open"),HYPERLINK("#'"&amp;SUBSTITUTE(F151,"'","''")&amp;"'!A1","Open"))</f>
        <v/>
      </c>
    </row>
    <row r="152" ht="18" customHeight="1">
      <c r="A152" s="37" t="inlineStr">
        <is>
          <t>https://africanmarketingconfederation.org/smoke-archive/page-21</t>
        </is>
      </c>
      <c r="B152" s="30" t="inlineStr">
        <is>
          <t>Issue Inventory</t>
        </is>
      </c>
      <c r="C152" s="80" t="inlineStr">
        <is>
          <t>Missing OG Image</t>
        </is>
      </c>
      <c r="D152" s="30" t="inlineStr">
        <is>
          <t>Warning</t>
        </is>
      </c>
      <c r="E152" s="31" t="n">
        <v>1</v>
      </c>
      <c r="F152" s="41" t="inlineStr">
        <is>
          <t>Technical Diagnostics</t>
        </is>
      </c>
      <c r="G152" s="30" t="inlineStr">
        <is>
          <t>https://africanmarketingconfederation.org/smoke-archive/page-21::missing_og_image</t>
        </is>
      </c>
      <c r="H152" s="30" t="inlineStr">
        <is>
          <t>Copy Writer</t>
        </is>
      </c>
      <c r="I152" s="30" t="inlineStr"/>
      <c r="J152" s="30" t="inlineStr">
        <is>
          <t>To Do</t>
        </is>
      </c>
      <c r="K152" s="31" t="inlineStr">
        <is>
          <t>https://africanmarketingconfederation.org/smoke-archive/page-21</t>
        </is>
      </c>
      <c r="L152" s="30" t="inlineStr">
        <is>
          <t>IssueInventory</t>
        </is>
      </c>
      <c r="M152" s="30" t="n">
        <v>100</v>
      </c>
      <c r="N152" s="30" t="inlineStr">
        <is>
          <t>2026-07-01 20:54:35</t>
        </is>
      </c>
      <c r="O152" s="30" t="n">
        <v>0</v>
      </c>
      <c r="P152" s="30" t="inlineStr"/>
      <c r="Q152" s="30" t="inlineStr"/>
      <c r="R152" s="38">
        <f>IFERROR(HYPERLINK("#'Main'!B"&amp;MATCH(TRIM(A152),'Main'!B:B,0),"Open"),HYPERLINK("#'Main'!B1","Open"))</f>
        <v/>
      </c>
      <c r="S152" s="38">
        <f>IFERROR(HYPERLINK("#'"&amp;SUBSTITUTE(F152,"'","''")&amp;"'!A"&amp;MATCH(A152,INDIRECT("'"&amp;SUBSTITUTE(F152,"'","''")&amp;"'!A:A"),0),"Open"),HYPERLINK("#'"&amp;SUBSTITUTE(F152,"'","''")&amp;"'!A1","Open"))</f>
        <v/>
      </c>
    </row>
    <row r="153" ht="18" customHeight="1">
      <c r="A153" s="35" t="inlineStr">
        <is>
          <t>https://africanmarketingconfederation.org/smoke-archive/page-21</t>
        </is>
      </c>
      <c r="B153" s="28" t="inlineStr">
        <is>
          <t>Issue Inventory</t>
        </is>
      </c>
      <c r="C153" s="79" t="inlineStr">
        <is>
          <t>No Author Attribution</t>
        </is>
      </c>
      <c r="D153" s="28" t="inlineStr">
        <is>
          <t>Observation</t>
        </is>
      </c>
      <c r="E153" s="20" t="n">
        <v>1</v>
      </c>
      <c r="F153" s="39" t="inlineStr">
        <is>
          <t>Technical Diagnostics</t>
        </is>
      </c>
      <c r="G153" s="28" t="inlineStr">
        <is>
          <t>https://africanmarketingconfederation.org/smoke-archive/page-21::no_author_attribution</t>
        </is>
      </c>
      <c r="H153" s="28" t="inlineStr">
        <is>
          <t>Copy Writer</t>
        </is>
      </c>
      <c r="I153" s="28" t="inlineStr"/>
      <c r="J153" s="28" t="inlineStr">
        <is>
          <t>To Do</t>
        </is>
      </c>
      <c r="K153" s="20" t="inlineStr">
        <is>
          <t>https://africanmarketingconfederation.org/smoke-archive/page-21</t>
        </is>
      </c>
      <c r="L153" s="28" t="inlineStr">
        <is>
          <t>IssueInventory</t>
        </is>
      </c>
      <c r="M153" s="28" t="n">
        <v>101</v>
      </c>
      <c r="N153" s="28" t="inlineStr">
        <is>
          <t>2026-07-01 20:54:35</t>
        </is>
      </c>
      <c r="O153" s="28" t="n">
        <v>0</v>
      </c>
      <c r="P153" s="28" t="inlineStr"/>
      <c r="Q153" s="28" t="inlineStr"/>
      <c r="R153">
        <f>IFERROR(HYPERLINK("#'Main'!B"&amp;MATCH(TRIM(A153),'Main'!B:B,0),"Open"),HYPERLINK("#'Main'!B1","Open"))</f>
        <v/>
      </c>
      <c r="S153">
        <f>IFERROR(HYPERLINK("#'"&amp;SUBSTITUTE(F153,"'","''")&amp;"'!A"&amp;MATCH(A153,INDIRECT("'"&amp;SUBSTITUTE(F153,"'","''")&amp;"'!A:A"),0),"Open"),HYPERLINK("#'"&amp;SUBSTITUTE(F153,"'","''")&amp;"'!A1","Open"))</f>
        <v/>
      </c>
    </row>
    <row r="154" ht="18" customHeight="1">
      <c r="A154" s="37" t="inlineStr">
        <is>
          <t>https://africanmarketingconfederation.org/smoke-archive/page-21</t>
        </is>
      </c>
      <c r="B154" s="30" t="inlineStr">
        <is>
          <t>Issue Inventory</t>
        </is>
      </c>
      <c r="C154" s="80" t="inlineStr">
        <is>
          <t>Lab TBT 150ms–300ms (Mobile)</t>
        </is>
      </c>
      <c r="D154" s="30" t="inlineStr">
        <is>
          <t>Observation</t>
        </is>
      </c>
      <c r="E154" s="31" t="n">
        <v>1</v>
      </c>
      <c r="F154" s="41" t="inlineStr">
        <is>
          <t>Technical Diagnostics</t>
        </is>
      </c>
      <c r="G154" s="30" t="inlineStr">
        <is>
          <t>https://africanmarketingconfederation.org/smoke-archive/page-21::lab_tbt_150ms_300ms_mobile_</t>
        </is>
      </c>
      <c r="H154" s="30" t="inlineStr">
        <is>
          <t>Dev</t>
        </is>
      </c>
      <c r="I154" s="30" t="inlineStr"/>
      <c r="J154" s="30" t="inlineStr">
        <is>
          <t>To Do</t>
        </is>
      </c>
      <c r="K154" s="31" t="inlineStr">
        <is>
          <t>https://africanmarketingconfederation.org/smoke-archive/page-21</t>
        </is>
      </c>
      <c r="L154" s="30" t="inlineStr">
        <is>
          <t>IssueInventory</t>
        </is>
      </c>
      <c r="M154" s="30" t="n">
        <v>102</v>
      </c>
      <c r="N154" s="30" t="inlineStr">
        <is>
          <t>2026-07-01 20:54:35</t>
        </is>
      </c>
      <c r="O154" s="30" t="n">
        <v>0</v>
      </c>
      <c r="P154" s="30" t="inlineStr"/>
      <c r="Q154" s="30" t="inlineStr"/>
      <c r="R154" s="38">
        <f>IFERROR(HYPERLINK("#'Main'!B"&amp;MATCH(TRIM(A154),'Main'!B:B,0),"Open"),HYPERLINK("#'Main'!B1","Open"))</f>
        <v/>
      </c>
      <c r="S154" s="38">
        <f>IFERROR(HYPERLINK("#'"&amp;SUBSTITUTE(F154,"'","''")&amp;"'!A"&amp;MATCH(A154,INDIRECT("'"&amp;SUBSTITUTE(F154,"'","''")&amp;"'!A:A"),0),"Open"),HYPERLINK("#'"&amp;SUBSTITUTE(F154,"'","''")&amp;"'!A1","Open"))</f>
        <v/>
      </c>
    </row>
    <row r="155" ht="18" customHeight="1">
      <c r="A155" s="35" t="inlineStr">
        <is>
          <t>https://africanmarketingconfederation.org/smoke-archive/page-21</t>
        </is>
      </c>
      <c r="B155" s="28" t="inlineStr">
        <is>
          <t>Issue Inventory</t>
        </is>
      </c>
      <c r="C155" s="79" t="inlineStr">
        <is>
          <t>Moderate Lighthouse Performance Mobile (50–89)</t>
        </is>
      </c>
      <c r="D155" s="28" t="inlineStr">
        <is>
          <t>Observation</t>
        </is>
      </c>
      <c r="E155" s="20" t="n">
        <v>1</v>
      </c>
      <c r="F155" s="39" t="inlineStr">
        <is>
          <t>Technical Diagnostics</t>
        </is>
      </c>
      <c r="G155" s="28" t="inlineStr">
        <is>
          <t>https://africanmarketingconfederation.org/smoke-archive/page-21::moderate_lighthouse_performance_mobile_50_89_</t>
        </is>
      </c>
      <c r="H155" s="28" t="inlineStr">
        <is>
          <t>Dev</t>
        </is>
      </c>
      <c r="I155" s="28" t="inlineStr"/>
      <c r="J155" s="28" t="inlineStr">
        <is>
          <t>To Do</t>
        </is>
      </c>
      <c r="K155" s="20" t="inlineStr">
        <is>
          <t>https://africanmarketingconfederation.org/smoke-archive/page-21</t>
        </is>
      </c>
      <c r="L155" s="28" t="inlineStr">
        <is>
          <t>IssueInventory</t>
        </is>
      </c>
      <c r="M155" s="28" t="n">
        <v>103</v>
      </c>
      <c r="N155" s="28" t="inlineStr">
        <is>
          <t>2026-07-01 20:54:35</t>
        </is>
      </c>
      <c r="O155" s="28" t="n">
        <v>0</v>
      </c>
      <c r="P155" s="28" t="inlineStr"/>
      <c r="Q155" s="28" t="inlineStr"/>
      <c r="R155">
        <f>IFERROR(HYPERLINK("#'Main'!B"&amp;MATCH(TRIM(A155),'Main'!B:B,0),"Open"),HYPERLINK("#'Main'!B1","Open"))</f>
        <v/>
      </c>
      <c r="S155">
        <f>IFERROR(HYPERLINK("#'"&amp;SUBSTITUTE(F155,"'","''")&amp;"'!A"&amp;MATCH(A155,INDIRECT("'"&amp;SUBSTITUTE(F155,"'","''")&amp;"'!A:A"),0),"Open"),HYPERLINK("#'"&amp;SUBSTITUTE(F155,"'","''")&amp;"'!A1","Open"))</f>
        <v/>
      </c>
    </row>
    <row r="156" ht="18" customHeight="1">
      <c r="A156" s="37" t="inlineStr">
        <is>
          <t>https://africanmarketingconfederation.org/smoke-archive/page-21</t>
        </is>
      </c>
      <c r="B156" s="30" t="inlineStr">
        <is>
          <t>Issue Inventory</t>
        </is>
      </c>
      <c r="C156" s="80" t="inlineStr">
        <is>
          <t>Render Blocking Resources</t>
        </is>
      </c>
      <c r="D156" s="30" t="inlineStr">
        <is>
          <t>Observation</t>
        </is>
      </c>
      <c r="E156" s="31" t="n">
        <v>1</v>
      </c>
      <c r="F156" s="41" t="inlineStr">
        <is>
          <t>Technical Diagnostics</t>
        </is>
      </c>
      <c r="G156" s="30" t="inlineStr">
        <is>
          <t>https://africanmarketingconfederation.org/smoke-archive/page-21::render_blocking_resources</t>
        </is>
      </c>
      <c r="H156" s="30" t="inlineStr">
        <is>
          <t>Dev</t>
        </is>
      </c>
      <c r="I156" s="30" t="inlineStr"/>
      <c r="J156" s="30" t="inlineStr">
        <is>
          <t>To Do</t>
        </is>
      </c>
      <c r="K156" s="31" t="inlineStr">
        <is>
          <t>https://africanmarketingconfederation.org/smoke-archive/page-21</t>
        </is>
      </c>
      <c r="L156" s="30" t="inlineStr">
        <is>
          <t>IssueInventory</t>
        </is>
      </c>
      <c r="M156" s="30" t="n">
        <v>104</v>
      </c>
      <c r="N156" s="30" t="inlineStr">
        <is>
          <t>2026-07-01 20:54:35</t>
        </is>
      </c>
      <c r="O156" s="30" t="n">
        <v>0</v>
      </c>
      <c r="P156" s="30" t="inlineStr"/>
      <c r="Q156" s="30" t="inlineStr"/>
      <c r="R156" s="38">
        <f>IFERROR(HYPERLINK("#'Main'!B"&amp;MATCH(TRIM(A156),'Main'!B:B,0),"Open"),HYPERLINK("#'Main'!B1","Open"))</f>
        <v/>
      </c>
      <c r="S156" s="38">
        <f>IFERROR(HYPERLINK("#'"&amp;SUBSTITUTE(F156,"'","''")&amp;"'!A"&amp;MATCH(A156,INDIRECT("'"&amp;SUBSTITUTE(F156,"'","''")&amp;"'!A:A"),0),"Open"),HYPERLINK("#'"&amp;SUBSTITUTE(F156,"'","''")&amp;"'!A1","Open"))</f>
        <v/>
      </c>
    </row>
    <row r="157" ht="18" customHeight="1">
      <c r="A157" s="35" t="inlineStr">
        <is>
          <t>https://africanmarketingconfederation.org/smoke-archive/page-22</t>
        </is>
      </c>
      <c r="B157" s="28" t="inlineStr">
        <is>
          <t>Issue Inventory</t>
        </is>
      </c>
      <c r="C157" s="79" t="inlineStr">
        <is>
          <t>Missing OG Image</t>
        </is>
      </c>
      <c r="D157" s="28" t="inlineStr">
        <is>
          <t>Warning</t>
        </is>
      </c>
      <c r="E157" s="20" t="n">
        <v>1</v>
      </c>
      <c r="F157" s="39" t="inlineStr">
        <is>
          <t>Technical Diagnostics</t>
        </is>
      </c>
      <c r="G157" s="28" t="inlineStr">
        <is>
          <t>https://africanmarketingconfederation.org/smoke-archive/page-22::missing_og_image</t>
        </is>
      </c>
      <c r="H157" s="28" t="inlineStr">
        <is>
          <t>Copy Writer</t>
        </is>
      </c>
      <c r="I157" s="28" t="inlineStr"/>
      <c r="J157" s="28" t="inlineStr">
        <is>
          <t>To Do</t>
        </is>
      </c>
      <c r="K157" s="20" t="inlineStr">
        <is>
          <t>https://africanmarketingconfederation.org/smoke-archive/page-22</t>
        </is>
      </c>
      <c r="L157" s="28" t="inlineStr">
        <is>
          <t>IssueInventory</t>
        </is>
      </c>
      <c r="M157" s="28" t="n">
        <v>105</v>
      </c>
      <c r="N157" s="28" t="inlineStr">
        <is>
          <t>2026-07-01 20:54:35</t>
        </is>
      </c>
      <c r="O157" s="28" t="n">
        <v>0</v>
      </c>
      <c r="P157" s="28" t="inlineStr"/>
      <c r="Q157" s="28" t="inlineStr"/>
      <c r="R157">
        <f>IFERROR(HYPERLINK("#'Main'!B"&amp;MATCH(TRIM(A157),'Main'!B:B,0),"Open"),HYPERLINK("#'Main'!B1","Open"))</f>
        <v/>
      </c>
      <c r="S157">
        <f>IFERROR(HYPERLINK("#'"&amp;SUBSTITUTE(F157,"'","''")&amp;"'!A"&amp;MATCH(A157,INDIRECT("'"&amp;SUBSTITUTE(F157,"'","''")&amp;"'!A:A"),0),"Open"),HYPERLINK("#'"&amp;SUBSTITUTE(F157,"'","''")&amp;"'!A1","Open"))</f>
        <v/>
      </c>
    </row>
    <row r="158" ht="18" customHeight="1">
      <c r="A158" s="37" t="inlineStr">
        <is>
          <t>https://africanmarketingconfederation.org/smoke-archive/page-22</t>
        </is>
      </c>
      <c r="B158" s="30" t="inlineStr">
        <is>
          <t>Issue Inventory</t>
        </is>
      </c>
      <c r="C158" s="80" t="inlineStr">
        <is>
          <t>Lab TBT 150ms–300ms (Mobile)</t>
        </is>
      </c>
      <c r="D158" s="30" t="inlineStr">
        <is>
          <t>Observation</t>
        </is>
      </c>
      <c r="E158" s="31" t="n">
        <v>1</v>
      </c>
      <c r="F158" s="41" t="inlineStr">
        <is>
          <t>Technical Diagnostics</t>
        </is>
      </c>
      <c r="G158" s="30" t="inlineStr">
        <is>
          <t>https://africanmarketingconfederation.org/smoke-archive/page-22::lab_tbt_150ms_300ms_mobile_</t>
        </is>
      </c>
      <c r="H158" s="30" t="inlineStr">
        <is>
          <t>Dev</t>
        </is>
      </c>
      <c r="I158" s="30" t="inlineStr"/>
      <c r="J158" s="30" t="inlineStr">
        <is>
          <t>To Do</t>
        </is>
      </c>
      <c r="K158" s="31" t="inlineStr">
        <is>
          <t>https://africanmarketingconfederation.org/smoke-archive/page-22</t>
        </is>
      </c>
      <c r="L158" s="30" t="inlineStr">
        <is>
          <t>IssueInventory</t>
        </is>
      </c>
      <c r="M158" s="30" t="n">
        <v>106</v>
      </c>
      <c r="N158" s="30" t="inlineStr">
        <is>
          <t>2026-07-01 20:54:35</t>
        </is>
      </c>
      <c r="O158" s="30" t="n">
        <v>0</v>
      </c>
      <c r="P158" s="30" t="inlineStr"/>
      <c r="Q158" s="30" t="inlineStr"/>
      <c r="R158" s="38">
        <f>IFERROR(HYPERLINK("#'Main'!B"&amp;MATCH(TRIM(A158),'Main'!B:B,0),"Open"),HYPERLINK("#'Main'!B1","Open"))</f>
        <v/>
      </c>
      <c r="S158" s="38">
        <f>IFERROR(HYPERLINK("#'"&amp;SUBSTITUTE(F158,"'","''")&amp;"'!A"&amp;MATCH(A158,INDIRECT("'"&amp;SUBSTITUTE(F158,"'","''")&amp;"'!A:A"),0),"Open"),HYPERLINK("#'"&amp;SUBSTITUTE(F158,"'","''")&amp;"'!A1","Open"))</f>
        <v/>
      </c>
    </row>
    <row r="159" ht="18" customHeight="1">
      <c r="A159" s="35" t="inlineStr">
        <is>
          <t>https://africanmarketingconfederation.org/smoke-archive/page-22</t>
        </is>
      </c>
      <c r="B159" s="28" t="inlineStr">
        <is>
          <t>Issue Inventory</t>
        </is>
      </c>
      <c r="C159" s="79" t="inlineStr">
        <is>
          <t>Moderate Lighthouse Performance Mobile (50–89)</t>
        </is>
      </c>
      <c r="D159" s="28" t="inlineStr">
        <is>
          <t>Observation</t>
        </is>
      </c>
      <c r="E159" s="20" t="n">
        <v>1</v>
      </c>
      <c r="F159" s="39" t="inlineStr">
        <is>
          <t>Technical Diagnostics</t>
        </is>
      </c>
      <c r="G159" s="28" t="inlineStr">
        <is>
          <t>https://africanmarketingconfederation.org/smoke-archive/page-22::moderate_lighthouse_performance_mobile_50_89_</t>
        </is>
      </c>
      <c r="H159" s="28" t="inlineStr">
        <is>
          <t>Dev</t>
        </is>
      </c>
      <c r="I159" s="28" t="inlineStr"/>
      <c r="J159" s="28" t="inlineStr">
        <is>
          <t>To Do</t>
        </is>
      </c>
      <c r="K159" s="20" t="inlineStr">
        <is>
          <t>https://africanmarketingconfederation.org/smoke-archive/page-22</t>
        </is>
      </c>
      <c r="L159" s="28" t="inlineStr">
        <is>
          <t>IssueInventory</t>
        </is>
      </c>
      <c r="M159" s="28" t="n">
        <v>107</v>
      </c>
      <c r="N159" s="28" t="inlineStr">
        <is>
          <t>2026-07-01 20:54:35</t>
        </is>
      </c>
      <c r="O159" s="28" t="n">
        <v>0</v>
      </c>
      <c r="P159" s="28" t="inlineStr"/>
      <c r="Q159" s="28" t="inlineStr"/>
      <c r="R159">
        <f>IFERROR(HYPERLINK("#'Main'!B"&amp;MATCH(TRIM(A159),'Main'!B:B,0),"Open"),HYPERLINK("#'Main'!B1","Open"))</f>
        <v/>
      </c>
      <c r="S159">
        <f>IFERROR(HYPERLINK("#'"&amp;SUBSTITUTE(F159,"'","''")&amp;"'!A"&amp;MATCH(A159,INDIRECT("'"&amp;SUBSTITUTE(F159,"'","''")&amp;"'!A:A"),0),"Open"),HYPERLINK("#'"&amp;SUBSTITUTE(F159,"'","''")&amp;"'!A1","Open"))</f>
        <v/>
      </c>
    </row>
    <row r="160" ht="18" customHeight="1">
      <c r="A160" s="37" t="inlineStr">
        <is>
          <t>https://africanmarketingconfederation.org/smoke-archive/page-22</t>
        </is>
      </c>
      <c r="B160" s="30" t="inlineStr">
        <is>
          <t>Issue Inventory</t>
        </is>
      </c>
      <c r="C160" s="80" t="inlineStr">
        <is>
          <t>Render Blocking Resources</t>
        </is>
      </c>
      <c r="D160" s="30" t="inlineStr">
        <is>
          <t>Observation</t>
        </is>
      </c>
      <c r="E160" s="31" t="n">
        <v>1</v>
      </c>
      <c r="F160" s="41" t="inlineStr">
        <is>
          <t>Technical Diagnostics</t>
        </is>
      </c>
      <c r="G160" s="30" t="inlineStr">
        <is>
          <t>https://africanmarketingconfederation.org/smoke-archive/page-22::render_blocking_resources</t>
        </is>
      </c>
      <c r="H160" s="30" t="inlineStr">
        <is>
          <t>Dev</t>
        </is>
      </c>
      <c r="I160" s="30" t="inlineStr"/>
      <c r="J160" s="30" t="inlineStr">
        <is>
          <t>To Do</t>
        </is>
      </c>
      <c r="K160" s="31" t="inlineStr">
        <is>
          <t>https://africanmarketingconfederation.org/smoke-archive/page-22</t>
        </is>
      </c>
      <c r="L160" s="30" t="inlineStr">
        <is>
          <t>IssueInventory</t>
        </is>
      </c>
      <c r="M160" s="30" t="n">
        <v>108</v>
      </c>
      <c r="N160" s="30" t="inlineStr">
        <is>
          <t>2026-07-01 20:54:35</t>
        </is>
      </c>
      <c r="O160" s="30" t="n">
        <v>0</v>
      </c>
      <c r="P160" s="30" t="inlineStr"/>
      <c r="Q160" s="30" t="inlineStr"/>
      <c r="R160" s="38">
        <f>IFERROR(HYPERLINK("#'Main'!B"&amp;MATCH(TRIM(A160),'Main'!B:B,0),"Open"),HYPERLINK("#'Main'!B1","Open"))</f>
        <v/>
      </c>
      <c r="S160" s="38">
        <f>IFERROR(HYPERLINK("#'"&amp;SUBSTITUTE(F160,"'","''")&amp;"'!A"&amp;MATCH(A160,INDIRECT("'"&amp;SUBSTITUTE(F160,"'","''")&amp;"'!A:A"),0),"Open"),HYPERLINK("#'"&amp;SUBSTITUTE(F160,"'","''")&amp;"'!A1","Open"))</f>
        <v/>
      </c>
    </row>
    <row r="161" ht="18" customHeight="1">
      <c r="A161" s="35" t="inlineStr">
        <is>
          <t>https://africanmarketingconfederation.org/smoke-archive/page-23</t>
        </is>
      </c>
      <c r="B161" s="28" t="inlineStr">
        <is>
          <t>Issue Inventory</t>
        </is>
      </c>
      <c r="C161" s="79" t="inlineStr">
        <is>
          <t>Missing OG Image</t>
        </is>
      </c>
      <c r="D161" s="28" t="inlineStr">
        <is>
          <t>Warning</t>
        </is>
      </c>
      <c r="E161" s="20" t="n">
        <v>1</v>
      </c>
      <c r="F161" s="39" t="inlineStr">
        <is>
          <t>Technical Diagnostics</t>
        </is>
      </c>
      <c r="G161" s="28" t="inlineStr">
        <is>
          <t>https://africanmarketingconfederation.org/smoke-archive/page-23::missing_og_image</t>
        </is>
      </c>
      <c r="H161" s="28" t="inlineStr">
        <is>
          <t>Copy Writer</t>
        </is>
      </c>
      <c r="I161" s="28" t="inlineStr"/>
      <c r="J161" s="28" t="inlineStr">
        <is>
          <t>To Do</t>
        </is>
      </c>
      <c r="K161" s="20" t="inlineStr">
        <is>
          <t>https://africanmarketingconfederation.org/smoke-archive/page-23</t>
        </is>
      </c>
      <c r="L161" s="28" t="inlineStr">
        <is>
          <t>IssueInventory</t>
        </is>
      </c>
      <c r="M161" s="28" t="n">
        <v>109</v>
      </c>
      <c r="N161" s="28" t="inlineStr">
        <is>
          <t>2026-07-01 20:54:35</t>
        </is>
      </c>
      <c r="O161" s="28" t="n">
        <v>0</v>
      </c>
      <c r="P161" s="28" t="inlineStr"/>
      <c r="Q161" s="28" t="inlineStr"/>
      <c r="R161">
        <f>IFERROR(HYPERLINK("#'Main'!B"&amp;MATCH(TRIM(A161),'Main'!B:B,0),"Open"),HYPERLINK("#'Main'!B1","Open"))</f>
        <v/>
      </c>
      <c r="S161">
        <f>IFERROR(HYPERLINK("#'"&amp;SUBSTITUTE(F161,"'","''")&amp;"'!A"&amp;MATCH(A161,INDIRECT("'"&amp;SUBSTITUTE(F161,"'","''")&amp;"'!A:A"),0),"Open"),HYPERLINK("#'"&amp;SUBSTITUTE(F161,"'","''")&amp;"'!A1","Open"))</f>
        <v/>
      </c>
    </row>
    <row r="162" ht="18" customHeight="1">
      <c r="A162" s="37" t="inlineStr">
        <is>
          <t>https://africanmarketingconfederation.org/smoke-archive/page-23</t>
        </is>
      </c>
      <c r="B162" s="30" t="inlineStr">
        <is>
          <t>Issue Inventory</t>
        </is>
      </c>
      <c r="C162" s="80" t="inlineStr">
        <is>
          <t>Lab TBT 150ms–300ms (Mobile)</t>
        </is>
      </c>
      <c r="D162" s="30" t="inlineStr">
        <is>
          <t>Observation</t>
        </is>
      </c>
      <c r="E162" s="31" t="n">
        <v>1</v>
      </c>
      <c r="F162" s="41" t="inlineStr">
        <is>
          <t>Technical Diagnostics</t>
        </is>
      </c>
      <c r="G162" s="30" t="inlineStr">
        <is>
          <t>https://africanmarketingconfederation.org/smoke-archive/page-23::lab_tbt_150ms_300ms_mobile_</t>
        </is>
      </c>
      <c r="H162" s="30" t="inlineStr">
        <is>
          <t>Dev</t>
        </is>
      </c>
      <c r="I162" s="30" t="inlineStr"/>
      <c r="J162" s="30" t="inlineStr">
        <is>
          <t>To Do</t>
        </is>
      </c>
      <c r="K162" s="31" t="inlineStr">
        <is>
          <t>https://africanmarketingconfederation.org/smoke-archive/page-23</t>
        </is>
      </c>
      <c r="L162" s="30" t="inlineStr">
        <is>
          <t>IssueInventory</t>
        </is>
      </c>
      <c r="M162" s="30" t="n">
        <v>110</v>
      </c>
      <c r="N162" s="30" t="inlineStr">
        <is>
          <t>2026-07-01 20:54:35</t>
        </is>
      </c>
      <c r="O162" s="30" t="n">
        <v>0</v>
      </c>
      <c r="P162" s="30" t="inlineStr"/>
      <c r="Q162" s="30" t="inlineStr"/>
      <c r="R162" s="38">
        <f>IFERROR(HYPERLINK("#'Main'!B"&amp;MATCH(TRIM(A162),'Main'!B:B,0),"Open"),HYPERLINK("#'Main'!B1","Open"))</f>
        <v/>
      </c>
      <c r="S162" s="38">
        <f>IFERROR(HYPERLINK("#'"&amp;SUBSTITUTE(F162,"'","''")&amp;"'!A"&amp;MATCH(A162,INDIRECT("'"&amp;SUBSTITUTE(F162,"'","''")&amp;"'!A:A"),0),"Open"),HYPERLINK("#'"&amp;SUBSTITUTE(F162,"'","''")&amp;"'!A1","Open"))</f>
        <v/>
      </c>
    </row>
    <row r="163" ht="18" customHeight="1">
      <c r="A163" s="35" t="inlineStr">
        <is>
          <t>https://africanmarketingconfederation.org/smoke-archive/page-23</t>
        </is>
      </c>
      <c r="B163" s="28" t="inlineStr">
        <is>
          <t>Issue Inventory</t>
        </is>
      </c>
      <c r="C163" s="79" t="inlineStr">
        <is>
          <t>Moderate Lighthouse Performance Mobile (50–89)</t>
        </is>
      </c>
      <c r="D163" s="28" t="inlineStr">
        <is>
          <t>Observation</t>
        </is>
      </c>
      <c r="E163" s="20" t="n">
        <v>1</v>
      </c>
      <c r="F163" s="39" t="inlineStr">
        <is>
          <t>Technical Diagnostics</t>
        </is>
      </c>
      <c r="G163" s="28" t="inlineStr">
        <is>
          <t>https://africanmarketingconfederation.org/smoke-archive/page-23::moderate_lighthouse_performance_mobile_50_89_</t>
        </is>
      </c>
      <c r="H163" s="28" t="inlineStr">
        <is>
          <t>Dev</t>
        </is>
      </c>
      <c r="I163" s="28" t="inlineStr"/>
      <c r="J163" s="28" t="inlineStr">
        <is>
          <t>To Do</t>
        </is>
      </c>
      <c r="K163" s="20" t="inlineStr">
        <is>
          <t>https://africanmarketingconfederation.org/smoke-archive/page-23</t>
        </is>
      </c>
      <c r="L163" s="28" t="inlineStr">
        <is>
          <t>IssueInventory</t>
        </is>
      </c>
      <c r="M163" s="28" t="n">
        <v>111</v>
      </c>
      <c r="N163" s="28" t="inlineStr">
        <is>
          <t>2026-07-01 20:54:35</t>
        </is>
      </c>
      <c r="O163" s="28" t="n">
        <v>0</v>
      </c>
      <c r="P163" s="28" t="inlineStr"/>
      <c r="Q163" s="28" t="inlineStr"/>
      <c r="R163">
        <f>IFERROR(HYPERLINK("#'Main'!B"&amp;MATCH(TRIM(A163),'Main'!B:B,0),"Open"),HYPERLINK("#'Main'!B1","Open"))</f>
        <v/>
      </c>
      <c r="S163">
        <f>IFERROR(HYPERLINK("#'"&amp;SUBSTITUTE(F163,"'","''")&amp;"'!A"&amp;MATCH(A163,INDIRECT("'"&amp;SUBSTITUTE(F163,"'","''")&amp;"'!A:A"),0),"Open"),HYPERLINK("#'"&amp;SUBSTITUTE(F163,"'","''")&amp;"'!A1","Open"))</f>
        <v/>
      </c>
    </row>
    <row r="164" ht="18" customHeight="1">
      <c r="A164" s="37" t="inlineStr">
        <is>
          <t>https://africanmarketingconfederation.org/smoke-archive/page-23</t>
        </is>
      </c>
      <c r="B164" s="30" t="inlineStr">
        <is>
          <t>Issue Inventory</t>
        </is>
      </c>
      <c r="C164" s="80" t="inlineStr">
        <is>
          <t>Render Blocking Resources</t>
        </is>
      </c>
      <c r="D164" s="30" t="inlineStr">
        <is>
          <t>Observation</t>
        </is>
      </c>
      <c r="E164" s="31" t="n">
        <v>1</v>
      </c>
      <c r="F164" s="41" t="inlineStr">
        <is>
          <t>Technical Diagnostics</t>
        </is>
      </c>
      <c r="G164" s="30" t="inlineStr">
        <is>
          <t>https://africanmarketingconfederation.org/smoke-archive/page-23::render_blocking_resources</t>
        </is>
      </c>
      <c r="H164" s="30" t="inlineStr">
        <is>
          <t>Dev</t>
        </is>
      </c>
      <c r="I164" s="30" t="inlineStr"/>
      <c r="J164" s="30" t="inlineStr">
        <is>
          <t>To Do</t>
        </is>
      </c>
      <c r="K164" s="31" t="inlineStr">
        <is>
          <t>https://africanmarketingconfederation.org/smoke-archive/page-23</t>
        </is>
      </c>
      <c r="L164" s="30" t="inlineStr">
        <is>
          <t>IssueInventory</t>
        </is>
      </c>
      <c r="M164" s="30" t="n">
        <v>112</v>
      </c>
      <c r="N164" s="30" t="inlineStr">
        <is>
          <t>2026-07-01 20:54:35</t>
        </is>
      </c>
      <c r="O164" s="30" t="n">
        <v>0</v>
      </c>
      <c r="P164" s="30" t="inlineStr"/>
      <c r="Q164" s="30" t="inlineStr"/>
      <c r="R164" s="38">
        <f>IFERROR(HYPERLINK("#'Main'!B"&amp;MATCH(TRIM(A164),'Main'!B:B,0),"Open"),HYPERLINK("#'Main'!B1","Open"))</f>
        <v/>
      </c>
      <c r="S164" s="38">
        <f>IFERROR(HYPERLINK("#'"&amp;SUBSTITUTE(F164,"'","''")&amp;"'!A"&amp;MATCH(A164,INDIRECT("'"&amp;SUBSTITUTE(F164,"'","''")&amp;"'!A:A"),0),"Open"),HYPERLINK("#'"&amp;SUBSTITUTE(F164,"'","''")&amp;"'!A1","Open"))</f>
        <v/>
      </c>
    </row>
    <row r="165" ht="18" customHeight="1">
      <c r="A165" s="35" t="inlineStr">
        <is>
          <t>https://africanmarketingconfederation.org/smoke-archive/page-24</t>
        </is>
      </c>
      <c r="B165" s="28" t="inlineStr">
        <is>
          <t>Issue Inventory</t>
        </is>
      </c>
      <c r="C165" s="79" t="inlineStr">
        <is>
          <t>No Schema Markup</t>
        </is>
      </c>
      <c r="D165" s="28" t="inlineStr">
        <is>
          <t>Critical</t>
        </is>
      </c>
      <c r="E165" s="20" t="n">
        <v>1</v>
      </c>
      <c r="F165" s="39" t="inlineStr">
        <is>
          <t>Technical Diagnostics</t>
        </is>
      </c>
      <c r="G165" s="28" t="inlineStr">
        <is>
          <t>https://africanmarketingconfederation.org/smoke-archive/page-24::no_schema_markup</t>
        </is>
      </c>
      <c r="H165" s="28" t="inlineStr">
        <is>
          <t>Dev</t>
        </is>
      </c>
      <c r="I165" s="28" t="inlineStr"/>
      <c r="J165" s="28" t="inlineStr">
        <is>
          <t>To Do</t>
        </is>
      </c>
      <c r="K165" s="20" t="inlineStr">
        <is>
          <t>https://africanmarketingconfederation.org/smoke-archive/page-24</t>
        </is>
      </c>
      <c r="L165" s="28" t="inlineStr">
        <is>
          <t>IssueInventory</t>
        </is>
      </c>
      <c r="M165" s="28" t="n">
        <v>113</v>
      </c>
      <c r="N165" s="28" t="inlineStr">
        <is>
          <t>2026-07-01 20:54:35</t>
        </is>
      </c>
      <c r="O165" s="28" t="n">
        <v>0</v>
      </c>
      <c r="P165" s="28" t="inlineStr"/>
      <c r="Q165" s="28" t="inlineStr"/>
      <c r="R165">
        <f>IFERROR(HYPERLINK("#'Main'!B"&amp;MATCH(TRIM(A165),'Main'!B:B,0),"Open"),HYPERLINK("#'Main'!B1","Open"))</f>
        <v/>
      </c>
      <c r="S165">
        <f>IFERROR(HYPERLINK("#'"&amp;SUBSTITUTE(F165,"'","''")&amp;"'!A"&amp;MATCH(A165,INDIRECT("'"&amp;SUBSTITUTE(F165,"'","''")&amp;"'!A:A"),0),"Open"),HYPERLINK("#'"&amp;SUBSTITUTE(F165,"'","''")&amp;"'!A1","Open"))</f>
        <v/>
      </c>
    </row>
    <row r="166" ht="18" customHeight="1">
      <c r="A166" s="37" t="inlineStr">
        <is>
          <t>https://africanmarketingconfederation.org/smoke-archive/page-24</t>
        </is>
      </c>
      <c r="B166" s="30" t="inlineStr">
        <is>
          <t>Issue Inventory</t>
        </is>
      </c>
      <c r="C166" s="80" t="inlineStr">
        <is>
          <t>Low Image Alt Coverage</t>
        </is>
      </c>
      <c r="D166" s="30" t="inlineStr">
        <is>
          <t>Warning</t>
        </is>
      </c>
      <c r="E166" s="31" t="n">
        <v>1</v>
      </c>
      <c r="F166" s="41" t="inlineStr">
        <is>
          <t>Technical Diagnostics</t>
        </is>
      </c>
      <c r="G166" s="30" t="inlineStr">
        <is>
          <t>https://africanmarketingconfederation.org/smoke-archive/page-24::low_image_alt_coverage</t>
        </is>
      </c>
      <c r="H166" s="30" t="inlineStr">
        <is>
          <t>Copy Writer</t>
        </is>
      </c>
      <c r="I166" s="30" t="inlineStr"/>
      <c r="J166" s="30" t="inlineStr">
        <is>
          <t>To Do</t>
        </is>
      </c>
      <c r="K166" s="31" t="inlineStr">
        <is>
          <t>https://africanmarketingconfederation.org/smoke-archive/page-24</t>
        </is>
      </c>
      <c r="L166" s="30" t="inlineStr">
        <is>
          <t>IssueInventory</t>
        </is>
      </c>
      <c r="M166" s="30" t="n">
        <v>114</v>
      </c>
      <c r="N166" s="30" t="inlineStr">
        <is>
          <t>2026-07-01 20:54:35</t>
        </is>
      </c>
      <c r="O166" s="30" t="n">
        <v>0</v>
      </c>
      <c r="P166" s="30" t="inlineStr"/>
      <c r="Q166" s="30" t="inlineStr"/>
      <c r="R166" s="38">
        <f>IFERROR(HYPERLINK("#'Main'!B"&amp;MATCH(TRIM(A166),'Main'!B:B,0),"Open"),HYPERLINK("#'Main'!B1","Open"))</f>
        <v/>
      </c>
      <c r="S166" s="38">
        <f>IFERROR(HYPERLINK("#'"&amp;SUBSTITUTE(F166,"'","''")&amp;"'!A"&amp;MATCH(A166,INDIRECT("'"&amp;SUBSTITUTE(F166,"'","''")&amp;"'!A:A"),0),"Open"),HYPERLINK("#'"&amp;SUBSTITUTE(F166,"'","''")&amp;"'!A1","Open"))</f>
        <v/>
      </c>
    </row>
    <row r="167" ht="18" customHeight="1">
      <c r="A167" s="35" t="inlineStr">
        <is>
          <t>https://africanmarketingconfederation.org/smoke-archive/page-24</t>
        </is>
      </c>
      <c r="B167" s="28" t="inlineStr">
        <is>
          <t>Issue Inventory</t>
        </is>
      </c>
      <c r="C167" s="79" t="inlineStr">
        <is>
          <t>Missing OG Title</t>
        </is>
      </c>
      <c r="D167" s="28" t="inlineStr">
        <is>
          <t>Warning</t>
        </is>
      </c>
      <c r="E167" s="20" t="n">
        <v>1</v>
      </c>
      <c r="F167" s="39" t="inlineStr">
        <is>
          <t>Technical Diagnostics</t>
        </is>
      </c>
      <c r="G167" s="28" t="inlineStr">
        <is>
          <t>https://africanmarketingconfederation.org/smoke-archive/page-24::missing_og_title</t>
        </is>
      </c>
      <c r="H167" s="28" t="inlineStr">
        <is>
          <t>Copy Writer</t>
        </is>
      </c>
      <c r="I167" s="28" t="inlineStr"/>
      <c r="J167" s="28" t="inlineStr">
        <is>
          <t>To Do</t>
        </is>
      </c>
      <c r="K167" s="20" t="inlineStr">
        <is>
          <t>https://africanmarketingconfederation.org/smoke-archive/page-24</t>
        </is>
      </c>
      <c r="L167" s="28" t="inlineStr">
        <is>
          <t>IssueInventory</t>
        </is>
      </c>
      <c r="M167" s="28" t="n">
        <v>115</v>
      </c>
      <c r="N167" s="28" t="inlineStr">
        <is>
          <t>2026-07-01 20:54:35</t>
        </is>
      </c>
      <c r="O167" s="28" t="n">
        <v>0</v>
      </c>
      <c r="P167" s="28" t="inlineStr"/>
      <c r="Q167" s="28" t="inlineStr"/>
      <c r="R167">
        <f>IFERROR(HYPERLINK("#'Main'!B"&amp;MATCH(TRIM(A167),'Main'!B:B,0),"Open"),HYPERLINK("#'Main'!B1","Open"))</f>
        <v/>
      </c>
      <c r="S167">
        <f>IFERROR(HYPERLINK("#'"&amp;SUBSTITUTE(F167,"'","''")&amp;"'!A"&amp;MATCH(A167,INDIRECT("'"&amp;SUBSTITUTE(F167,"'","''")&amp;"'!A:A"),0),"Open"),HYPERLINK("#'"&amp;SUBSTITUTE(F167,"'","''")&amp;"'!A1","Open"))</f>
        <v/>
      </c>
    </row>
    <row r="168" ht="18" customHeight="1">
      <c r="A168" s="37" t="inlineStr">
        <is>
          <t>https://africanmarketingconfederation.org/smoke-archive/page-24</t>
        </is>
      </c>
      <c r="B168" s="30" t="inlineStr">
        <is>
          <t>Issue Inventory</t>
        </is>
      </c>
      <c r="C168" s="80" t="inlineStr">
        <is>
          <t>Lab TBT 150ms–300ms (Mobile)</t>
        </is>
      </c>
      <c r="D168" s="30" t="inlineStr">
        <is>
          <t>Observation</t>
        </is>
      </c>
      <c r="E168" s="31" t="n">
        <v>1</v>
      </c>
      <c r="F168" s="41" t="inlineStr">
        <is>
          <t>Technical Diagnostics</t>
        </is>
      </c>
      <c r="G168" s="30" t="inlineStr">
        <is>
          <t>https://africanmarketingconfederation.org/smoke-archive/page-24::lab_tbt_150ms_300ms_mobile_</t>
        </is>
      </c>
      <c r="H168" s="30" t="inlineStr">
        <is>
          <t>Dev</t>
        </is>
      </c>
      <c r="I168" s="30" t="inlineStr"/>
      <c r="J168" s="30" t="inlineStr">
        <is>
          <t>To Do</t>
        </is>
      </c>
      <c r="K168" s="31" t="inlineStr">
        <is>
          <t>https://africanmarketingconfederation.org/smoke-archive/page-24</t>
        </is>
      </c>
      <c r="L168" s="30" t="inlineStr">
        <is>
          <t>IssueInventory</t>
        </is>
      </c>
      <c r="M168" s="30" t="n">
        <v>116</v>
      </c>
      <c r="N168" s="30" t="inlineStr">
        <is>
          <t>2026-07-01 20:54:35</t>
        </is>
      </c>
      <c r="O168" s="30" t="n">
        <v>0</v>
      </c>
      <c r="P168" s="30" t="inlineStr"/>
      <c r="Q168" s="30" t="inlineStr"/>
      <c r="R168" s="38">
        <f>IFERROR(HYPERLINK("#'Main'!B"&amp;MATCH(TRIM(A168),'Main'!B:B,0),"Open"),HYPERLINK("#'Main'!B1","Open"))</f>
        <v/>
      </c>
      <c r="S168" s="38">
        <f>IFERROR(HYPERLINK("#'"&amp;SUBSTITUTE(F168,"'","''")&amp;"'!A"&amp;MATCH(A168,INDIRECT("'"&amp;SUBSTITUTE(F168,"'","''")&amp;"'!A:A"),0),"Open"),HYPERLINK("#'"&amp;SUBSTITUTE(F168,"'","''")&amp;"'!A1","Open"))</f>
        <v/>
      </c>
    </row>
    <row r="169" ht="18" customHeight="1">
      <c r="A169" s="35" t="inlineStr">
        <is>
          <t>https://africanmarketingconfederation.org/smoke-archive/page-24</t>
        </is>
      </c>
      <c r="B169" s="28" t="inlineStr">
        <is>
          <t>Issue Inventory</t>
        </is>
      </c>
      <c r="C169" s="79" t="inlineStr">
        <is>
          <t>Moderate Lighthouse Performance Mobile (50–89)</t>
        </is>
      </c>
      <c r="D169" s="28" t="inlineStr">
        <is>
          <t>Observation</t>
        </is>
      </c>
      <c r="E169" s="20" t="n">
        <v>1</v>
      </c>
      <c r="F169" s="39" t="inlineStr">
        <is>
          <t>Technical Diagnostics</t>
        </is>
      </c>
      <c r="G169" s="28" t="inlineStr">
        <is>
          <t>https://africanmarketingconfederation.org/smoke-archive/page-24::moderate_lighthouse_performance_mobile_50_89_</t>
        </is>
      </c>
      <c r="H169" s="28" t="inlineStr">
        <is>
          <t>Dev</t>
        </is>
      </c>
      <c r="I169" s="28" t="inlineStr"/>
      <c r="J169" s="28" t="inlineStr">
        <is>
          <t>To Do</t>
        </is>
      </c>
      <c r="K169" s="20" t="inlineStr">
        <is>
          <t>https://africanmarketingconfederation.org/smoke-archive/page-24</t>
        </is>
      </c>
      <c r="L169" s="28" t="inlineStr">
        <is>
          <t>IssueInventory</t>
        </is>
      </c>
      <c r="M169" s="28" t="n">
        <v>117</v>
      </c>
      <c r="N169" s="28" t="inlineStr">
        <is>
          <t>2026-07-01 20:54:35</t>
        </is>
      </c>
      <c r="O169" s="28" t="n">
        <v>0</v>
      </c>
      <c r="P169" s="28" t="inlineStr"/>
      <c r="Q169" s="28" t="inlineStr"/>
      <c r="R169">
        <f>IFERROR(HYPERLINK("#'Main'!B"&amp;MATCH(TRIM(A169),'Main'!B:B,0),"Open"),HYPERLINK("#'Main'!B1","Open"))</f>
        <v/>
      </c>
      <c r="S169">
        <f>IFERROR(HYPERLINK("#'"&amp;SUBSTITUTE(F169,"'","''")&amp;"'!A"&amp;MATCH(A169,INDIRECT("'"&amp;SUBSTITUTE(F169,"'","''")&amp;"'!A:A"),0),"Open"),HYPERLINK("#'"&amp;SUBSTITUTE(F169,"'","''")&amp;"'!A1","Open"))</f>
        <v/>
      </c>
    </row>
    <row r="170" ht="18" customHeight="1">
      <c r="A170" s="37" t="inlineStr">
        <is>
          <t>https://africanmarketingconfederation.org/smoke-archive/page-24</t>
        </is>
      </c>
      <c r="B170" s="30" t="inlineStr">
        <is>
          <t>Issue Inventory</t>
        </is>
      </c>
      <c r="C170" s="80" t="inlineStr">
        <is>
          <t>Render Blocking Resources</t>
        </is>
      </c>
      <c r="D170" s="30" t="inlineStr">
        <is>
          <t>Observation</t>
        </is>
      </c>
      <c r="E170" s="31" t="n">
        <v>1</v>
      </c>
      <c r="F170" s="41" t="inlineStr">
        <is>
          <t>Technical Diagnostics</t>
        </is>
      </c>
      <c r="G170" s="30" t="inlineStr">
        <is>
          <t>https://africanmarketingconfederation.org/smoke-archive/page-24::render_blocking_resources</t>
        </is>
      </c>
      <c r="H170" s="30" t="inlineStr">
        <is>
          <t>Dev</t>
        </is>
      </c>
      <c r="I170" s="30" t="inlineStr"/>
      <c r="J170" s="30" t="inlineStr">
        <is>
          <t>To Do</t>
        </is>
      </c>
      <c r="K170" s="31" t="inlineStr">
        <is>
          <t>https://africanmarketingconfederation.org/smoke-archive/page-24</t>
        </is>
      </c>
      <c r="L170" s="30" t="inlineStr">
        <is>
          <t>IssueInventory</t>
        </is>
      </c>
      <c r="M170" s="30" t="n">
        <v>118</v>
      </c>
      <c r="N170" s="30" t="inlineStr">
        <is>
          <t>2026-07-01 20:54:35</t>
        </is>
      </c>
      <c r="O170" s="30" t="n">
        <v>0</v>
      </c>
      <c r="P170" s="30" t="inlineStr"/>
      <c r="Q170" s="30" t="inlineStr"/>
      <c r="R170" s="38">
        <f>IFERROR(HYPERLINK("#'Main'!B"&amp;MATCH(TRIM(A170),'Main'!B:B,0),"Open"),HYPERLINK("#'Main'!B1","Open"))</f>
        <v/>
      </c>
      <c r="S170" s="38">
        <f>IFERROR(HYPERLINK("#'"&amp;SUBSTITUTE(F170,"'","''")&amp;"'!A"&amp;MATCH(A170,INDIRECT("'"&amp;SUBSTITUTE(F170,"'","''")&amp;"'!A:A"),0),"Open"),HYPERLINK("#'"&amp;SUBSTITUTE(F170,"'","''")&amp;"'!A1","Open"))</f>
        <v/>
      </c>
    </row>
    <row r="171" ht="18" customHeight="1">
      <c r="A171" s="35" t="inlineStr">
        <is>
          <t>https://africanmarketingconfederation.org/smoke-archive/page-25</t>
        </is>
      </c>
      <c r="B171" s="28" t="inlineStr">
        <is>
          <t>Issue Inventory</t>
        </is>
      </c>
      <c r="C171" s="79" t="inlineStr">
        <is>
          <t>Missing Meta Description</t>
        </is>
      </c>
      <c r="D171" s="28" t="inlineStr">
        <is>
          <t>Warning</t>
        </is>
      </c>
      <c r="E171" s="20" t="n">
        <v>1</v>
      </c>
      <c r="F171" s="39" t="inlineStr">
        <is>
          <t>Technical Diagnostics</t>
        </is>
      </c>
      <c r="G171" s="28" t="inlineStr">
        <is>
          <t>https://africanmarketingconfederation.org/smoke-archive/page-25::missing_meta_description</t>
        </is>
      </c>
      <c r="H171" s="28" t="inlineStr">
        <is>
          <t>Copy Writer</t>
        </is>
      </c>
      <c r="I171" s="28" t="inlineStr"/>
      <c r="J171" s="28" t="inlineStr">
        <is>
          <t>To Do</t>
        </is>
      </c>
      <c r="K171" s="20" t="inlineStr">
        <is>
          <t>https://africanmarketingconfederation.org/smoke-archive/page-25</t>
        </is>
      </c>
      <c r="L171" s="28" t="inlineStr">
        <is>
          <t>IssueInventory</t>
        </is>
      </c>
      <c r="M171" s="28" t="n">
        <v>119</v>
      </c>
      <c r="N171" s="28" t="inlineStr">
        <is>
          <t>2026-07-01 20:54:35</t>
        </is>
      </c>
      <c r="O171" s="28" t="n">
        <v>0</v>
      </c>
      <c r="P171" s="28" t="inlineStr"/>
      <c r="Q171" s="28" t="inlineStr"/>
      <c r="R171">
        <f>IFERROR(HYPERLINK("#'Main'!B"&amp;MATCH(TRIM(A171),'Main'!B:B,0),"Open"),HYPERLINK("#'Main'!B1","Open"))</f>
        <v/>
      </c>
      <c r="S171">
        <f>IFERROR(HYPERLINK("#'"&amp;SUBSTITUTE(F171,"'","''")&amp;"'!A"&amp;MATCH(A171,INDIRECT("'"&amp;SUBSTITUTE(F171,"'","''")&amp;"'!A:A"),0),"Open"),HYPERLINK("#'"&amp;SUBSTITUTE(F171,"'","''")&amp;"'!A1","Open"))</f>
        <v/>
      </c>
    </row>
    <row r="172" ht="18" customHeight="1">
      <c r="A172" s="37" t="inlineStr">
        <is>
          <t>https://africanmarketingconfederation.org/smoke-archive/page-25</t>
        </is>
      </c>
      <c r="B172" s="30" t="inlineStr">
        <is>
          <t>Issue Inventory</t>
        </is>
      </c>
      <c r="C172" s="80" t="inlineStr">
        <is>
          <t>Missing OG Description</t>
        </is>
      </c>
      <c r="D172" s="30" t="inlineStr">
        <is>
          <t>Warning</t>
        </is>
      </c>
      <c r="E172" s="31" t="n">
        <v>1</v>
      </c>
      <c r="F172" s="41" t="inlineStr">
        <is>
          <t>Technical Diagnostics</t>
        </is>
      </c>
      <c r="G172" s="30" t="inlineStr">
        <is>
          <t>https://africanmarketingconfederation.org/smoke-archive/page-25::missing_og_description</t>
        </is>
      </c>
      <c r="H172" s="30" t="inlineStr">
        <is>
          <t>Copy Writer</t>
        </is>
      </c>
      <c r="I172" s="30" t="inlineStr"/>
      <c r="J172" s="30" t="inlineStr">
        <is>
          <t>To Do</t>
        </is>
      </c>
      <c r="K172" s="31" t="inlineStr">
        <is>
          <t>https://africanmarketingconfederation.org/smoke-archive/page-25</t>
        </is>
      </c>
      <c r="L172" s="30" t="inlineStr">
        <is>
          <t>IssueInventory</t>
        </is>
      </c>
      <c r="M172" s="30" t="n">
        <v>120</v>
      </c>
      <c r="N172" s="30" t="inlineStr">
        <is>
          <t>2026-07-01 20:54:35</t>
        </is>
      </c>
      <c r="O172" s="30" t="n">
        <v>0</v>
      </c>
      <c r="P172" s="30" t="inlineStr"/>
      <c r="Q172" s="30" t="inlineStr"/>
      <c r="R172" s="38">
        <f>IFERROR(HYPERLINK("#'Main'!B"&amp;MATCH(TRIM(A172),'Main'!B:B,0),"Open"),HYPERLINK("#'Main'!B1","Open"))</f>
        <v/>
      </c>
      <c r="S172" s="38">
        <f>IFERROR(HYPERLINK("#'"&amp;SUBSTITUTE(F172,"'","''")&amp;"'!A"&amp;MATCH(A172,INDIRECT("'"&amp;SUBSTITUTE(F172,"'","''")&amp;"'!A:A"),0),"Open"),HYPERLINK("#'"&amp;SUBSTITUTE(F172,"'","''")&amp;"'!A1","Open"))</f>
        <v/>
      </c>
    </row>
    <row r="173" ht="18" customHeight="1">
      <c r="A173" s="35" t="inlineStr">
        <is>
          <t>https://africanmarketingconfederation.org/smoke-archive/page-25</t>
        </is>
      </c>
      <c r="B173" s="28" t="inlineStr">
        <is>
          <t>Issue Inventory</t>
        </is>
      </c>
      <c r="C173" s="79" t="inlineStr">
        <is>
          <t>Missing OG Image</t>
        </is>
      </c>
      <c r="D173" s="28" t="inlineStr">
        <is>
          <t>Warning</t>
        </is>
      </c>
      <c r="E173" s="20" t="n">
        <v>1</v>
      </c>
      <c r="F173" s="39" t="inlineStr">
        <is>
          <t>Technical Diagnostics</t>
        </is>
      </c>
      <c r="G173" s="28" t="inlineStr">
        <is>
          <t>https://africanmarketingconfederation.org/smoke-archive/page-25::missing_og_image</t>
        </is>
      </c>
      <c r="H173" s="28" t="inlineStr">
        <is>
          <t>Copy Writer</t>
        </is>
      </c>
      <c r="I173" s="28" t="inlineStr"/>
      <c r="J173" s="28" t="inlineStr">
        <is>
          <t>To Do</t>
        </is>
      </c>
      <c r="K173" s="20" t="inlineStr">
        <is>
          <t>https://africanmarketingconfederation.org/smoke-archive/page-25</t>
        </is>
      </c>
      <c r="L173" s="28" t="inlineStr">
        <is>
          <t>IssueInventory</t>
        </is>
      </c>
      <c r="M173" s="28" t="n">
        <v>121</v>
      </c>
      <c r="N173" s="28" t="inlineStr">
        <is>
          <t>2026-07-01 20:54:35</t>
        </is>
      </c>
      <c r="O173" s="28" t="n">
        <v>0</v>
      </c>
      <c r="P173" s="28" t="inlineStr"/>
      <c r="Q173" s="28" t="inlineStr"/>
      <c r="R173">
        <f>IFERROR(HYPERLINK("#'Main'!B"&amp;MATCH(TRIM(A173),'Main'!B:B,0),"Open"),HYPERLINK("#'Main'!B1","Open"))</f>
        <v/>
      </c>
      <c r="S173">
        <f>IFERROR(HYPERLINK("#'"&amp;SUBSTITUTE(F173,"'","''")&amp;"'!A"&amp;MATCH(A173,INDIRECT("'"&amp;SUBSTITUTE(F173,"'","''")&amp;"'!A:A"),0),"Open"),HYPERLINK("#'"&amp;SUBSTITUTE(F173,"'","''")&amp;"'!A1","Open"))</f>
        <v/>
      </c>
    </row>
    <row r="174" ht="18" customHeight="1">
      <c r="A174" s="37" t="inlineStr">
        <is>
          <t>https://africanmarketingconfederation.org/smoke-archive/page-25</t>
        </is>
      </c>
      <c r="B174" s="30" t="inlineStr">
        <is>
          <t>Issue Inventory</t>
        </is>
      </c>
      <c r="C174" s="80" t="inlineStr">
        <is>
          <t>Lab TBT 150ms–300ms (Mobile)</t>
        </is>
      </c>
      <c r="D174" s="30" t="inlineStr">
        <is>
          <t>Observation</t>
        </is>
      </c>
      <c r="E174" s="31" t="n">
        <v>1</v>
      </c>
      <c r="F174" s="41" t="inlineStr">
        <is>
          <t>Technical Diagnostics</t>
        </is>
      </c>
      <c r="G174" s="30" t="inlineStr">
        <is>
          <t>https://africanmarketingconfederation.org/smoke-archive/page-25::lab_tbt_150ms_300ms_mobile_</t>
        </is>
      </c>
      <c r="H174" s="30" t="inlineStr">
        <is>
          <t>Dev</t>
        </is>
      </c>
      <c r="I174" s="30" t="inlineStr"/>
      <c r="J174" s="30" t="inlineStr">
        <is>
          <t>To Do</t>
        </is>
      </c>
      <c r="K174" s="31" t="inlineStr">
        <is>
          <t>https://africanmarketingconfederation.org/smoke-archive/page-25</t>
        </is>
      </c>
      <c r="L174" s="30" t="inlineStr">
        <is>
          <t>IssueInventory</t>
        </is>
      </c>
      <c r="M174" s="30" t="n">
        <v>122</v>
      </c>
      <c r="N174" s="30" t="inlineStr">
        <is>
          <t>2026-07-01 20:54:35</t>
        </is>
      </c>
      <c r="O174" s="30" t="n">
        <v>0</v>
      </c>
      <c r="P174" s="30" t="inlineStr"/>
      <c r="Q174" s="30" t="inlineStr"/>
      <c r="R174" s="38">
        <f>IFERROR(HYPERLINK("#'Main'!B"&amp;MATCH(TRIM(A174),'Main'!B:B,0),"Open"),HYPERLINK("#'Main'!B1","Open"))</f>
        <v/>
      </c>
      <c r="S174" s="38">
        <f>IFERROR(HYPERLINK("#'"&amp;SUBSTITUTE(F174,"'","''")&amp;"'!A"&amp;MATCH(A174,INDIRECT("'"&amp;SUBSTITUTE(F174,"'","''")&amp;"'!A:A"),0),"Open"),HYPERLINK("#'"&amp;SUBSTITUTE(F174,"'","''")&amp;"'!A1","Open"))</f>
        <v/>
      </c>
    </row>
    <row r="175" ht="18" customHeight="1">
      <c r="A175" s="35" t="inlineStr">
        <is>
          <t>https://africanmarketingconfederation.org/smoke-archive/page-25</t>
        </is>
      </c>
      <c r="B175" s="28" t="inlineStr">
        <is>
          <t>Issue Inventory</t>
        </is>
      </c>
      <c r="C175" s="79" t="inlineStr">
        <is>
          <t>Moderate Lighthouse Performance Mobile (50–89)</t>
        </is>
      </c>
      <c r="D175" s="28" t="inlineStr">
        <is>
          <t>Observation</t>
        </is>
      </c>
      <c r="E175" s="20" t="n">
        <v>1</v>
      </c>
      <c r="F175" s="39" t="inlineStr">
        <is>
          <t>Technical Diagnostics</t>
        </is>
      </c>
      <c r="G175" s="28" t="inlineStr">
        <is>
          <t>https://africanmarketingconfederation.org/smoke-archive/page-25::moderate_lighthouse_performance_mobile_50_89_</t>
        </is>
      </c>
      <c r="H175" s="28" t="inlineStr">
        <is>
          <t>Dev</t>
        </is>
      </c>
      <c r="I175" s="28" t="inlineStr"/>
      <c r="J175" s="28" t="inlineStr">
        <is>
          <t>To Do</t>
        </is>
      </c>
      <c r="K175" s="20" t="inlineStr">
        <is>
          <t>https://africanmarketingconfederation.org/smoke-archive/page-25</t>
        </is>
      </c>
      <c r="L175" s="28" t="inlineStr">
        <is>
          <t>IssueInventory</t>
        </is>
      </c>
      <c r="M175" s="28" t="n">
        <v>123</v>
      </c>
      <c r="N175" s="28" t="inlineStr">
        <is>
          <t>2026-07-01 20:54:35</t>
        </is>
      </c>
      <c r="O175" s="28" t="n">
        <v>0</v>
      </c>
      <c r="P175" s="28" t="inlineStr"/>
      <c r="Q175" s="28" t="inlineStr"/>
      <c r="R175">
        <f>IFERROR(HYPERLINK("#'Main'!B"&amp;MATCH(TRIM(A175),'Main'!B:B,0),"Open"),HYPERLINK("#'Main'!B1","Open"))</f>
        <v/>
      </c>
      <c r="S175">
        <f>IFERROR(HYPERLINK("#'"&amp;SUBSTITUTE(F175,"'","''")&amp;"'!A"&amp;MATCH(A175,INDIRECT("'"&amp;SUBSTITUTE(F175,"'","''")&amp;"'!A:A"),0),"Open"),HYPERLINK("#'"&amp;SUBSTITUTE(F175,"'","''")&amp;"'!A1","Open"))</f>
        <v/>
      </c>
    </row>
    <row r="176" ht="18" customHeight="1">
      <c r="A176" s="37" t="inlineStr">
        <is>
          <t>https://africanmarketingconfederation.org/smoke-archive/page-25</t>
        </is>
      </c>
      <c r="B176" s="30" t="inlineStr">
        <is>
          <t>Issue Inventory</t>
        </is>
      </c>
      <c r="C176" s="80" t="inlineStr">
        <is>
          <t>Render Blocking Resources</t>
        </is>
      </c>
      <c r="D176" s="30" t="inlineStr">
        <is>
          <t>Observation</t>
        </is>
      </c>
      <c r="E176" s="31" t="n">
        <v>1</v>
      </c>
      <c r="F176" s="41" t="inlineStr">
        <is>
          <t>Technical Diagnostics</t>
        </is>
      </c>
      <c r="G176" s="30" t="inlineStr">
        <is>
          <t>https://africanmarketingconfederation.org/smoke-archive/page-25::render_blocking_resources</t>
        </is>
      </c>
      <c r="H176" s="30" t="inlineStr">
        <is>
          <t>Dev</t>
        </is>
      </c>
      <c r="I176" s="30" t="inlineStr"/>
      <c r="J176" s="30" t="inlineStr">
        <is>
          <t>To Do</t>
        </is>
      </c>
      <c r="K176" s="31" t="inlineStr">
        <is>
          <t>https://africanmarketingconfederation.org/smoke-archive/page-25</t>
        </is>
      </c>
      <c r="L176" s="30" t="inlineStr">
        <is>
          <t>IssueInventory</t>
        </is>
      </c>
      <c r="M176" s="30" t="n">
        <v>124</v>
      </c>
      <c r="N176" s="30" t="inlineStr">
        <is>
          <t>2026-07-01 20:54:35</t>
        </is>
      </c>
      <c r="O176" s="30" t="n">
        <v>0</v>
      </c>
      <c r="P176" s="30" t="inlineStr"/>
      <c r="Q176" s="30" t="inlineStr"/>
      <c r="R176" s="38">
        <f>IFERROR(HYPERLINK("#'Main'!B"&amp;MATCH(TRIM(A176),'Main'!B:B,0),"Open"),HYPERLINK("#'Main'!B1","Open"))</f>
        <v/>
      </c>
      <c r="S176" s="38">
        <f>IFERROR(HYPERLINK("#'"&amp;SUBSTITUTE(F176,"'","''")&amp;"'!A"&amp;MATCH(A176,INDIRECT("'"&amp;SUBSTITUTE(F176,"'","''")&amp;"'!A:A"),0),"Open"),HYPERLINK("#'"&amp;SUBSTITUTE(F176,"'","''")&amp;"'!A1","Open"))</f>
        <v/>
      </c>
    </row>
    <row r="177" ht="18" customHeight="1">
      <c r="A177" s="35" t="inlineStr">
        <is>
          <t>https://africanmarketingconfederation.org/smoke-archive/page-26</t>
        </is>
      </c>
      <c r="B177" s="28" t="inlineStr">
        <is>
          <t>Issue Inventory</t>
        </is>
      </c>
      <c r="C177" s="79" t="inlineStr">
        <is>
          <t>Non-200 Status</t>
        </is>
      </c>
      <c r="D177" s="28" t="inlineStr">
        <is>
          <t>Critical</t>
        </is>
      </c>
      <c r="E177" s="20" t="n">
        <v>1</v>
      </c>
      <c r="F177" s="39" t="inlineStr">
        <is>
          <t>Technical Diagnostics</t>
        </is>
      </c>
      <c r="G177" s="28" t="inlineStr">
        <is>
          <t>https://africanmarketingconfederation.org/smoke-archive/page-26::non-200_status</t>
        </is>
      </c>
      <c r="H177" s="28" t="inlineStr">
        <is>
          <t>Server/Host</t>
        </is>
      </c>
      <c r="I177" s="28" t="inlineStr"/>
      <c r="J177" s="28" t="inlineStr">
        <is>
          <t>To Do</t>
        </is>
      </c>
      <c r="K177" s="20" t="inlineStr">
        <is>
          <t>https://africanmarketingconfederation.org/smoke-archive/page-26</t>
        </is>
      </c>
      <c r="L177" s="28" t="inlineStr">
        <is>
          <t>IssueInventory</t>
        </is>
      </c>
      <c r="M177" s="28" t="n">
        <v>125</v>
      </c>
      <c r="N177" s="28" t="inlineStr">
        <is>
          <t>2026-07-01 20:54:35</t>
        </is>
      </c>
      <c r="O177" s="28" t="n">
        <v>0</v>
      </c>
      <c r="P177" s="28" t="inlineStr"/>
      <c r="Q177" s="28" t="inlineStr"/>
      <c r="R177">
        <f>IFERROR(HYPERLINK("#'Main'!B"&amp;MATCH(TRIM(A177),'Main'!B:B,0),"Open"),HYPERLINK("#'Main'!B1","Open"))</f>
        <v/>
      </c>
      <c r="S177">
        <f>IFERROR(HYPERLINK("#'"&amp;SUBSTITUTE(F177,"'","''")&amp;"'!A"&amp;MATCH(A177,INDIRECT("'"&amp;SUBSTITUTE(F177,"'","''")&amp;"'!A:A"),0),"Open"),HYPERLINK("#'"&amp;SUBSTITUTE(F177,"'","''")&amp;"'!A1","Open"))</f>
        <v/>
      </c>
    </row>
    <row r="178" ht="18" customHeight="1">
      <c r="A178" s="37" t="inlineStr">
        <is>
          <t>https://africanmarketingconfederation.org/smoke-archive/page-27</t>
        </is>
      </c>
      <c r="B178" s="30" t="inlineStr">
        <is>
          <t>Issue Inventory</t>
        </is>
      </c>
      <c r="C178" s="80" t="inlineStr">
        <is>
          <t>Missing OG Image</t>
        </is>
      </c>
      <c r="D178" s="30" t="inlineStr">
        <is>
          <t>Warning</t>
        </is>
      </c>
      <c r="E178" s="31" t="n">
        <v>1</v>
      </c>
      <c r="F178" s="41" t="inlineStr">
        <is>
          <t>Technical Diagnostics</t>
        </is>
      </c>
      <c r="G178" s="30" t="inlineStr">
        <is>
          <t>https://africanmarketingconfederation.org/smoke-archive/page-27::missing_og_image</t>
        </is>
      </c>
      <c r="H178" s="30" t="inlineStr">
        <is>
          <t>Copy Writer</t>
        </is>
      </c>
      <c r="I178" s="30" t="inlineStr"/>
      <c r="J178" s="30" t="inlineStr">
        <is>
          <t>To Do</t>
        </is>
      </c>
      <c r="K178" s="31" t="inlineStr">
        <is>
          <t>https://africanmarketingconfederation.org/smoke-archive/page-27</t>
        </is>
      </c>
      <c r="L178" s="30" t="inlineStr">
        <is>
          <t>IssueInventory</t>
        </is>
      </c>
      <c r="M178" s="30" t="n">
        <v>126</v>
      </c>
      <c r="N178" s="30" t="inlineStr">
        <is>
          <t>2026-07-01 20:54:35</t>
        </is>
      </c>
      <c r="O178" s="30" t="n">
        <v>0</v>
      </c>
      <c r="P178" s="30" t="inlineStr"/>
      <c r="Q178" s="30" t="inlineStr"/>
      <c r="R178" s="38">
        <f>IFERROR(HYPERLINK("#'Main'!B"&amp;MATCH(TRIM(A178),'Main'!B:B,0),"Open"),HYPERLINK("#'Main'!B1","Open"))</f>
        <v/>
      </c>
      <c r="S178" s="38">
        <f>IFERROR(HYPERLINK("#'"&amp;SUBSTITUTE(F178,"'","''")&amp;"'!A"&amp;MATCH(A178,INDIRECT("'"&amp;SUBSTITUTE(F178,"'","''")&amp;"'!A:A"),0),"Open"),HYPERLINK("#'"&amp;SUBSTITUTE(F178,"'","''")&amp;"'!A1","Open"))</f>
        <v/>
      </c>
    </row>
    <row r="179" ht="18" customHeight="1">
      <c r="A179" s="35" t="inlineStr">
        <is>
          <t>https://africanmarketingconfederation.org/smoke-archive/page-27</t>
        </is>
      </c>
      <c r="B179" s="28" t="inlineStr">
        <is>
          <t>Issue Inventory</t>
        </is>
      </c>
      <c r="C179" s="79" t="inlineStr">
        <is>
          <t>Low AEO Readiness Score</t>
        </is>
      </c>
      <c r="D179" s="28" t="inlineStr">
        <is>
          <t>Warning</t>
        </is>
      </c>
      <c r="E179" s="20" t="n">
        <v>1</v>
      </c>
      <c r="F179" s="39" t="inlineStr">
        <is>
          <t>Content &amp; AI Readiness</t>
        </is>
      </c>
      <c r="G179" s="28" t="inlineStr">
        <is>
          <t>https://africanmarketingconfederation.org/smoke-archive/page-27::low_aeo_readiness_score</t>
        </is>
      </c>
      <c r="H179" s="28" t="inlineStr">
        <is>
          <t>Copy Writer</t>
        </is>
      </c>
      <c r="I179" s="28" t="inlineStr"/>
      <c r="J179" s="28" t="inlineStr">
        <is>
          <t>To Do</t>
        </is>
      </c>
      <c r="K179" s="20" t="inlineStr">
        <is>
          <t>https://africanmarketingconfederation.org/smoke-archive/page-27</t>
        </is>
      </c>
      <c r="L179" s="28" t="inlineStr">
        <is>
          <t>IssueInventory</t>
        </is>
      </c>
      <c r="M179" s="28" t="n">
        <v>127</v>
      </c>
      <c r="N179" s="28" t="inlineStr">
        <is>
          <t>2026-07-01 20:54:35</t>
        </is>
      </c>
      <c r="O179" s="28" t="n">
        <v>0</v>
      </c>
      <c r="P179" s="28" t="inlineStr"/>
      <c r="Q179" s="28" t="inlineStr"/>
      <c r="R179">
        <f>IFERROR(HYPERLINK("#'Main'!B"&amp;MATCH(TRIM(A179),'Main'!B:B,0),"Open"),HYPERLINK("#'Main'!B1","Open"))</f>
        <v/>
      </c>
      <c r="S179">
        <f>IFERROR(HYPERLINK("#'"&amp;SUBSTITUTE(F179,"'","''")&amp;"'!A"&amp;MATCH(A179,INDIRECT("'"&amp;SUBSTITUTE(F179,"'","''")&amp;"'!A:A"),0),"Open"),HYPERLINK("#'"&amp;SUBSTITUTE(F179,"'","''")&amp;"'!A1","Open"))</f>
        <v/>
      </c>
    </row>
    <row r="180" ht="18" customHeight="1">
      <c r="A180" s="37" t="inlineStr">
        <is>
          <t>https://africanmarketingconfederation.org/smoke-archive/page-27</t>
        </is>
      </c>
      <c r="B180" s="30" t="inlineStr">
        <is>
          <t>Issue Inventory</t>
        </is>
      </c>
      <c r="C180" s="80" t="inlineStr">
        <is>
          <t>No Question Headings</t>
        </is>
      </c>
      <c r="D180" s="30" t="inlineStr">
        <is>
          <t>Observation</t>
        </is>
      </c>
      <c r="E180" s="31" t="n">
        <v>1</v>
      </c>
      <c r="F180" s="41" t="inlineStr">
        <is>
          <t>Content &amp; AI Readiness</t>
        </is>
      </c>
      <c r="G180" s="30" t="inlineStr">
        <is>
          <t>https://africanmarketingconfederation.org/smoke-archive/page-27::no_question_headings</t>
        </is>
      </c>
      <c r="H180" s="30" t="inlineStr">
        <is>
          <t>Copy Writer</t>
        </is>
      </c>
      <c r="I180" s="30" t="inlineStr"/>
      <c r="J180" s="30" t="inlineStr">
        <is>
          <t>To Do</t>
        </is>
      </c>
      <c r="K180" s="31" t="inlineStr">
        <is>
          <t>https://africanmarketingconfederation.org/smoke-archive/page-27</t>
        </is>
      </c>
      <c r="L180" s="30" t="inlineStr">
        <is>
          <t>IssueInventory</t>
        </is>
      </c>
      <c r="M180" s="30" t="n">
        <v>128</v>
      </c>
      <c r="N180" s="30" t="inlineStr">
        <is>
          <t>2026-07-01 20:54:35</t>
        </is>
      </c>
      <c r="O180" s="30" t="n">
        <v>0</v>
      </c>
      <c r="P180" s="30" t="inlineStr"/>
      <c r="Q180" s="30" t="inlineStr"/>
      <c r="R180" s="38">
        <f>IFERROR(HYPERLINK("#'Main'!B"&amp;MATCH(TRIM(A180),'Main'!B:B,0),"Open"),HYPERLINK("#'Main'!B1","Open"))</f>
        <v/>
      </c>
      <c r="S180" s="38">
        <f>IFERROR(HYPERLINK("#'"&amp;SUBSTITUTE(F180,"'","''")&amp;"'!A"&amp;MATCH(A180,INDIRECT("'"&amp;SUBSTITUTE(F180,"'","''")&amp;"'!A:A"),0),"Open"),HYPERLINK("#'"&amp;SUBSTITUTE(F180,"'","''")&amp;"'!A1","Open"))</f>
        <v/>
      </c>
    </row>
    <row r="181" ht="18" customHeight="1">
      <c r="A181" s="35" t="inlineStr">
        <is>
          <t>https://africanmarketingconfederation.org/smoke-archive/page-27</t>
        </is>
      </c>
      <c r="B181" s="28" t="inlineStr">
        <is>
          <t>Issue Inventory</t>
        </is>
      </c>
      <c r="C181" s="79" t="inlineStr">
        <is>
          <t>No Answer-Friendly Structure</t>
        </is>
      </c>
      <c r="D181" s="28" t="inlineStr">
        <is>
          <t>Observation</t>
        </is>
      </c>
      <c r="E181" s="20" t="n">
        <v>1</v>
      </c>
      <c r="F181" s="39" t="inlineStr">
        <is>
          <t>Technical Diagnostics</t>
        </is>
      </c>
      <c r="G181" s="28" t="inlineStr">
        <is>
          <t>https://africanmarketingconfederation.org/smoke-archive/page-27::no_answer-friendly_structure</t>
        </is>
      </c>
      <c r="H181" s="28" t="inlineStr">
        <is>
          <t>Copy Writer</t>
        </is>
      </c>
      <c r="I181" s="28" t="inlineStr"/>
      <c r="J181" s="28" t="inlineStr">
        <is>
          <t>To Do</t>
        </is>
      </c>
      <c r="K181" s="20" t="inlineStr">
        <is>
          <t>https://africanmarketingconfederation.org/smoke-archive/page-27</t>
        </is>
      </c>
      <c r="L181" s="28" t="inlineStr">
        <is>
          <t>IssueInventory</t>
        </is>
      </c>
      <c r="M181" s="28" t="n">
        <v>129</v>
      </c>
      <c r="N181" s="28" t="inlineStr">
        <is>
          <t>2026-07-01 20:54:35</t>
        </is>
      </c>
      <c r="O181" s="28" t="n">
        <v>0</v>
      </c>
      <c r="P181" s="28" t="inlineStr"/>
      <c r="Q181" s="28" t="inlineStr"/>
      <c r="R181">
        <f>IFERROR(HYPERLINK("#'Main'!B"&amp;MATCH(TRIM(A181),'Main'!B:B,0),"Open"),HYPERLINK("#'Main'!B1","Open"))</f>
        <v/>
      </c>
      <c r="S181">
        <f>IFERROR(HYPERLINK("#'"&amp;SUBSTITUTE(F181,"'","''")&amp;"'!A"&amp;MATCH(A181,INDIRECT("'"&amp;SUBSTITUTE(F181,"'","''")&amp;"'!A:A"),0),"Open"),HYPERLINK("#'"&amp;SUBSTITUTE(F181,"'","''")&amp;"'!A1","Open"))</f>
        <v/>
      </c>
    </row>
    <row r="182" ht="18" customHeight="1">
      <c r="A182" s="37" t="inlineStr">
        <is>
          <t>https://africanmarketingconfederation.org/smoke-archive/page-27</t>
        </is>
      </c>
      <c r="B182" s="30" t="inlineStr">
        <is>
          <t>Issue Inventory</t>
        </is>
      </c>
      <c r="C182" s="80" t="inlineStr">
        <is>
          <t>No 40-60 Word Answer Paragraphs</t>
        </is>
      </c>
      <c r="D182" s="30" t="inlineStr">
        <is>
          <t>Observation</t>
        </is>
      </c>
      <c r="E182" s="31" t="n">
        <v>1</v>
      </c>
      <c r="F182" s="41" t="inlineStr">
        <is>
          <t>Technical Diagnostics</t>
        </is>
      </c>
      <c r="G182" s="30" t="inlineStr">
        <is>
          <t>https://africanmarketingconfederation.org/smoke-archive/page-27::no_40-60_word_answer_paragraphs</t>
        </is>
      </c>
      <c r="H182" s="30" t="inlineStr">
        <is>
          <t>Copy Writer</t>
        </is>
      </c>
      <c r="I182" s="30" t="inlineStr"/>
      <c r="J182" s="30" t="inlineStr">
        <is>
          <t>To Do</t>
        </is>
      </c>
      <c r="K182" s="31" t="inlineStr">
        <is>
          <t>https://africanmarketingconfederation.org/smoke-archive/page-27</t>
        </is>
      </c>
      <c r="L182" s="30" t="inlineStr">
        <is>
          <t>IssueInventory</t>
        </is>
      </c>
      <c r="M182" s="30" t="n">
        <v>130</v>
      </c>
      <c r="N182" s="30" t="inlineStr">
        <is>
          <t>2026-07-01 20:54:35</t>
        </is>
      </c>
      <c r="O182" s="30" t="n">
        <v>0</v>
      </c>
      <c r="P182" s="30" t="inlineStr"/>
      <c r="Q182" s="30" t="inlineStr"/>
      <c r="R182" s="38">
        <f>IFERROR(HYPERLINK("#'Main'!B"&amp;MATCH(TRIM(A182),'Main'!B:B,0),"Open"),HYPERLINK("#'Main'!B1","Open"))</f>
        <v/>
      </c>
      <c r="S182" s="38">
        <f>IFERROR(HYPERLINK("#'"&amp;SUBSTITUTE(F182,"'","''")&amp;"'!A"&amp;MATCH(A182,INDIRECT("'"&amp;SUBSTITUTE(F182,"'","''")&amp;"'!A:A"),0),"Open"),HYPERLINK("#'"&amp;SUBSTITUTE(F182,"'","''")&amp;"'!A1","Open"))</f>
        <v/>
      </c>
    </row>
    <row r="183" ht="18" customHeight="1">
      <c r="A183" s="35" t="inlineStr">
        <is>
          <t>https://africanmarketingconfederation.org/smoke-archive/page-27</t>
        </is>
      </c>
      <c r="B183" s="28" t="inlineStr">
        <is>
          <t>Issue Inventory</t>
        </is>
      </c>
      <c r="C183" s="79" t="inlineStr">
        <is>
          <t>Lab TBT 150ms–300ms (Mobile)</t>
        </is>
      </c>
      <c r="D183" s="28" t="inlineStr">
        <is>
          <t>Observation</t>
        </is>
      </c>
      <c r="E183" s="20" t="n">
        <v>1</v>
      </c>
      <c r="F183" s="39" t="inlineStr">
        <is>
          <t>Technical Diagnostics</t>
        </is>
      </c>
      <c r="G183" s="28" t="inlineStr">
        <is>
          <t>https://africanmarketingconfederation.org/smoke-archive/page-27::lab_tbt_150ms_300ms_mobile_</t>
        </is>
      </c>
      <c r="H183" s="28" t="inlineStr">
        <is>
          <t>Dev</t>
        </is>
      </c>
      <c r="I183" s="28" t="inlineStr"/>
      <c r="J183" s="28" t="inlineStr">
        <is>
          <t>To Do</t>
        </is>
      </c>
      <c r="K183" s="20" t="inlineStr">
        <is>
          <t>https://africanmarketingconfederation.org/smoke-archive/page-27</t>
        </is>
      </c>
      <c r="L183" s="28" t="inlineStr">
        <is>
          <t>IssueInventory</t>
        </is>
      </c>
      <c r="M183" s="28" t="n">
        <v>131</v>
      </c>
      <c r="N183" s="28" t="inlineStr">
        <is>
          <t>2026-07-01 20:54:35</t>
        </is>
      </c>
      <c r="O183" s="28" t="n">
        <v>0</v>
      </c>
      <c r="P183" s="28" t="inlineStr"/>
      <c r="Q183" s="28" t="inlineStr"/>
      <c r="R183">
        <f>IFERROR(HYPERLINK("#'Main'!B"&amp;MATCH(TRIM(A183),'Main'!B:B,0),"Open"),HYPERLINK("#'Main'!B1","Open"))</f>
        <v/>
      </c>
      <c r="S183">
        <f>IFERROR(HYPERLINK("#'"&amp;SUBSTITUTE(F183,"'","''")&amp;"'!A"&amp;MATCH(A183,INDIRECT("'"&amp;SUBSTITUTE(F183,"'","''")&amp;"'!A:A"),0),"Open"),HYPERLINK("#'"&amp;SUBSTITUTE(F183,"'","''")&amp;"'!A1","Open"))</f>
        <v/>
      </c>
    </row>
    <row r="184" ht="18" customHeight="1">
      <c r="A184" s="37" t="inlineStr">
        <is>
          <t>https://africanmarketingconfederation.org/smoke-archive/page-27</t>
        </is>
      </c>
      <c r="B184" s="30" t="inlineStr">
        <is>
          <t>Issue Inventory</t>
        </is>
      </c>
      <c r="C184" s="80" t="inlineStr">
        <is>
          <t>Moderate Lighthouse Performance Mobile (50–89)</t>
        </is>
      </c>
      <c r="D184" s="30" t="inlineStr">
        <is>
          <t>Observation</t>
        </is>
      </c>
      <c r="E184" s="31" t="n">
        <v>1</v>
      </c>
      <c r="F184" s="41" t="inlineStr">
        <is>
          <t>Technical Diagnostics</t>
        </is>
      </c>
      <c r="G184" s="30" t="inlineStr">
        <is>
          <t>https://africanmarketingconfederation.org/smoke-archive/page-27::moderate_lighthouse_performance_mobile_50_89_</t>
        </is>
      </c>
      <c r="H184" s="30" t="inlineStr">
        <is>
          <t>Dev</t>
        </is>
      </c>
      <c r="I184" s="30" t="inlineStr"/>
      <c r="J184" s="30" t="inlineStr">
        <is>
          <t>To Do</t>
        </is>
      </c>
      <c r="K184" s="31" t="inlineStr">
        <is>
          <t>https://africanmarketingconfederation.org/smoke-archive/page-27</t>
        </is>
      </c>
      <c r="L184" s="30" t="inlineStr">
        <is>
          <t>IssueInventory</t>
        </is>
      </c>
      <c r="M184" s="30" t="n">
        <v>132</v>
      </c>
      <c r="N184" s="30" t="inlineStr">
        <is>
          <t>2026-07-01 20:54:35</t>
        </is>
      </c>
      <c r="O184" s="30" t="n">
        <v>0</v>
      </c>
      <c r="P184" s="30" t="inlineStr"/>
      <c r="Q184" s="30" t="inlineStr"/>
      <c r="R184" s="38">
        <f>IFERROR(HYPERLINK("#'Main'!B"&amp;MATCH(TRIM(A184),'Main'!B:B,0),"Open"),HYPERLINK("#'Main'!B1","Open"))</f>
        <v/>
      </c>
      <c r="S184" s="38">
        <f>IFERROR(HYPERLINK("#'"&amp;SUBSTITUTE(F184,"'","''")&amp;"'!A"&amp;MATCH(A184,INDIRECT("'"&amp;SUBSTITUTE(F184,"'","''")&amp;"'!A:A"),0),"Open"),HYPERLINK("#'"&amp;SUBSTITUTE(F184,"'","''")&amp;"'!A1","Open"))</f>
        <v/>
      </c>
    </row>
    <row r="185" ht="18" customHeight="1">
      <c r="A185" s="35" t="inlineStr">
        <is>
          <t>https://africanmarketingconfederation.org/smoke-archive/page-27</t>
        </is>
      </c>
      <c r="B185" s="28" t="inlineStr">
        <is>
          <t>Issue Inventory</t>
        </is>
      </c>
      <c r="C185" s="79" t="inlineStr">
        <is>
          <t>Render Blocking Resources</t>
        </is>
      </c>
      <c r="D185" s="28" t="inlineStr">
        <is>
          <t>Observation</t>
        </is>
      </c>
      <c r="E185" s="20" t="n">
        <v>1</v>
      </c>
      <c r="F185" s="39" t="inlineStr">
        <is>
          <t>Technical Diagnostics</t>
        </is>
      </c>
      <c r="G185" s="28" t="inlineStr">
        <is>
          <t>https://africanmarketingconfederation.org/smoke-archive/page-27::render_blocking_resources</t>
        </is>
      </c>
      <c r="H185" s="28" t="inlineStr">
        <is>
          <t>Dev</t>
        </is>
      </c>
      <c r="I185" s="28" t="inlineStr"/>
      <c r="J185" s="28" t="inlineStr">
        <is>
          <t>To Do</t>
        </is>
      </c>
      <c r="K185" s="20" t="inlineStr">
        <is>
          <t>https://africanmarketingconfederation.org/smoke-archive/page-27</t>
        </is>
      </c>
      <c r="L185" s="28" t="inlineStr">
        <is>
          <t>IssueInventory</t>
        </is>
      </c>
      <c r="M185" s="28" t="n">
        <v>133</v>
      </c>
      <c r="N185" s="28" t="inlineStr">
        <is>
          <t>2026-07-01 20:54:35</t>
        </is>
      </c>
      <c r="O185" s="28" t="n">
        <v>0</v>
      </c>
      <c r="P185" s="28" t="inlineStr"/>
      <c r="Q185" s="28" t="inlineStr"/>
      <c r="R185">
        <f>IFERROR(HYPERLINK("#'Main'!B"&amp;MATCH(TRIM(A185),'Main'!B:B,0),"Open"),HYPERLINK("#'Main'!B1","Open"))</f>
        <v/>
      </c>
      <c r="S185">
        <f>IFERROR(HYPERLINK("#'"&amp;SUBSTITUTE(F185,"'","''")&amp;"'!A"&amp;MATCH(A185,INDIRECT("'"&amp;SUBSTITUTE(F185,"'","''")&amp;"'!A:A"),0),"Open"),HYPERLINK("#'"&amp;SUBSTITUTE(F185,"'","''")&amp;"'!A1","Open"))</f>
        <v/>
      </c>
    </row>
    <row r="186" ht="18" customHeight="1">
      <c r="A186" s="37" t="inlineStr">
        <is>
          <t>https://africanmarketingconfederation.org/smoke-archive/page-28</t>
        </is>
      </c>
      <c r="B186" s="30" t="inlineStr">
        <is>
          <t>Issue Inventory</t>
        </is>
      </c>
      <c r="C186" s="80" t="inlineStr">
        <is>
          <t>Low E-E-A-T Signal Score (&lt;3)</t>
        </is>
      </c>
      <c r="D186" s="30" t="inlineStr">
        <is>
          <t>Warning</t>
        </is>
      </c>
      <c r="E186" s="31" t="n">
        <v>1</v>
      </c>
      <c r="F186" s="41" t="inlineStr">
        <is>
          <t>Technical Diagnostics</t>
        </is>
      </c>
      <c r="G186" s="30" t="inlineStr">
        <is>
          <t>https://africanmarketingconfederation.org/smoke-archive/page-28::low_e-e-a-t_signal_score_3_</t>
        </is>
      </c>
      <c r="H186" s="30" t="inlineStr">
        <is>
          <t>Copy Writer</t>
        </is>
      </c>
      <c r="I186" s="30" t="inlineStr"/>
      <c r="J186" s="30" t="inlineStr">
        <is>
          <t>To Do</t>
        </is>
      </c>
      <c r="K186" s="31" t="inlineStr">
        <is>
          <t>https://africanmarketingconfederation.org/smoke-archive/page-28</t>
        </is>
      </c>
      <c r="L186" s="30" t="inlineStr">
        <is>
          <t>IssueInventory</t>
        </is>
      </c>
      <c r="M186" s="30" t="n">
        <v>134</v>
      </c>
      <c r="N186" s="30" t="inlineStr">
        <is>
          <t>2026-07-01 20:54:35</t>
        </is>
      </c>
      <c r="O186" s="30" t="n">
        <v>0</v>
      </c>
      <c r="P186" s="30" t="inlineStr"/>
      <c r="Q186" s="30" t="inlineStr"/>
      <c r="R186" s="38">
        <f>IFERROR(HYPERLINK("#'Main'!B"&amp;MATCH(TRIM(A186),'Main'!B:B,0),"Open"),HYPERLINK("#'Main'!B1","Open"))</f>
        <v/>
      </c>
      <c r="S186" s="38">
        <f>IFERROR(HYPERLINK("#'"&amp;SUBSTITUTE(F186,"'","''")&amp;"'!A"&amp;MATCH(A186,INDIRECT("'"&amp;SUBSTITUTE(F186,"'","''")&amp;"'!A:A"),0),"Open"),HYPERLINK("#'"&amp;SUBSTITUTE(F186,"'","''")&amp;"'!A1","Open"))</f>
        <v/>
      </c>
    </row>
    <row r="187" ht="18" customHeight="1">
      <c r="A187" s="35" t="inlineStr">
        <is>
          <t>https://africanmarketingconfederation.org/smoke-archive/page-28</t>
        </is>
      </c>
      <c r="B187" s="28" t="inlineStr">
        <is>
          <t>Issue Inventory</t>
        </is>
      </c>
      <c r="C187" s="79" t="inlineStr">
        <is>
          <t>No Author Attribution</t>
        </is>
      </c>
      <c r="D187" s="28" t="inlineStr">
        <is>
          <t>Observation</t>
        </is>
      </c>
      <c r="E187" s="20" t="n">
        <v>1</v>
      </c>
      <c r="F187" s="39" t="inlineStr">
        <is>
          <t>Technical Diagnostics</t>
        </is>
      </c>
      <c r="G187" s="28" t="inlineStr">
        <is>
          <t>https://africanmarketingconfederation.org/smoke-archive/page-28::no_author_attribution</t>
        </is>
      </c>
      <c r="H187" s="28" t="inlineStr">
        <is>
          <t>Copy Writer</t>
        </is>
      </c>
      <c r="I187" s="28" t="inlineStr"/>
      <c r="J187" s="28" t="inlineStr">
        <is>
          <t>To Do</t>
        </is>
      </c>
      <c r="K187" s="20" t="inlineStr">
        <is>
          <t>https://africanmarketingconfederation.org/smoke-archive/page-28</t>
        </is>
      </c>
      <c r="L187" s="28" t="inlineStr">
        <is>
          <t>IssueInventory</t>
        </is>
      </c>
      <c r="M187" s="28" t="n">
        <v>135</v>
      </c>
      <c r="N187" s="28" t="inlineStr">
        <is>
          <t>2026-07-01 20:54:35</t>
        </is>
      </c>
      <c r="O187" s="28" t="n">
        <v>0</v>
      </c>
      <c r="P187" s="28" t="inlineStr"/>
      <c r="Q187" s="28" t="inlineStr"/>
      <c r="R187">
        <f>IFERROR(HYPERLINK("#'Main'!B"&amp;MATCH(TRIM(A187),'Main'!B:B,0),"Open"),HYPERLINK("#'Main'!B1","Open"))</f>
        <v/>
      </c>
      <c r="S187">
        <f>IFERROR(HYPERLINK("#'"&amp;SUBSTITUTE(F187,"'","''")&amp;"'!A"&amp;MATCH(A187,INDIRECT("'"&amp;SUBSTITUTE(F187,"'","''")&amp;"'!A:A"),0),"Open"),HYPERLINK("#'"&amp;SUBSTITUTE(F187,"'","''")&amp;"'!A1","Open"))</f>
        <v/>
      </c>
    </row>
    <row r="188" ht="18" customHeight="1">
      <c r="A188" s="37" t="inlineStr">
        <is>
          <t>https://africanmarketingconfederation.org/smoke-archive/page-28</t>
        </is>
      </c>
      <c r="B188" s="30" t="inlineStr">
        <is>
          <t>Issue Inventory</t>
        </is>
      </c>
      <c r="C188" s="80" t="inlineStr">
        <is>
          <t>Lab TBT 150ms–300ms (Mobile)</t>
        </is>
      </c>
      <c r="D188" s="30" t="inlineStr">
        <is>
          <t>Observation</t>
        </is>
      </c>
      <c r="E188" s="31" t="n">
        <v>1</v>
      </c>
      <c r="F188" s="41" t="inlineStr">
        <is>
          <t>Technical Diagnostics</t>
        </is>
      </c>
      <c r="G188" s="30" t="inlineStr">
        <is>
          <t>https://africanmarketingconfederation.org/smoke-archive/page-28::lab_tbt_150ms_300ms_mobile_</t>
        </is>
      </c>
      <c r="H188" s="30" t="inlineStr">
        <is>
          <t>Dev</t>
        </is>
      </c>
      <c r="I188" s="30" t="inlineStr"/>
      <c r="J188" s="30" t="inlineStr">
        <is>
          <t>To Do</t>
        </is>
      </c>
      <c r="K188" s="31" t="inlineStr">
        <is>
          <t>https://africanmarketingconfederation.org/smoke-archive/page-28</t>
        </is>
      </c>
      <c r="L188" s="30" t="inlineStr">
        <is>
          <t>IssueInventory</t>
        </is>
      </c>
      <c r="M188" s="30" t="n">
        <v>136</v>
      </c>
      <c r="N188" s="30" t="inlineStr">
        <is>
          <t>2026-07-01 20:54:35</t>
        </is>
      </c>
      <c r="O188" s="30" t="n">
        <v>0</v>
      </c>
      <c r="P188" s="30" t="inlineStr"/>
      <c r="Q188" s="30" t="inlineStr"/>
      <c r="R188" s="38">
        <f>IFERROR(HYPERLINK("#'Main'!B"&amp;MATCH(TRIM(A188),'Main'!B:B,0),"Open"),HYPERLINK("#'Main'!B1","Open"))</f>
        <v/>
      </c>
      <c r="S188" s="38">
        <f>IFERROR(HYPERLINK("#'"&amp;SUBSTITUTE(F188,"'","''")&amp;"'!A"&amp;MATCH(A188,INDIRECT("'"&amp;SUBSTITUTE(F188,"'","''")&amp;"'!A:A"),0),"Open"),HYPERLINK("#'"&amp;SUBSTITUTE(F188,"'","''")&amp;"'!A1","Open"))</f>
        <v/>
      </c>
    </row>
    <row r="189" ht="18" customHeight="1">
      <c r="A189" s="35" t="inlineStr">
        <is>
          <t>https://africanmarketingconfederation.org/smoke-archive/page-28</t>
        </is>
      </c>
      <c r="B189" s="28" t="inlineStr">
        <is>
          <t>Issue Inventory</t>
        </is>
      </c>
      <c r="C189" s="79" t="inlineStr">
        <is>
          <t>Moderate Lighthouse Performance Mobile (50–89)</t>
        </is>
      </c>
      <c r="D189" s="28" t="inlineStr">
        <is>
          <t>Observation</t>
        </is>
      </c>
      <c r="E189" s="20" t="n">
        <v>1</v>
      </c>
      <c r="F189" s="39" t="inlineStr">
        <is>
          <t>Technical Diagnostics</t>
        </is>
      </c>
      <c r="G189" s="28" t="inlineStr">
        <is>
          <t>https://africanmarketingconfederation.org/smoke-archive/page-28::moderate_lighthouse_performance_mobile_50_89_</t>
        </is>
      </c>
      <c r="H189" s="28" t="inlineStr">
        <is>
          <t>Dev</t>
        </is>
      </c>
      <c r="I189" s="28" t="inlineStr"/>
      <c r="J189" s="28" t="inlineStr">
        <is>
          <t>To Do</t>
        </is>
      </c>
      <c r="K189" s="20" t="inlineStr">
        <is>
          <t>https://africanmarketingconfederation.org/smoke-archive/page-28</t>
        </is>
      </c>
      <c r="L189" s="28" t="inlineStr">
        <is>
          <t>IssueInventory</t>
        </is>
      </c>
      <c r="M189" s="28" t="n">
        <v>137</v>
      </c>
      <c r="N189" s="28" t="inlineStr">
        <is>
          <t>2026-07-01 20:54:35</t>
        </is>
      </c>
      <c r="O189" s="28" t="n">
        <v>0</v>
      </c>
      <c r="P189" s="28" t="inlineStr"/>
      <c r="Q189" s="28" t="inlineStr"/>
      <c r="R189">
        <f>IFERROR(HYPERLINK("#'Main'!B"&amp;MATCH(TRIM(A189),'Main'!B:B,0),"Open"),HYPERLINK("#'Main'!B1","Open"))</f>
        <v/>
      </c>
      <c r="S189">
        <f>IFERROR(HYPERLINK("#'"&amp;SUBSTITUTE(F189,"'","''")&amp;"'!A"&amp;MATCH(A189,INDIRECT("'"&amp;SUBSTITUTE(F189,"'","''")&amp;"'!A:A"),0),"Open"),HYPERLINK("#'"&amp;SUBSTITUTE(F189,"'","''")&amp;"'!A1","Open"))</f>
        <v/>
      </c>
    </row>
    <row r="190" ht="18" customHeight="1">
      <c r="A190" s="37" t="inlineStr">
        <is>
          <t>https://africanmarketingconfederation.org/smoke-archive/page-28</t>
        </is>
      </c>
      <c r="B190" s="30" t="inlineStr">
        <is>
          <t>Issue Inventory</t>
        </is>
      </c>
      <c r="C190" s="80" t="inlineStr">
        <is>
          <t>Render Blocking Resources</t>
        </is>
      </c>
      <c r="D190" s="30" t="inlineStr">
        <is>
          <t>Observation</t>
        </is>
      </c>
      <c r="E190" s="31" t="n">
        <v>1</v>
      </c>
      <c r="F190" s="41" t="inlineStr">
        <is>
          <t>Technical Diagnostics</t>
        </is>
      </c>
      <c r="G190" s="30" t="inlineStr">
        <is>
          <t>https://africanmarketingconfederation.org/smoke-archive/page-28::render_blocking_resources</t>
        </is>
      </c>
      <c r="H190" s="30" t="inlineStr">
        <is>
          <t>Dev</t>
        </is>
      </c>
      <c r="I190" s="30" t="inlineStr"/>
      <c r="J190" s="30" t="inlineStr">
        <is>
          <t>To Do</t>
        </is>
      </c>
      <c r="K190" s="31" t="inlineStr">
        <is>
          <t>https://africanmarketingconfederation.org/smoke-archive/page-28</t>
        </is>
      </c>
      <c r="L190" s="30" t="inlineStr">
        <is>
          <t>IssueInventory</t>
        </is>
      </c>
      <c r="M190" s="30" t="n">
        <v>138</v>
      </c>
      <c r="N190" s="30" t="inlineStr">
        <is>
          <t>2026-07-01 20:54:35</t>
        </is>
      </c>
      <c r="O190" s="30" t="n">
        <v>0</v>
      </c>
      <c r="P190" s="30" t="inlineStr"/>
      <c r="Q190" s="30" t="inlineStr"/>
      <c r="R190" s="38">
        <f>IFERROR(HYPERLINK("#'Main'!B"&amp;MATCH(TRIM(A190),'Main'!B:B,0),"Open"),HYPERLINK("#'Main'!B1","Open"))</f>
        <v/>
      </c>
      <c r="S190" s="38">
        <f>IFERROR(HYPERLINK("#'"&amp;SUBSTITUTE(F190,"'","''")&amp;"'!A"&amp;MATCH(A190,INDIRECT("'"&amp;SUBSTITUTE(F190,"'","''")&amp;"'!A:A"),0),"Open"),HYPERLINK("#'"&amp;SUBSTITUTE(F190,"'","''")&amp;"'!A1","Open"))</f>
        <v/>
      </c>
    </row>
    <row r="191" ht="18" customHeight="1">
      <c r="A191" s="35" t="inlineStr">
        <is>
          <t>https://africanmarketingconfederation.org/smoke-archive/page-29</t>
        </is>
      </c>
      <c r="B191" s="28" t="inlineStr">
        <is>
          <t>Issue Inventory</t>
        </is>
      </c>
      <c r="C191" s="79" t="inlineStr">
        <is>
          <t>Missing OG Image</t>
        </is>
      </c>
      <c r="D191" s="28" t="inlineStr">
        <is>
          <t>Warning</t>
        </is>
      </c>
      <c r="E191" s="20" t="n">
        <v>1</v>
      </c>
      <c r="F191" s="39" t="inlineStr">
        <is>
          <t>Technical Diagnostics</t>
        </is>
      </c>
      <c r="G191" s="28" t="inlineStr">
        <is>
          <t>https://africanmarketingconfederation.org/smoke-archive/page-29::missing_og_image</t>
        </is>
      </c>
      <c r="H191" s="28" t="inlineStr">
        <is>
          <t>Copy Writer</t>
        </is>
      </c>
      <c r="I191" s="28" t="inlineStr"/>
      <c r="J191" s="28" t="inlineStr">
        <is>
          <t>To Do</t>
        </is>
      </c>
      <c r="K191" s="20" t="inlineStr">
        <is>
          <t>https://africanmarketingconfederation.org/smoke-archive/page-29</t>
        </is>
      </c>
      <c r="L191" s="28" t="inlineStr">
        <is>
          <t>IssueInventory</t>
        </is>
      </c>
      <c r="M191" s="28" t="n">
        <v>139</v>
      </c>
      <c r="N191" s="28" t="inlineStr">
        <is>
          <t>2026-07-01 20:54:35</t>
        </is>
      </c>
      <c r="O191" s="28" t="n">
        <v>0</v>
      </c>
      <c r="P191" s="28" t="inlineStr"/>
      <c r="Q191" s="28" t="inlineStr"/>
      <c r="R191">
        <f>IFERROR(HYPERLINK("#'Main'!B"&amp;MATCH(TRIM(A191),'Main'!B:B,0),"Open"),HYPERLINK("#'Main'!B1","Open"))</f>
        <v/>
      </c>
      <c r="S191">
        <f>IFERROR(HYPERLINK("#'"&amp;SUBSTITUTE(F191,"'","''")&amp;"'!A"&amp;MATCH(A191,INDIRECT("'"&amp;SUBSTITUTE(F191,"'","''")&amp;"'!A:A"),0),"Open"),HYPERLINK("#'"&amp;SUBSTITUTE(F191,"'","''")&amp;"'!A1","Open"))</f>
        <v/>
      </c>
    </row>
    <row r="192" ht="18" customHeight="1">
      <c r="A192" s="37" t="inlineStr">
        <is>
          <t>https://africanmarketingconfederation.org/smoke-archive/page-29</t>
        </is>
      </c>
      <c r="B192" s="30" t="inlineStr">
        <is>
          <t>Issue Inventory</t>
        </is>
      </c>
      <c r="C192" s="80" t="inlineStr">
        <is>
          <t>Lab TBT 150ms–300ms (Mobile)</t>
        </is>
      </c>
      <c r="D192" s="30" t="inlineStr">
        <is>
          <t>Observation</t>
        </is>
      </c>
      <c r="E192" s="31" t="n">
        <v>1</v>
      </c>
      <c r="F192" s="41" t="inlineStr">
        <is>
          <t>Technical Diagnostics</t>
        </is>
      </c>
      <c r="G192" s="30" t="inlineStr">
        <is>
          <t>https://africanmarketingconfederation.org/smoke-archive/page-29::lab_tbt_150ms_300ms_mobile_</t>
        </is>
      </c>
      <c r="H192" s="30" t="inlineStr">
        <is>
          <t>Dev</t>
        </is>
      </c>
      <c r="I192" s="30" t="inlineStr"/>
      <c r="J192" s="30" t="inlineStr">
        <is>
          <t>To Do</t>
        </is>
      </c>
      <c r="K192" s="31" t="inlineStr">
        <is>
          <t>https://africanmarketingconfederation.org/smoke-archive/page-29</t>
        </is>
      </c>
      <c r="L192" s="30" t="inlineStr">
        <is>
          <t>IssueInventory</t>
        </is>
      </c>
      <c r="M192" s="30" t="n">
        <v>140</v>
      </c>
      <c r="N192" s="30" t="inlineStr">
        <is>
          <t>2026-07-01 20:54:35</t>
        </is>
      </c>
      <c r="O192" s="30" t="n">
        <v>0</v>
      </c>
      <c r="P192" s="30" t="inlineStr"/>
      <c r="Q192" s="30" t="inlineStr"/>
      <c r="R192" s="38">
        <f>IFERROR(HYPERLINK("#'Main'!B"&amp;MATCH(TRIM(A192),'Main'!B:B,0),"Open"),HYPERLINK("#'Main'!B1","Open"))</f>
        <v/>
      </c>
      <c r="S192" s="38">
        <f>IFERROR(HYPERLINK("#'"&amp;SUBSTITUTE(F192,"'","''")&amp;"'!A"&amp;MATCH(A192,INDIRECT("'"&amp;SUBSTITUTE(F192,"'","''")&amp;"'!A:A"),0),"Open"),HYPERLINK("#'"&amp;SUBSTITUTE(F192,"'","''")&amp;"'!A1","Open"))</f>
        <v/>
      </c>
    </row>
    <row r="193" ht="18" customHeight="1">
      <c r="A193" s="35" t="inlineStr">
        <is>
          <t>https://africanmarketingconfederation.org/smoke-archive/page-29</t>
        </is>
      </c>
      <c r="B193" s="28" t="inlineStr">
        <is>
          <t>Issue Inventory</t>
        </is>
      </c>
      <c r="C193" s="79" t="inlineStr">
        <is>
          <t>Moderate Lighthouse Performance Mobile (50–89)</t>
        </is>
      </c>
      <c r="D193" s="28" t="inlineStr">
        <is>
          <t>Observation</t>
        </is>
      </c>
      <c r="E193" s="20" t="n">
        <v>1</v>
      </c>
      <c r="F193" s="39" t="inlineStr">
        <is>
          <t>Technical Diagnostics</t>
        </is>
      </c>
      <c r="G193" s="28" t="inlineStr">
        <is>
          <t>https://africanmarketingconfederation.org/smoke-archive/page-29::moderate_lighthouse_performance_mobile_50_89_</t>
        </is>
      </c>
      <c r="H193" s="28" t="inlineStr">
        <is>
          <t>Dev</t>
        </is>
      </c>
      <c r="I193" s="28" t="inlineStr"/>
      <c r="J193" s="28" t="inlineStr">
        <is>
          <t>To Do</t>
        </is>
      </c>
      <c r="K193" s="20" t="inlineStr">
        <is>
          <t>https://africanmarketingconfederation.org/smoke-archive/page-29</t>
        </is>
      </c>
      <c r="L193" s="28" t="inlineStr">
        <is>
          <t>IssueInventory</t>
        </is>
      </c>
      <c r="M193" s="28" t="n">
        <v>141</v>
      </c>
      <c r="N193" s="28" t="inlineStr">
        <is>
          <t>2026-07-01 20:54:35</t>
        </is>
      </c>
      <c r="O193" s="28" t="n">
        <v>0</v>
      </c>
      <c r="P193" s="28" t="inlineStr"/>
      <c r="Q193" s="28" t="inlineStr"/>
      <c r="R193">
        <f>IFERROR(HYPERLINK("#'Main'!B"&amp;MATCH(TRIM(A193),'Main'!B:B,0),"Open"),HYPERLINK("#'Main'!B1","Open"))</f>
        <v/>
      </c>
      <c r="S193">
        <f>IFERROR(HYPERLINK("#'"&amp;SUBSTITUTE(F193,"'","''")&amp;"'!A"&amp;MATCH(A193,INDIRECT("'"&amp;SUBSTITUTE(F193,"'","''")&amp;"'!A:A"),0),"Open"),HYPERLINK("#'"&amp;SUBSTITUTE(F193,"'","''")&amp;"'!A1","Open"))</f>
        <v/>
      </c>
    </row>
    <row r="194" ht="18" customHeight="1">
      <c r="A194" s="37" t="inlineStr">
        <is>
          <t>https://africanmarketingconfederation.org/smoke-archive/page-29</t>
        </is>
      </c>
      <c r="B194" s="30" t="inlineStr">
        <is>
          <t>Issue Inventory</t>
        </is>
      </c>
      <c r="C194" s="80" t="inlineStr">
        <is>
          <t>Render Blocking Resources</t>
        </is>
      </c>
      <c r="D194" s="30" t="inlineStr">
        <is>
          <t>Observation</t>
        </is>
      </c>
      <c r="E194" s="31" t="n">
        <v>1</v>
      </c>
      <c r="F194" s="41" t="inlineStr">
        <is>
          <t>Technical Diagnostics</t>
        </is>
      </c>
      <c r="G194" s="30" t="inlineStr">
        <is>
          <t>https://africanmarketingconfederation.org/smoke-archive/page-29::render_blocking_resources</t>
        </is>
      </c>
      <c r="H194" s="30" t="inlineStr">
        <is>
          <t>Dev</t>
        </is>
      </c>
      <c r="I194" s="30" t="inlineStr"/>
      <c r="J194" s="30" t="inlineStr">
        <is>
          <t>To Do</t>
        </is>
      </c>
      <c r="K194" s="31" t="inlineStr">
        <is>
          <t>https://africanmarketingconfederation.org/smoke-archive/page-29</t>
        </is>
      </c>
      <c r="L194" s="30" t="inlineStr">
        <is>
          <t>IssueInventory</t>
        </is>
      </c>
      <c r="M194" s="30" t="n">
        <v>142</v>
      </c>
      <c r="N194" s="30" t="inlineStr">
        <is>
          <t>2026-07-01 20:54:35</t>
        </is>
      </c>
      <c r="O194" s="30" t="n">
        <v>0</v>
      </c>
      <c r="P194" s="30" t="inlineStr"/>
      <c r="Q194" s="30" t="inlineStr"/>
      <c r="R194" s="38">
        <f>IFERROR(HYPERLINK("#'Main'!B"&amp;MATCH(TRIM(A194),'Main'!B:B,0),"Open"),HYPERLINK("#'Main'!B1","Open"))</f>
        <v/>
      </c>
      <c r="S194" s="38">
        <f>IFERROR(HYPERLINK("#'"&amp;SUBSTITUTE(F194,"'","''")&amp;"'!A"&amp;MATCH(A194,INDIRECT("'"&amp;SUBSTITUTE(F194,"'","''")&amp;"'!A:A"),0),"Open"),HYPERLINK("#'"&amp;SUBSTITUTE(F194,"'","''")&amp;"'!A1","Open"))</f>
        <v/>
      </c>
    </row>
    <row r="195" ht="18" customHeight="1">
      <c r="A195" s="35" t="inlineStr">
        <is>
          <t>https://africanmarketingconfederation.org/smoke-archive/page-30</t>
        </is>
      </c>
      <c r="B195" s="28" t="inlineStr">
        <is>
          <t>Issue Inventory</t>
        </is>
      </c>
      <c r="C195" s="79" t="inlineStr">
        <is>
          <t>Missing Meta Description</t>
        </is>
      </c>
      <c r="D195" s="28" t="inlineStr">
        <is>
          <t>Warning</t>
        </is>
      </c>
      <c r="E195" s="20" t="n">
        <v>1</v>
      </c>
      <c r="F195" s="39" t="inlineStr">
        <is>
          <t>Technical Diagnostics</t>
        </is>
      </c>
      <c r="G195" s="28" t="inlineStr">
        <is>
          <t>https://africanmarketingconfederation.org/smoke-archive/page-30::missing_meta_description</t>
        </is>
      </c>
      <c r="H195" s="28" t="inlineStr">
        <is>
          <t>Copy Writer</t>
        </is>
      </c>
      <c r="I195" s="28" t="inlineStr"/>
      <c r="J195" s="28" t="inlineStr">
        <is>
          <t>To Do</t>
        </is>
      </c>
      <c r="K195" s="20" t="inlineStr">
        <is>
          <t>https://africanmarketingconfederation.org/smoke-archive/page-30</t>
        </is>
      </c>
      <c r="L195" s="28" t="inlineStr">
        <is>
          <t>IssueInventory</t>
        </is>
      </c>
      <c r="M195" s="28" t="n">
        <v>143</v>
      </c>
      <c r="N195" s="28" t="inlineStr">
        <is>
          <t>2026-07-01 20:54:35</t>
        </is>
      </c>
      <c r="O195" s="28" t="n">
        <v>0</v>
      </c>
      <c r="P195" s="28" t="inlineStr"/>
      <c r="Q195" s="28" t="inlineStr"/>
      <c r="R195">
        <f>IFERROR(HYPERLINK("#'Main'!B"&amp;MATCH(TRIM(A195),'Main'!B:B,0),"Open"),HYPERLINK("#'Main'!B1","Open"))</f>
        <v/>
      </c>
      <c r="S195">
        <f>IFERROR(HYPERLINK("#'"&amp;SUBSTITUTE(F195,"'","''")&amp;"'!A"&amp;MATCH(A195,INDIRECT("'"&amp;SUBSTITUTE(F195,"'","''")&amp;"'!A:A"),0),"Open"),HYPERLINK("#'"&amp;SUBSTITUTE(F195,"'","''")&amp;"'!A1","Open"))</f>
        <v/>
      </c>
    </row>
    <row r="196" ht="18" customHeight="1">
      <c r="A196" s="37" t="inlineStr">
        <is>
          <t>https://africanmarketingconfederation.org/smoke-archive/page-30</t>
        </is>
      </c>
      <c r="B196" s="30" t="inlineStr">
        <is>
          <t>Issue Inventory</t>
        </is>
      </c>
      <c r="C196" s="80" t="inlineStr">
        <is>
          <t>Low Image Alt Coverage</t>
        </is>
      </c>
      <c r="D196" s="30" t="inlineStr">
        <is>
          <t>Warning</t>
        </is>
      </c>
      <c r="E196" s="31" t="n">
        <v>1</v>
      </c>
      <c r="F196" s="41" t="inlineStr">
        <is>
          <t>Technical Diagnostics</t>
        </is>
      </c>
      <c r="G196" s="30" t="inlineStr">
        <is>
          <t>https://africanmarketingconfederation.org/smoke-archive/page-30::low_image_alt_coverage</t>
        </is>
      </c>
      <c r="H196" s="30" t="inlineStr">
        <is>
          <t>Copy Writer</t>
        </is>
      </c>
      <c r="I196" s="30" t="inlineStr"/>
      <c r="J196" s="30" t="inlineStr">
        <is>
          <t>To Do</t>
        </is>
      </c>
      <c r="K196" s="31" t="inlineStr">
        <is>
          <t>https://africanmarketingconfederation.org/smoke-archive/page-30</t>
        </is>
      </c>
      <c r="L196" s="30" t="inlineStr">
        <is>
          <t>IssueInventory</t>
        </is>
      </c>
      <c r="M196" s="30" t="n">
        <v>144</v>
      </c>
      <c r="N196" s="30" t="inlineStr">
        <is>
          <t>2026-07-01 20:54:35</t>
        </is>
      </c>
      <c r="O196" s="30" t="n">
        <v>0</v>
      </c>
      <c r="P196" s="30" t="inlineStr"/>
      <c r="Q196" s="30" t="inlineStr"/>
      <c r="R196" s="38">
        <f>IFERROR(HYPERLINK("#'Main'!B"&amp;MATCH(TRIM(A196),'Main'!B:B,0),"Open"),HYPERLINK("#'Main'!B1","Open"))</f>
        <v/>
      </c>
      <c r="S196" s="38">
        <f>IFERROR(HYPERLINK("#'"&amp;SUBSTITUTE(F196,"'","''")&amp;"'!A"&amp;MATCH(A196,INDIRECT("'"&amp;SUBSTITUTE(F196,"'","''")&amp;"'!A:A"),0),"Open"),HYPERLINK("#'"&amp;SUBSTITUTE(F196,"'","''")&amp;"'!A1","Open"))</f>
        <v/>
      </c>
    </row>
    <row r="197" ht="18" customHeight="1">
      <c r="A197" s="35" t="inlineStr">
        <is>
          <t>https://africanmarketingconfederation.org/smoke-archive/page-30</t>
        </is>
      </c>
      <c r="B197" s="28" t="inlineStr">
        <is>
          <t>Issue Inventory</t>
        </is>
      </c>
      <c r="C197" s="79" t="inlineStr">
        <is>
          <t>Missing OG Description</t>
        </is>
      </c>
      <c r="D197" s="28" t="inlineStr">
        <is>
          <t>Warning</t>
        </is>
      </c>
      <c r="E197" s="20" t="n">
        <v>1</v>
      </c>
      <c r="F197" s="39" t="inlineStr">
        <is>
          <t>Technical Diagnostics</t>
        </is>
      </c>
      <c r="G197" s="28" t="inlineStr">
        <is>
          <t>https://africanmarketingconfederation.org/smoke-archive/page-30::missing_og_description</t>
        </is>
      </c>
      <c r="H197" s="28" t="inlineStr">
        <is>
          <t>Copy Writer</t>
        </is>
      </c>
      <c r="I197" s="28" t="inlineStr"/>
      <c r="J197" s="28" t="inlineStr">
        <is>
          <t>To Do</t>
        </is>
      </c>
      <c r="K197" s="20" t="inlineStr">
        <is>
          <t>https://africanmarketingconfederation.org/smoke-archive/page-30</t>
        </is>
      </c>
      <c r="L197" s="28" t="inlineStr">
        <is>
          <t>IssueInventory</t>
        </is>
      </c>
      <c r="M197" s="28" t="n">
        <v>145</v>
      </c>
      <c r="N197" s="28" t="inlineStr">
        <is>
          <t>2026-07-01 20:54:35</t>
        </is>
      </c>
      <c r="O197" s="28" t="n">
        <v>0</v>
      </c>
      <c r="P197" s="28" t="inlineStr"/>
      <c r="Q197" s="28" t="inlineStr"/>
      <c r="R197">
        <f>IFERROR(HYPERLINK("#'Main'!B"&amp;MATCH(TRIM(A197),'Main'!B:B,0),"Open"),HYPERLINK("#'Main'!B1","Open"))</f>
        <v/>
      </c>
      <c r="S197">
        <f>IFERROR(HYPERLINK("#'"&amp;SUBSTITUTE(F197,"'","''")&amp;"'!A"&amp;MATCH(A197,INDIRECT("'"&amp;SUBSTITUTE(F197,"'","''")&amp;"'!A:A"),0),"Open"),HYPERLINK("#'"&amp;SUBSTITUTE(F197,"'","''")&amp;"'!A1","Open"))</f>
        <v/>
      </c>
    </row>
    <row r="198" ht="18" customHeight="1">
      <c r="A198" s="37" t="inlineStr">
        <is>
          <t>https://africanmarketingconfederation.org/smoke-archive/page-30</t>
        </is>
      </c>
      <c r="B198" s="30" t="inlineStr">
        <is>
          <t>Issue Inventory</t>
        </is>
      </c>
      <c r="C198" s="80" t="inlineStr">
        <is>
          <t>Missing OG Image</t>
        </is>
      </c>
      <c r="D198" s="30" t="inlineStr">
        <is>
          <t>Warning</t>
        </is>
      </c>
      <c r="E198" s="31" t="n">
        <v>1</v>
      </c>
      <c r="F198" s="41" t="inlineStr">
        <is>
          <t>Technical Diagnostics</t>
        </is>
      </c>
      <c r="G198" s="30" t="inlineStr">
        <is>
          <t>https://africanmarketingconfederation.org/smoke-archive/page-30::missing_og_image</t>
        </is>
      </c>
      <c r="H198" s="30" t="inlineStr">
        <is>
          <t>Copy Writer</t>
        </is>
      </c>
      <c r="I198" s="30" t="inlineStr"/>
      <c r="J198" s="30" t="inlineStr">
        <is>
          <t>To Do</t>
        </is>
      </c>
      <c r="K198" s="31" t="inlineStr">
        <is>
          <t>https://africanmarketingconfederation.org/smoke-archive/page-30</t>
        </is>
      </c>
      <c r="L198" s="30" t="inlineStr">
        <is>
          <t>IssueInventory</t>
        </is>
      </c>
      <c r="M198" s="30" t="n">
        <v>146</v>
      </c>
      <c r="N198" s="30" t="inlineStr">
        <is>
          <t>2026-07-01 20:54:35</t>
        </is>
      </c>
      <c r="O198" s="30" t="n">
        <v>0</v>
      </c>
      <c r="P198" s="30" t="inlineStr"/>
      <c r="Q198" s="30" t="inlineStr"/>
      <c r="R198" s="38">
        <f>IFERROR(HYPERLINK("#'Main'!B"&amp;MATCH(TRIM(A198),'Main'!B:B,0),"Open"),HYPERLINK("#'Main'!B1","Open"))</f>
        <v/>
      </c>
      <c r="S198" s="38">
        <f>IFERROR(HYPERLINK("#'"&amp;SUBSTITUTE(F198,"'","''")&amp;"'!A"&amp;MATCH(A198,INDIRECT("'"&amp;SUBSTITUTE(F198,"'","''")&amp;"'!A:A"),0),"Open"),HYPERLINK("#'"&amp;SUBSTITUTE(F198,"'","''")&amp;"'!A1","Open"))</f>
        <v/>
      </c>
    </row>
    <row r="199" ht="18" customHeight="1">
      <c r="A199" s="35" t="inlineStr">
        <is>
          <t>https://africanmarketingconfederation.org/smoke-archive/page-30</t>
        </is>
      </c>
      <c r="B199" s="28" t="inlineStr">
        <is>
          <t>Issue Inventory</t>
        </is>
      </c>
      <c r="C199" s="79" t="inlineStr">
        <is>
          <t>Lab TBT 150ms–300ms (Mobile)</t>
        </is>
      </c>
      <c r="D199" s="28" t="inlineStr">
        <is>
          <t>Observation</t>
        </is>
      </c>
      <c r="E199" s="20" t="n">
        <v>1</v>
      </c>
      <c r="F199" s="39" t="inlineStr">
        <is>
          <t>Technical Diagnostics</t>
        </is>
      </c>
      <c r="G199" s="28" t="inlineStr">
        <is>
          <t>https://africanmarketingconfederation.org/smoke-archive/page-30::lab_tbt_150ms_300ms_mobile_</t>
        </is>
      </c>
      <c r="H199" s="28" t="inlineStr">
        <is>
          <t>Dev</t>
        </is>
      </c>
      <c r="I199" s="28" t="inlineStr"/>
      <c r="J199" s="28" t="inlineStr">
        <is>
          <t>To Do</t>
        </is>
      </c>
      <c r="K199" s="20" t="inlineStr">
        <is>
          <t>https://africanmarketingconfederation.org/smoke-archive/page-30</t>
        </is>
      </c>
      <c r="L199" s="28" t="inlineStr">
        <is>
          <t>IssueInventory</t>
        </is>
      </c>
      <c r="M199" s="28" t="n">
        <v>147</v>
      </c>
      <c r="N199" s="28" t="inlineStr">
        <is>
          <t>2026-07-01 20:54:35</t>
        </is>
      </c>
      <c r="O199" s="28" t="n">
        <v>0</v>
      </c>
      <c r="P199" s="28" t="inlineStr"/>
      <c r="Q199" s="28" t="inlineStr"/>
      <c r="R199">
        <f>IFERROR(HYPERLINK("#'Main'!B"&amp;MATCH(TRIM(A199),'Main'!B:B,0),"Open"),HYPERLINK("#'Main'!B1","Open"))</f>
        <v/>
      </c>
      <c r="S199">
        <f>IFERROR(HYPERLINK("#'"&amp;SUBSTITUTE(F199,"'","''")&amp;"'!A"&amp;MATCH(A199,INDIRECT("'"&amp;SUBSTITUTE(F199,"'","''")&amp;"'!A:A"),0),"Open"),HYPERLINK("#'"&amp;SUBSTITUTE(F199,"'","''")&amp;"'!A1","Open"))</f>
        <v/>
      </c>
    </row>
    <row r="200" ht="18" customHeight="1">
      <c r="A200" s="37" t="inlineStr">
        <is>
          <t>https://africanmarketingconfederation.org/smoke-archive/page-30</t>
        </is>
      </c>
      <c r="B200" s="30" t="inlineStr">
        <is>
          <t>Issue Inventory</t>
        </is>
      </c>
      <c r="C200" s="80" t="inlineStr">
        <is>
          <t>Moderate Lighthouse Performance Mobile (50–89)</t>
        </is>
      </c>
      <c r="D200" s="30" t="inlineStr">
        <is>
          <t>Observation</t>
        </is>
      </c>
      <c r="E200" s="31" t="n">
        <v>1</v>
      </c>
      <c r="F200" s="41" t="inlineStr">
        <is>
          <t>Technical Diagnostics</t>
        </is>
      </c>
      <c r="G200" s="30" t="inlineStr">
        <is>
          <t>https://africanmarketingconfederation.org/smoke-archive/page-30::moderate_lighthouse_performance_mobile_50_89_</t>
        </is>
      </c>
      <c r="H200" s="30" t="inlineStr">
        <is>
          <t>Dev</t>
        </is>
      </c>
      <c r="I200" s="30" t="inlineStr"/>
      <c r="J200" s="30" t="inlineStr">
        <is>
          <t>To Do</t>
        </is>
      </c>
      <c r="K200" s="31" t="inlineStr">
        <is>
          <t>https://africanmarketingconfederation.org/smoke-archive/page-30</t>
        </is>
      </c>
      <c r="L200" s="30" t="inlineStr">
        <is>
          <t>IssueInventory</t>
        </is>
      </c>
      <c r="M200" s="30" t="n">
        <v>148</v>
      </c>
      <c r="N200" s="30" t="inlineStr">
        <is>
          <t>2026-07-01 20:54:35</t>
        </is>
      </c>
      <c r="O200" s="30" t="n">
        <v>0</v>
      </c>
      <c r="P200" s="30" t="inlineStr"/>
      <c r="Q200" s="30" t="inlineStr"/>
      <c r="R200" s="38">
        <f>IFERROR(HYPERLINK("#'Main'!B"&amp;MATCH(TRIM(A200),'Main'!B:B,0),"Open"),HYPERLINK("#'Main'!B1","Open"))</f>
        <v/>
      </c>
      <c r="S200" s="38">
        <f>IFERROR(HYPERLINK("#'"&amp;SUBSTITUTE(F200,"'","''")&amp;"'!A"&amp;MATCH(A200,INDIRECT("'"&amp;SUBSTITUTE(F200,"'","''")&amp;"'!A:A"),0),"Open"),HYPERLINK("#'"&amp;SUBSTITUTE(F200,"'","''")&amp;"'!A1","Open"))</f>
        <v/>
      </c>
    </row>
    <row r="201" ht="18" customHeight="1">
      <c r="A201" s="35" t="inlineStr">
        <is>
          <t>https://africanmarketingconfederation.org/smoke-archive/page-30</t>
        </is>
      </c>
      <c r="B201" s="28" t="inlineStr">
        <is>
          <t>Issue Inventory</t>
        </is>
      </c>
      <c r="C201" s="79" t="inlineStr">
        <is>
          <t>Render Blocking Resources</t>
        </is>
      </c>
      <c r="D201" s="28" t="inlineStr">
        <is>
          <t>Observation</t>
        </is>
      </c>
      <c r="E201" s="20" t="n">
        <v>1</v>
      </c>
      <c r="F201" s="39" t="inlineStr">
        <is>
          <t>Technical Diagnostics</t>
        </is>
      </c>
      <c r="G201" s="28" t="inlineStr">
        <is>
          <t>https://africanmarketingconfederation.org/smoke-archive/page-30::render_blocking_resources</t>
        </is>
      </c>
      <c r="H201" s="28" t="inlineStr">
        <is>
          <t>Dev</t>
        </is>
      </c>
      <c r="I201" s="28" t="inlineStr"/>
      <c r="J201" s="28" t="inlineStr">
        <is>
          <t>To Do</t>
        </is>
      </c>
      <c r="K201" s="20" t="inlineStr">
        <is>
          <t>https://africanmarketingconfederation.org/smoke-archive/page-30</t>
        </is>
      </c>
      <c r="L201" s="28" t="inlineStr">
        <is>
          <t>IssueInventory</t>
        </is>
      </c>
      <c r="M201" s="28" t="n">
        <v>149</v>
      </c>
      <c r="N201" s="28" t="inlineStr">
        <is>
          <t>2026-07-01 20:54:35</t>
        </is>
      </c>
      <c r="O201" s="28" t="n">
        <v>0</v>
      </c>
      <c r="P201" s="28" t="inlineStr"/>
      <c r="Q201" s="28" t="inlineStr"/>
      <c r="R201">
        <f>IFERROR(HYPERLINK("#'Main'!B"&amp;MATCH(TRIM(A201),'Main'!B:B,0),"Open"),HYPERLINK("#'Main'!B1","Open"))</f>
        <v/>
      </c>
      <c r="S201">
        <f>IFERROR(HYPERLINK("#'"&amp;SUBSTITUTE(F201,"'","''")&amp;"'!A"&amp;MATCH(A201,INDIRECT("'"&amp;SUBSTITUTE(F201,"'","''")&amp;"'!A:A"),0),"Open"),HYPERLINK("#'"&amp;SUBSTITUTE(F201,"'","''")&amp;"'!A1","Open"))</f>
        <v/>
      </c>
    </row>
    <row r="202" ht="18" customHeight="1">
      <c r="A202" s="37" t="inlineStr">
        <is>
          <t>https://africanmarketingconfederation.org/smoke-archive/page-31</t>
        </is>
      </c>
      <c r="B202" s="30" t="inlineStr">
        <is>
          <t>Issue Inventory</t>
        </is>
      </c>
      <c r="C202" s="80" t="inlineStr">
        <is>
          <t>Missing OG Image</t>
        </is>
      </c>
      <c r="D202" s="30" t="inlineStr">
        <is>
          <t>Warning</t>
        </is>
      </c>
      <c r="E202" s="31" t="n">
        <v>1</v>
      </c>
      <c r="F202" s="41" t="inlineStr">
        <is>
          <t>Technical Diagnostics</t>
        </is>
      </c>
      <c r="G202" s="30" t="inlineStr">
        <is>
          <t>https://africanmarketingconfederation.org/smoke-archive/page-31::missing_og_image</t>
        </is>
      </c>
      <c r="H202" s="30" t="inlineStr">
        <is>
          <t>Copy Writer</t>
        </is>
      </c>
      <c r="I202" s="30" t="inlineStr"/>
      <c r="J202" s="30" t="inlineStr">
        <is>
          <t>To Do</t>
        </is>
      </c>
      <c r="K202" s="31" t="inlineStr">
        <is>
          <t>https://africanmarketingconfederation.org/smoke-archive/page-31</t>
        </is>
      </c>
      <c r="L202" s="30" t="inlineStr">
        <is>
          <t>IssueInventory</t>
        </is>
      </c>
      <c r="M202" s="30" t="n">
        <v>150</v>
      </c>
      <c r="N202" s="30" t="inlineStr">
        <is>
          <t>2026-07-01 20:54:35</t>
        </is>
      </c>
      <c r="O202" s="30" t="n">
        <v>0</v>
      </c>
      <c r="P202" s="30" t="inlineStr"/>
      <c r="Q202" s="30" t="inlineStr"/>
      <c r="R202" s="38">
        <f>IFERROR(HYPERLINK("#'Main'!B"&amp;MATCH(TRIM(A202),'Main'!B:B,0),"Open"),HYPERLINK("#'Main'!B1","Open"))</f>
        <v/>
      </c>
      <c r="S202" s="38">
        <f>IFERROR(HYPERLINK("#'"&amp;SUBSTITUTE(F202,"'","''")&amp;"'!A"&amp;MATCH(A202,INDIRECT("'"&amp;SUBSTITUTE(F202,"'","''")&amp;"'!A:A"),0),"Open"),HYPERLINK("#'"&amp;SUBSTITUTE(F202,"'","''")&amp;"'!A1","Open"))</f>
        <v/>
      </c>
    </row>
    <row r="203" ht="18" customHeight="1">
      <c r="A203" s="35" t="inlineStr">
        <is>
          <t>https://africanmarketingconfederation.org/smoke-archive/page-31</t>
        </is>
      </c>
      <c r="B203" s="28" t="inlineStr">
        <is>
          <t>Issue Inventory</t>
        </is>
      </c>
      <c r="C203" s="79" t="inlineStr">
        <is>
          <t>Lab TBT 150ms–300ms (Mobile)</t>
        </is>
      </c>
      <c r="D203" s="28" t="inlineStr">
        <is>
          <t>Observation</t>
        </is>
      </c>
      <c r="E203" s="20" t="n">
        <v>1</v>
      </c>
      <c r="F203" s="39" t="inlineStr">
        <is>
          <t>Technical Diagnostics</t>
        </is>
      </c>
      <c r="G203" s="28" t="inlineStr">
        <is>
          <t>https://africanmarketingconfederation.org/smoke-archive/page-31::lab_tbt_150ms_300ms_mobile_</t>
        </is>
      </c>
      <c r="H203" s="28" t="inlineStr">
        <is>
          <t>Dev</t>
        </is>
      </c>
      <c r="I203" s="28" t="inlineStr"/>
      <c r="J203" s="28" t="inlineStr">
        <is>
          <t>To Do</t>
        </is>
      </c>
      <c r="K203" s="20" t="inlineStr">
        <is>
          <t>https://africanmarketingconfederation.org/smoke-archive/page-31</t>
        </is>
      </c>
      <c r="L203" s="28" t="inlineStr">
        <is>
          <t>IssueInventory</t>
        </is>
      </c>
      <c r="M203" s="28" t="n">
        <v>151</v>
      </c>
      <c r="N203" s="28" t="inlineStr">
        <is>
          <t>2026-07-01 20:54:35</t>
        </is>
      </c>
      <c r="O203" s="28" t="n">
        <v>0</v>
      </c>
      <c r="P203" s="28" t="inlineStr"/>
      <c r="Q203" s="28" t="inlineStr"/>
      <c r="R203">
        <f>IFERROR(HYPERLINK("#'Main'!B"&amp;MATCH(TRIM(A203),'Main'!B:B,0),"Open"),HYPERLINK("#'Main'!B1","Open"))</f>
        <v/>
      </c>
      <c r="S203">
        <f>IFERROR(HYPERLINK("#'"&amp;SUBSTITUTE(F203,"'","''")&amp;"'!A"&amp;MATCH(A203,INDIRECT("'"&amp;SUBSTITUTE(F203,"'","''")&amp;"'!A:A"),0),"Open"),HYPERLINK("#'"&amp;SUBSTITUTE(F203,"'","''")&amp;"'!A1","Open"))</f>
        <v/>
      </c>
    </row>
    <row r="204" ht="18" customHeight="1">
      <c r="A204" s="37" t="inlineStr">
        <is>
          <t>https://africanmarketingconfederation.org/smoke-archive/page-31</t>
        </is>
      </c>
      <c r="B204" s="30" t="inlineStr">
        <is>
          <t>Issue Inventory</t>
        </is>
      </c>
      <c r="C204" s="80" t="inlineStr">
        <is>
          <t>Moderate Lighthouse Performance Mobile (50–89)</t>
        </is>
      </c>
      <c r="D204" s="30" t="inlineStr">
        <is>
          <t>Observation</t>
        </is>
      </c>
      <c r="E204" s="31" t="n">
        <v>1</v>
      </c>
      <c r="F204" s="41" t="inlineStr">
        <is>
          <t>Technical Diagnostics</t>
        </is>
      </c>
      <c r="G204" s="30" t="inlineStr">
        <is>
          <t>https://africanmarketingconfederation.org/smoke-archive/page-31::moderate_lighthouse_performance_mobile_50_89_</t>
        </is>
      </c>
      <c r="H204" s="30" t="inlineStr">
        <is>
          <t>Dev</t>
        </is>
      </c>
      <c r="I204" s="30" t="inlineStr"/>
      <c r="J204" s="30" t="inlineStr">
        <is>
          <t>To Do</t>
        </is>
      </c>
      <c r="K204" s="31" t="inlineStr">
        <is>
          <t>https://africanmarketingconfederation.org/smoke-archive/page-31</t>
        </is>
      </c>
      <c r="L204" s="30" t="inlineStr">
        <is>
          <t>IssueInventory</t>
        </is>
      </c>
      <c r="M204" s="30" t="n">
        <v>152</v>
      </c>
      <c r="N204" s="30" t="inlineStr">
        <is>
          <t>2026-07-01 20:54:35</t>
        </is>
      </c>
      <c r="O204" s="30" t="n">
        <v>0</v>
      </c>
      <c r="P204" s="30" t="inlineStr"/>
      <c r="Q204" s="30" t="inlineStr"/>
      <c r="R204" s="38">
        <f>IFERROR(HYPERLINK("#'Main'!B"&amp;MATCH(TRIM(A204),'Main'!B:B,0),"Open"),HYPERLINK("#'Main'!B1","Open"))</f>
        <v/>
      </c>
      <c r="S204" s="38">
        <f>IFERROR(HYPERLINK("#'"&amp;SUBSTITUTE(F204,"'","''")&amp;"'!A"&amp;MATCH(A204,INDIRECT("'"&amp;SUBSTITUTE(F204,"'","''")&amp;"'!A:A"),0),"Open"),HYPERLINK("#'"&amp;SUBSTITUTE(F204,"'","''")&amp;"'!A1","Open"))</f>
        <v/>
      </c>
    </row>
    <row r="205" ht="18" customHeight="1">
      <c r="A205" s="35" t="inlineStr">
        <is>
          <t>https://africanmarketingconfederation.org/smoke-archive/page-31</t>
        </is>
      </c>
      <c r="B205" s="28" t="inlineStr">
        <is>
          <t>Issue Inventory</t>
        </is>
      </c>
      <c r="C205" s="79" t="inlineStr">
        <is>
          <t>Render Blocking Resources</t>
        </is>
      </c>
      <c r="D205" s="28" t="inlineStr">
        <is>
          <t>Observation</t>
        </is>
      </c>
      <c r="E205" s="20" t="n">
        <v>1</v>
      </c>
      <c r="F205" s="39" t="inlineStr">
        <is>
          <t>Technical Diagnostics</t>
        </is>
      </c>
      <c r="G205" s="28" t="inlineStr">
        <is>
          <t>https://africanmarketingconfederation.org/smoke-archive/page-31::render_blocking_resources</t>
        </is>
      </c>
      <c r="H205" s="28" t="inlineStr">
        <is>
          <t>Dev</t>
        </is>
      </c>
      <c r="I205" s="28" t="inlineStr"/>
      <c r="J205" s="28" t="inlineStr">
        <is>
          <t>To Do</t>
        </is>
      </c>
      <c r="K205" s="20" t="inlineStr">
        <is>
          <t>https://africanmarketingconfederation.org/smoke-archive/page-31</t>
        </is>
      </c>
      <c r="L205" s="28" t="inlineStr">
        <is>
          <t>IssueInventory</t>
        </is>
      </c>
      <c r="M205" s="28" t="n">
        <v>153</v>
      </c>
      <c r="N205" s="28" t="inlineStr">
        <is>
          <t>2026-07-01 20:54:35</t>
        </is>
      </c>
      <c r="O205" s="28" t="n">
        <v>0</v>
      </c>
      <c r="P205" s="28" t="inlineStr"/>
      <c r="Q205" s="28" t="inlineStr"/>
      <c r="R205">
        <f>IFERROR(HYPERLINK("#'Main'!B"&amp;MATCH(TRIM(A205),'Main'!B:B,0),"Open"),HYPERLINK("#'Main'!B1","Open"))</f>
        <v/>
      </c>
      <c r="S205">
        <f>IFERROR(HYPERLINK("#'"&amp;SUBSTITUTE(F205,"'","''")&amp;"'!A"&amp;MATCH(A205,INDIRECT("'"&amp;SUBSTITUTE(F205,"'","''")&amp;"'!A:A"),0),"Open"),HYPERLINK("#'"&amp;SUBSTITUTE(F205,"'","''")&amp;"'!A1","Open"))</f>
        <v/>
      </c>
    </row>
    <row r="206" ht="18" customHeight="1">
      <c r="A206" s="37" t="inlineStr">
        <is>
          <t>https://africanmarketingconfederation.org/smoke-archive/page-32</t>
        </is>
      </c>
      <c r="B206" s="30" t="inlineStr">
        <is>
          <t>Issue Inventory</t>
        </is>
      </c>
      <c r="C206" s="80" t="inlineStr">
        <is>
          <t>Missing OG Title</t>
        </is>
      </c>
      <c r="D206" s="30" t="inlineStr">
        <is>
          <t>Warning</t>
        </is>
      </c>
      <c r="E206" s="31" t="n">
        <v>1</v>
      </c>
      <c r="F206" s="41" t="inlineStr">
        <is>
          <t>Technical Diagnostics</t>
        </is>
      </c>
      <c r="G206" s="30" t="inlineStr">
        <is>
          <t>https://africanmarketingconfederation.org/smoke-archive/page-32::missing_og_title</t>
        </is>
      </c>
      <c r="H206" s="30" t="inlineStr">
        <is>
          <t>Copy Writer</t>
        </is>
      </c>
      <c r="I206" s="30" t="inlineStr"/>
      <c r="J206" s="30" t="inlineStr">
        <is>
          <t>To Do</t>
        </is>
      </c>
      <c r="K206" s="31" t="inlineStr">
        <is>
          <t>https://africanmarketingconfederation.org/smoke-archive/page-32</t>
        </is>
      </c>
      <c r="L206" s="30" t="inlineStr">
        <is>
          <t>IssueInventory</t>
        </is>
      </c>
      <c r="M206" s="30" t="n">
        <v>154</v>
      </c>
      <c r="N206" s="30" t="inlineStr">
        <is>
          <t>2026-07-01 20:54:35</t>
        </is>
      </c>
      <c r="O206" s="30" t="n">
        <v>0</v>
      </c>
      <c r="P206" s="30" t="inlineStr"/>
      <c r="Q206" s="30" t="inlineStr"/>
      <c r="R206" s="38">
        <f>IFERROR(HYPERLINK("#'Main'!B"&amp;MATCH(TRIM(A206),'Main'!B:B,0),"Open"),HYPERLINK("#'Main'!B1","Open"))</f>
        <v/>
      </c>
      <c r="S206" s="38">
        <f>IFERROR(HYPERLINK("#'"&amp;SUBSTITUTE(F206,"'","''")&amp;"'!A"&amp;MATCH(A206,INDIRECT("'"&amp;SUBSTITUTE(F206,"'","''")&amp;"'!A:A"),0),"Open"),HYPERLINK("#'"&amp;SUBSTITUTE(F206,"'","''")&amp;"'!A1","Open"))</f>
        <v/>
      </c>
    </row>
    <row r="207" ht="18" customHeight="1">
      <c r="A207" s="35" t="inlineStr">
        <is>
          <t>https://africanmarketingconfederation.org/smoke-archive/page-32</t>
        </is>
      </c>
      <c r="B207" s="28" t="inlineStr">
        <is>
          <t>Issue Inventory</t>
        </is>
      </c>
      <c r="C207" s="79" t="inlineStr">
        <is>
          <t>Lab TBT 150ms–300ms (Mobile)</t>
        </is>
      </c>
      <c r="D207" s="28" t="inlineStr">
        <is>
          <t>Observation</t>
        </is>
      </c>
      <c r="E207" s="20" t="n">
        <v>1</v>
      </c>
      <c r="F207" s="39" t="inlineStr">
        <is>
          <t>Technical Diagnostics</t>
        </is>
      </c>
      <c r="G207" s="28" t="inlineStr">
        <is>
          <t>https://africanmarketingconfederation.org/smoke-archive/page-32::lab_tbt_150ms_300ms_mobile_</t>
        </is>
      </c>
      <c r="H207" s="28" t="inlineStr">
        <is>
          <t>Dev</t>
        </is>
      </c>
      <c r="I207" s="28" t="inlineStr"/>
      <c r="J207" s="28" t="inlineStr">
        <is>
          <t>To Do</t>
        </is>
      </c>
      <c r="K207" s="20" t="inlineStr">
        <is>
          <t>https://africanmarketingconfederation.org/smoke-archive/page-32</t>
        </is>
      </c>
      <c r="L207" s="28" t="inlineStr">
        <is>
          <t>IssueInventory</t>
        </is>
      </c>
      <c r="M207" s="28" t="n">
        <v>155</v>
      </c>
      <c r="N207" s="28" t="inlineStr">
        <is>
          <t>2026-07-01 20:54:35</t>
        </is>
      </c>
      <c r="O207" s="28" t="n">
        <v>0</v>
      </c>
      <c r="P207" s="28" t="inlineStr"/>
      <c r="Q207" s="28" t="inlineStr"/>
      <c r="R207">
        <f>IFERROR(HYPERLINK("#'Main'!B"&amp;MATCH(TRIM(A207),'Main'!B:B,0),"Open"),HYPERLINK("#'Main'!B1","Open"))</f>
        <v/>
      </c>
      <c r="S207">
        <f>IFERROR(HYPERLINK("#'"&amp;SUBSTITUTE(F207,"'","''")&amp;"'!A"&amp;MATCH(A207,INDIRECT("'"&amp;SUBSTITUTE(F207,"'","''")&amp;"'!A:A"),0),"Open"),HYPERLINK("#'"&amp;SUBSTITUTE(F207,"'","''")&amp;"'!A1","Open"))</f>
        <v/>
      </c>
    </row>
    <row r="208" ht="18" customHeight="1">
      <c r="A208" s="37" t="inlineStr">
        <is>
          <t>https://africanmarketingconfederation.org/smoke-archive/page-32</t>
        </is>
      </c>
      <c r="B208" s="30" t="inlineStr">
        <is>
          <t>Issue Inventory</t>
        </is>
      </c>
      <c r="C208" s="80" t="inlineStr">
        <is>
          <t>Moderate Lighthouse Performance Mobile (50–89)</t>
        </is>
      </c>
      <c r="D208" s="30" t="inlineStr">
        <is>
          <t>Observation</t>
        </is>
      </c>
      <c r="E208" s="31" t="n">
        <v>1</v>
      </c>
      <c r="F208" s="41" t="inlineStr">
        <is>
          <t>Technical Diagnostics</t>
        </is>
      </c>
      <c r="G208" s="30" t="inlineStr">
        <is>
          <t>https://africanmarketingconfederation.org/smoke-archive/page-32::moderate_lighthouse_performance_mobile_50_89_</t>
        </is>
      </c>
      <c r="H208" s="30" t="inlineStr">
        <is>
          <t>Dev</t>
        </is>
      </c>
      <c r="I208" s="30" t="inlineStr"/>
      <c r="J208" s="30" t="inlineStr">
        <is>
          <t>To Do</t>
        </is>
      </c>
      <c r="K208" s="31" t="inlineStr">
        <is>
          <t>https://africanmarketingconfederation.org/smoke-archive/page-32</t>
        </is>
      </c>
      <c r="L208" s="30" t="inlineStr">
        <is>
          <t>IssueInventory</t>
        </is>
      </c>
      <c r="M208" s="30" t="n">
        <v>156</v>
      </c>
      <c r="N208" s="30" t="inlineStr">
        <is>
          <t>2026-07-01 20:54:35</t>
        </is>
      </c>
      <c r="O208" s="30" t="n">
        <v>0</v>
      </c>
      <c r="P208" s="30" t="inlineStr"/>
      <c r="Q208" s="30" t="inlineStr"/>
      <c r="R208" s="38">
        <f>IFERROR(HYPERLINK("#'Main'!B"&amp;MATCH(TRIM(A208),'Main'!B:B,0),"Open"),HYPERLINK("#'Main'!B1","Open"))</f>
        <v/>
      </c>
      <c r="S208" s="38">
        <f>IFERROR(HYPERLINK("#'"&amp;SUBSTITUTE(F208,"'","''")&amp;"'!A"&amp;MATCH(A208,INDIRECT("'"&amp;SUBSTITUTE(F208,"'","''")&amp;"'!A:A"),0),"Open"),HYPERLINK("#'"&amp;SUBSTITUTE(F208,"'","''")&amp;"'!A1","Open"))</f>
        <v/>
      </c>
    </row>
    <row r="209" ht="18" customHeight="1">
      <c r="A209" s="35" t="inlineStr">
        <is>
          <t>https://africanmarketingconfederation.org/smoke-archive/page-32</t>
        </is>
      </c>
      <c r="B209" s="28" t="inlineStr">
        <is>
          <t>Issue Inventory</t>
        </is>
      </c>
      <c r="C209" s="79" t="inlineStr">
        <is>
          <t>Render Blocking Resources</t>
        </is>
      </c>
      <c r="D209" s="28" t="inlineStr">
        <is>
          <t>Observation</t>
        </is>
      </c>
      <c r="E209" s="20" t="n">
        <v>1</v>
      </c>
      <c r="F209" s="39" t="inlineStr">
        <is>
          <t>Technical Diagnostics</t>
        </is>
      </c>
      <c r="G209" s="28" t="inlineStr">
        <is>
          <t>https://africanmarketingconfederation.org/smoke-archive/page-32::render_blocking_resources</t>
        </is>
      </c>
      <c r="H209" s="28" t="inlineStr">
        <is>
          <t>Dev</t>
        </is>
      </c>
      <c r="I209" s="28" t="inlineStr"/>
      <c r="J209" s="28" t="inlineStr">
        <is>
          <t>To Do</t>
        </is>
      </c>
      <c r="K209" s="20" t="inlineStr">
        <is>
          <t>https://africanmarketingconfederation.org/smoke-archive/page-32</t>
        </is>
      </c>
      <c r="L209" s="28" t="inlineStr">
        <is>
          <t>IssueInventory</t>
        </is>
      </c>
      <c r="M209" s="28" t="n">
        <v>157</v>
      </c>
      <c r="N209" s="28" t="inlineStr">
        <is>
          <t>2026-07-01 20:54:35</t>
        </is>
      </c>
      <c r="O209" s="28" t="n">
        <v>0</v>
      </c>
      <c r="P209" s="28" t="inlineStr"/>
      <c r="Q209" s="28" t="inlineStr"/>
      <c r="R209">
        <f>IFERROR(HYPERLINK("#'Main'!B"&amp;MATCH(TRIM(A209),'Main'!B:B,0),"Open"),HYPERLINK("#'Main'!B1","Open"))</f>
        <v/>
      </c>
      <c r="S209">
        <f>IFERROR(HYPERLINK("#'"&amp;SUBSTITUTE(F209,"'","''")&amp;"'!A"&amp;MATCH(A209,INDIRECT("'"&amp;SUBSTITUTE(F209,"'","''")&amp;"'!A:A"),0),"Open"),HYPERLINK("#'"&amp;SUBSTITUTE(F209,"'","''")&amp;"'!A1","Open"))</f>
        <v/>
      </c>
    </row>
    <row r="210" ht="18" customHeight="1">
      <c r="A210" s="37" t="inlineStr">
        <is>
          <t>https://africanmarketingconfederation.org/smoke-archive/page-33</t>
        </is>
      </c>
      <c r="B210" s="30" t="inlineStr">
        <is>
          <t>Issue Inventory</t>
        </is>
      </c>
      <c r="C210" s="80" t="inlineStr">
        <is>
          <t>Missing OG Image</t>
        </is>
      </c>
      <c r="D210" s="30" t="inlineStr">
        <is>
          <t>Warning</t>
        </is>
      </c>
      <c r="E210" s="31" t="n">
        <v>1</v>
      </c>
      <c r="F210" s="41" t="inlineStr">
        <is>
          <t>Technical Diagnostics</t>
        </is>
      </c>
      <c r="G210" s="30" t="inlineStr">
        <is>
          <t>https://africanmarketingconfederation.org/smoke-archive/page-33::missing_og_image</t>
        </is>
      </c>
      <c r="H210" s="30" t="inlineStr">
        <is>
          <t>Copy Writer</t>
        </is>
      </c>
      <c r="I210" s="30" t="inlineStr"/>
      <c r="J210" s="30" t="inlineStr">
        <is>
          <t>To Do</t>
        </is>
      </c>
      <c r="K210" s="31" t="inlineStr">
        <is>
          <t>https://africanmarketingconfederation.org/smoke-archive/page-33</t>
        </is>
      </c>
      <c r="L210" s="30" t="inlineStr">
        <is>
          <t>IssueInventory</t>
        </is>
      </c>
      <c r="M210" s="30" t="n">
        <v>158</v>
      </c>
      <c r="N210" s="30" t="inlineStr">
        <is>
          <t>2026-07-01 20:54:35</t>
        </is>
      </c>
      <c r="O210" s="30" t="n">
        <v>0</v>
      </c>
      <c r="P210" s="30" t="inlineStr"/>
      <c r="Q210" s="30" t="inlineStr"/>
      <c r="R210" s="38">
        <f>IFERROR(HYPERLINK("#'Main'!B"&amp;MATCH(TRIM(A210),'Main'!B:B,0),"Open"),HYPERLINK("#'Main'!B1","Open"))</f>
        <v/>
      </c>
      <c r="S210" s="38">
        <f>IFERROR(HYPERLINK("#'"&amp;SUBSTITUTE(F210,"'","''")&amp;"'!A"&amp;MATCH(A210,INDIRECT("'"&amp;SUBSTITUTE(F210,"'","''")&amp;"'!A:A"),0),"Open"),HYPERLINK("#'"&amp;SUBSTITUTE(F210,"'","''")&amp;"'!A1","Open"))</f>
        <v/>
      </c>
    </row>
    <row r="211" ht="18" customHeight="1">
      <c r="A211" s="35" t="inlineStr">
        <is>
          <t>https://africanmarketingconfederation.org/smoke-archive/page-33</t>
        </is>
      </c>
      <c r="B211" s="28" t="inlineStr">
        <is>
          <t>Issue Inventory</t>
        </is>
      </c>
      <c r="C211" s="79" t="inlineStr">
        <is>
          <t>Lab TBT 150ms–300ms (Mobile)</t>
        </is>
      </c>
      <c r="D211" s="28" t="inlineStr">
        <is>
          <t>Observation</t>
        </is>
      </c>
      <c r="E211" s="20" t="n">
        <v>1</v>
      </c>
      <c r="F211" s="39" t="inlineStr">
        <is>
          <t>Technical Diagnostics</t>
        </is>
      </c>
      <c r="G211" s="28" t="inlineStr">
        <is>
          <t>https://africanmarketingconfederation.org/smoke-archive/page-33::lab_tbt_150ms_300ms_mobile_</t>
        </is>
      </c>
      <c r="H211" s="28" t="inlineStr">
        <is>
          <t>Dev</t>
        </is>
      </c>
      <c r="I211" s="28" t="inlineStr"/>
      <c r="J211" s="28" t="inlineStr">
        <is>
          <t>To Do</t>
        </is>
      </c>
      <c r="K211" s="20" t="inlineStr">
        <is>
          <t>https://africanmarketingconfederation.org/smoke-archive/page-33</t>
        </is>
      </c>
      <c r="L211" s="28" t="inlineStr">
        <is>
          <t>IssueInventory</t>
        </is>
      </c>
      <c r="M211" s="28" t="n">
        <v>159</v>
      </c>
      <c r="N211" s="28" t="inlineStr">
        <is>
          <t>2026-07-01 20:54:35</t>
        </is>
      </c>
      <c r="O211" s="28" t="n">
        <v>0</v>
      </c>
      <c r="P211" s="28" t="inlineStr"/>
      <c r="Q211" s="28" t="inlineStr"/>
      <c r="R211">
        <f>IFERROR(HYPERLINK("#'Main'!B"&amp;MATCH(TRIM(A211),'Main'!B:B,0),"Open"),HYPERLINK("#'Main'!B1","Open"))</f>
        <v/>
      </c>
      <c r="S211">
        <f>IFERROR(HYPERLINK("#'"&amp;SUBSTITUTE(F211,"'","''")&amp;"'!A"&amp;MATCH(A211,INDIRECT("'"&amp;SUBSTITUTE(F211,"'","''")&amp;"'!A:A"),0),"Open"),HYPERLINK("#'"&amp;SUBSTITUTE(F211,"'","''")&amp;"'!A1","Open"))</f>
        <v/>
      </c>
    </row>
    <row r="212" ht="18" customHeight="1">
      <c r="A212" s="37" t="inlineStr">
        <is>
          <t>https://africanmarketingconfederation.org/smoke-archive/page-33</t>
        </is>
      </c>
      <c r="B212" s="30" t="inlineStr">
        <is>
          <t>Issue Inventory</t>
        </is>
      </c>
      <c r="C212" s="80" t="inlineStr">
        <is>
          <t>Moderate Lighthouse Performance Mobile (50–89)</t>
        </is>
      </c>
      <c r="D212" s="30" t="inlineStr">
        <is>
          <t>Observation</t>
        </is>
      </c>
      <c r="E212" s="31" t="n">
        <v>1</v>
      </c>
      <c r="F212" s="41" t="inlineStr">
        <is>
          <t>Technical Diagnostics</t>
        </is>
      </c>
      <c r="G212" s="30" t="inlineStr">
        <is>
          <t>https://africanmarketingconfederation.org/smoke-archive/page-33::moderate_lighthouse_performance_mobile_50_89_</t>
        </is>
      </c>
      <c r="H212" s="30" t="inlineStr">
        <is>
          <t>Dev</t>
        </is>
      </c>
      <c r="I212" s="30" t="inlineStr"/>
      <c r="J212" s="30" t="inlineStr">
        <is>
          <t>To Do</t>
        </is>
      </c>
      <c r="K212" s="31" t="inlineStr">
        <is>
          <t>https://africanmarketingconfederation.org/smoke-archive/page-33</t>
        </is>
      </c>
      <c r="L212" s="30" t="inlineStr">
        <is>
          <t>IssueInventory</t>
        </is>
      </c>
      <c r="M212" s="30" t="n">
        <v>160</v>
      </c>
      <c r="N212" s="30" t="inlineStr">
        <is>
          <t>2026-07-01 20:54:35</t>
        </is>
      </c>
      <c r="O212" s="30" t="n">
        <v>0</v>
      </c>
      <c r="P212" s="30" t="inlineStr"/>
      <c r="Q212" s="30" t="inlineStr"/>
      <c r="R212" s="38">
        <f>IFERROR(HYPERLINK("#'Main'!B"&amp;MATCH(TRIM(A212),'Main'!B:B,0),"Open"),HYPERLINK("#'Main'!B1","Open"))</f>
        <v/>
      </c>
      <c r="S212" s="38">
        <f>IFERROR(HYPERLINK("#'"&amp;SUBSTITUTE(F212,"'","''")&amp;"'!A"&amp;MATCH(A212,INDIRECT("'"&amp;SUBSTITUTE(F212,"'","''")&amp;"'!A:A"),0),"Open"),HYPERLINK("#'"&amp;SUBSTITUTE(F212,"'","''")&amp;"'!A1","Open"))</f>
        <v/>
      </c>
    </row>
    <row r="213" ht="18" customHeight="1">
      <c r="A213" s="35" t="inlineStr">
        <is>
          <t>https://africanmarketingconfederation.org/smoke-archive/page-33</t>
        </is>
      </c>
      <c r="B213" s="28" t="inlineStr">
        <is>
          <t>Issue Inventory</t>
        </is>
      </c>
      <c r="C213" s="79" t="inlineStr">
        <is>
          <t>Render Blocking Resources</t>
        </is>
      </c>
      <c r="D213" s="28" t="inlineStr">
        <is>
          <t>Observation</t>
        </is>
      </c>
      <c r="E213" s="20" t="n">
        <v>1</v>
      </c>
      <c r="F213" s="39" t="inlineStr">
        <is>
          <t>Technical Diagnostics</t>
        </is>
      </c>
      <c r="G213" s="28" t="inlineStr">
        <is>
          <t>https://africanmarketingconfederation.org/smoke-archive/page-33::render_blocking_resources</t>
        </is>
      </c>
      <c r="H213" s="28" t="inlineStr">
        <is>
          <t>Dev</t>
        </is>
      </c>
      <c r="I213" s="28" t="inlineStr"/>
      <c r="J213" s="28" t="inlineStr">
        <is>
          <t>To Do</t>
        </is>
      </c>
      <c r="K213" s="20" t="inlineStr">
        <is>
          <t>https://africanmarketingconfederation.org/smoke-archive/page-33</t>
        </is>
      </c>
      <c r="L213" s="28" t="inlineStr">
        <is>
          <t>IssueInventory</t>
        </is>
      </c>
      <c r="M213" s="28" t="n">
        <v>161</v>
      </c>
      <c r="N213" s="28" t="inlineStr">
        <is>
          <t>2026-07-01 20:54:35</t>
        </is>
      </c>
      <c r="O213" s="28" t="n">
        <v>0</v>
      </c>
      <c r="P213" s="28" t="inlineStr"/>
      <c r="Q213" s="28" t="inlineStr"/>
      <c r="R213">
        <f>IFERROR(HYPERLINK("#'Main'!B"&amp;MATCH(TRIM(A213),'Main'!B:B,0),"Open"),HYPERLINK("#'Main'!B1","Open"))</f>
        <v/>
      </c>
      <c r="S213">
        <f>IFERROR(HYPERLINK("#'"&amp;SUBSTITUTE(F213,"'","''")&amp;"'!A"&amp;MATCH(A213,INDIRECT("'"&amp;SUBSTITUTE(F213,"'","''")&amp;"'!A:A"),0),"Open"),HYPERLINK("#'"&amp;SUBSTITUTE(F213,"'","''")&amp;"'!A1","Open"))</f>
        <v/>
      </c>
    </row>
    <row r="214" ht="18" customHeight="1">
      <c r="A214" s="37" t="inlineStr">
        <is>
          <t>https://africanmarketingconfederation.org/smoke-archive/page-34</t>
        </is>
      </c>
      <c r="B214" s="30" t="inlineStr">
        <is>
          <t>Issue Inventory</t>
        </is>
      </c>
      <c r="C214" s="80" t="inlineStr">
        <is>
          <t>Non-200 Status</t>
        </is>
      </c>
      <c r="D214" s="30" t="inlineStr">
        <is>
          <t>Critical</t>
        </is>
      </c>
      <c r="E214" s="31" t="n">
        <v>1</v>
      </c>
      <c r="F214" s="41" t="inlineStr">
        <is>
          <t>Technical Diagnostics</t>
        </is>
      </c>
      <c r="G214" s="30" t="inlineStr">
        <is>
          <t>https://africanmarketingconfederation.org/smoke-archive/page-34::non-200_status</t>
        </is>
      </c>
      <c r="H214" s="30" t="inlineStr">
        <is>
          <t>Server/Host</t>
        </is>
      </c>
      <c r="I214" s="30" t="inlineStr"/>
      <c r="J214" s="30" t="inlineStr">
        <is>
          <t>To Do</t>
        </is>
      </c>
      <c r="K214" s="31" t="inlineStr">
        <is>
          <t>https://africanmarketingconfederation.org/smoke-archive/page-34</t>
        </is>
      </c>
      <c r="L214" s="30" t="inlineStr">
        <is>
          <t>IssueInventory</t>
        </is>
      </c>
      <c r="M214" s="30" t="n">
        <v>162</v>
      </c>
      <c r="N214" s="30" t="inlineStr">
        <is>
          <t>2026-07-01 20:54:35</t>
        </is>
      </c>
      <c r="O214" s="30" t="n">
        <v>0</v>
      </c>
      <c r="P214" s="30" t="inlineStr"/>
      <c r="Q214" s="30" t="inlineStr"/>
      <c r="R214" s="38">
        <f>IFERROR(HYPERLINK("#'Main'!B"&amp;MATCH(TRIM(A214),'Main'!B:B,0),"Open"),HYPERLINK("#'Main'!B1","Open"))</f>
        <v/>
      </c>
      <c r="S214" s="38">
        <f>IFERROR(HYPERLINK("#'"&amp;SUBSTITUTE(F214,"'","''")&amp;"'!A"&amp;MATCH(A214,INDIRECT("'"&amp;SUBSTITUTE(F214,"'","''")&amp;"'!A:A"),0),"Open"),HYPERLINK("#'"&amp;SUBSTITUTE(F214,"'","''")&amp;"'!A1","Open"))</f>
        <v/>
      </c>
    </row>
    <row r="215" ht="18" customHeight="1">
      <c r="A215" s="35" t="inlineStr">
        <is>
          <t>https://africanmarketingconfederation.org/smoke-archive/page-35</t>
        </is>
      </c>
      <c r="B215" s="28" t="inlineStr">
        <is>
          <t>Issue Inventory</t>
        </is>
      </c>
      <c r="C215" s="79" t="inlineStr">
        <is>
          <t>Missing Meta Description</t>
        </is>
      </c>
      <c r="D215" s="28" t="inlineStr">
        <is>
          <t>Warning</t>
        </is>
      </c>
      <c r="E215" s="20" t="n">
        <v>1</v>
      </c>
      <c r="F215" s="39" t="inlineStr">
        <is>
          <t>Technical Diagnostics</t>
        </is>
      </c>
      <c r="G215" s="28" t="inlineStr">
        <is>
          <t>https://africanmarketingconfederation.org/smoke-archive/page-35::missing_meta_description</t>
        </is>
      </c>
      <c r="H215" s="28" t="inlineStr">
        <is>
          <t>Copy Writer</t>
        </is>
      </c>
      <c r="I215" s="28" t="inlineStr"/>
      <c r="J215" s="28" t="inlineStr">
        <is>
          <t>To Do</t>
        </is>
      </c>
      <c r="K215" s="20" t="inlineStr">
        <is>
          <t>https://africanmarketingconfederation.org/smoke-archive/page-35</t>
        </is>
      </c>
      <c r="L215" s="28" t="inlineStr">
        <is>
          <t>IssueInventory</t>
        </is>
      </c>
      <c r="M215" s="28" t="n">
        <v>163</v>
      </c>
      <c r="N215" s="28" t="inlineStr">
        <is>
          <t>2026-07-01 20:54:35</t>
        </is>
      </c>
      <c r="O215" s="28" t="n">
        <v>0</v>
      </c>
      <c r="P215" s="28" t="inlineStr"/>
      <c r="Q215" s="28" t="inlineStr"/>
      <c r="R215">
        <f>IFERROR(HYPERLINK("#'Main'!B"&amp;MATCH(TRIM(A215),'Main'!B:B,0),"Open"),HYPERLINK("#'Main'!B1","Open"))</f>
        <v/>
      </c>
      <c r="S215">
        <f>IFERROR(HYPERLINK("#'"&amp;SUBSTITUTE(F215,"'","''")&amp;"'!A"&amp;MATCH(A215,INDIRECT("'"&amp;SUBSTITUTE(F215,"'","''")&amp;"'!A:A"),0),"Open"),HYPERLINK("#'"&amp;SUBSTITUTE(F215,"'","''")&amp;"'!A1","Open"))</f>
        <v/>
      </c>
    </row>
    <row r="216" ht="18" customHeight="1">
      <c r="A216" s="37" t="inlineStr">
        <is>
          <t>https://africanmarketingconfederation.org/smoke-archive/page-35</t>
        </is>
      </c>
      <c r="B216" s="30" t="inlineStr">
        <is>
          <t>Issue Inventory</t>
        </is>
      </c>
      <c r="C216" s="80" t="inlineStr">
        <is>
          <t>Low E-E-A-T Signal Score (&lt;3)</t>
        </is>
      </c>
      <c r="D216" s="30" t="inlineStr">
        <is>
          <t>Warning</t>
        </is>
      </c>
      <c r="E216" s="31" t="n">
        <v>1</v>
      </c>
      <c r="F216" s="41" t="inlineStr">
        <is>
          <t>Technical Diagnostics</t>
        </is>
      </c>
      <c r="G216" s="30" t="inlineStr">
        <is>
          <t>https://africanmarketingconfederation.org/smoke-archive/page-35::low_e-e-a-t_signal_score_3_</t>
        </is>
      </c>
      <c r="H216" s="30" t="inlineStr">
        <is>
          <t>Copy Writer</t>
        </is>
      </c>
      <c r="I216" s="30" t="inlineStr"/>
      <c r="J216" s="30" t="inlineStr">
        <is>
          <t>To Do</t>
        </is>
      </c>
      <c r="K216" s="31" t="inlineStr">
        <is>
          <t>https://africanmarketingconfederation.org/smoke-archive/page-35</t>
        </is>
      </c>
      <c r="L216" s="30" t="inlineStr">
        <is>
          <t>IssueInventory</t>
        </is>
      </c>
      <c r="M216" s="30" t="n">
        <v>164</v>
      </c>
      <c r="N216" s="30" t="inlineStr">
        <is>
          <t>2026-07-01 20:54:35</t>
        </is>
      </c>
      <c r="O216" s="30" t="n">
        <v>0</v>
      </c>
      <c r="P216" s="30" t="inlineStr"/>
      <c r="Q216" s="30" t="inlineStr"/>
      <c r="R216" s="38">
        <f>IFERROR(HYPERLINK("#'Main'!B"&amp;MATCH(TRIM(A216),'Main'!B:B,0),"Open"),HYPERLINK("#'Main'!B1","Open"))</f>
        <v/>
      </c>
      <c r="S216" s="38">
        <f>IFERROR(HYPERLINK("#'"&amp;SUBSTITUTE(F216,"'","''")&amp;"'!A"&amp;MATCH(A216,INDIRECT("'"&amp;SUBSTITUTE(F216,"'","''")&amp;"'!A:A"),0),"Open"),HYPERLINK("#'"&amp;SUBSTITUTE(F216,"'","''")&amp;"'!A1","Open"))</f>
        <v/>
      </c>
    </row>
    <row r="217" ht="18" customHeight="1">
      <c r="A217" s="35" t="inlineStr">
        <is>
          <t>https://africanmarketingconfederation.org/smoke-archive/page-35</t>
        </is>
      </c>
      <c r="B217" s="28" t="inlineStr">
        <is>
          <t>Issue Inventory</t>
        </is>
      </c>
      <c r="C217" s="79" t="inlineStr">
        <is>
          <t>Missing OG Description</t>
        </is>
      </c>
      <c r="D217" s="28" t="inlineStr">
        <is>
          <t>Warning</t>
        </is>
      </c>
      <c r="E217" s="20" t="n">
        <v>1</v>
      </c>
      <c r="F217" s="39" t="inlineStr">
        <is>
          <t>Technical Diagnostics</t>
        </is>
      </c>
      <c r="G217" s="28" t="inlineStr">
        <is>
          <t>https://africanmarketingconfederation.org/smoke-archive/page-35::missing_og_description</t>
        </is>
      </c>
      <c r="H217" s="28" t="inlineStr">
        <is>
          <t>Copy Writer</t>
        </is>
      </c>
      <c r="I217" s="28" t="inlineStr"/>
      <c r="J217" s="28" t="inlineStr">
        <is>
          <t>To Do</t>
        </is>
      </c>
      <c r="K217" s="20" t="inlineStr">
        <is>
          <t>https://africanmarketingconfederation.org/smoke-archive/page-35</t>
        </is>
      </c>
      <c r="L217" s="28" t="inlineStr">
        <is>
          <t>IssueInventory</t>
        </is>
      </c>
      <c r="M217" s="28" t="n">
        <v>165</v>
      </c>
      <c r="N217" s="28" t="inlineStr">
        <is>
          <t>2026-07-01 20:54:35</t>
        </is>
      </c>
      <c r="O217" s="28" t="n">
        <v>0</v>
      </c>
      <c r="P217" s="28" t="inlineStr"/>
      <c r="Q217" s="28" t="inlineStr"/>
      <c r="R217">
        <f>IFERROR(HYPERLINK("#'Main'!B"&amp;MATCH(TRIM(A217),'Main'!B:B,0),"Open"),HYPERLINK("#'Main'!B1","Open"))</f>
        <v/>
      </c>
      <c r="S217">
        <f>IFERROR(HYPERLINK("#'"&amp;SUBSTITUTE(F217,"'","''")&amp;"'!A"&amp;MATCH(A217,INDIRECT("'"&amp;SUBSTITUTE(F217,"'","''")&amp;"'!A:A"),0),"Open"),HYPERLINK("#'"&amp;SUBSTITUTE(F217,"'","''")&amp;"'!A1","Open"))</f>
        <v/>
      </c>
    </row>
    <row r="218" ht="18" customHeight="1">
      <c r="A218" s="37" t="inlineStr">
        <is>
          <t>https://africanmarketingconfederation.org/smoke-archive/page-35</t>
        </is>
      </c>
      <c r="B218" s="30" t="inlineStr">
        <is>
          <t>Issue Inventory</t>
        </is>
      </c>
      <c r="C218" s="80" t="inlineStr">
        <is>
          <t>Missing OG Image</t>
        </is>
      </c>
      <c r="D218" s="30" t="inlineStr">
        <is>
          <t>Warning</t>
        </is>
      </c>
      <c r="E218" s="31" t="n">
        <v>1</v>
      </c>
      <c r="F218" s="41" t="inlineStr">
        <is>
          <t>Technical Diagnostics</t>
        </is>
      </c>
      <c r="G218" s="30" t="inlineStr">
        <is>
          <t>https://africanmarketingconfederation.org/smoke-archive/page-35::missing_og_image</t>
        </is>
      </c>
      <c r="H218" s="30" t="inlineStr">
        <is>
          <t>Copy Writer</t>
        </is>
      </c>
      <c r="I218" s="30" t="inlineStr"/>
      <c r="J218" s="30" t="inlineStr">
        <is>
          <t>To Do</t>
        </is>
      </c>
      <c r="K218" s="31" t="inlineStr">
        <is>
          <t>https://africanmarketingconfederation.org/smoke-archive/page-35</t>
        </is>
      </c>
      <c r="L218" s="30" t="inlineStr">
        <is>
          <t>IssueInventory</t>
        </is>
      </c>
      <c r="M218" s="30" t="n">
        <v>166</v>
      </c>
      <c r="N218" s="30" t="inlineStr">
        <is>
          <t>2026-07-01 20:54:35</t>
        </is>
      </c>
      <c r="O218" s="30" t="n">
        <v>0</v>
      </c>
      <c r="P218" s="30" t="inlineStr"/>
      <c r="Q218" s="30" t="inlineStr"/>
      <c r="R218" s="38">
        <f>IFERROR(HYPERLINK("#'Main'!B"&amp;MATCH(TRIM(A218),'Main'!B:B,0),"Open"),HYPERLINK("#'Main'!B1","Open"))</f>
        <v/>
      </c>
      <c r="S218" s="38">
        <f>IFERROR(HYPERLINK("#'"&amp;SUBSTITUTE(F218,"'","''")&amp;"'!A"&amp;MATCH(A218,INDIRECT("'"&amp;SUBSTITUTE(F218,"'","''")&amp;"'!A:A"),0),"Open"),HYPERLINK("#'"&amp;SUBSTITUTE(F218,"'","''")&amp;"'!A1","Open"))</f>
        <v/>
      </c>
    </row>
    <row r="219" ht="18" customHeight="1">
      <c r="A219" s="35" t="inlineStr">
        <is>
          <t>https://africanmarketingconfederation.org/smoke-archive/page-35</t>
        </is>
      </c>
      <c r="B219" s="28" t="inlineStr">
        <is>
          <t>Issue Inventory</t>
        </is>
      </c>
      <c r="C219" s="79" t="inlineStr">
        <is>
          <t>No Author Attribution</t>
        </is>
      </c>
      <c r="D219" s="28" t="inlineStr">
        <is>
          <t>Observation</t>
        </is>
      </c>
      <c r="E219" s="20" t="n">
        <v>1</v>
      </c>
      <c r="F219" s="39" t="inlineStr">
        <is>
          <t>Technical Diagnostics</t>
        </is>
      </c>
      <c r="G219" s="28" t="inlineStr">
        <is>
          <t>https://africanmarketingconfederation.org/smoke-archive/page-35::no_author_attribution</t>
        </is>
      </c>
      <c r="H219" s="28" t="inlineStr">
        <is>
          <t>Copy Writer</t>
        </is>
      </c>
      <c r="I219" s="28" t="inlineStr"/>
      <c r="J219" s="28" t="inlineStr">
        <is>
          <t>To Do</t>
        </is>
      </c>
      <c r="K219" s="20" t="inlineStr">
        <is>
          <t>https://africanmarketingconfederation.org/smoke-archive/page-35</t>
        </is>
      </c>
      <c r="L219" s="28" t="inlineStr">
        <is>
          <t>IssueInventory</t>
        </is>
      </c>
      <c r="M219" s="28" t="n">
        <v>167</v>
      </c>
      <c r="N219" s="28" t="inlineStr">
        <is>
          <t>2026-07-01 20:54:35</t>
        </is>
      </c>
      <c r="O219" s="28" t="n">
        <v>0</v>
      </c>
      <c r="P219" s="28" t="inlineStr"/>
      <c r="Q219" s="28" t="inlineStr"/>
      <c r="R219">
        <f>IFERROR(HYPERLINK("#'Main'!B"&amp;MATCH(TRIM(A219),'Main'!B:B,0),"Open"),HYPERLINK("#'Main'!B1","Open"))</f>
        <v/>
      </c>
      <c r="S219">
        <f>IFERROR(HYPERLINK("#'"&amp;SUBSTITUTE(F219,"'","''")&amp;"'!A"&amp;MATCH(A219,INDIRECT("'"&amp;SUBSTITUTE(F219,"'","''")&amp;"'!A:A"),0),"Open"),HYPERLINK("#'"&amp;SUBSTITUTE(F219,"'","''")&amp;"'!A1","Open"))</f>
        <v/>
      </c>
    </row>
    <row r="220" ht="18" customHeight="1">
      <c r="A220" s="37" t="inlineStr">
        <is>
          <t>https://africanmarketingconfederation.org/smoke-archive/page-35</t>
        </is>
      </c>
      <c r="B220" s="30" t="inlineStr">
        <is>
          <t>Issue Inventory</t>
        </is>
      </c>
      <c r="C220" s="80" t="inlineStr">
        <is>
          <t>Lab TBT 150ms–300ms (Mobile)</t>
        </is>
      </c>
      <c r="D220" s="30" t="inlineStr">
        <is>
          <t>Observation</t>
        </is>
      </c>
      <c r="E220" s="31" t="n">
        <v>1</v>
      </c>
      <c r="F220" s="41" t="inlineStr">
        <is>
          <t>Technical Diagnostics</t>
        </is>
      </c>
      <c r="G220" s="30" t="inlineStr">
        <is>
          <t>https://africanmarketingconfederation.org/smoke-archive/page-35::lab_tbt_150ms_300ms_mobile_</t>
        </is>
      </c>
      <c r="H220" s="30" t="inlineStr">
        <is>
          <t>Dev</t>
        </is>
      </c>
      <c r="I220" s="30" t="inlineStr"/>
      <c r="J220" s="30" t="inlineStr">
        <is>
          <t>To Do</t>
        </is>
      </c>
      <c r="K220" s="31" t="inlineStr">
        <is>
          <t>https://africanmarketingconfederation.org/smoke-archive/page-35</t>
        </is>
      </c>
      <c r="L220" s="30" t="inlineStr">
        <is>
          <t>IssueInventory</t>
        </is>
      </c>
      <c r="M220" s="30" t="n">
        <v>168</v>
      </c>
      <c r="N220" s="30" t="inlineStr">
        <is>
          <t>2026-07-01 20:54:35</t>
        </is>
      </c>
      <c r="O220" s="30" t="n">
        <v>0</v>
      </c>
      <c r="P220" s="30" t="inlineStr"/>
      <c r="Q220" s="30" t="inlineStr"/>
      <c r="R220" s="38">
        <f>IFERROR(HYPERLINK("#'Main'!B"&amp;MATCH(TRIM(A220),'Main'!B:B,0),"Open"),HYPERLINK("#'Main'!B1","Open"))</f>
        <v/>
      </c>
      <c r="S220" s="38">
        <f>IFERROR(HYPERLINK("#'"&amp;SUBSTITUTE(F220,"'","''")&amp;"'!A"&amp;MATCH(A220,INDIRECT("'"&amp;SUBSTITUTE(F220,"'","''")&amp;"'!A:A"),0),"Open"),HYPERLINK("#'"&amp;SUBSTITUTE(F220,"'","''")&amp;"'!A1","Open"))</f>
        <v/>
      </c>
    </row>
    <row r="221" ht="18" customHeight="1">
      <c r="A221" s="35" t="inlineStr">
        <is>
          <t>https://africanmarketingconfederation.org/smoke-archive/page-35</t>
        </is>
      </c>
      <c r="B221" s="28" t="inlineStr">
        <is>
          <t>Issue Inventory</t>
        </is>
      </c>
      <c r="C221" s="79" t="inlineStr">
        <is>
          <t>Moderate Lighthouse Performance Mobile (50–89)</t>
        </is>
      </c>
      <c r="D221" s="28" t="inlineStr">
        <is>
          <t>Observation</t>
        </is>
      </c>
      <c r="E221" s="20" t="n">
        <v>1</v>
      </c>
      <c r="F221" s="39" t="inlineStr">
        <is>
          <t>Technical Diagnostics</t>
        </is>
      </c>
      <c r="G221" s="28" t="inlineStr">
        <is>
          <t>https://africanmarketingconfederation.org/smoke-archive/page-35::moderate_lighthouse_performance_mobile_50_89_</t>
        </is>
      </c>
      <c r="H221" s="28" t="inlineStr">
        <is>
          <t>Dev</t>
        </is>
      </c>
      <c r="I221" s="28" t="inlineStr"/>
      <c r="J221" s="28" t="inlineStr">
        <is>
          <t>To Do</t>
        </is>
      </c>
      <c r="K221" s="20" t="inlineStr">
        <is>
          <t>https://africanmarketingconfederation.org/smoke-archive/page-35</t>
        </is>
      </c>
      <c r="L221" s="28" t="inlineStr">
        <is>
          <t>IssueInventory</t>
        </is>
      </c>
      <c r="M221" s="28" t="n">
        <v>169</v>
      </c>
      <c r="N221" s="28" t="inlineStr">
        <is>
          <t>2026-07-01 20:54:35</t>
        </is>
      </c>
      <c r="O221" s="28" t="n">
        <v>0</v>
      </c>
      <c r="P221" s="28" t="inlineStr"/>
      <c r="Q221" s="28" t="inlineStr"/>
      <c r="R221">
        <f>IFERROR(HYPERLINK("#'Main'!B"&amp;MATCH(TRIM(A221),'Main'!B:B,0),"Open"),HYPERLINK("#'Main'!B1","Open"))</f>
        <v/>
      </c>
      <c r="S221">
        <f>IFERROR(HYPERLINK("#'"&amp;SUBSTITUTE(F221,"'","''")&amp;"'!A"&amp;MATCH(A221,INDIRECT("'"&amp;SUBSTITUTE(F221,"'","''")&amp;"'!A:A"),0),"Open"),HYPERLINK("#'"&amp;SUBSTITUTE(F221,"'","''")&amp;"'!A1","Open"))</f>
        <v/>
      </c>
    </row>
    <row r="222" ht="18" customHeight="1">
      <c r="A222" s="37" t="inlineStr">
        <is>
          <t>https://africanmarketingconfederation.org/smoke-archive/page-35</t>
        </is>
      </c>
      <c r="B222" s="30" t="inlineStr">
        <is>
          <t>Issue Inventory</t>
        </is>
      </c>
      <c r="C222" s="80" t="inlineStr">
        <is>
          <t>Render Blocking Resources</t>
        </is>
      </c>
      <c r="D222" s="30" t="inlineStr">
        <is>
          <t>Observation</t>
        </is>
      </c>
      <c r="E222" s="31" t="n">
        <v>1</v>
      </c>
      <c r="F222" s="41" t="inlineStr">
        <is>
          <t>Technical Diagnostics</t>
        </is>
      </c>
      <c r="G222" s="30" t="inlineStr">
        <is>
          <t>https://africanmarketingconfederation.org/smoke-archive/page-35::render_blocking_resources</t>
        </is>
      </c>
      <c r="H222" s="30" t="inlineStr">
        <is>
          <t>Dev</t>
        </is>
      </c>
      <c r="I222" s="30" t="inlineStr"/>
      <c r="J222" s="30" t="inlineStr">
        <is>
          <t>To Do</t>
        </is>
      </c>
      <c r="K222" s="31" t="inlineStr">
        <is>
          <t>https://africanmarketingconfederation.org/smoke-archive/page-35</t>
        </is>
      </c>
      <c r="L222" s="30" t="inlineStr">
        <is>
          <t>IssueInventory</t>
        </is>
      </c>
      <c r="M222" s="30" t="n">
        <v>170</v>
      </c>
      <c r="N222" s="30" t="inlineStr">
        <is>
          <t>2026-07-01 20:54:35</t>
        </is>
      </c>
      <c r="O222" s="30" t="n">
        <v>0</v>
      </c>
      <c r="P222" s="30" t="inlineStr"/>
      <c r="Q222" s="30" t="inlineStr"/>
      <c r="R222" s="38">
        <f>IFERROR(HYPERLINK("#'Main'!B"&amp;MATCH(TRIM(A222),'Main'!B:B,0),"Open"),HYPERLINK("#'Main'!B1","Open"))</f>
        <v/>
      </c>
      <c r="S222" s="38">
        <f>IFERROR(HYPERLINK("#'"&amp;SUBSTITUTE(F222,"'","''")&amp;"'!A"&amp;MATCH(A222,INDIRECT("'"&amp;SUBSTITUTE(F222,"'","''")&amp;"'!A:A"),0),"Open"),HYPERLINK("#'"&amp;SUBSTITUTE(F222,"'","''")&amp;"'!A1","Open"))</f>
        <v/>
      </c>
    </row>
    <row r="223" ht="18" customHeight="1">
      <c r="A223" s="35" t="inlineStr">
        <is>
          <t>https://africanmarketingconfederation.org/smoke-archive/page-36</t>
        </is>
      </c>
      <c r="B223" s="28" t="inlineStr">
        <is>
          <t>Issue Inventory</t>
        </is>
      </c>
      <c r="C223" s="79" t="inlineStr">
        <is>
          <t>No Schema Markup</t>
        </is>
      </c>
      <c r="D223" s="28" t="inlineStr">
        <is>
          <t>Critical</t>
        </is>
      </c>
      <c r="E223" s="20" t="n">
        <v>1</v>
      </c>
      <c r="F223" s="39" t="inlineStr">
        <is>
          <t>Technical Diagnostics</t>
        </is>
      </c>
      <c r="G223" s="28" t="inlineStr">
        <is>
          <t>https://africanmarketingconfederation.org/smoke-archive/page-36::no_schema_markup</t>
        </is>
      </c>
      <c r="H223" s="28" t="inlineStr">
        <is>
          <t>Dev</t>
        </is>
      </c>
      <c r="I223" s="28" t="inlineStr"/>
      <c r="J223" s="28" t="inlineStr">
        <is>
          <t>To Do</t>
        </is>
      </c>
      <c r="K223" s="20" t="inlineStr">
        <is>
          <t>https://africanmarketingconfederation.org/smoke-archive/page-36</t>
        </is>
      </c>
      <c r="L223" s="28" t="inlineStr">
        <is>
          <t>IssueInventory</t>
        </is>
      </c>
      <c r="M223" s="28" t="n">
        <v>171</v>
      </c>
      <c r="N223" s="28" t="inlineStr">
        <is>
          <t>2026-07-01 20:54:35</t>
        </is>
      </c>
      <c r="O223" s="28" t="n">
        <v>0</v>
      </c>
      <c r="P223" s="28" t="inlineStr"/>
      <c r="Q223" s="28" t="inlineStr"/>
      <c r="R223">
        <f>IFERROR(HYPERLINK("#'Main'!B"&amp;MATCH(TRIM(A223),'Main'!B:B,0),"Open"),HYPERLINK("#'Main'!B1","Open"))</f>
        <v/>
      </c>
      <c r="S223">
        <f>IFERROR(HYPERLINK("#'"&amp;SUBSTITUTE(F223,"'","''")&amp;"'!A"&amp;MATCH(A223,INDIRECT("'"&amp;SUBSTITUTE(F223,"'","''")&amp;"'!A:A"),0),"Open"),HYPERLINK("#'"&amp;SUBSTITUTE(F223,"'","''")&amp;"'!A1","Open"))</f>
        <v/>
      </c>
    </row>
    <row r="224" ht="18" customHeight="1">
      <c r="A224" s="37" t="inlineStr">
        <is>
          <t>https://africanmarketingconfederation.org/smoke-archive/page-36</t>
        </is>
      </c>
      <c r="B224" s="30" t="inlineStr">
        <is>
          <t>Issue Inventory</t>
        </is>
      </c>
      <c r="C224" s="80" t="inlineStr">
        <is>
          <t>Low Image Alt Coverage</t>
        </is>
      </c>
      <c r="D224" s="30" t="inlineStr">
        <is>
          <t>Warning</t>
        </is>
      </c>
      <c r="E224" s="31" t="n">
        <v>1</v>
      </c>
      <c r="F224" s="41" t="inlineStr">
        <is>
          <t>Technical Diagnostics</t>
        </is>
      </c>
      <c r="G224" s="30" t="inlineStr">
        <is>
          <t>https://africanmarketingconfederation.org/smoke-archive/page-36::low_image_alt_coverage</t>
        </is>
      </c>
      <c r="H224" s="30" t="inlineStr">
        <is>
          <t>Copy Writer</t>
        </is>
      </c>
      <c r="I224" s="30" t="inlineStr"/>
      <c r="J224" s="30" t="inlineStr">
        <is>
          <t>To Do</t>
        </is>
      </c>
      <c r="K224" s="31" t="inlineStr">
        <is>
          <t>https://africanmarketingconfederation.org/smoke-archive/page-36</t>
        </is>
      </c>
      <c r="L224" s="30" t="inlineStr">
        <is>
          <t>IssueInventory</t>
        </is>
      </c>
      <c r="M224" s="30" t="n">
        <v>172</v>
      </c>
      <c r="N224" s="30" t="inlineStr">
        <is>
          <t>2026-07-01 20:54:35</t>
        </is>
      </c>
      <c r="O224" s="30" t="n">
        <v>0</v>
      </c>
      <c r="P224" s="30" t="inlineStr"/>
      <c r="Q224" s="30" t="inlineStr"/>
      <c r="R224" s="38">
        <f>IFERROR(HYPERLINK("#'Main'!B"&amp;MATCH(TRIM(A224),'Main'!B:B,0),"Open"),HYPERLINK("#'Main'!B1","Open"))</f>
        <v/>
      </c>
      <c r="S224" s="38">
        <f>IFERROR(HYPERLINK("#'"&amp;SUBSTITUTE(F224,"'","''")&amp;"'!A"&amp;MATCH(A224,INDIRECT("'"&amp;SUBSTITUTE(F224,"'","''")&amp;"'!A:A"),0),"Open"),HYPERLINK("#'"&amp;SUBSTITUTE(F224,"'","''")&amp;"'!A1","Open"))</f>
        <v/>
      </c>
    </row>
    <row r="225" ht="18" customHeight="1">
      <c r="A225" s="35" t="inlineStr">
        <is>
          <t>https://africanmarketingconfederation.org/smoke-archive/page-36</t>
        </is>
      </c>
      <c r="B225" s="28" t="inlineStr">
        <is>
          <t>Issue Inventory</t>
        </is>
      </c>
      <c r="C225" s="79" t="inlineStr">
        <is>
          <t>Low AEO Readiness Score</t>
        </is>
      </c>
      <c r="D225" s="28" t="inlineStr">
        <is>
          <t>Warning</t>
        </is>
      </c>
      <c r="E225" s="20" t="n">
        <v>1</v>
      </c>
      <c r="F225" s="39" t="inlineStr">
        <is>
          <t>Content &amp; AI Readiness</t>
        </is>
      </c>
      <c r="G225" s="28" t="inlineStr">
        <is>
          <t>https://africanmarketingconfederation.org/smoke-archive/page-36::low_aeo_readiness_score</t>
        </is>
      </c>
      <c r="H225" s="28" t="inlineStr">
        <is>
          <t>Copy Writer</t>
        </is>
      </c>
      <c r="I225" s="28" t="inlineStr"/>
      <c r="J225" s="28" t="inlineStr">
        <is>
          <t>To Do</t>
        </is>
      </c>
      <c r="K225" s="20" t="inlineStr">
        <is>
          <t>https://africanmarketingconfederation.org/smoke-archive/page-36</t>
        </is>
      </c>
      <c r="L225" s="28" t="inlineStr">
        <is>
          <t>IssueInventory</t>
        </is>
      </c>
      <c r="M225" s="28" t="n">
        <v>173</v>
      </c>
      <c r="N225" s="28" t="inlineStr">
        <is>
          <t>2026-07-01 20:54:35</t>
        </is>
      </c>
      <c r="O225" s="28" t="n">
        <v>0</v>
      </c>
      <c r="P225" s="28" t="inlineStr"/>
      <c r="Q225" s="28" t="inlineStr"/>
      <c r="R225">
        <f>IFERROR(HYPERLINK("#'Main'!B"&amp;MATCH(TRIM(A225),'Main'!B:B,0),"Open"),HYPERLINK("#'Main'!B1","Open"))</f>
        <v/>
      </c>
      <c r="S225">
        <f>IFERROR(HYPERLINK("#'"&amp;SUBSTITUTE(F225,"'","''")&amp;"'!A"&amp;MATCH(A225,INDIRECT("'"&amp;SUBSTITUTE(F225,"'","''")&amp;"'!A:A"),0),"Open"),HYPERLINK("#'"&amp;SUBSTITUTE(F225,"'","''")&amp;"'!A1","Open"))</f>
        <v/>
      </c>
    </row>
    <row r="226" ht="18" customHeight="1">
      <c r="A226" s="37" t="inlineStr">
        <is>
          <t>https://africanmarketingconfederation.org/smoke-archive/page-36</t>
        </is>
      </c>
      <c r="B226" s="30" t="inlineStr">
        <is>
          <t>Issue Inventory</t>
        </is>
      </c>
      <c r="C226" s="80" t="inlineStr">
        <is>
          <t>No Question Headings</t>
        </is>
      </c>
      <c r="D226" s="30" t="inlineStr">
        <is>
          <t>Observation</t>
        </is>
      </c>
      <c r="E226" s="31" t="n">
        <v>1</v>
      </c>
      <c r="F226" s="41" t="inlineStr">
        <is>
          <t>Content &amp; AI Readiness</t>
        </is>
      </c>
      <c r="G226" s="30" t="inlineStr">
        <is>
          <t>https://africanmarketingconfederation.org/smoke-archive/page-36::no_question_headings</t>
        </is>
      </c>
      <c r="H226" s="30" t="inlineStr">
        <is>
          <t>Copy Writer</t>
        </is>
      </c>
      <c r="I226" s="30" t="inlineStr"/>
      <c r="J226" s="30" t="inlineStr">
        <is>
          <t>To Do</t>
        </is>
      </c>
      <c r="K226" s="31" t="inlineStr">
        <is>
          <t>https://africanmarketingconfederation.org/smoke-archive/page-36</t>
        </is>
      </c>
      <c r="L226" s="30" t="inlineStr">
        <is>
          <t>IssueInventory</t>
        </is>
      </c>
      <c r="M226" s="30" t="n">
        <v>174</v>
      </c>
      <c r="N226" s="30" t="inlineStr">
        <is>
          <t>2026-07-01 20:54:35</t>
        </is>
      </c>
      <c r="O226" s="30" t="n">
        <v>0</v>
      </c>
      <c r="P226" s="30" t="inlineStr"/>
      <c r="Q226" s="30" t="inlineStr"/>
      <c r="R226" s="38">
        <f>IFERROR(HYPERLINK("#'Main'!B"&amp;MATCH(TRIM(A226),'Main'!B:B,0),"Open"),HYPERLINK("#'Main'!B1","Open"))</f>
        <v/>
      </c>
      <c r="S226" s="38">
        <f>IFERROR(HYPERLINK("#'"&amp;SUBSTITUTE(F226,"'","''")&amp;"'!A"&amp;MATCH(A226,INDIRECT("'"&amp;SUBSTITUTE(F226,"'","''")&amp;"'!A:A"),0),"Open"),HYPERLINK("#'"&amp;SUBSTITUTE(F226,"'","''")&amp;"'!A1","Open"))</f>
        <v/>
      </c>
    </row>
    <row r="227" ht="18" customHeight="1">
      <c r="A227" s="35" t="inlineStr">
        <is>
          <t>https://africanmarketingconfederation.org/smoke-archive/page-36</t>
        </is>
      </c>
      <c r="B227" s="28" t="inlineStr">
        <is>
          <t>Issue Inventory</t>
        </is>
      </c>
      <c r="C227" s="79" t="inlineStr">
        <is>
          <t>No Answer-Friendly Structure</t>
        </is>
      </c>
      <c r="D227" s="28" t="inlineStr">
        <is>
          <t>Observation</t>
        </is>
      </c>
      <c r="E227" s="20" t="n">
        <v>1</v>
      </c>
      <c r="F227" s="39" t="inlineStr">
        <is>
          <t>Technical Diagnostics</t>
        </is>
      </c>
      <c r="G227" s="28" t="inlineStr">
        <is>
          <t>https://africanmarketingconfederation.org/smoke-archive/page-36::no_answer-friendly_structure</t>
        </is>
      </c>
      <c r="H227" s="28" t="inlineStr">
        <is>
          <t>Copy Writer</t>
        </is>
      </c>
      <c r="I227" s="28" t="inlineStr"/>
      <c r="J227" s="28" t="inlineStr">
        <is>
          <t>To Do</t>
        </is>
      </c>
      <c r="K227" s="20" t="inlineStr">
        <is>
          <t>https://africanmarketingconfederation.org/smoke-archive/page-36</t>
        </is>
      </c>
      <c r="L227" s="28" t="inlineStr">
        <is>
          <t>IssueInventory</t>
        </is>
      </c>
      <c r="M227" s="28" t="n">
        <v>175</v>
      </c>
      <c r="N227" s="28" t="inlineStr">
        <is>
          <t>2026-07-01 20:54:35</t>
        </is>
      </c>
      <c r="O227" s="28" t="n">
        <v>0</v>
      </c>
      <c r="P227" s="28" t="inlineStr"/>
      <c r="Q227" s="28" t="inlineStr"/>
      <c r="R227">
        <f>IFERROR(HYPERLINK("#'Main'!B"&amp;MATCH(TRIM(A227),'Main'!B:B,0),"Open"),HYPERLINK("#'Main'!B1","Open"))</f>
        <v/>
      </c>
      <c r="S227">
        <f>IFERROR(HYPERLINK("#'"&amp;SUBSTITUTE(F227,"'","''")&amp;"'!A"&amp;MATCH(A227,INDIRECT("'"&amp;SUBSTITUTE(F227,"'","''")&amp;"'!A:A"),0),"Open"),HYPERLINK("#'"&amp;SUBSTITUTE(F227,"'","''")&amp;"'!A1","Open"))</f>
        <v/>
      </c>
    </row>
    <row r="228" ht="18" customHeight="1">
      <c r="A228" s="37" t="inlineStr">
        <is>
          <t>https://africanmarketingconfederation.org/smoke-archive/page-36</t>
        </is>
      </c>
      <c r="B228" s="30" t="inlineStr">
        <is>
          <t>Issue Inventory</t>
        </is>
      </c>
      <c r="C228" s="80" t="inlineStr">
        <is>
          <t>No 40-60 Word Answer Paragraphs</t>
        </is>
      </c>
      <c r="D228" s="30" t="inlineStr">
        <is>
          <t>Observation</t>
        </is>
      </c>
      <c r="E228" s="31" t="n">
        <v>1</v>
      </c>
      <c r="F228" s="41" t="inlineStr">
        <is>
          <t>Technical Diagnostics</t>
        </is>
      </c>
      <c r="G228" s="30" t="inlineStr">
        <is>
          <t>https://africanmarketingconfederation.org/smoke-archive/page-36::no_40-60_word_answer_paragraphs</t>
        </is>
      </c>
      <c r="H228" s="30" t="inlineStr">
        <is>
          <t>Copy Writer</t>
        </is>
      </c>
      <c r="I228" s="30" t="inlineStr"/>
      <c r="J228" s="30" t="inlineStr">
        <is>
          <t>To Do</t>
        </is>
      </c>
      <c r="K228" s="31" t="inlineStr">
        <is>
          <t>https://africanmarketingconfederation.org/smoke-archive/page-36</t>
        </is>
      </c>
      <c r="L228" s="30" t="inlineStr">
        <is>
          <t>IssueInventory</t>
        </is>
      </c>
      <c r="M228" s="30" t="n">
        <v>176</v>
      </c>
      <c r="N228" s="30" t="inlineStr">
        <is>
          <t>2026-07-01 20:54:35</t>
        </is>
      </c>
      <c r="O228" s="30" t="n">
        <v>0</v>
      </c>
      <c r="P228" s="30" t="inlineStr"/>
      <c r="Q228" s="30" t="inlineStr"/>
      <c r="R228" s="38">
        <f>IFERROR(HYPERLINK("#'Main'!B"&amp;MATCH(TRIM(A228),'Main'!B:B,0),"Open"),HYPERLINK("#'Main'!B1","Open"))</f>
        <v/>
      </c>
      <c r="S228" s="38">
        <f>IFERROR(HYPERLINK("#'"&amp;SUBSTITUTE(F228,"'","''")&amp;"'!A"&amp;MATCH(A228,INDIRECT("'"&amp;SUBSTITUTE(F228,"'","''")&amp;"'!A:A"),0),"Open"),HYPERLINK("#'"&amp;SUBSTITUTE(F228,"'","''")&amp;"'!A1","Open"))</f>
        <v/>
      </c>
    </row>
    <row r="229" ht="18" customHeight="1">
      <c r="A229" s="35" t="inlineStr">
        <is>
          <t>https://africanmarketingconfederation.org/smoke-archive/page-36</t>
        </is>
      </c>
      <c r="B229" s="28" t="inlineStr">
        <is>
          <t>Issue Inventory</t>
        </is>
      </c>
      <c r="C229" s="79" t="inlineStr">
        <is>
          <t>Lab TBT 150ms–300ms (Mobile)</t>
        </is>
      </c>
      <c r="D229" s="28" t="inlineStr">
        <is>
          <t>Observation</t>
        </is>
      </c>
      <c r="E229" s="20" t="n">
        <v>1</v>
      </c>
      <c r="F229" s="39" t="inlineStr">
        <is>
          <t>Technical Diagnostics</t>
        </is>
      </c>
      <c r="G229" s="28" t="inlineStr">
        <is>
          <t>https://africanmarketingconfederation.org/smoke-archive/page-36::lab_tbt_150ms_300ms_mobile_</t>
        </is>
      </c>
      <c r="H229" s="28" t="inlineStr">
        <is>
          <t>Dev</t>
        </is>
      </c>
      <c r="I229" s="28" t="inlineStr"/>
      <c r="J229" s="28" t="inlineStr">
        <is>
          <t>To Do</t>
        </is>
      </c>
      <c r="K229" s="20" t="inlineStr">
        <is>
          <t>https://africanmarketingconfederation.org/smoke-archive/page-36</t>
        </is>
      </c>
      <c r="L229" s="28" t="inlineStr">
        <is>
          <t>IssueInventory</t>
        </is>
      </c>
      <c r="M229" s="28" t="n">
        <v>177</v>
      </c>
      <c r="N229" s="28" t="inlineStr">
        <is>
          <t>2026-07-01 20:54:35</t>
        </is>
      </c>
      <c r="O229" s="28" t="n">
        <v>0</v>
      </c>
      <c r="P229" s="28" t="inlineStr"/>
      <c r="Q229" s="28" t="inlineStr"/>
      <c r="R229">
        <f>IFERROR(HYPERLINK("#'Main'!B"&amp;MATCH(TRIM(A229),'Main'!B:B,0),"Open"),HYPERLINK("#'Main'!B1","Open"))</f>
        <v/>
      </c>
      <c r="S229">
        <f>IFERROR(HYPERLINK("#'"&amp;SUBSTITUTE(F229,"'","''")&amp;"'!A"&amp;MATCH(A229,INDIRECT("'"&amp;SUBSTITUTE(F229,"'","''")&amp;"'!A:A"),0),"Open"),HYPERLINK("#'"&amp;SUBSTITUTE(F229,"'","''")&amp;"'!A1","Open"))</f>
        <v/>
      </c>
    </row>
    <row r="230" ht="18" customHeight="1">
      <c r="A230" s="37" t="inlineStr">
        <is>
          <t>https://africanmarketingconfederation.org/smoke-archive/page-36</t>
        </is>
      </c>
      <c r="B230" s="30" t="inlineStr">
        <is>
          <t>Issue Inventory</t>
        </is>
      </c>
      <c r="C230" s="80" t="inlineStr">
        <is>
          <t>Moderate Lighthouse Performance Mobile (50–89)</t>
        </is>
      </c>
      <c r="D230" s="30" t="inlineStr">
        <is>
          <t>Observation</t>
        </is>
      </c>
      <c r="E230" s="31" t="n">
        <v>1</v>
      </c>
      <c r="F230" s="41" t="inlineStr">
        <is>
          <t>Technical Diagnostics</t>
        </is>
      </c>
      <c r="G230" s="30" t="inlineStr">
        <is>
          <t>https://africanmarketingconfederation.org/smoke-archive/page-36::moderate_lighthouse_performance_mobile_50_89_</t>
        </is>
      </c>
      <c r="H230" s="30" t="inlineStr">
        <is>
          <t>Dev</t>
        </is>
      </c>
      <c r="I230" s="30" t="inlineStr"/>
      <c r="J230" s="30" t="inlineStr">
        <is>
          <t>To Do</t>
        </is>
      </c>
      <c r="K230" s="31" t="inlineStr">
        <is>
          <t>https://africanmarketingconfederation.org/smoke-archive/page-36</t>
        </is>
      </c>
      <c r="L230" s="30" t="inlineStr">
        <is>
          <t>IssueInventory</t>
        </is>
      </c>
      <c r="M230" s="30" t="n">
        <v>178</v>
      </c>
      <c r="N230" s="30" t="inlineStr">
        <is>
          <t>2026-07-01 20:54:35</t>
        </is>
      </c>
      <c r="O230" s="30" t="n">
        <v>0</v>
      </c>
      <c r="P230" s="30" t="inlineStr"/>
      <c r="Q230" s="30" t="inlineStr"/>
      <c r="R230" s="38">
        <f>IFERROR(HYPERLINK("#'Main'!B"&amp;MATCH(TRIM(A230),'Main'!B:B,0),"Open"),HYPERLINK("#'Main'!B1","Open"))</f>
        <v/>
      </c>
      <c r="S230" s="38">
        <f>IFERROR(HYPERLINK("#'"&amp;SUBSTITUTE(F230,"'","''")&amp;"'!A"&amp;MATCH(A230,INDIRECT("'"&amp;SUBSTITUTE(F230,"'","''")&amp;"'!A:A"),0),"Open"),HYPERLINK("#'"&amp;SUBSTITUTE(F230,"'","''")&amp;"'!A1","Open"))</f>
        <v/>
      </c>
    </row>
    <row r="231" ht="18" customHeight="1">
      <c r="A231" s="35" t="inlineStr">
        <is>
          <t>https://africanmarketingconfederation.org/smoke-archive/page-36</t>
        </is>
      </c>
      <c r="B231" s="28" t="inlineStr">
        <is>
          <t>Issue Inventory</t>
        </is>
      </c>
      <c r="C231" s="79" t="inlineStr">
        <is>
          <t>Render Blocking Resources</t>
        </is>
      </c>
      <c r="D231" s="28" t="inlineStr">
        <is>
          <t>Observation</t>
        </is>
      </c>
      <c r="E231" s="20" t="n">
        <v>1</v>
      </c>
      <c r="F231" s="39" t="inlineStr">
        <is>
          <t>Technical Diagnostics</t>
        </is>
      </c>
      <c r="G231" s="28" t="inlineStr">
        <is>
          <t>https://africanmarketingconfederation.org/smoke-archive/page-36::render_blocking_resources</t>
        </is>
      </c>
      <c r="H231" s="28" t="inlineStr">
        <is>
          <t>Dev</t>
        </is>
      </c>
      <c r="I231" s="28" t="inlineStr"/>
      <c r="J231" s="28" t="inlineStr">
        <is>
          <t>To Do</t>
        </is>
      </c>
      <c r="K231" s="20" t="inlineStr">
        <is>
          <t>https://africanmarketingconfederation.org/smoke-archive/page-36</t>
        </is>
      </c>
      <c r="L231" s="28" t="inlineStr">
        <is>
          <t>IssueInventory</t>
        </is>
      </c>
      <c r="M231" s="28" t="n">
        <v>179</v>
      </c>
      <c r="N231" s="28" t="inlineStr">
        <is>
          <t>2026-07-01 20:54:35</t>
        </is>
      </c>
      <c r="O231" s="28" t="n">
        <v>0</v>
      </c>
      <c r="P231" s="28" t="inlineStr"/>
      <c r="Q231" s="28" t="inlineStr"/>
      <c r="R231">
        <f>IFERROR(HYPERLINK("#'Main'!B"&amp;MATCH(TRIM(A231),'Main'!B:B,0),"Open"),HYPERLINK("#'Main'!B1","Open"))</f>
        <v/>
      </c>
      <c r="S231">
        <f>IFERROR(HYPERLINK("#'"&amp;SUBSTITUTE(F231,"'","''")&amp;"'!A"&amp;MATCH(A231,INDIRECT("'"&amp;SUBSTITUTE(F231,"'","''")&amp;"'!A:A"),0),"Open"),HYPERLINK("#'"&amp;SUBSTITUTE(F231,"'","''")&amp;"'!A1","Open"))</f>
        <v/>
      </c>
    </row>
    <row r="232" ht="18" customHeight="1">
      <c r="A232" s="37" t="inlineStr">
        <is>
          <t>https://africanmarketingconfederation.org/smoke-archive/page-37</t>
        </is>
      </c>
      <c r="B232" s="30" t="inlineStr">
        <is>
          <t>Issue Inventory</t>
        </is>
      </c>
      <c r="C232" s="80" t="inlineStr">
        <is>
          <t>Missing OG Image</t>
        </is>
      </c>
      <c r="D232" s="30" t="inlineStr">
        <is>
          <t>Warning</t>
        </is>
      </c>
      <c r="E232" s="31" t="n">
        <v>1</v>
      </c>
      <c r="F232" s="41" t="inlineStr">
        <is>
          <t>Technical Diagnostics</t>
        </is>
      </c>
      <c r="G232" s="30" t="inlineStr">
        <is>
          <t>https://africanmarketingconfederation.org/smoke-archive/page-37::missing_og_image</t>
        </is>
      </c>
      <c r="H232" s="30" t="inlineStr">
        <is>
          <t>Copy Writer</t>
        </is>
      </c>
      <c r="I232" s="30" t="inlineStr"/>
      <c r="J232" s="30" t="inlineStr">
        <is>
          <t>To Do</t>
        </is>
      </c>
      <c r="K232" s="31" t="inlineStr">
        <is>
          <t>https://africanmarketingconfederation.org/smoke-archive/page-37</t>
        </is>
      </c>
      <c r="L232" s="30" t="inlineStr">
        <is>
          <t>IssueInventory</t>
        </is>
      </c>
      <c r="M232" s="30" t="n">
        <v>180</v>
      </c>
      <c r="N232" s="30" t="inlineStr">
        <is>
          <t>2026-07-01 20:54:35</t>
        </is>
      </c>
      <c r="O232" s="30" t="n">
        <v>0</v>
      </c>
      <c r="P232" s="30" t="inlineStr"/>
      <c r="Q232" s="30" t="inlineStr"/>
      <c r="R232" s="38">
        <f>IFERROR(HYPERLINK("#'Main'!B"&amp;MATCH(TRIM(A232),'Main'!B:B,0),"Open"),HYPERLINK("#'Main'!B1","Open"))</f>
        <v/>
      </c>
      <c r="S232" s="38">
        <f>IFERROR(HYPERLINK("#'"&amp;SUBSTITUTE(F232,"'","''")&amp;"'!A"&amp;MATCH(A232,INDIRECT("'"&amp;SUBSTITUTE(F232,"'","''")&amp;"'!A:A"),0),"Open"),HYPERLINK("#'"&amp;SUBSTITUTE(F232,"'","''")&amp;"'!A1","Open"))</f>
        <v/>
      </c>
    </row>
    <row r="233" ht="18" customHeight="1">
      <c r="A233" s="35" t="inlineStr">
        <is>
          <t>https://africanmarketingconfederation.org/smoke-archive/page-37</t>
        </is>
      </c>
      <c r="B233" s="28" t="inlineStr">
        <is>
          <t>Issue Inventory</t>
        </is>
      </c>
      <c r="C233" s="79" t="inlineStr">
        <is>
          <t>Lab TBT 150ms–300ms (Mobile)</t>
        </is>
      </c>
      <c r="D233" s="28" t="inlineStr">
        <is>
          <t>Observation</t>
        </is>
      </c>
      <c r="E233" s="20" t="n">
        <v>1</v>
      </c>
      <c r="F233" s="39" t="inlineStr">
        <is>
          <t>Technical Diagnostics</t>
        </is>
      </c>
      <c r="G233" s="28" t="inlineStr">
        <is>
          <t>https://africanmarketingconfederation.org/smoke-archive/page-37::lab_tbt_150ms_300ms_mobile_</t>
        </is>
      </c>
      <c r="H233" s="28" t="inlineStr">
        <is>
          <t>Dev</t>
        </is>
      </c>
      <c r="I233" s="28" t="inlineStr"/>
      <c r="J233" s="28" t="inlineStr">
        <is>
          <t>To Do</t>
        </is>
      </c>
      <c r="K233" s="20" t="inlineStr">
        <is>
          <t>https://africanmarketingconfederation.org/smoke-archive/page-37</t>
        </is>
      </c>
      <c r="L233" s="28" t="inlineStr">
        <is>
          <t>IssueInventory</t>
        </is>
      </c>
      <c r="M233" s="28" t="n">
        <v>181</v>
      </c>
      <c r="N233" s="28" t="inlineStr">
        <is>
          <t>2026-07-01 20:54:35</t>
        </is>
      </c>
      <c r="O233" s="28" t="n">
        <v>0</v>
      </c>
      <c r="P233" s="28" t="inlineStr"/>
      <c r="Q233" s="28" t="inlineStr"/>
      <c r="R233">
        <f>IFERROR(HYPERLINK("#'Main'!B"&amp;MATCH(TRIM(A233),'Main'!B:B,0),"Open"),HYPERLINK("#'Main'!B1","Open"))</f>
        <v/>
      </c>
      <c r="S233">
        <f>IFERROR(HYPERLINK("#'"&amp;SUBSTITUTE(F233,"'","''")&amp;"'!A"&amp;MATCH(A233,INDIRECT("'"&amp;SUBSTITUTE(F233,"'","''")&amp;"'!A:A"),0),"Open"),HYPERLINK("#'"&amp;SUBSTITUTE(F233,"'","''")&amp;"'!A1","Open"))</f>
        <v/>
      </c>
    </row>
    <row r="234" ht="18" customHeight="1">
      <c r="A234" s="37" t="inlineStr">
        <is>
          <t>https://africanmarketingconfederation.org/smoke-archive/page-37</t>
        </is>
      </c>
      <c r="B234" s="30" t="inlineStr">
        <is>
          <t>Issue Inventory</t>
        </is>
      </c>
      <c r="C234" s="80" t="inlineStr">
        <is>
          <t>Moderate Lighthouse Performance Mobile (50–89)</t>
        </is>
      </c>
      <c r="D234" s="30" t="inlineStr">
        <is>
          <t>Observation</t>
        </is>
      </c>
      <c r="E234" s="31" t="n">
        <v>1</v>
      </c>
      <c r="F234" s="41" t="inlineStr">
        <is>
          <t>Technical Diagnostics</t>
        </is>
      </c>
      <c r="G234" s="30" t="inlineStr">
        <is>
          <t>https://africanmarketingconfederation.org/smoke-archive/page-37::moderate_lighthouse_performance_mobile_50_89_</t>
        </is>
      </c>
      <c r="H234" s="30" t="inlineStr">
        <is>
          <t>Dev</t>
        </is>
      </c>
      <c r="I234" s="30" t="inlineStr"/>
      <c r="J234" s="30" t="inlineStr">
        <is>
          <t>To Do</t>
        </is>
      </c>
      <c r="K234" s="31" t="inlineStr">
        <is>
          <t>https://africanmarketingconfederation.org/smoke-archive/page-37</t>
        </is>
      </c>
      <c r="L234" s="30" t="inlineStr">
        <is>
          <t>IssueInventory</t>
        </is>
      </c>
      <c r="M234" s="30" t="n">
        <v>182</v>
      </c>
      <c r="N234" s="30" t="inlineStr">
        <is>
          <t>2026-07-01 20:54:35</t>
        </is>
      </c>
      <c r="O234" s="30" t="n">
        <v>0</v>
      </c>
      <c r="P234" s="30" t="inlineStr"/>
      <c r="Q234" s="30" t="inlineStr"/>
      <c r="R234" s="38">
        <f>IFERROR(HYPERLINK("#'Main'!B"&amp;MATCH(TRIM(A234),'Main'!B:B,0),"Open"),HYPERLINK("#'Main'!B1","Open"))</f>
        <v/>
      </c>
      <c r="S234" s="38">
        <f>IFERROR(HYPERLINK("#'"&amp;SUBSTITUTE(F234,"'","''")&amp;"'!A"&amp;MATCH(A234,INDIRECT("'"&amp;SUBSTITUTE(F234,"'","''")&amp;"'!A:A"),0),"Open"),HYPERLINK("#'"&amp;SUBSTITUTE(F234,"'","''")&amp;"'!A1","Open"))</f>
        <v/>
      </c>
    </row>
    <row r="235" ht="18" customHeight="1">
      <c r="A235" s="35" t="inlineStr">
        <is>
          <t>https://africanmarketingconfederation.org/smoke-archive/page-37</t>
        </is>
      </c>
      <c r="B235" s="28" t="inlineStr">
        <is>
          <t>Issue Inventory</t>
        </is>
      </c>
      <c r="C235" s="79" t="inlineStr">
        <is>
          <t>Render Blocking Resources</t>
        </is>
      </c>
      <c r="D235" s="28" t="inlineStr">
        <is>
          <t>Observation</t>
        </is>
      </c>
      <c r="E235" s="20" t="n">
        <v>1</v>
      </c>
      <c r="F235" s="39" t="inlineStr">
        <is>
          <t>Technical Diagnostics</t>
        </is>
      </c>
      <c r="G235" s="28" t="inlineStr">
        <is>
          <t>https://africanmarketingconfederation.org/smoke-archive/page-37::render_blocking_resources</t>
        </is>
      </c>
      <c r="H235" s="28" t="inlineStr">
        <is>
          <t>Dev</t>
        </is>
      </c>
      <c r="I235" s="28" t="inlineStr"/>
      <c r="J235" s="28" t="inlineStr">
        <is>
          <t>To Do</t>
        </is>
      </c>
      <c r="K235" s="20" t="inlineStr">
        <is>
          <t>https://africanmarketingconfederation.org/smoke-archive/page-37</t>
        </is>
      </c>
      <c r="L235" s="28" t="inlineStr">
        <is>
          <t>IssueInventory</t>
        </is>
      </c>
      <c r="M235" s="28" t="n">
        <v>183</v>
      </c>
      <c r="N235" s="28" t="inlineStr">
        <is>
          <t>2026-07-01 20:54:35</t>
        </is>
      </c>
      <c r="O235" s="28" t="n">
        <v>0</v>
      </c>
      <c r="P235" s="28" t="inlineStr"/>
      <c r="Q235" s="28" t="inlineStr"/>
      <c r="R235">
        <f>IFERROR(HYPERLINK("#'Main'!B"&amp;MATCH(TRIM(A235),'Main'!B:B,0),"Open"),HYPERLINK("#'Main'!B1","Open"))</f>
        <v/>
      </c>
      <c r="S235">
        <f>IFERROR(HYPERLINK("#'"&amp;SUBSTITUTE(F235,"'","''")&amp;"'!A"&amp;MATCH(A235,INDIRECT("'"&amp;SUBSTITUTE(F235,"'","''")&amp;"'!A:A"),0),"Open"),HYPERLINK("#'"&amp;SUBSTITUTE(F235,"'","''")&amp;"'!A1","Open"))</f>
        <v/>
      </c>
    </row>
    <row r="236" ht="18" customHeight="1">
      <c r="A236" s="37" t="inlineStr">
        <is>
          <t>https://africanmarketingconfederation.org/smoke-archive/page-38</t>
        </is>
      </c>
      <c r="B236" s="30" t="inlineStr">
        <is>
          <t>Issue Inventory</t>
        </is>
      </c>
      <c r="C236" s="80" t="inlineStr">
        <is>
          <t>Missing OG Image</t>
        </is>
      </c>
      <c r="D236" s="30" t="inlineStr">
        <is>
          <t>Warning</t>
        </is>
      </c>
      <c r="E236" s="31" t="n">
        <v>1</v>
      </c>
      <c r="F236" s="41" t="inlineStr">
        <is>
          <t>Technical Diagnostics</t>
        </is>
      </c>
      <c r="G236" s="30" t="inlineStr">
        <is>
          <t>https://africanmarketingconfederation.org/smoke-archive/page-38::missing_og_image</t>
        </is>
      </c>
      <c r="H236" s="30" t="inlineStr">
        <is>
          <t>Copy Writer</t>
        </is>
      </c>
      <c r="I236" s="30" t="inlineStr"/>
      <c r="J236" s="30" t="inlineStr">
        <is>
          <t>To Do</t>
        </is>
      </c>
      <c r="K236" s="31" t="inlineStr">
        <is>
          <t>https://africanmarketingconfederation.org/smoke-archive/page-38</t>
        </is>
      </c>
      <c r="L236" s="30" t="inlineStr">
        <is>
          <t>IssueInventory</t>
        </is>
      </c>
      <c r="M236" s="30" t="n">
        <v>184</v>
      </c>
      <c r="N236" s="30" t="inlineStr">
        <is>
          <t>2026-07-01 20:54:35</t>
        </is>
      </c>
      <c r="O236" s="30" t="n">
        <v>0</v>
      </c>
      <c r="P236" s="30" t="inlineStr"/>
      <c r="Q236" s="30" t="inlineStr"/>
      <c r="R236" s="38">
        <f>IFERROR(HYPERLINK("#'Main'!B"&amp;MATCH(TRIM(A236),'Main'!B:B,0),"Open"),HYPERLINK("#'Main'!B1","Open"))</f>
        <v/>
      </c>
      <c r="S236" s="38">
        <f>IFERROR(HYPERLINK("#'"&amp;SUBSTITUTE(F236,"'","''")&amp;"'!A"&amp;MATCH(A236,INDIRECT("'"&amp;SUBSTITUTE(F236,"'","''")&amp;"'!A:A"),0),"Open"),HYPERLINK("#'"&amp;SUBSTITUTE(F236,"'","''")&amp;"'!A1","Open"))</f>
        <v/>
      </c>
    </row>
    <row r="237" ht="18" customHeight="1">
      <c r="A237" s="35" t="inlineStr">
        <is>
          <t>https://africanmarketingconfederation.org/smoke-archive/page-38</t>
        </is>
      </c>
      <c r="B237" s="28" t="inlineStr">
        <is>
          <t>Issue Inventory</t>
        </is>
      </c>
      <c r="C237" s="79" t="inlineStr">
        <is>
          <t>Lab TBT 150ms–300ms (Mobile)</t>
        </is>
      </c>
      <c r="D237" s="28" t="inlineStr">
        <is>
          <t>Observation</t>
        </is>
      </c>
      <c r="E237" s="20" t="n">
        <v>1</v>
      </c>
      <c r="F237" s="39" t="inlineStr">
        <is>
          <t>Technical Diagnostics</t>
        </is>
      </c>
      <c r="G237" s="28" t="inlineStr">
        <is>
          <t>https://africanmarketingconfederation.org/smoke-archive/page-38::lab_tbt_150ms_300ms_mobile_</t>
        </is>
      </c>
      <c r="H237" s="28" t="inlineStr">
        <is>
          <t>Dev</t>
        </is>
      </c>
      <c r="I237" s="28" t="inlineStr"/>
      <c r="J237" s="28" t="inlineStr">
        <is>
          <t>To Do</t>
        </is>
      </c>
      <c r="K237" s="20" t="inlineStr">
        <is>
          <t>https://africanmarketingconfederation.org/smoke-archive/page-38</t>
        </is>
      </c>
      <c r="L237" s="28" t="inlineStr">
        <is>
          <t>IssueInventory</t>
        </is>
      </c>
      <c r="M237" s="28" t="n">
        <v>185</v>
      </c>
      <c r="N237" s="28" t="inlineStr">
        <is>
          <t>2026-07-01 20:54:35</t>
        </is>
      </c>
      <c r="O237" s="28" t="n">
        <v>0</v>
      </c>
      <c r="P237" s="28" t="inlineStr"/>
      <c r="Q237" s="28" t="inlineStr"/>
      <c r="R237">
        <f>IFERROR(HYPERLINK("#'Main'!B"&amp;MATCH(TRIM(A237),'Main'!B:B,0),"Open"),HYPERLINK("#'Main'!B1","Open"))</f>
        <v/>
      </c>
      <c r="S237">
        <f>IFERROR(HYPERLINK("#'"&amp;SUBSTITUTE(F237,"'","''")&amp;"'!A"&amp;MATCH(A237,INDIRECT("'"&amp;SUBSTITUTE(F237,"'","''")&amp;"'!A:A"),0),"Open"),HYPERLINK("#'"&amp;SUBSTITUTE(F237,"'","''")&amp;"'!A1","Open"))</f>
        <v/>
      </c>
    </row>
    <row r="238" ht="18" customHeight="1">
      <c r="A238" s="37" t="inlineStr">
        <is>
          <t>https://africanmarketingconfederation.org/smoke-archive/page-38</t>
        </is>
      </c>
      <c r="B238" s="30" t="inlineStr">
        <is>
          <t>Issue Inventory</t>
        </is>
      </c>
      <c r="C238" s="80" t="inlineStr">
        <is>
          <t>Moderate Lighthouse Performance Mobile (50–89)</t>
        </is>
      </c>
      <c r="D238" s="30" t="inlineStr">
        <is>
          <t>Observation</t>
        </is>
      </c>
      <c r="E238" s="31" t="n">
        <v>1</v>
      </c>
      <c r="F238" s="41" t="inlineStr">
        <is>
          <t>Technical Diagnostics</t>
        </is>
      </c>
      <c r="G238" s="30" t="inlineStr">
        <is>
          <t>https://africanmarketingconfederation.org/smoke-archive/page-38::moderate_lighthouse_performance_mobile_50_89_</t>
        </is>
      </c>
      <c r="H238" s="30" t="inlineStr">
        <is>
          <t>Dev</t>
        </is>
      </c>
      <c r="I238" s="30" t="inlineStr"/>
      <c r="J238" s="30" t="inlineStr">
        <is>
          <t>To Do</t>
        </is>
      </c>
      <c r="K238" s="31" t="inlineStr">
        <is>
          <t>https://africanmarketingconfederation.org/smoke-archive/page-38</t>
        </is>
      </c>
      <c r="L238" s="30" t="inlineStr">
        <is>
          <t>IssueInventory</t>
        </is>
      </c>
      <c r="M238" s="30" t="n">
        <v>186</v>
      </c>
      <c r="N238" s="30" t="inlineStr">
        <is>
          <t>2026-07-01 20:54:35</t>
        </is>
      </c>
      <c r="O238" s="30" t="n">
        <v>0</v>
      </c>
      <c r="P238" s="30" t="inlineStr"/>
      <c r="Q238" s="30" t="inlineStr"/>
      <c r="R238" s="38">
        <f>IFERROR(HYPERLINK("#'Main'!B"&amp;MATCH(TRIM(A238),'Main'!B:B,0),"Open"),HYPERLINK("#'Main'!B1","Open"))</f>
        <v/>
      </c>
      <c r="S238" s="38">
        <f>IFERROR(HYPERLINK("#'"&amp;SUBSTITUTE(F238,"'","''")&amp;"'!A"&amp;MATCH(A238,INDIRECT("'"&amp;SUBSTITUTE(F238,"'","''")&amp;"'!A:A"),0),"Open"),HYPERLINK("#'"&amp;SUBSTITUTE(F238,"'","''")&amp;"'!A1","Open"))</f>
        <v/>
      </c>
    </row>
    <row r="239" ht="18" customHeight="1">
      <c r="A239" s="35" t="inlineStr">
        <is>
          <t>https://africanmarketingconfederation.org/smoke-archive/page-38</t>
        </is>
      </c>
      <c r="B239" s="28" t="inlineStr">
        <is>
          <t>Issue Inventory</t>
        </is>
      </c>
      <c r="C239" s="79" t="inlineStr">
        <is>
          <t>Render Blocking Resources</t>
        </is>
      </c>
      <c r="D239" s="28" t="inlineStr">
        <is>
          <t>Observation</t>
        </is>
      </c>
      <c r="E239" s="20" t="n">
        <v>1</v>
      </c>
      <c r="F239" s="39" t="inlineStr">
        <is>
          <t>Technical Diagnostics</t>
        </is>
      </c>
      <c r="G239" s="28" t="inlineStr">
        <is>
          <t>https://africanmarketingconfederation.org/smoke-archive/page-38::render_blocking_resources</t>
        </is>
      </c>
      <c r="H239" s="28" t="inlineStr">
        <is>
          <t>Dev</t>
        </is>
      </c>
      <c r="I239" s="28" t="inlineStr"/>
      <c r="J239" s="28" t="inlineStr">
        <is>
          <t>To Do</t>
        </is>
      </c>
      <c r="K239" s="20" t="inlineStr">
        <is>
          <t>https://africanmarketingconfederation.org/smoke-archive/page-38</t>
        </is>
      </c>
      <c r="L239" s="28" t="inlineStr">
        <is>
          <t>IssueInventory</t>
        </is>
      </c>
      <c r="M239" s="28" t="n">
        <v>187</v>
      </c>
      <c r="N239" s="28" t="inlineStr">
        <is>
          <t>2026-07-01 20:54:35</t>
        </is>
      </c>
      <c r="O239" s="28" t="n">
        <v>0</v>
      </c>
      <c r="P239" s="28" t="inlineStr"/>
      <c r="Q239" s="28" t="inlineStr"/>
      <c r="R239">
        <f>IFERROR(HYPERLINK("#'Main'!B"&amp;MATCH(TRIM(A239),'Main'!B:B,0),"Open"),HYPERLINK("#'Main'!B1","Open"))</f>
        <v/>
      </c>
      <c r="S239">
        <f>IFERROR(HYPERLINK("#'"&amp;SUBSTITUTE(F239,"'","''")&amp;"'!A"&amp;MATCH(A239,INDIRECT("'"&amp;SUBSTITUTE(F239,"'","''")&amp;"'!A:A"),0),"Open"),HYPERLINK("#'"&amp;SUBSTITUTE(F239,"'","''")&amp;"'!A1","Open"))</f>
        <v/>
      </c>
    </row>
    <row r="240" ht="18" customHeight="1">
      <c r="A240" s="37" t="inlineStr">
        <is>
          <t>https://africanmarketingconfederation.org/smoke-archive/page-39</t>
        </is>
      </c>
      <c r="B240" s="30" t="inlineStr">
        <is>
          <t>Issue Inventory</t>
        </is>
      </c>
      <c r="C240" s="80" t="inlineStr">
        <is>
          <t>Non-200 Status</t>
        </is>
      </c>
      <c r="D240" s="30" t="inlineStr">
        <is>
          <t>Critical</t>
        </is>
      </c>
      <c r="E240" s="31" t="n">
        <v>1</v>
      </c>
      <c r="F240" s="41" t="inlineStr">
        <is>
          <t>Technical Diagnostics</t>
        </is>
      </c>
      <c r="G240" s="30" t="inlineStr">
        <is>
          <t>https://africanmarketingconfederation.org/smoke-archive/page-39::non-200_status</t>
        </is>
      </c>
      <c r="H240" s="30" t="inlineStr">
        <is>
          <t>Server/Host</t>
        </is>
      </c>
      <c r="I240" s="30" t="inlineStr"/>
      <c r="J240" s="30" t="inlineStr">
        <is>
          <t>To Do</t>
        </is>
      </c>
      <c r="K240" s="31" t="inlineStr">
        <is>
          <t>https://africanmarketingconfederation.org/smoke-archive/page-39</t>
        </is>
      </c>
      <c r="L240" s="30" t="inlineStr">
        <is>
          <t>IssueInventory</t>
        </is>
      </c>
      <c r="M240" s="30" t="n">
        <v>188</v>
      </c>
      <c r="N240" s="30" t="inlineStr">
        <is>
          <t>2026-07-01 20:54:35</t>
        </is>
      </c>
      <c r="O240" s="30" t="n">
        <v>0</v>
      </c>
      <c r="P240" s="30" t="inlineStr"/>
      <c r="Q240" s="30" t="inlineStr"/>
      <c r="R240" s="38">
        <f>IFERROR(HYPERLINK("#'Main'!B"&amp;MATCH(TRIM(A240),'Main'!B:B,0),"Open"),HYPERLINK("#'Main'!B1","Open"))</f>
        <v/>
      </c>
      <c r="S240" s="38">
        <f>IFERROR(HYPERLINK("#'"&amp;SUBSTITUTE(F240,"'","''")&amp;"'!A"&amp;MATCH(A240,INDIRECT("'"&amp;SUBSTITUTE(F240,"'","''")&amp;"'!A:A"),0),"Open"),HYPERLINK("#'"&amp;SUBSTITUTE(F240,"'","''")&amp;"'!A1","Open"))</f>
        <v/>
      </c>
    </row>
    <row r="241" ht="18" customHeight="1">
      <c r="A241" s="35" t="inlineStr">
        <is>
          <t>https://africanmarketingconfederation.org/smoke-archive/page-40</t>
        </is>
      </c>
      <c r="B241" s="28" t="inlineStr">
        <is>
          <t>Issue Inventory</t>
        </is>
      </c>
      <c r="C241" s="79" t="inlineStr">
        <is>
          <t>Missing Meta Description</t>
        </is>
      </c>
      <c r="D241" s="28" t="inlineStr">
        <is>
          <t>Warning</t>
        </is>
      </c>
      <c r="E241" s="20" t="n">
        <v>1</v>
      </c>
      <c r="F241" s="39" t="inlineStr">
        <is>
          <t>Technical Diagnostics</t>
        </is>
      </c>
      <c r="G241" s="28" t="inlineStr">
        <is>
          <t>https://africanmarketingconfederation.org/smoke-archive/page-40::missing_meta_description</t>
        </is>
      </c>
      <c r="H241" s="28" t="inlineStr">
        <is>
          <t>Copy Writer</t>
        </is>
      </c>
      <c r="I241" s="28" t="inlineStr"/>
      <c r="J241" s="28" t="inlineStr">
        <is>
          <t>To Do</t>
        </is>
      </c>
      <c r="K241" s="20" t="inlineStr">
        <is>
          <t>https://africanmarketingconfederation.org/smoke-archive/page-40</t>
        </is>
      </c>
      <c r="L241" s="28" t="inlineStr">
        <is>
          <t>IssueInventory</t>
        </is>
      </c>
      <c r="M241" s="28" t="n">
        <v>189</v>
      </c>
      <c r="N241" s="28" t="inlineStr">
        <is>
          <t>2026-07-01 20:54:35</t>
        </is>
      </c>
      <c r="O241" s="28" t="n">
        <v>0</v>
      </c>
      <c r="P241" s="28" t="inlineStr"/>
      <c r="Q241" s="28" t="inlineStr"/>
      <c r="R241">
        <f>IFERROR(HYPERLINK("#'Main'!B"&amp;MATCH(TRIM(A241),'Main'!B:B,0),"Open"),HYPERLINK("#'Main'!B1","Open"))</f>
        <v/>
      </c>
      <c r="S241">
        <f>IFERROR(HYPERLINK("#'"&amp;SUBSTITUTE(F241,"'","''")&amp;"'!A"&amp;MATCH(A241,INDIRECT("'"&amp;SUBSTITUTE(F241,"'","''")&amp;"'!A:A"),0),"Open"),HYPERLINK("#'"&amp;SUBSTITUTE(F241,"'","''")&amp;"'!A1","Open"))</f>
        <v/>
      </c>
    </row>
    <row r="242" ht="18" customHeight="1">
      <c r="A242" s="37" t="inlineStr">
        <is>
          <t>https://africanmarketingconfederation.org/smoke-archive/page-40</t>
        </is>
      </c>
      <c r="B242" s="30" t="inlineStr">
        <is>
          <t>Issue Inventory</t>
        </is>
      </c>
      <c r="C242" s="80" t="inlineStr">
        <is>
          <t>Missing OG Title</t>
        </is>
      </c>
      <c r="D242" s="30" t="inlineStr">
        <is>
          <t>Warning</t>
        </is>
      </c>
      <c r="E242" s="31" t="n">
        <v>1</v>
      </c>
      <c r="F242" s="41" t="inlineStr">
        <is>
          <t>Technical Diagnostics</t>
        </is>
      </c>
      <c r="G242" s="30" t="inlineStr">
        <is>
          <t>https://africanmarketingconfederation.org/smoke-archive/page-40::missing_og_title</t>
        </is>
      </c>
      <c r="H242" s="30" t="inlineStr">
        <is>
          <t>Copy Writer</t>
        </is>
      </c>
      <c r="I242" s="30" t="inlineStr"/>
      <c r="J242" s="30" t="inlineStr">
        <is>
          <t>To Do</t>
        </is>
      </c>
      <c r="K242" s="31" t="inlineStr">
        <is>
          <t>https://africanmarketingconfederation.org/smoke-archive/page-40</t>
        </is>
      </c>
      <c r="L242" s="30" t="inlineStr">
        <is>
          <t>IssueInventory</t>
        </is>
      </c>
      <c r="M242" s="30" t="n">
        <v>190</v>
      </c>
      <c r="N242" s="30" t="inlineStr">
        <is>
          <t>2026-07-01 20:54:35</t>
        </is>
      </c>
      <c r="O242" s="30" t="n">
        <v>0</v>
      </c>
      <c r="P242" s="30" t="inlineStr"/>
      <c r="Q242" s="30" t="inlineStr"/>
      <c r="R242" s="38">
        <f>IFERROR(HYPERLINK("#'Main'!B"&amp;MATCH(TRIM(A242),'Main'!B:B,0),"Open"),HYPERLINK("#'Main'!B1","Open"))</f>
        <v/>
      </c>
      <c r="S242" s="38">
        <f>IFERROR(HYPERLINK("#'"&amp;SUBSTITUTE(F242,"'","''")&amp;"'!A"&amp;MATCH(A242,INDIRECT("'"&amp;SUBSTITUTE(F242,"'","''")&amp;"'!A:A"),0),"Open"),HYPERLINK("#'"&amp;SUBSTITUTE(F242,"'","''")&amp;"'!A1","Open"))</f>
        <v/>
      </c>
    </row>
    <row r="243" ht="18" customHeight="1">
      <c r="A243" s="35" t="inlineStr">
        <is>
          <t>https://africanmarketingconfederation.org/smoke-archive/page-40</t>
        </is>
      </c>
      <c r="B243" s="28" t="inlineStr">
        <is>
          <t>Issue Inventory</t>
        </is>
      </c>
      <c r="C243" s="79" t="inlineStr">
        <is>
          <t>Missing OG Description</t>
        </is>
      </c>
      <c r="D243" s="28" t="inlineStr">
        <is>
          <t>Warning</t>
        </is>
      </c>
      <c r="E243" s="20" t="n">
        <v>1</v>
      </c>
      <c r="F243" s="39" t="inlineStr">
        <is>
          <t>Technical Diagnostics</t>
        </is>
      </c>
      <c r="G243" s="28" t="inlineStr">
        <is>
          <t>https://africanmarketingconfederation.org/smoke-archive/page-40::missing_og_description</t>
        </is>
      </c>
      <c r="H243" s="28" t="inlineStr">
        <is>
          <t>Copy Writer</t>
        </is>
      </c>
      <c r="I243" s="28" t="inlineStr"/>
      <c r="J243" s="28" t="inlineStr">
        <is>
          <t>To Do</t>
        </is>
      </c>
      <c r="K243" s="20" t="inlineStr">
        <is>
          <t>https://africanmarketingconfederation.org/smoke-archive/page-40</t>
        </is>
      </c>
      <c r="L243" s="28" t="inlineStr">
        <is>
          <t>IssueInventory</t>
        </is>
      </c>
      <c r="M243" s="28" t="n">
        <v>191</v>
      </c>
      <c r="N243" s="28" t="inlineStr">
        <is>
          <t>2026-07-01 20:54:35</t>
        </is>
      </c>
      <c r="O243" s="28" t="n">
        <v>0</v>
      </c>
      <c r="P243" s="28" t="inlineStr"/>
      <c r="Q243" s="28" t="inlineStr"/>
      <c r="R243">
        <f>IFERROR(HYPERLINK("#'Main'!B"&amp;MATCH(TRIM(A243),'Main'!B:B,0),"Open"),HYPERLINK("#'Main'!B1","Open"))</f>
        <v/>
      </c>
      <c r="S243">
        <f>IFERROR(HYPERLINK("#'"&amp;SUBSTITUTE(F243,"'","''")&amp;"'!A"&amp;MATCH(A243,INDIRECT("'"&amp;SUBSTITUTE(F243,"'","''")&amp;"'!A:A"),0),"Open"),HYPERLINK("#'"&amp;SUBSTITUTE(F243,"'","''")&amp;"'!A1","Open"))</f>
        <v/>
      </c>
    </row>
    <row r="244" ht="18" customHeight="1">
      <c r="A244" s="37" t="inlineStr">
        <is>
          <t>https://africanmarketingconfederation.org/smoke-archive/page-40</t>
        </is>
      </c>
      <c r="B244" s="30" t="inlineStr">
        <is>
          <t>Issue Inventory</t>
        </is>
      </c>
      <c r="C244" s="80" t="inlineStr">
        <is>
          <t>Lab TBT 150ms–300ms (Mobile)</t>
        </is>
      </c>
      <c r="D244" s="30" t="inlineStr">
        <is>
          <t>Observation</t>
        </is>
      </c>
      <c r="E244" s="31" t="n">
        <v>1</v>
      </c>
      <c r="F244" s="41" t="inlineStr">
        <is>
          <t>Technical Diagnostics</t>
        </is>
      </c>
      <c r="G244" s="30" t="inlineStr">
        <is>
          <t>https://africanmarketingconfederation.org/smoke-archive/page-40::lab_tbt_150ms_300ms_mobile_</t>
        </is>
      </c>
      <c r="H244" s="30" t="inlineStr">
        <is>
          <t>Dev</t>
        </is>
      </c>
      <c r="I244" s="30" t="inlineStr"/>
      <c r="J244" s="30" t="inlineStr">
        <is>
          <t>To Do</t>
        </is>
      </c>
      <c r="K244" s="31" t="inlineStr">
        <is>
          <t>https://africanmarketingconfederation.org/smoke-archive/page-40</t>
        </is>
      </c>
      <c r="L244" s="30" t="inlineStr">
        <is>
          <t>IssueInventory</t>
        </is>
      </c>
      <c r="M244" s="30" t="n">
        <v>192</v>
      </c>
      <c r="N244" s="30" t="inlineStr">
        <is>
          <t>2026-07-01 20:54:35</t>
        </is>
      </c>
      <c r="O244" s="30" t="n">
        <v>0</v>
      </c>
      <c r="P244" s="30" t="inlineStr"/>
      <c r="Q244" s="30" t="inlineStr"/>
      <c r="R244" s="38">
        <f>IFERROR(HYPERLINK("#'Main'!B"&amp;MATCH(TRIM(A244),'Main'!B:B,0),"Open"),HYPERLINK("#'Main'!B1","Open"))</f>
        <v/>
      </c>
      <c r="S244" s="38">
        <f>IFERROR(HYPERLINK("#'"&amp;SUBSTITUTE(F244,"'","''")&amp;"'!A"&amp;MATCH(A244,INDIRECT("'"&amp;SUBSTITUTE(F244,"'","''")&amp;"'!A:A"),0),"Open"),HYPERLINK("#'"&amp;SUBSTITUTE(F244,"'","''")&amp;"'!A1","Open"))</f>
        <v/>
      </c>
    </row>
    <row r="245" ht="18" customHeight="1">
      <c r="A245" s="35" t="inlineStr">
        <is>
          <t>https://africanmarketingconfederation.org/smoke-archive/page-40</t>
        </is>
      </c>
      <c r="B245" s="28" t="inlineStr">
        <is>
          <t>Issue Inventory</t>
        </is>
      </c>
      <c r="C245" s="79" t="inlineStr">
        <is>
          <t>Moderate Lighthouse Performance Mobile (50–89)</t>
        </is>
      </c>
      <c r="D245" s="28" t="inlineStr">
        <is>
          <t>Observation</t>
        </is>
      </c>
      <c r="E245" s="20" t="n">
        <v>1</v>
      </c>
      <c r="F245" s="39" t="inlineStr">
        <is>
          <t>Technical Diagnostics</t>
        </is>
      </c>
      <c r="G245" s="28" t="inlineStr">
        <is>
          <t>https://africanmarketingconfederation.org/smoke-archive/page-40::moderate_lighthouse_performance_mobile_50_89_</t>
        </is>
      </c>
      <c r="H245" s="28" t="inlineStr">
        <is>
          <t>Dev</t>
        </is>
      </c>
      <c r="I245" s="28" t="inlineStr"/>
      <c r="J245" s="28" t="inlineStr">
        <is>
          <t>To Do</t>
        </is>
      </c>
      <c r="K245" s="20" t="inlineStr">
        <is>
          <t>https://africanmarketingconfederation.org/smoke-archive/page-40</t>
        </is>
      </c>
      <c r="L245" s="28" t="inlineStr">
        <is>
          <t>IssueInventory</t>
        </is>
      </c>
      <c r="M245" s="28" t="n">
        <v>193</v>
      </c>
      <c r="N245" s="28" t="inlineStr">
        <is>
          <t>2026-07-01 20:54:35</t>
        </is>
      </c>
      <c r="O245" s="28" t="n">
        <v>0</v>
      </c>
      <c r="P245" s="28" t="inlineStr"/>
      <c r="Q245" s="28" t="inlineStr"/>
      <c r="R245">
        <f>IFERROR(HYPERLINK("#'Main'!B"&amp;MATCH(TRIM(A245),'Main'!B:B,0),"Open"),HYPERLINK("#'Main'!B1","Open"))</f>
        <v/>
      </c>
      <c r="S245">
        <f>IFERROR(HYPERLINK("#'"&amp;SUBSTITUTE(F245,"'","''")&amp;"'!A"&amp;MATCH(A245,INDIRECT("'"&amp;SUBSTITUTE(F245,"'","''")&amp;"'!A:A"),0),"Open"),HYPERLINK("#'"&amp;SUBSTITUTE(F245,"'","''")&amp;"'!A1","Open"))</f>
        <v/>
      </c>
    </row>
    <row r="246" ht="18" customHeight="1">
      <c r="A246" s="37" t="inlineStr">
        <is>
          <t>https://africanmarketingconfederation.org/smoke-archive/page-40</t>
        </is>
      </c>
      <c r="B246" s="30" t="inlineStr">
        <is>
          <t>Issue Inventory</t>
        </is>
      </c>
      <c r="C246" s="80" t="inlineStr">
        <is>
          <t>Render Blocking Resources</t>
        </is>
      </c>
      <c r="D246" s="30" t="inlineStr">
        <is>
          <t>Observation</t>
        </is>
      </c>
      <c r="E246" s="31" t="n">
        <v>1</v>
      </c>
      <c r="F246" s="41" t="inlineStr">
        <is>
          <t>Technical Diagnostics</t>
        </is>
      </c>
      <c r="G246" s="30" t="inlineStr">
        <is>
          <t>https://africanmarketingconfederation.org/smoke-archive/page-40::render_blocking_resources</t>
        </is>
      </c>
      <c r="H246" s="30" t="inlineStr">
        <is>
          <t>Dev</t>
        </is>
      </c>
      <c r="I246" s="30" t="inlineStr"/>
      <c r="J246" s="30" t="inlineStr">
        <is>
          <t>To Do</t>
        </is>
      </c>
      <c r="K246" s="31" t="inlineStr">
        <is>
          <t>https://africanmarketingconfederation.org/smoke-archive/page-40</t>
        </is>
      </c>
      <c r="L246" s="30" t="inlineStr">
        <is>
          <t>IssueInventory</t>
        </is>
      </c>
      <c r="M246" s="30" t="n">
        <v>194</v>
      </c>
      <c r="N246" s="30" t="inlineStr">
        <is>
          <t>2026-07-01 20:54:35</t>
        </is>
      </c>
      <c r="O246" s="30" t="n">
        <v>0</v>
      </c>
      <c r="P246" s="30" t="inlineStr"/>
      <c r="Q246" s="30" t="inlineStr"/>
      <c r="R246" s="38">
        <f>IFERROR(HYPERLINK("#'Main'!B"&amp;MATCH(TRIM(A246),'Main'!B:B,0),"Open"),HYPERLINK("#'Main'!B1","Open"))</f>
        <v/>
      </c>
      <c r="S246" s="38">
        <f>IFERROR(HYPERLINK("#'"&amp;SUBSTITUTE(F246,"'","''")&amp;"'!A"&amp;MATCH(A246,INDIRECT("'"&amp;SUBSTITUTE(F246,"'","''")&amp;"'!A:A"),0),"Open"),HYPERLINK("#'"&amp;SUBSTITUTE(F246,"'","''")&amp;"'!A1","Open"))</f>
        <v/>
      </c>
    </row>
    <row r="247" ht="18" customHeight="1">
      <c r="A247" s="35" t="inlineStr">
        <is>
          <t>https://africanmarketingconfederation.org/smoke-archive/page-41</t>
        </is>
      </c>
      <c r="B247" s="28" t="inlineStr">
        <is>
          <t>Issue Inventory</t>
        </is>
      </c>
      <c r="C247" s="79" t="inlineStr">
        <is>
          <t>Missing OG Image</t>
        </is>
      </c>
      <c r="D247" s="28" t="inlineStr">
        <is>
          <t>Warning</t>
        </is>
      </c>
      <c r="E247" s="20" t="n">
        <v>1</v>
      </c>
      <c r="F247" s="39" t="inlineStr">
        <is>
          <t>Technical Diagnostics</t>
        </is>
      </c>
      <c r="G247" s="28" t="inlineStr">
        <is>
          <t>https://africanmarketingconfederation.org/smoke-archive/page-41::missing_og_image</t>
        </is>
      </c>
      <c r="H247" s="28" t="inlineStr">
        <is>
          <t>Copy Writer</t>
        </is>
      </c>
      <c r="I247" s="28" t="inlineStr"/>
      <c r="J247" s="28" t="inlineStr">
        <is>
          <t>To Do</t>
        </is>
      </c>
      <c r="K247" s="20" t="inlineStr">
        <is>
          <t>https://africanmarketingconfederation.org/smoke-archive/page-41</t>
        </is>
      </c>
      <c r="L247" s="28" t="inlineStr">
        <is>
          <t>IssueInventory</t>
        </is>
      </c>
      <c r="M247" s="28" t="n">
        <v>195</v>
      </c>
      <c r="N247" s="28" t="inlineStr">
        <is>
          <t>2026-07-01 20:54:35</t>
        </is>
      </c>
      <c r="O247" s="28" t="n">
        <v>0</v>
      </c>
      <c r="P247" s="28" t="inlineStr"/>
      <c r="Q247" s="28" t="inlineStr"/>
      <c r="R247">
        <f>IFERROR(HYPERLINK("#'Main'!B"&amp;MATCH(TRIM(A247),'Main'!B:B,0),"Open"),HYPERLINK("#'Main'!B1","Open"))</f>
        <v/>
      </c>
      <c r="S247">
        <f>IFERROR(HYPERLINK("#'"&amp;SUBSTITUTE(F247,"'","''")&amp;"'!A"&amp;MATCH(A247,INDIRECT("'"&amp;SUBSTITUTE(F247,"'","''")&amp;"'!A:A"),0),"Open"),HYPERLINK("#'"&amp;SUBSTITUTE(F247,"'","''")&amp;"'!A1","Open"))</f>
        <v/>
      </c>
    </row>
    <row r="248" ht="18" customHeight="1">
      <c r="A248" s="37" t="inlineStr">
        <is>
          <t>https://africanmarketingconfederation.org/smoke-archive/page-41</t>
        </is>
      </c>
      <c r="B248" s="30" t="inlineStr">
        <is>
          <t>Issue Inventory</t>
        </is>
      </c>
      <c r="C248" s="80" t="inlineStr">
        <is>
          <t>Lab TBT 150ms–300ms (Mobile)</t>
        </is>
      </c>
      <c r="D248" s="30" t="inlineStr">
        <is>
          <t>Observation</t>
        </is>
      </c>
      <c r="E248" s="31" t="n">
        <v>1</v>
      </c>
      <c r="F248" s="41" t="inlineStr">
        <is>
          <t>Technical Diagnostics</t>
        </is>
      </c>
      <c r="G248" s="30" t="inlineStr">
        <is>
          <t>https://africanmarketingconfederation.org/smoke-archive/page-41::lab_tbt_150ms_300ms_mobile_</t>
        </is>
      </c>
      <c r="H248" s="30" t="inlineStr">
        <is>
          <t>Dev</t>
        </is>
      </c>
      <c r="I248" s="30" t="inlineStr"/>
      <c r="J248" s="30" t="inlineStr">
        <is>
          <t>To Do</t>
        </is>
      </c>
      <c r="K248" s="31" t="inlineStr">
        <is>
          <t>https://africanmarketingconfederation.org/smoke-archive/page-41</t>
        </is>
      </c>
      <c r="L248" s="30" t="inlineStr">
        <is>
          <t>IssueInventory</t>
        </is>
      </c>
      <c r="M248" s="30" t="n">
        <v>196</v>
      </c>
      <c r="N248" s="30" t="inlineStr">
        <is>
          <t>2026-07-01 20:54:35</t>
        </is>
      </c>
      <c r="O248" s="30" t="n">
        <v>0</v>
      </c>
      <c r="P248" s="30" t="inlineStr"/>
      <c r="Q248" s="30" t="inlineStr"/>
      <c r="R248" s="38">
        <f>IFERROR(HYPERLINK("#'Main'!B"&amp;MATCH(TRIM(A248),'Main'!B:B,0),"Open"),HYPERLINK("#'Main'!B1","Open"))</f>
        <v/>
      </c>
      <c r="S248" s="38">
        <f>IFERROR(HYPERLINK("#'"&amp;SUBSTITUTE(F248,"'","''")&amp;"'!A"&amp;MATCH(A248,INDIRECT("'"&amp;SUBSTITUTE(F248,"'","''")&amp;"'!A:A"),0),"Open"),HYPERLINK("#'"&amp;SUBSTITUTE(F248,"'","''")&amp;"'!A1","Open"))</f>
        <v/>
      </c>
    </row>
    <row r="249" ht="18" customHeight="1">
      <c r="A249" s="35" t="inlineStr">
        <is>
          <t>https://africanmarketingconfederation.org/smoke-archive/page-41</t>
        </is>
      </c>
      <c r="B249" s="28" t="inlineStr">
        <is>
          <t>Issue Inventory</t>
        </is>
      </c>
      <c r="C249" s="79" t="inlineStr">
        <is>
          <t>Moderate Lighthouse Performance Mobile (50–89)</t>
        </is>
      </c>
      <c r="D249" s="28" t="inlineStr">
        <is>
          <t>Observation</t>
        </is>
      </c>
      <c r="E249" s="20" t="n">
        <v>1</v>
      </c>
      <c r="F249" s="39" t="inlineStr">
        <is>
          <t>Technical Diagnostics</t>
        </is>
      </c>
      <c r="G249" s="28" t="inlineStr">
        <is>
          <t>https://africanmarketingconfederation.org/smoke-archive/page-41::moderate_lighthouse_performance_mobile_50_89_</t>
        </is>
      </c>
      <c r="H249" s="28" t="inlineStr">
        <is>
          <t>Dev</t>
        </is>
      </c>
      <c r="I249" s="28" t="inlineStr"/>
      <c r="J249" s="28" t="inlineStr">
        <is>
          <t>To Do</t>
        </is>
      </c>
      <c r="K249" s="20" t="inlineStr">
        <is>
          <t>https://africanmarketingconfederation.org/smoke-archive/page-41</t>
        </is>
      </c>
      <c r="L249" s="28" t="inlineStr">
        <is>
          <t>IssueInventory</t>
        </is>
      </c>
      <c r="M249" s="28" t="n">
        <v>197</v>
      </c>
      <c r="N249" s="28" t="inlineStr">
        <is>
          <t>2026-07-01 20:54:35</t>
        </is>
      </c>
      <c r="O249" s="28" t="n">
        <v>0</v>
      </c>
      <c r="P249" s="28" t="inlineStr"/>
      <c r="Q249" s="28" t="inlineStr"/>
      <c r="R249">
        <f>IFERROR(HYPERLINK("#'Main'!B"&amp;MATCH(TRIM(A249),'Main'!B:B,0),"Open"),HYPERLINK("#'Main'!B1","Open"))</f>
        <v/>
      </c>
      <c r="S249">
        <f>IFERROR(HYPERLINK("#'"&amp;SUBSTITUTE(F249,"'","''")&amp;"'!A"&amp;MATCH(A249,INDIRECT("'"&amp;SUBSTITUTE(F249,"'","''")&amp;"'!A:A"),0),"Open"),HYPERLINK("#'"&amp;SUBSTITUTE(F249,"'","''")&amp;"'!A1","Open"))</f>
        <v/>
      </c>
    </row>
    <row r="250" ht="18" customHeight="1">
      <c r="A250" s="37" t="inlineStr">
        <is>
          <t>https://africanmarketingconfederation.org/smoke-archive/page-41</t>
        </is>
      </c>
      <c r="B250" s="30" t="inlineStr">
        <is>
          <t>Issue Inventory</t>
        </is>
      </c>
      <c r="C250" s="80" t="inlineStr">
        <is>
          <t>Render Blocking Resources</t>
        </is>
      </c>
      <c r="D250" s="30" t="inlineStr">
        <is>
          <t>Observation</t>
        </is>
      </c>
      <c r="E250" s="31" t="n">
        <v>1</v>
      </c>
      <c r="F250" s="41" t="inlineStr">
        <is>
          <t>Technical Diagnostics</t>
        </is>
      </c>
      <c r="G250" s="30" t="inlineStr">
        <is>
          <t>https://africanmarketingconfederation.org/smoke-archive/page-41::render_blocking_resources</t>
        </is>
      </c>
      <c r="H250" s="30" t="inlineStr">
        <is>
          <t>Dev</t>
        </is>
      </c>
      <c r="I250" s="30" t="inlineStr"/>
      <c r="J250" s="30" t="inlineStr">
        <is>
          <t>To Do</t>
        </is>
      </c>
      <c r="K250" s="31" t="inlineStr">
        <is>
          <t>https://africanmarketingconfederation.org/smoke-archive/page-41</t>
        </is>
      </c>
      <c r="L250" s="30" t="inlineStr">
        <is>
          <t>IssueInventory</t>
        </is>
      </c>
      <c r="M250" s="30" t="n">
        <v>198</v>
      </c>
      <c r="N250" s="30" t="inlineStr">
        <is>
          <t>2026-07-01 20:54:35</t>
        </is>
      </c>
      <c r="O250" s="30" t="n">
        <v>0</v>
      </c>
      <c r="P250" s="30" t="inlineStr"/>
      <c r="Q250" s="30" t="inlineStr"/>
      <c r="R250" s="38">
        <f>IFERROR(HYPERLINK("#'Main'!B"&amp;MATCH(TRIM(A250),'Main'!B:B,0),"Open"),HYPERLINK("#'Main'!B1","Open"))</f>
        <v/>
      </c>
      <c r="S250" s="38">
        <f>IFERROR(HYPERLINK("#'"&amp;SUBSTITUTE(F250,"'","''")&amp;"'!A"&amp;MATCH(A250,INDIRECT("'"&amp;SUBSTITUTE(F250,"'","''")&amp;"'!A:A"),0),"Open"),HYPERLINK("#'"&amp;SUBSTITUTE(F250,"'","''")&amp;"'!A1","Open"))</f>
        <v/>
      </c>
    </row>
    <row r="251" ht="18" customHeight="1">
      <c r="A251" s="35" t="inlineStr">
        <is>
          <t>https://africanmarketingconfederation.org/smoke-archive/page-42</t>
        </is>
      </c>
      <c r="B251" s="28" t="inlineStr">
        <is>
          <t>Issue Inventory</t>
        </is>
      </c>
      <c r="C251" s="79" t="inlineStr">
        <is>
          <t>Low Image Alt Coverage</t>
        </is>
      </c>
      <c r="D251" s="28" t="inlineStr">
        <is>
          <t>Warning</t>
        </is>
      </c>
      <c r="E251" s="20" t="n">
        <v>1</v>
      </c>
      <c r="F251" s="39" t="inlineStr">
        <is>
          <t>Technical Diagnostics</t>
        </is>
      </c>
      <c r="G251" s="28" t="inlineStr">
        <is>
          <t>https://africanmarketingconfederation.org/smoke-archive/page-42::low_image_alt_coverage</t>
        </is>
      </c>
      <c r="H251" s="28" t="inlineStr">
        <is>
          <t>Copy Writer</t>
        </is>
      </c>
      <c r="I251" s="28" t="inlineStr"/>
      <c r="J251" s="28" t="inlineStr">
        <is>
          <t>To Do</t>
        </is>
      </c>
      <c r="K251" s="20" t="inlineStr">
        <is>
          <t>https://africanmarketingconfederation.org/smoke-archive/page-42</t>
        </is>
      </c>
      <c r="L251" s="28" t="inlineStr">
        <is>
          <t>IssueInventory</t>
        </is>
      </c>
      <c r="M251" s="28" t="n">
        <v>199</v>
      </c>
      <c r="N251" s="28" t="inlineStr">
        <is>
          <t>2026-07-01 20:54:35</t>
        </is>
      </c>
      <c r="O251" s="28" t="n">
        <v>0</v>
      </c>
      <c r="P251" s="28" t="inlineStr"/>
      <c r="Q251" s="28" t="inlineStr"/>
      <c r="R251">
        <f>IFERROR(HYPERLINK("#'Main'!B"&amp;MATCH(TRIM(A251),'Main'!B:B,0),"Open"),HYPERLINK("#'Main'!B1","Open"))</f>
        <v/>
      </c>
      <c r="S251">
        <f>IFERROR(HYPERLINK("#'"&amp;SUBSTITUTE(F251,"'","''")&amp;"'!A"&amp;MATCH(A251,INDIRECT("'"&amp;SUBSTITUTE(F251,"'","''")&amp;"'!A:A"),0),"Open"),HYPERLINK("#'"&amp;SUBSTITUTE(F251,"'","''")&amp;"'!A1","Open"))</f>
        <v/>
      </c>
    </row>
    <row r="252" ht="18" customHeight="1">
      <c r="A252" s="37" t="inlineStr">
        <is>
          <t>https://africanmarketingconfederation.org/smoke-archive/page-42</t>
        </is>
      </c>
      <c r="B252" s="30" t="inlineStr">
        <is>
          <t>Issue Inventory</t>
        </is>
      </c>
      <c r="C252" s="80" t="inlineStr">
        <is>
          <t>Low E-E-A-T Signal Score (&lt;3)</t>
        </is>
      </c>
      <c r="D252" s="30" t="inlineStr">
        <is>
          <t>Warning</t>
        </is>
      </c>
      <c r="E252" s="31" t="n">
        <v>1</v>
      </c>
      <c r="F252" s="41" t="inlineStr">
        <is>
          <t>Technical Diagnostics</t>
        </is>
      </c>
      <c r="G252" s="30" t="inlineStr">
        <is>
          <t>https://africanmarketingconfederation.org/smoke-archive/page-42::low_e-e-a-t_signal_score_3_</t>
        </is>
      </c>
      <c r="H252" s="30" t="inlineStr">
        <is>
          <t>Copy Writer</t>
        </is>
      </c>
      <c r="I252" s="30" t="inlineStr"/>
      <c r="J252" s="30" t="inlineStr">
        <is>
          <t>To Do</t>
        </is>
      </c>
      <c r="K252" s="31" t="inlineStr">
        <is>
          <t>https://africanmarketingconfederation.org/smoke-archive/page-42</t>
        </is>
      </c>
      <c r="L252" s="30" t="inlineStr">
        <is>
          <t>IssueInventory</t>
        </is>
      </c>
      <c r="M252" s="30" t="n">
        <v>200</v>
      </c>
      <c r="N252" s="30" t="inlineStr">
        <is>
          <t>2026-07-01 20:54:35</t>
        </is>
      </c>
      <c r="O252" s="30" t="n">
        <v>0</v>
      </c>
      <c r="P252" s="30" t="inlineStr"/>
      <c r="Q252" s="30" t="inlineStr"/>
      <c r="R252" s="38">
        <f>IFERROR(HYPERLINK("#'Main'!B"&amp;MATCH(TRIM(A252),'Main'!B:B,0),"Open"),HYPERLINK("#'Main'!B1","Open"))</f>
        <v/>
      </c>
      <c r="S252" s="38">
        <f>IFERROR(HYPERLINK("#'"&amp;SUBSTITUTE(F252,"'","''")&amp;"'!A"&amp;MATCH(A252,INDIRECT("'"&amp;SUBSTITUTE(F252,"'","''")&amp;"'!A:A"),0),"Open"),HYPERLINK("#'"&amp;SUBSTITUTE(F252,"'","''")&amp;"'!A1","Open"))</f>
        <v/>
      </c>
    </row>
    <row r="253" ht="18" customHeight="1">
      <c r="A253" s="35" t="inlineStr">
        <is>
          <t>https://africanmarketingconfederation.org/smoke-archive/page-42</t>
        </is>
      </c>
      <c r="B253" s="28" t="inlineStr">
        <is>
          <t>Issue Inventory</t>
        </is>
      </c>
      <c r="C253" s="79" t="inlineStr">
        <is>
          <t>Missing OG Image</t>
        </is>
      </c>
      <c r="D253" s="28" t="inlineStr">
        <is>
          <t>Warning</t>
        </is>
      </c>
      <c r="E253" s="20" t="n">
        <v>1</v>
      </c>
      <c r="F253" s="39" t="inlineStr">
        <is>
          <t>Technical Diagnostics</t>
        </is>
      </c>
      <c r="G253" s="28" t="inlineStr">
        <is>
          <t>https://africanmarketingconfederation.org/smoke-archive/page-42::missing_og_image</t>
        </is>
      </c>
      <c r="H253" s="28" t="inlineStr">
        <is>
          <t>Copy Writer</t>
        </is>
      </c>
      <c r="I253" s="28" t="inlineStr"/>
      <c r="J253" s="28" t="inlineStr">
        <is>
          <t>To Do</t>
        </is>
      </c>
      <c r="K253" s="20" t="inlineStr">
        <is>
          <t>https://africanmarketingconfederation.org/smoke-archive/page-42</t>
        </is>
      </c>
      <c r="L253" s="28" t="inlineStr">
        <is>
          <t>IssueInventory</t>
        </is>
      </c>
      <c r="M253" s="28" t="n">
        <v>201</v>
      </c>
      <c r="N253" s="28" t="inlineStr">
        <is>
          <t>2026-07-01 20:54:35</t>
        </is>
      </c>
      <c r="O253" s="28" t="n">
        <v>0</v>
      </c>
      <c r="P253" s="28" t="inlineStr"/>
      <c r="Q253" s="28" t="inlineStr"/>
      <c r="R253">
        <f>IFERROR(HYPERLINK("#'Main'!B"&amp;MATCH(TRIM(A253),'Main'!B:B,0),"Open"),HYPERLINK("#'Main'!B1","Open"))</f>
        <v/>
      </c>
      <c r="S253">
        <f>IFERROR(HYPERLINK("#'"&amp;SUBSTITUTE(F253,"'","''")&amp;"'!A"&amp;MATCH(A253,INDIRECT("'"&amp;SUBSTITUTE(F253,"'","''")&amp;"'!A:A"),0),"Open"),HYPERLINK("#'"&amp;SUBSTITUTE(F253,"'","''")&amp;"'!A1","Open"))</f>
        <v/>
      </c>
    </row>
    <row r="254" ht="18" customHeight="1">
      <c r="A254" s="37" t="inlineStr">
        <is>
          <t>https://africanmarketingconfederation.org/smoke-archive/page-42</t>
        </is>
      </c>
      <c r="B254" s="30" t="inlineStr">
        <is>
          <t>Issue Inventory</t>
        </is>
      </c>
      <c r="C254" s="80" t="inlineStr">
        <is>
          <t>No Author Attribution</t>
        </is>
      </c>
      <c r="D254" s="30" t="inlineStr">
        <is>
          <t>Observation</t>
        </is>
      </c>
      <c r="E254" s="31" t="n">
        <v>1</v>
      </c>
      <c r="F254" s="41" t="inlineStr">
        <is>
          <t>Technical Diagnostics</t>
        </is>
      </c>
      <c r="G254" s="30" t="inlineStr">
        <is>
          <t>https://africanmarketingconfederation.org/smoke-archive/page-42::no_author_attribution</t>
        </is>
      </c>
      <c r="H254" s="30" t="inlineStr">
        <is>
          <t>Copy Writer</t>
        </is>
      </c>
      <c r="I254" s="30" t="inlineStr"/>
      <c r="J254" s="30" t="inlineStr">
        <is>
          <t>To Do</t>
        </is>
      </c>
      <c r="K254" s="31" t="inlineStr">
        <is>
          <t>https://africanmarketingconfederation.org/smoke-archive/page-42</t>
        </is>
      </c>
      <c r="L254" s="30" t="inlineStr">
        <is>
          <t>IssueInventory</t>
        </is>
      </c>
      <c r="M254" s="30" t="n">
        <v>202</v>
      </c>
      <c r="N254" s="30" t="inlineStr">
        <is>
          <t>2026-07-01 20:54:35</t>
        </is>
      </c>
      <c r="O254" s="30" t="n">
        <v>0</v>
      </c>
      <c r="P254" s="30" t="inlineStr"/>
      <c r="Q254" s="30" t="inlineStr"/>
      <c r="R254" s="38">
        <f>IFERROR(HYPERLINK("#'Main'!B"&amp;MATCH(TRIM(A254),'Main'!B:B,0),"Open"),HYPERLINK("#'Main'!B1","Open"))</f>
        <v/>
      </c>
      <c r="S254" s="38">
        <f>IFERROR(HYPERLINK("#'"&amp;SUBSTITUTE(F254,"'","''")&amp;"'!A"&amp;MATCH(A254,INDIRECT("'"&amp;SUBSTITUTE(F254,"'","''")&amp;"'!A:A"),0),"Open"),HYPERLINK("#'"&amp;SUBSTITUTE(F254,"'","''")&amp;"'!A1","Open"))</f>
        <v/>
      </c>
    </row>
    <row r="255" ht="18" customHeight="1">
      <c r="A255" s="35" t="inlineStr">
        <is>
          <t>https://africanmarketingconfederation.org/smoke-archive/page-42</t>
        </is>
      </c>
      <c r="B255" s="28" t="inlineStr">
        <is>
          <t>Issue Inventory</t>
        </is>
      </c>
      <c r="C255" s="79" t="inlineStr">
        <is>
          <t>Lab TBT 150ms–300ms (Mobile)</t>
        </is>
      </c>
      <c r="D255" s="28" t="inlineStr">
        <is>
          <t>Observation</t>
        </is>
      </c>
      <c r="E255" s="20" t="n">
        <v>1</v>
      </c>
      <c r="F255" s="39" t="inlineStr">
        <is>
          <t>Technical Diagnostics</t>
        </is>
      </c>
      <c r="G255" s="28" t="inlineStr">
        <is>
          <t>https://africanmarketingconfederation.org/smoke-archive/page-42::lab_tbt_150ms_300ms_mobile_</t>
        </is>
      </c>
      <c r="H255" s="28" t="inlineStr">
        <is>
          <t>Dev</t>
        </is>
      </c>
      <c r="I255" s="28" t="inlineStr"/>
      <c r="J255" s="28" t="inlineStr">
        <is>
          <t>To Do</t>
        </is>
      </c>
      <c r="K255" s="20" t="inlineStr">
        <is>
          <t>https://africanmarketingconfederation.org/smoke-archive/page-42</t>
        </is>
      </c>
      <c r="L255" s="28" t="inlineStr">
        <is>
          <t>IssueInventory</t>
        </is>
      </c>
      <c r="M255" s="28" t="n">
        <v>203</v>
      </c>
      <c r="N255" s="28" t="inlineStr">
        <is>
          <t>2026-07-01 20:54:35</t>
        </is>
      </c>
      <c r="O255" s="28" t="n">
        <v>0</v>
      </c>
      <c r="P255" s="28" t="inlineStr"/>
      <c r="Q255" s="28" t="inlineStr"/>
      <c r="R255">
        <f>IFERROR(HYPERLINK("#'Main'!B"&amp;MATCH(TRIM(A255),'Main'!B:B,0),"Open"),HYPERLINK("#'Main'!B1","Open"))</f>
        <v/>
      </c>
      <c r="S255">
        <f>IFERROR(HYPERLINK("#'"&amp;SUBSTITUTE(F255,"'","''")&amp;"'!A"&amp;MATCH(A255,INDIRECT("'"&amp;SUBSTITUTE(F255,"'","''")&amp;"'!A:A"),0),"Open"),HYPERLINK("#'"&amp;SUBSTITUTE(F255,"'","''")&amp;"'!A1","Open"))</f>
        <v/>
      </c>
    </row>
    <row r="256" ht="18" customHeight="1">
      <c r="A256" s="37" t="inlineStr">
        <is>
          <t>https://africanmarketingconfederation.org/smoke-archive/page-42</t>
        </is>
      </c>
      <c r="B256" s="30" t="inlineStr">
        <is>
          <t>Issue Inventory</t>
        </is>
      </c>
      <c r="C256" s="80" t="inlineStr">
        <is>
          <t>Moderate Lighthouse Performance Mobile (50–89)</t>
        </is>
      </c>
      <c r="D256" s="30" t="inlineStr">
        <is>
          <t>Observation</t>
        </is>
      </c>
      <c r="E256" s="31" t="n">
        <v>1</v>
      </c>
      <c r="F256" s="41" t="inlineStr">
        <is>
          <t>Technical Diagnostics</t>
        </is>
      </c>
      <c r="G256" s="30" t="inlineStr">
        <is>
          <t>https://africanmarketingconfederation.org/smoke-archive/page-42::moderate_lighthouse_performance_mobile_50_89_</t>
        </is>
      </c>
      <c r="H256" s="30" t="inlineStr">
        <is>
          <t>Dev</t>
        </is>
      </c>
      <c r="I256" s="30" t="inlineStr"/>
      <c r="J256" s="30" t="inlineStr">
        <is>
          <t>To Do</t>
        </is>
      </c>
      <c r="K256" s="31" t="inlineStr">
        <is>
          <t>https://africanmarketingconfederation.org/smoke-archive/page-42</t>
        </is>
      </c>
      <c r="L256" s="30" t="inlineStr">
        <is>
          <t>IssueInventory</t>
        </is>
      </c>
      <c r="M256" s="30" t="n">
        <v>204</v>
      </c>
      <c r="N256" s="30" t="inlineStr">
        <is>
          <t>2026-07-01 20:54:35</t>
        </is>
      </c>
      <c r="O256" s="30" t="n">
        <v>0</v>
      </c>
      <c r="P256" s="30" t="inlineStr"/>
      <c r="Q256" s="30" t="inlineStr"/>
      <c r="R256" s="38">
        <f>IFERROR(HYPERLINK("#'Main'!B"&amp;MATCH(TRIM(A256),'Main'!B:B,0),"Open"),HYPERLINK("#'Main'!B1","Open"))</f>
        <v/>
      </c>
      <c r="S256" s="38">
        <f>IFERROR(HYPERLINK("#'"&amp;SUBSTITUTE(F256,"'","''")&amp;"'!A"&amp;MATCH(A256,INDIRECT("'"&amp;SUBSTITUTE(F256,"'","''")&amp;"'!A:A"),0),"Open"),HYPERLINK("#'"&amp;SUBSTITUTE(F256,"'","''")&amp;"'!A1","Open"))</f>
        <v/>
      </c>
    </row>
    <row r="257" ht="18" customHeight="1">
      <c r="A257" s="35" t="inlineStr">
        <is>
          <t>https://africanmarketingconfederation.org/smoke-archive/page-42</t>
        </is>
      </c>
      <c r="B257" s="28" t="inlineStr">
        <is>
          <t>Issue Inventory</t>
        </is>
      </c>
      <c r="C257" s="79" t="inlineStr">
        <is>
          <t>Render Blocking Resources</t>
        </is>
      </c>
      <c r="D257" s="28" t="inlineStr">
        <is>
          <t>Observation</t>
        </is>
      </c>
      <c r="E257" s="20" t="n">
        <v>1</v>
      </c>
      <c r="F257" s="39" t="inlineStr">
        <is>
          <t>Technical Diagnostics</t>
        </is>
      </c>
      <c r="G257" s="28" t="inlineStr">
        <is>
          <t>https://africanmarketingconfederation.org/smoke-archive/page-42::render_blocking_resources</t>
        </is>
      </c>
      <c r="H257" s="28" t="inlineStr">
        <is>
          <t>Dev</t>
        </is>
      </c>
      <c r="I257" s="28" t="inlineStr"/>
      <c r="J257" s="28" t="inlineStr">
        <is>
          <t>To Do</t>
        </is>
      </c>
      <c r="K257" s="20" t="inlineStr">
        <is>
          <t>https://africanmarketingconfederation.org/smoke-archive/page-42</t>
        </is>
      </c>
      <c r="L257" s="28" t="inlineStr">
        <is>
          <t>IssueInventory</t>
        </is>
      </c>
      <c r="M257" s="28" t="n">
        <v>205</v>
      </c>
      <c r="N257" s="28" t="inlineStr">
        <is>
          <t>2026-07-01 20:54:35</t>
        </is>
      </c>
      <c r="O257" s="28" t="n">
        <v>0</v>
      </c>
      <c r="P257" s="28" t="inlineStr"/>
      <c r="Q257" s="28" t="inlineStr"/>
      <c r="R257">
        <f>IFERROR(HYPERLINK("#'Main'!B"&amp;MATCH(TRIM(A257),'Main'!B:B,0),"Open"),HYPERLINK("#'Main'!B1","Open"))</f>
        <v/>
      </c>
      <c r="S257">
        <f>IFERROR(HYPERLINK("#'"&amp;SUBSTITUTE(F257,"'","''")&amp;"'!A"&amp;MATCH(A257,INDIRECT("'"&amp;SUBSTITUTE(F257,"'","''")&amp;"'!A:A"),0),"Open"),HYPERLINK("#'"&amp;SUBSTITUTE(F257,"'","''")&amp;"'!A1","Open"))</f>
        <v/>
      </c>
    </row>
    <row r="258" ht="18" customHeight="1">
      <c r="A258" s="37" t="inlineStr">
        <is>
          <t>https://africanmarketingconfederation.org/smoke-archive/page-43</t>
        </is>
      </c>
      <c r="B258" s="30" t="inlineStr">
        <is>
          <t>Issue Inventory</t>
        </is>
      </c>
      <c r="C258" s="80" t="inlineStr">
        <is>
          <t>Missing OG Image</t>
        </is>
      </c>
      <c r="D258" s="30" t="inlineStr">
        <is>
          <t>Warning</t>
        </is>
      </c>
      <c r="E258" s="31" t="n">
        <v>1</v>
      </c>
      <c r="F258" s="41" t="inlineStr">
        <is>
          <t>Technical Diagnostics</t>
        </is>
      </c>
      <c r="G258" s="30" t="inlineStr">
        <is>
          <t>https://africanmarketingconfederation.org/smoke-archive/page-43::missing_og_image</t>
        </is>
      </c>
      <c r="H258" s="30" t="inlineStr">
        <is>
          <t>Copy Writer</t>
        </is>
      </c>
      <c r="I258" s="30" t="inlineStr"/>
      <c r="J258" s="30" t="inlineStr">
        <is>
          <t>To Do</t>
        </is>
      </c>
      <c r="K258" s="31" t="inlineStr">
        <is>
          <t>https://africanmarketingconfederation.org/smoke-archive/page-43</t>
        </is>
      </c>
      <c r="L258" s="30" t="inlineStr">
        <is>
          <t>IssueInventory</t>
        </is>
      </c>
      <c r="M258" s="30" t="n">
        <v>206</v>
      </c>
      <c r="N258" s="30" t="inlineStr">
        <is>
          <t>2026-07-01 20:54:35</t>
        </is>
      </c>
      <c r="O258" s="30" t="n">
        <v>0</v>
      </c>
      <c r="P258" s="30" t="inlineStr"/>
      <c r="Q258" s="30" t="inlineStr"/>
      <c r="R258" s="38">
        <f>IFERROR(HYPERLINK("#'Main'!B"&amp;MATCH(TRIM(A258),'Main'!B:B,0),"Open"),HYPERLINK("#'Main'!B1","Open"))</f>
        <v/>
      </c>
      <c r="S258" s="38">
        <f>IFERROR(HYPERLINK("#'"&amp;SUBSTITUTE(F258,"'","''")&amp;"'!A"&amp;MATCH(A258,INDIRECT("'"&amp;SUBSTITUTE(F258,"'","''")&amp;"'!A:A"),0),"Open"),HYPERLINK("#'"&amp;SUBSTITUTE(F258,"'","''")&amp;"'!A1","Open"))</f>
        <v/>
      </c>
    </row>
    <row r="259" ht="18" customHeight="1">
      <c r="A259" s="35" t="inlineStr">
        <is>
          <t>https://africanmarketingconfederation.org/smoke-archive/page-43</t>
        </is>
      </c>
      <c r="B259" s="28" t="inlineStr">
        <is>
          <t>Issue Inventory</t>
        </is>
      </c>
      <c r="C259" s="79" t="inlineStr">
        <is>
          <t>Lab TBT 150ms–300ms (Mobile)</t>
        </is>
      </c>
      <c r="D259" s="28" t="inlineStr">
        <is>
          <t>Observation</t>
        </is>
      </c>
      <c r="E259" s="20" t="n">
        <v>1</v>
      </c>
      <c r="F259" s="39" t="inlineStr">
        <is>
          <t>Technical Diagnostics</t>
        </is>
      </c>
      <c r="G259" s="28" t="inlineStr">
        <is>
          <t>https://africanmarketingconfederation.org/smoke-archive/page-43::lab_tbt_150ms_300ms_mobile_</t>
        </is>
      </c>
      <c r="H259" s="28" t="inlineStr">
        <is>
          <t>Dev</t>
        </is>
      </c>
      <c r="I259" s="28" t="inlineStr"/>
      <c r="J259" s="28" t="inlineStr">
        <is>
          <t>To Do</t>
        </is>
      </c>
      <c r="K259" s="20" t="inlineStr">
        <is>
          <t>https://africanmarketingconfederation.org/smoke-archive/page-43</t>
        </is>
      </c>
      <c r="L259" s="28" t="inlineStr">
        <is>
          <t>IssueInventory</t>
        </is>
      </c>
      <c r="M259" s="28" t="n">
        <v>207</v>
      </c>
      <c r="N259" s="28" t="inlineStr">
        <is>
          <t>2026-07-01 20:54:35</t>
        </is>
      </c>
      <c r="O259" s="28" t="n">
        <v>0</v>
      </c>
      <c r="P259" s="28" t="inlineStr"/>
      <c r="Q259" s="28" t="inlineStr"/>
      <c r="R259">
        <f>IFERROR(HYPERLINK("#'Main'!B"&amp;MATCH(TRIM(A259),'Main'!B:B,0),"Open"),HYPERLINK("#'Main'!B1","Open"))</f>
        <v/>
      </c>
      <c r="S259">
        <f>IFERROR(HYPERLINK("#'"&amp;SUBSTITUTE(F259,"'","''")&amp;"'!A"&amp;MATCH(A259,INDIRECT("'"&amp;SUBSTITUTE(F259,"'","''")&amp;"'!A:A"),0),"Open"),HYPERLINK("#'"&amp;SUBSTITUTE(F259,"'","''")&amp;"'!A1","Open"))</f>
        <v/>
      </c>
    </row>
    <row r="260" ht="18" customHeight="1">
      <c r="A260" s="37" t="inlineStr">
        <is>
          <t>https://africanmarketingconfederation.org/smoke-archive/page-43</t>
        </is>
      </c>
      <c r="B260" s="30" t="inlineStr">
        <is>
          <t>Issue Inventory</t>
        </is>
      </c>
      <c r="C260" s="80" t="inlineStr">
        <is>
          <t>Moderate Lighthouse Performance Mobile (50–89)</t>
        </is>
      </c>
      <c r="D260" s="30" t="inlineStr">
        <is>
          <t>Observation</t>
        </is>
      </c>
      <c r="E260" s="31" t="n">
        <v>1</v>
      </c>
      <c r="F260" s="41" t="inlineStr">
        <is>
          <t>Technical Diagnostics</t>
        </is>
      </c>
      <c r="G260" s="30" t="inlineStr">
        <is>
          <t>https://africanmarketingconfederation.org/smoke-archive/page-43::moderate_lighthouse_performance_mobile_50_89_</t>
        </is>
      </c>
      <c r="H260" s="30" t="inlineStr">
        <is>
          <t>Dev</t>
        </is>
      </c>
      <c r="I260" s="30" t="inlineStr"/>
      <c r="J260" s="30" t="inlineStr">
        <is>
          <t>To Do</t>
        </is>
      </c>
      <c r="K260" s="31" t="inlineStr">
        <is>
          <t>https://africanmarketingconfederation.org/smoke-archive/page-43</t>
        </is>
      </c>
      <c r="L260" s="30" t="inlineStr">
        <is>
          <t>IssueInventory</t>
        </is>
      </c>
      <c r="M260" s="30" t="n">
        <v>208</v>
      </c>
      <c r="N260" s="30" t="inlineStr">
        <is>
          <t>2026-07-01 20:54:35</t>
        </is>
      </c>
      <c r="O260" s="30" t="n">
        <v>0</v>
      </c>
      <c r="P260" s="30" t="inlineStr"/>
      <c r="Q260" s="30" t="inlineStr"/>
      <c r="R260" s="38">
        <f>IFERROR(HYPERLINK("#'Main'!B"&amp;MATCH(TRIM(A260),'Main'!B:B,0),"Open"),HYPERLINK("#'Main'!B1","Open"))</f>
        <v/>
      </c>
      <c r="S260" s="38">
        <f>IFERROR(HYPERLINK("#'"&amp;SUBSTITUTE(F260,"'","''")&amp;"'!A"&amp;MATCH(A260,INDIRECT("'"&amp;SUBSTITUTE(F260,"'","''")&amp;"'!A:A"),0),"Open"),HYPERLINK("#'"&amp;SUBSTITUTE(F260,"'","''")&amp;"'!A1","Open"))</f>
        <v/>
      </c>
    </row>
    <row r="261" ht="18" customHeight="1">
      <c r="A261" s="35" t="inlineStr">
        <is>
          <t>https://africanmarketingconfederation.org/smoke-archive/page-43</t>
        </is>
      </c>
      <c r="B261" s="28" t="inlineStr">
        <is>
          <t>Issue Inventory</t>
        </is>
      </c>
      <c r="C261" s="79" t="inlineStr">
        <is>
          <t>Render Blocking Resources</t>
        </is>
      </c>
      <c r="D261" s="28" t="inlineStr">
        <is>
          <t>Observation</t>
        </is>
      </c>
      <c r="E261" s="20" t="n">
        <v>1</v>
      </c>
      <c r="F261" s="39" t="inlineStr">
        <is>
          <t>Technical Diagnostics</t>
        </is>
      </c>
      <c r="G261" s="28" t="inlineStr">
        <is>
          <t>https://africanmarketingconfederation.org/smoke-archive/page-43::render_blocking_resources</t>
        </is>
      </c>
      <c r="H261" s="28" t="inlineStr">
        <is>
          <t>Dev</t>
        </is>
      </c>
      <c r="I261" s="28" t="inlineStr"/>
      <c r="J261" s="28" t="inlineStr">
        <is>
          <t>To Do</t>
        </is>
      </c>
      <c r="K261" s="20" t="inlineStr">
        <is>
          <t>https://africanmarketingconfederation.org/smoke-archive/page-43</t>
        </is>
      </c>
      <c r="L261" s="28" t="inlineStr">
        <is>
          <t>IssueInventory</t>
        </is>
      </c>
      <c r="M261" s="28" t="n">
        <v>209</v>
      </c>
      <c r="N261" s="28" t="inlineStr">
        <is>
          <t>2026-07-01 20:54:35</t>
        </is>
      </c>
      <c r="O261" s="28" t="n">
        <v>0</v>
      </c>
      <c r="P261" s="28" t="inlineStr"/>
      <c r="Q261" s="28" t="inlineStr"/>
      <c r="R261">
        <f>IFERROR(HYPERLINK("#'Main'!B"&amp;MATCH(TRIM(A261),'Main'!B:B,0),"Open"),HYPERLINK("#'Main'!B1","Open"))</f>
        <v/>
      </c>
      <c r="S261">
        <f>IFERROR(HYPERLINK("#'"&amp;SUBSTITUTE(F261,"'","''")&amp;"'!A"&amp;MATCH(A261,INDIRECT("'"&amp;SUBSTITUTE(F261,"'","''")&amp;"'!A:A"),0),"Open"),HYPERLINK("#'"&amp;SUBSTITUTE(F261,"'","''")&amp;"'!A1","Open"))</f>
        <v/>
      </c>
    </row>
    <row r="262" ht="18" customHeight="1">
      <c r="A262" s="37" t="inlineStr">
        <is>
          <t>https://africanmarketingconfederation.org/smoke-archive/page-44</t>
        </is>
      </c>
      <c r="B262" s="30" t="inlineStr">
        <is>
          <t>Issue Inventory</t>
        </is>
      </c>
      <c r="C262" s="80" t="inlineStr">
        <is>
          <t>Lab TBT 150ms–300ms (Mobile)</t>
        </is>
      </c>
      <c r="D262" s="30" t="inlineStr">
        <is>
          <t>Observation</t>
        </is>
      </c>
      <c r="E262" s="31" t="n">
        <v>1</v>
      </c>
      <c r="F262" s="41" t="inlineStr">
        <is>
          <t>Technical Diagnostics</t>
        </is>
      </c>
      <c r="G262" s="30" t="inlineStr">
        <is>
          <t>https://africanmarketingconfederation.org/smoke-archive/page-44::lab_tbt_150ms_300ms_mobile_</t>
        </is>
      </c>
      <c r="H262" s="30" t="inlineStr">
        <is>
          <t>Dev</t>
        </is>
      </c>
      <c r="I262" s="30" t="inlineStr"/>
      <c r="J262" s="30" t="inlineStr">
        <is>
          <t>To Do</t>
        </is>
      </c>
      <c r="K262" s="31" t="inlineStr">
        <is>
          <t>https://africanmarketingconfederation.org/smoke-archive/page-44</t>
        </is>
      </c>
      <c r="L262" s="30" t="inlineStr">
        <is>
          <t>IssueInventory</t>
        </is>
      </c>
      <c r="M262" s="30" t="n">
        <v>210</v>
      </c>
      <c r="N262" s="30" t="inlineStr">
        <is>
          <t>2026-07-01 20:54:35</t>
        </is>
      </c>
      <c r="O262" s="30" t="n">
        <v>0</v>
      </c>
      <c r="P262" s="30" t="inlineStr"/>
      <c r="Q262" s="30" t="inlineStr"/>
      <c r="R262" s="38">
        <f>IFERROR(HYPERLINK("#'Main'!B"&amp;MATCH(TRIM(A262),'Main'!B:B,0),"Open"),HYPERLINK("#'Main'!B1","Open"))</f>
        <v/>
      </c>
      <c r="S262" s="38">
        <f>IFERROR(HYPERLINK("#'"&amp;SUBSTITUTE(F262,"'","''")&amp;"'!A"&amp;MATCH(A262,INDIRECT("'"&amp;SUBSTITUTE(F262,"'","''")&amp;"'!A:A"),0),"Open"),HYPERLINK("#'"&amp;SUBSTITUTE(F262,"'","''")&amp;"'!A1","Open"))</f>
        <v/>
      </c>
    </row>
    <row r="263" ht="18" customHeight="1">
      <c r="A263" s="35" t="inlineStr">
        <is>
          <t>https://africanmarketingconfederation.org/smoke-archive/page-44</t>
        </is>
      </c>
      <c r="B263" s="28" t="inlineStr">
        <is>
          <t>Issue Inventory</t>
        </is>
      </c>
      <c r="C263" s="79" t="inlineStr">
        <is>
          <t>Moderate Lighthouse Performance Mobile (50–89)</t>
        </is>
      </c>
      <c r="D263" s="28" t="inlineStr">
        <is>
          <t>Observation</t>
        </is>
      </c>
      <c r="E263" s="20" t="n">
        <v>1</v>
      </c>
      <c r="F263" s="39" t="inlineStr">
        <is>
          <t>Technical Diagnostics</t>
        </is>
      </c>
      <c r="G263" s="28" t="inlineStr">
        <is>
          <t>https://africanmarketingconfederation.org/smoke-archive/page-44::moderate_lighthouse_performance_mobile_50_89_</t>
        </is>
      </c>
      <c r="H263" s="28" t="inlineStr">
        <is>
          <t>Dev</t>
        </is>
      </c>
      <c r="I263" s="28" t="inlineStr"/>
      <c r="J263" s="28" t="inlineStr">
        <is>
          <t>To Do</t>
        </is>
      </c>
      <c r="K263" s="20" t="inlineStr">
        <is>
          <t>https://africanmarketingconfederation.org/smoke-archive/page-44</t>
        </is>
      </c>
      <c r="L263" s="28" t="inlineStr">
        <is>
          <t>IssueInventory</t>
        </is>
      </c>
      <c r="M263" s="28" t="n">
        <v>211</v>
      </c>
      <c r="N263" s="28" t="inlineStr">
        <is>
          <t>2026-07-01 20:54:35</t>
        </is>
      </c>
      <c r="O263" s="28" t="n">
        <v>0</v>
      </c>
      <c r="P263" s="28" t="inlineStr"/>
      <c r="Q263" s="28" t="inlineStr"/>
      <c r="R263">
        <f>IFERROR(HYPERLINK("#'Main'!B"&amp;MATCH(TRIM(A263),'Main'!B:B,0),"Open"),HYPERLINK("#'Main'!B1","Open"))</f>
        <v/>
      </c>
      <c r="S263">
        <f>IFERROR(HYPERLINK("#'"&amp;SUBSTITUTE(F263,"'","''")&amp;"'!A"&amp;MATCH(A263,INDIRECT("'"&amp;SUBSTITUTE(F263,"'","''")&amp;"'!A:A"),0),"Open"),HYPERLINK("#'"&amp;SUBSTITUTE(F263,"'","''")&amp;"'!A1","Open"))</f>
        <v/>
      </c>
    </row>
    <row r="264" ht="18" customHeight="1">
      <c r="A264" s="37" t="inlineStr">
        <is>
          <t>https://africanmarketingconfederation.org/smoke-archive/page-44</t>
        </is>
      </c>
      <c r="B264" s="30" t="inlineStr">
        <is>
          <t>Issue Inventory</t>
        </is>
      </c>
      <c r="C264" s="80" t="inlineStr">
        <is>
          <t>Render Blocking Resources</t>
        </is>
      </c>
      <c r="D264" s="30" t="inlineStr">
        <is>
          <t>Observation</t>
        </is>
      </c>
      <c r="E264" s="31" t="n">
        <v>1</v>
      </c>
      <c r="F264" s="41" t="inlineStr">
        <is>
          <t>Technical Diagnostics</t>
        </is>
      </c>
      <c r="G264" s="30" t="inlineStr">
        <is>
          <t>https://africanmarketingconfederation.org/smoke-archive/page-44::render_blocking_resources</t>
        </is>
      </c>
      <c r="H264" s="30" t="inlineStr">
        <is>
          <t>Dev</t>
        </is>
      </c>
      <c r="I264" s="30" t="inlineStr"/>
      <c r="J264" s="30" t="inlineStr">
        <is>
          <t>To Do</t>
        </is>
      </c>
      <c r="K264" s="31" t="inlineStr">
        <is>
          <t>https://africanmarketingconfederation.org/smoke-archive/page-44</t>
        </is>
      </c>
      <c r="L264" s="30" t="inlineStr">
        <is>
          <t>IssueInventory</t>
        </is>
      </c>
      <c r="M264" s="30" t="n">
        <v>212</v>
      </c>
      <c r="N264" s="30" t="inlineStr">
        <is>
          <t>2026-07-01 20:54:35</t>
        </is>
      </c>
      <c r="O264" s="30" t="n">
        <v>0</v>
      </c>
      <c r="P264" s="30" t="inlineStr"/>
      <c r="Q264" s="30" t="inlineStr"/>
      <c r="R264" s="38">
        <f>IFERROR(HYPERLINK("#'Main'!B"&amp;MATCH(TRIM(A264),'Main'!B:B,0),"Open"),HYPERLINK("#'Main'!B1","Open"))</f>
        <v/>
      </c>
      <c r="S264" s="38">
        <f>IFERROR(HYPERLINK("#'"&amp;SUBSTITUTE(F264,"'","''")&amp;"'!A"&amp;MATCH(A264,INDIRECT("'"&amp;SUBSTITUTE(F264,"'","''")&amp;"'!A:A"),0),"Open"),HYPERLINK("#'"&amp;SUBSTITUTE(F264,"'","''")&amp;"'!A1","Open"))</f>
        <v/>
      </c>
    </row>
    <row r="265" ht="18" customHeight="1">
      <c r="A265" s="35" t="inlineStr">
        <is>
          <t>https://africanmarketingconfederation.org/smoke-archive/page-45</t>
        </is>
      </c>
      <c r="B265" s="28" t="inlineStr">
        <is>
          <t>Issue Inventory</t>
        </is>
      </c>
      <c r="C265" s="79" t="inlineStr">
        <is>
          <t>Missing Meta Description</t>
        </is>
      </c>
      <c r="D265" s="28" t="inlineStr">
        <is>
          <t>Warning</t>
        </is>
      </c>
      <c r="E265" s="20" t="n">
        <v>1</v>
      </c>
      <c r="F265" s="39" t="inlineStr">
        <is>
          <t>Technical Diagnostics</t>
        </is>
      </c>
      <c r="G265" s="28" t="inlineStr">
        <is>
          <t>https://africanmarketingconfederation.org/smoke-archive/page-45::missing_meta_description</t>
        </is>
      </c>
      <c r="H265" s="28" t="inlineStr">
        <is>
          <t>Copy Writer</t>
        </is>
      </c>
      <c r="I265" s="28" t="inlineStr"/>
      <c r="J265" s="28" t="inlineStr">
        <is>
          <t>To Do</t>
        </is>
      </c>
      <c r="K265" s="20" t="inlineStr">
        <is>
          <t>https://africanmarketingconfederation.org/smoke-archive/page-45</t>
        </is>
      </c>
      <c r="L265" s="28" t="inlineStr">
        <is>
          <t>IssueInventory</t>
        </is>
      </c>
      <c r="M265" s="28" t="n">
        <v>213</v>
      </c>
      <c r="N265" s="28" t="inlineStr">
        <is>
          <t>2026-07-01 20:54:35</t>
        </is>
      </c>
      <c r="O265" s="28" t="n">
        <v>0</v>
      </c>
      <c r="P265" s="28" t="inlineStr"/>
      <c r="Q265" s="28" t="inlineStr"/>
      <c r="R265">
        <f>IFERROR(HYPERLINK("#'Main'!B"&amp;MATCH(TRIM(A265),'Main'!B:B,0),"Open"),HYPERLINK("#'Main'!B1","Open"))</f>
        <v/>
      </c>
      <c r="S265">
        <f>IFERROR(HYPERLINK("#'"&amp;SUBSTITUTE(F265,"'","''")&amp;"'!A"&amp;MATCH(A265,INDIRECT("'"&amp;SUBSTITUTE(F265,"'","''")&amp;"'!A:A"),0),"Open"),HYPERLINK("#'"&amp;SUBSTITUTE(F265,"'","''")&amp;"'!A1","Open"))</f>
        <v/>
      </c>
    </row>
    <row r="266" ht="18" customHeight="1">
      <c r="A266" s="37" t="inlineStr">
        <is>
          <t>https://africanmarketingconfederation.org/smoke-archive/page-45</t>
        </is>
      </c>
      <c r="B266" s="30" t="inlineStr">
        <is>
          <t>Issue Inventory</t>
        </is>
      </c>
      <c r="C266" s="80" t="inlineStr">
        <is>
          <t>Missing OG Description</t>
        </is>
      </c>
      <c r="D266" s="30" t="inlineStr">
        <is>
          <t>Warning</t>
        </is>
      </c>
      <c r="E266" s="31" t="n">
        <v>1</v>
      </c>
      <c r="F266" s="41" t="inlineStr">
        <is>
          <t>Technical Diagnostics</t>
        </is>
      </c>
      <c r="G266" s="30" t="inlineStr">
        <is>
          <t>https://africanmarketingconfederation.org/smoke-archive/page-45::missing_og_description</t>
        </is>
      </c>
      <c r="H266" s="30" t="inlineStr">
        <is>
          <t>Copy Writer</t>
        </is>
      </c>
      <c r="I266" s="30" t="inlineStr"/>
      <c r="J266" s="30" t="inlineStr">
        <is>
          <t>To Do</t>
        </is>
      </c>
      <c r="K266" s="31" t="inlineStr">
        <is>
          <t>https://africanmarketingconfederation.org/smoke-archive/page-45</t>
        </is>
      </c>
      <c r="L266" s="30" t="inlineStr">
        <is>
          <t>IssueInventory</t>
        </is>
      </c>
      <c r="M266" s="30" t="n">
        <v>214</v>
      </c>
      <c r="N266" s="30" t="inlineStr">
        <is>
          <t>2026-07-01 20:54:35</t>
        </is>
      </c>
      <c r="O266" s="30" t="n">
        <v>0</v>
      </c>
      <c r="P266" s="30" t="inlineStr"/>
      <c r="Q266" s="30" t="inlineStr"/>
      <c r="R266" s="38">
        <f>IFERROR(HYPERLINK("#'Main'!B"&amp;MATCH(TRIM(A266),'Main'!B:B,0),"Open"),HYPERLINK("#'Main'!B1","Open"))</f>
        <v/>
      </c>
      <c r="S266" s="38">
        <f>IFERROR(HYPERLINK("#'"&amp;SUBSTITUTE(F266,"'","''")&amp;"'!A"&amp;MATCH(A266,INDIRECT("'"&amp;SUBSTITUTE(F266,"'","''")&amp;"'!A:A"),0),"Open"),HYPERLINK("#'"&amp;SUBSTITUTE(F266,"'","''")&amp;"'!A1","Open"))</f>
        <v/>
      </c>
    </row>
    <row r="267" ht="18" customHeight="1">
      <c r="A267" s="35" t="inlineStr">
        <is>
          <t>https://africanmarketingconfederation.org/smoke-archive/page-45</t>
        </is>
      </c>
      <c r="B267" s="28" t="inlineStr">
        <is>
          <t>Issue Inventory</t>
        </is>
      </c>
      <c r="C267" s="79" t="inlineStr">
        <is>
          <t>Missing OG Image</t>
        </is>
      </c>
      <c r="D267" s="28" t="inlineStr">
        <is>
          <t>Warning</t>
        </is>
      </c>
      <c r="E267" s="20" t="n">
        <v>1</v>
      </c>
      <c r="F267" s="39" t="inlineStr">
        <is>
          <t>Technical Diagnostics</t>
        </is>
      </c>
      <c r="G267" s="28" t="inlineStr">
        <is>
          <t>https://africanmarketingconfederation.org/smoke-archive/page-45::missing_og_image</t>
        </is>
      </c>
      <c r="H267" s="28" t="inlineStr">
        <is>
          <t>Copy Writer</t>
        </is>
      </c>
      <c r="I267" s="28" t="inlineStr"/>
      <c r="J267" s="28" t="inlineStr">
        <is>
          <t>To Do</t>
        </is>
      </c>
      <c r="K267" s="20" t="inlineStr">
        <is>
          <t>https://africanmarketingconfederation.org/smoke-archive/page-45</t>
        </is>
      </c>
      <c r="L267" s="28" t="inlineStr">
        <is>
          <t>IssueInventory</t>
        </is>
      </c>
      <c r="M267" s="28" t="n">
        <v>215</v>
      </c>
      <c r="N267" s="28" t="inlineStr">
        <is>
          <t>2026-07-01 20:54:35</t>
        </is>
      </c>
      <c r="O267" s="28" t="n">
        <v>0</v>
      </c>
      <c r="P267" s="28" t="inlineStr"/>
      <c r="Q267" s="28" t="inlineStr"/>
      <c r="R267">
        <f>IFERROR(HYPERLINK("#'Main'!B"&amp;MATCH(TRIM(A267),'Main'!B:B,0),"Open"),HYPERLINK("#'Main'!B1","Open"))</f>
        <v/>
      </c>
      <c r="S267">
        <f>IFERROR(HYPERLINK("#'"&amp;SUBSTITUTE(F267,"'","''")&amp;"'!A"&amp;MATCH(A267,INDIRECT("'"&amp;SUBSTITUTE(F267,"'","''")&amp;"'!A:A"),0),"Open"),HYPERLINK("#'"&amp;SUBSTITUTE(F267,"'","''")&amp;"'!A1","Open"))</f>
        <v/>
      </c>
    </row>
    <row r="268" ht="18" customHeight="1">
      <c r="A268" s="37" t="inlineStr">
        <is>
          <t>https://africanmarketingconfederation.org/smoke-archive/page-45</t>
        </is>
      </c>
      <c r="B268" s="30" t="inlineStr">
        <is>
          <t>Issue Inventory</t>
        </is>
      </c>
      <c r="C268" s="80" t="inlineStr">
        <is>
          <t>Low AEO Readiness Score</t>
        </is>
      </c>
      <c r="D268" s="30" t="inlineStr">
        <is>
          <t>Warning</t>
        </is>
      </c>
      <c r="E268" s="31" t="n">
        <v>1</v>
      </c>
      <c r="F268" s="41" t="inlineStr">
        <is>
          <t>Content &amp; AI Readiness</t>
        </is>
      </c>
      <c r="G268" s="30" t="inlineStr">
        <is>
          <t>https://africanmarketingconfederation.org/smoke-archive/page-45::low_aeo_readiness_score</t>
        </is>
      </c>
      <c r="H268" s="30" t="inlineStr">
        <is>
          <t>Copy Writer</t>
        </is>
      </c>
      <c r="I268" s="30" t="inlineStr"/>
      <c r="J268" s="30" t="inlineStr">
        <is>
          <t>To Do</t>
        </is>
      </c>
      <c r="K268" s="31" t="inlineStr">
        <is>
          <t>https://africanmarketingconfederation.org/smoke-archive/page-45</t>
        </is>
      </c>
      <c r="L268" s="30" t="inlineStr">
        <is>
          <t>IssueInventory</t>
        </is>
      </c>
      <c r="M268" s="30" t="n">
        <v>216</v>
      </c>
      <c r="N268" s="30" t="inlineStr">
        <is>
          <t>2026-07-01 20:54:35</t>
        </is>
      </c>
      <c r="O268" s="30" t="n">
        <v>0</v>
      </c>
      <c r="P268" s="30" t="inlineStr"/>
      <c r="Q268" s="30" t="inlineStr"/>
      <c r="R268" s="38">
        <f>IFERROR(HYPERLINK("#'Main'!B"&amp;MATCH(TRIM(A268),'Main'!B:B,0),"Open"),HYPERLINK("#'Main'!B1","Open"))</f>
        <v/>
      </c>
      <c r="S268" s="38">
        <f>IFERROR(HYPERLINK("#'"&amp;SUBSTITUTE(F268,"'","''")&amp;"'!A"&amp;MATCH(A268,INDIRECT("'"&amp;SUBSTITUTE(F268,"'","''")&amp;"'!A:A"),0),"Open"),HYPERLINK("#'"&amp;SUBSTITUTE(F268,"'","''")&amp;"'!A1","Open"))</f>
        <v/>
      </c>
    </row>
    <row r="269" ht="18" customHeight="1">
      <c r="A269" s="35" t="inlineStr">
        <is>
          <t>https://africanmarketingconfederation.org/smoke-archive/page-45</t>
        </is>
      </c>
      <c r="B269" s="28" t="inlineStr">
        <is>
          <t>Issue Inventory</t>
        </is>
      </c>
      <c r="C269" s="79" t="inlineStr">
        <is>
          <t>No Question Headings</t>
        </is>
      </c>
      <c r="D269" s="28" t="inlineStr">
        <is>
          <t>Observation</t>
        </is>
      </c>
      <c r="E269" s="20" t="n">
        <v>1</v>
      </c>
      <c r="F269" s="39" t="inlineStr">
        <is>
          <t>Content &amp; AI Readiness</t>
        </is>
      </c>
      <c r="G269" s="28" t="inlineStr">
        <is>
          <t>https://africanmarketingconfederation.org/smoke-archive/page-45::no_question_headings</t>
        </is>
      </c>
      <c r="H269" s="28" t="inlineStr">
        <is>
          <t>Copy Writer</t>
        </is>
      </c>
      <c r="I269" s="28" t="inlineStr"/>
      <c r="J269" s="28" t="inlineStr">
        <is>
          <t>To Do</t>
        </is>
      </c>
      <c r="K269" s="20" t="inlineStr">
        <is>
          <t>https://africanmarketingconfederation.org/smoke-archive/page-45</t>
        </is>
      </c>
      <c r="L269" s="28" t="inlineStr">
        <is>
          <t>IssueInventory</t>
        </is>
      </c>
      <c r="M269" s="28" t="n">
        <v>217</v>
      </c>
      <c r="N269" s="28" t="inlineStr">
        <is>
          <t>2026-07-01 20:54:35</t>
        </is>
      </c>
      <c r="O269" s="28" t="n">
        <v>0</v>
      </c>
      <c r="P269" s="28" t="inlineStr"/>
      <c r="Q269" s="28" t="inlineStr"/>
      <c r="R269">
        <f>IFERROR(HYPERLINK("#'Main'!B"&amp;MATCH(TRIM(A269),'Main'!B:B,0),"Open"),HYPERLINK("#'Main'!B1","Open"))</f>
        <v/>
      </c>
      <c r="S269">
        <f>IFERROR(HYPERLINK("#'"&amp;SUBSTITUTE(F269,"'","''")&amp;"'!A"&amp;MATCH(A269,INDIRECT("'"&amp;SUBSTITUTE(F269,"'","''")&amp;"'!A:A"),0),"Open"),HYPERLINK("#'"&amp;SUBSTITUTE(F269,"'","''")&amp;"'!A1","Open"))</f>
        <v/>
      </c>
    </row>
    <row r="270" ht="18" customHeight="1">
      <c r="A270" s="37" t="inlineStr">
        <is>
          <t>https://africanmarketingconfederation.org/smoke-archive/page-45</t>
        </is>
      </c>
      <c r="B270" s="30" t="inlineStr">
        <is>
          <t>Issue Inventory</t>
        </is>
      </c>
      <c r="C270" s="80" t="inlineStr">
        <is>
          <t>No Answer-Friendly Structure</t>
        </is>
      </c>
      <c r="D270" s="30" t="inlineStr">
        <is>
          <t>Observation</t>
        </is>
      </c>
      <c r="E270" s="31" t="n">
        <v>1</v>
      </c>
      <c r="F270" s="41" t="inlineStr">
        <is>
          <t>Technical Diagnostics</t>
        </is>
      </c>
      <c r="G270" s="30" t="inlineStr">
        <is>
          <t>https://africanmarketingconfederation.org/smoke-archive/page-45::no_answer-friendly_structure</t>
        </is>
      </c>
      <c r="H270" s="30" t="inlineStr">
        <is>
          <t>Copy Writer</t>
        </is>
      </c>
      <c r="I270" s="30" t="inlineStr"/>
      <c r="J270" s="30" t="inlineStr">
        <is>
          <t>To Do</t>
        </is>
      </c>
      <c r="K270" s="31" t="inlineStr">
        <is>
          <t>https://africanmarketingconfederation.org/smoke-archive/page-45</t>
        </is>
      </c>
      <c r="L270" s="30" t="inlineStr">
        <is>
          <t>IssueInventory</t>
        </is>
      </c>
      <c r="M270" s="30" t="n">
        <v>218</v>
      </c>
      <c r="N270" s="30" t="inlineStr">
        <is>
          <t>2026-07-01 20:54:35</t>
        </is>
      </c>
      <c r="O270" s="30" t="n">
        <v>0</v>
      </c>
      <c r="P270" s="30" t="inlineStr"/>
      <c r="Q270" s="30" t="inlineStr"/>
      <c r="R270" s="38">
        <f>IFERROR(HYPERLINK("#'Main'!B"&amp;MATCH(TRIM(A270),'Main'!B:B,0),"Open"),HYPERLINK("#'Main'!B1","Open"))</f>
        <v/>
      </c>
      <c r="S270" s="38">
        <f>IFERROR(HYPERLINK("#'"&amp;SUBSTITUTE(F270,"'","''")&amp;"'!A"&amp;MATCH(A270,INDIRECT("'"&amp;SUBSTITUTE(F270,"'","''")&amp;"'!A:A"),0),"Open"),HYPERLINK("#'"&amp;SUBSTITUTE(F270,"'","''")&amp;"'!A1","Open"))</f>
        <v/>
      </c>
    </row>
    <row r="271" ht="18" customHeight="1">
      <c r="A271" s="35" t="inlineStr">
        <is>
          <t>https://africanmarketingconfederation.org/smoke-archive/page-45</t>
        </is>
      </c>
      <c r="B271" s="28" t="inlineStr">
        <is>
          <t>Issue Inventory</t>
        </is>
      </c>
      <c r="C271" s="79" t="inlineStr">
        <is>
          <t>No 40-60 Word Answer Paragraphs</t>
        </is>
      </c>
      <c r="D271" s="28" t="inlineStr">
        <is>
          <t>Observation</t>
        </is>
      </c>
      <c r="E271" s="20" t="n">
        <v>1</v>
      </c>
      <c r="F271" s="39" t="inlineStr">
        <is>
          <t>Technical Diagnostics</t>
        </is>
      </c>
      <c r="G271" s="28" t="inlineStr">
        <is>
          <t>https://africanmarketingconfederation.org/smoke-archive/page-45::no_40-60_word_answer_paragraphs</t>
        </is>
      </c>
      <c r="H271" s="28" t="inlineStr">
        <is>
          <t>Copy Writer</t>
        </is>
      </c>
      <c r="I271" s="28" t="inlineStr"/>
      <c r="J271" s="28" t="inlineStr">
        <is>
          <t>To Do</t>
        </is>
      </c>
      <c r="K271" s="20" t="inlineStr">
        <is>
          <t>https://africanmarketingconfederation.org/smoke-archive/page-45</t>
        </is>
      </c>
      <c r="L271" s="28" t="inlineStr">
        <is>
          <t>IssueInventory</t>
        </is>
      </c>
      <c r="M271" s="28" t="n">
        <v>219</v>
      </c>
      <c r="N271" s="28" t="inlineStr">
        <is>
          <t>2026-07-01 20:54:35</t>
        </is>
      </c>
      <c r="O271" s="28" t="n">
        <v>0</v>
      </c>
      <c r="P271" s="28" t="inlineStr"/>
      <c r="Q271" s="28" t="inlineStr"/>
      <c r="R271">
        <f>IFERROR(HYPERLINK("#'Main'!B"&amp;MATCH(TRIM(A271),'Main'!B:B,0),"Open"),HYPERLINK("#'Main'!B1","Open"))</f>
        <v/>
      </c>
      <c r="S271">
        <f>IFERROR(HYPERLINK("#'"&amp;SUBSTITUTE(F271,"'","''")&amp;"'!A"&amp;MATCH(A271,INDIRECT("'"&amp;SUBSTITUTE(F271,"'","''")&amp;"'!A:A"),0),"Open"),HYPERLINK("#'"&amp;SUBSTITUTE(F271,"'","''")&amp;"'!A1","Open"))</f>
        <v/>
      </c>
    </row>
    <row r="272" ht="18" customHeight="1">
      <c r="A272" s="37" t="inlineStr">
        <is>
          <t>https://africanmarketingconfederation.org/smoke-archive/page-45</t>
        </is>
      </c>
      <c r="B272" s="30" t="inlineStr">
        <is>
          <t>Issue Inventory</t>
        </is>
      </c>
      <c r="C272" s="80" t="inlineStr">
        <is>
          <t>Lab TBT 150ms–300ms (Mobile)</t>
        </is>
      </c>
      <c r="D272" s="30" t="inlineStr">
        <is>
          <t>Observation</t>
        </is>
      </c>
      <c r="E272" s="31" t="n">
        <v>1</v>
      </c>
      <c r="F272" s="41" t="inlineStr">
        <is>
          <t>Technical Diagnostics</t>
        </is>
      </c>
      <c r="G272" s="30" t="inlineStr">
        <is>
          <t>https://africanmarketingconfederation.org/smoke-archive/page-45::lab_tbt_150ms_300ms_mobile_</t>
        </is>
      </c>
      <c r="H272" s="30" t="inlineStr">
        <is>
          <t>Dev</t>
        </is>
      </c>
      <c r="I272" s="30" t="inlineStr"/>
      <c r="J272" s="30" t="inlineStr">
        <is>
          <t>To Do</t>
        </is>
      </c>
      <c r="K272" s="31" t="inlineStr">
        <is>
          <t>https://africanmarketingconfederation.org/smoke-archive/page-45</t>
        </is>
      </c>
      <c r="L272" s="30" t="inlineStr">
        <is>
          <t>IssueInventory</t>
        </is>
      </c>
      <c r="M272" s="30" t="n">
        <v>220</v>
      </c>
      <c r="N272" s="30" t="inlineStr">
        <is>
          <t>2026-07-01 20:54:35</t>
        </is>
      </c>
      <c r="O272" s="30" t="n">
        <v>0</v>
      </c>
      <c r="P272" s="30" t="inlineStr"/>
      <c r="Q272" s="30" t="inlineStr"/>
      <c r="R272" s="38">
        <f>IFERROR(HYPERLINK("#'Main'!B"&amp;MATCH(TRIM(A272),'Main'!B:B,0),"Open"),HYPERLINK("#'Main'!B1","Open"))</f>
        <v/>
      </c>
      <c r="S272" s="38">
        <f>IFERROR(HYPERLINK("#'"&amp;SUBSTITUTE(F272,"'","''")&amp;"'!A"&amp;MATCH(A272,INDIRECT("'"&amp;SUBSTITUTE(F272,"'","''")&amp;"'!A:A"),0),"Open"),HYPERLINK("#'"&amp;SUBSTITUTE(F272,"'","''")&amp;"'!A1","Open"))</f>
        <v/>
      </c>
    </row>
    <row r="273" ht="18" customHeight="1">
      <c r="A273" s="35" t="inlineStr">
        <is>
          <t>https://africanmarketingconfederation.org/smoke-archive/page-45</t>
        </is>
      </c>
      <c r="B273" s="28" t="inlineStr">
        <is>
          <t>Issue Inventory</t>
        </is>
      </c>
      <c r="C273" s="79" t="inlineStr">
        <is>
          <t>Moderate Lighthouse Performance Mobile (50–89)</t>
        </is>
      </c>
      <c r="D273" s="28" t="inlineStr">
        <is>
          <t>Observation</t>
        </is>
      </c>
      <c r="E273" s="20" t="n">
        <v>1</v>
      </c>
      <c r="F273" s="39" t="inlineStr">
        <is>
          <t>Technical Diagnostics</t>
        </is>
      </c>
      <c r="G273" s="28" t="inlineStr">
        <is>
          <t>https://africanmarketingconfederation.org/smoke-archive/page-45::moderate_lighthouse_performance_mobile_50_89_</t>
        </is>
      </c>
      <c r="H273" s="28" t="inlineStr">
        <is>
          <t>Dev</t>
        </is>
      </c>
      <c r="I273" s="28" t="inlineStr"/>
      <c r="J273" s="28" t="inlineStr">
        <is>
          <t>To Do</t>
        </is>
      </c>
      <c r="K273" s="20" t="inlineStr">
        <is>
          <t>https://africanmarketingconfederation.org/smoke-archive/page-45</t>
        </is>
      </c>
      <c r="L273" s="28" t="inlineStr">
        <is>
          <t>IssueInventory</t>
        </is>
      </c>
      <c r="M273" s="28" t="n">
        <v>221</v>
      </c>
      <c r="N273" s="28" t="inlineStr">
        <is>
          <t>2026-07-01 20:54:35</t>
        </is>
      </c>
      <c r="O273" s="28" t="n">
        <v>0</v>
      </c>
      <c r="P273" s="28" t="inlineStr"/>
      <c r="Q273" s="28" t="inlineStr"/>
      <c r="R273">
        <f>IFERROR(HYPERLINK("#'Main'!B"&amp;MATCH(TRIM(A273),'Main'!B:B,0),"Open"),HYPERLINK("#'Main'!B1","Open"))</f>
        <v/>
      </c>
      <c r="S273">
        <f>IFERROR(HYPERLINK("#'"&amp;SUBSTITUTE(F273,"'","''")&amp;"'!A"&amp;MATCH(A273,INDIRECT("'"&amp;SUBSTITUTE(F273,"'","''")&amp;"'!A:A"),0),"Open"),HYPERLINK("#'"&amp;SUBSTITUTE(F273,"'","''")&amp;"'!A1","Open"))</f>
        <v/>
      </c>
    </row>
    <row r="274" ht="18" customHeight="1">
      <c r="A274" s="37" t="inlineStr">
        <is>
          <t>https://africanmarketingconfederation.org/smoke-archive/page-45</t>
        </is>
      </c>
      <c r="B274" s="30" t="inlineStr">
        <is>
          <t>Issue Inventory</t>
        </is>
      </c>
      <c r="C274" s="80" t="inlineStr">
        <is>
          <t>Render Blocking Resources</t>
        </is>
      </c>
      <c r="D274" s="30" t="inlineStr">
        <is>
          <t>Observation</t>
        </is>
      </c>
      <c r="E274" s="31" t="n">
        <v>1</v>
      </c>
      <c r="F274" s="41" t="inlineStr">
        <is>
          <t>Technical Diagnostics</t>
        </is>
      </c>
      <c r="G274" s="30" t="inlineStr">
        <is>
          <t>https://africanmarketingconfederation.org/smoke-archive/page-45::render_blocking_resources</t>
        </is>
      </c>
      <c r="H274" s="30" t="inlineStr">
        <is>
          <t>Dev</t>
        </is>
      </c>
      <c r="I274" s="30" t="inlineStr"/>
      <c r="J274" s="30" t="inlineStr">
        <is>
          <t>To Do</t>
        </is>
      </c>
      <c r="K274" s="31" t="inlineStr">
        <is>
          <t>https://africanmarketingconfederation.org/smoke-archive/page-45</t>
        </is>
      </c>
      <c r="L274" s="30" t="inlineStr">
        <is>
          <t>IssueInventory</t>
        </is>
      </c>
      <c r="M274" s="30" t="n">
        <v>222</v>
      </c>
      <c r="N274" s="30" t="inlineStr">
        <is>
          <t>2026-07-01 20:54:35</t>
        </is>
      </c>
      <c r="O274" s="30" t="n">
        <v>0</v>
      </c>
      <c r="P274" s="30" t="inlineStr"/>
      <c r="Q274" s="30" t="inlineStr"/>
      <c r="R274" s="38">
        <f>IFERROR(HYPERLINK("#'Main'!B"&amp;MATCH(TRIM(A274),'Main'!B:B,0),"Open"),HYPERLINK("#'Main'!B1","Open"))</f>
        <v/>
      </c>
      <c r="S274" s="38">
        <f>IFERROR(HYPERLINK("#'"&amp;SUBSTITUTE(F274,"'","''")&amp;"'!A"&amp;MATCH(A274,INDIRECT("'"&amp;SUBSTITUTE(F274,"'","''")&amp;"'!A:A"),0),"Open"),HYPERLINK("#'"&amp;SUBSTITUTE(F274,"'","''")&amp;"'!A1","Open"))</f>
        <v/>
      </c>
    </row>
    <row r="275" ht="18" customHeight="1">
      <c r="A275" s="35" t="inlineStr">
        <is>
          <t>https://africanmarketingconfederation.org/smoke-archive/page-46</t>
        </is>
      </c>
      <c r="B275" s="28" t="inlineStr">
        <is>
          <t>Issue Inventory</t>
        </is>
      </c>
      <c r="C275" s="79" t="inlineStr">
        <is>
          <t>Missing OG Image</t>
        </is>
      </c>
      <c r="D275" s="28" t="inlineStr">
        <is>
          <t>Warning</t>
        </is>
      </c>
      <c r="E275" s="20" t="n">
        <v>1</v>
      </c>
      <c r="F275" s="39" t="inlineStr">
        <is>
          <t>Technical Diagnostics</t>
        </is>
      </c>
      <c r="G275" s="28" t="inlineStr">
        <is>
          <t>https://africanmarketingconfederation.org/smoke-archive/page-46::missing_og_image</t>
        </is>
      </c>
      <c r="H275" s="28" t="inlineStr">
        <is>
          <t>Copy Writer</t>
        </is>
      </c>
      <c r="I275" s="28" t="inlineStr"/>
      <c r="J275" s="28" t="inlineStr">
        <is>
          <t>To Do</t>
        </is>
      </c>
      <c r="K275" s="20" t="inlineStr">
        <is>
          <t>https://africanmarketingconfederation.org/smoke-archive/page-46</t>
        </is>
      </c>
      <c r="L275" s="28" t="inlineStr">
        <is>
          <t>IssueInventory</t>
        </is>
      </c>
      <c r="M275" s="28" t="n">
        <v>223</v>
      </c>
      <c r="N275" s="28" t="inlineStr">
        <is>
          <t>2026-07-01 20:54:35</t>
        </is>
      </c>
      <c r="O275" s="28" t="n">
        <v>0</v>
      </c>
      <c r="P275" s="28" t="inlineStr"/>
      <c r="Q275" s="28" t="inlineStr"/>
      <c r="R275">
        <f>IFERROR(HYPERLINK("#'Main'!B"&amp;MATCH(TRIM(A275),'Main'!B:B,0),"Open"),HYPERLINK("#'Main'!B1","Open"))</f>
        <v/>
      </c>
      <c r="S275">
        <f>IFERROR(HYPERLINK("#'"&amp;SUBSTITUTE(F275,"'","''")&amp;"'!A"&amp;MATCH(A275,INDIRECT("'"&amp;SUBSTITUTE(F275,"'","''")&amp;"'!A:A"),0),"Open"),HYPERLINK("#'"&amp;SUBSTITUTE(F275,"'","''")&amp;"'!A1","Open"))</f>
        <v/>
      </c>
    </row>
    <row r="276" ht="18" customHeight="1">
      <c r="A276" s="37" t="inlineStr">
        <is>
          <t>https://africanmarketingconfederation.org/smoke-archive/page-46</t>
        </is>
      </c>
      <c r="B276" s="30" t="inlineStr">
        <is>
          <t>Issue Inventory</t>
        </is>
      </c>
      <c r="C276" s="80" t="inlineStr">
        <is>
          <t>Lab TBT 150ms–300ms (Mobile)</t>
        </is>
      </c>
      <c r="D276" s="30" t="inlineStr">
        <is>
          <t>Observation</t>
        </is>
      </c>
      <c r="E276" s="31" t="n">
        <v>1</v>
      </c>
      <c r="F276" s="41" t="inlineStr">
        <is>
          <t>Technical Diagnostics</t>
        </is>
      </c>
      <c r="G276" s="30" t="inlineStr">
        <is>
          <t>https://africanmarketingconfederation.org/smoke-archive/page-46::lab_tbt_150ms_300ms_mobile_</t>
        </is>
      </c>
      <c r="H276" s="30" t="inlineStr">
        <is>
          <t>Dev</t>
        </is>
      </c>
      <c r="I276" s="30" t="inlineStr"/>
      <c r="J276" s="30" t="inlineStr">
        <is>
          <t>To Do</t>
        </is>
      </c>
      <c r="K276" s="31" t="inlineStr">
        <is>
          <t>https://africanmarketingconfederation.org/smoke-archive/page-46</t>
        </is>
      </c>
      <c r="L276" s="30" t="inlineStr">
        <is>
          <t>IssueInventory</t>
        </is>
      </c>
      <c r="M276" s="30" t="n">
        <v>224</v>
      </c>
      <c r="N276" s="30" t="inlineStr">
        <is>
          <t>2026-07-01 20:54:35</t>
        </is>
      </c>
      <c r="O276" s="30" t="n">
        <v>0</v>
      </c>
      <c r="P276" s="30" t="inlineStr"/>
      <c r="Q276" s="30" t="inlineStr"/>
      <c r="R276" s="38">
        <f>IFERROR(HYPERLINK("#'Main'!B"&amp;MATCH(TRIM(A276),'Main'!B:B,0),"Open"),HYPERLINK("#'Main'!B1","Open"))</f>
        <v/>
      </c>
      <c r="S276" s="38">
        <f>IFERROR(HYPERLINK("#'"&amp;SUBSTITUTE(F276,"'","''")&amp;"'!A"&amp;MATCH(A276,INDIRECT("'"&amp;SUBSTITUTE(F276,"'","''")&amp;"'!A:A"),0),"Open"),HYPERLINK("#'"&amp;SUBSTITUTE(F276,"'","''")&amp;"'!A1","Open"))</f>
        <v/>
      </c>
    </row>
    <row r="277" ht="18" customHeight="1">
      <c r="A277" s="35" t="inlineStr">
        <is>
          <t>https://africanmarketingconfederation.org/smoke-archive/page-46</t>
        </is>
      </c>
      <c r="B277" s="28" t="inlineStr">
        <is>
          <t>Issue Inventory</t>
        </is>
      </c>
      <c r="C277" s="79" t="inlineStr">
        <is>
          <t>Moderate Lighthouse Performance Mobile (50–89)</t>
        </is>
      </c>
      <c r="D277" s="28" t="inlineStr">
        <is>
          <t>Observation</t>
        </is>
      </c>
      <c r="E277" s="20" t="n">
        <v>1</v>
      </c>
      <c r="F277" s="39" t="inlineStr">
        <is>
          <t>Technical Diagnostics</t>
        </is>
      </c>
      <c r="G277" s="28" t="inlineStr">
        <is>
          <t>https://africanmarketingconfederation.org/smoke-archive/page-46::moderate_lighthouse_performance_mobile_50_89_</t>
        </is>
      </c>
      <c r="H277" s="28" t="inlineStr">
        <is>
          <t>Dev</t>
        </is>
      </c>
      <c r="I277" s="28" t="inlineStr"/>
      <c r="J277" s="28" t="inlineStr">
        <is>
          <t>To Do</t>
        </is>
      </c>
      <c r="K277" s="20" t="inlineStr">
        <is>
          <t>https://africanmarketingconfederation.org/smoke-archive/page-46</t>
        </is>
      </c>
      <c r="L277" s="28" t="inlineStr">
        <is>
          <t>IssueInventory</t>
        </is>
      </c>
      <c r="M277" s="28" t="n">
        <v>225</v>
      </c>
      <c r="N277" s="28" t="inlineStr">
        <is>
          <t>2026-07-01 20:54:35</t>
        </is>
      </c>
      <c r="O277" s="28" t="n">
        <v>0</v>
      </c>
      <c r="P277" s="28" t="inlineStr"/>
      <c r="Q277" s="28" t="inlineStr"/>
      <c r="R277">
        <f>IFERROR(HYPERLINK("#'Main'!B"&amp;MATCH(TRIM(A277),'Main'!B:B,0),"Open"),HYPERLINK("#'Main'!B1","Open"))</f>
        <v/>
      </c>
      <c r="S277">
        <f>IFERROR(HYPERLINK("#'"&amp;SUBSTITUTE(F277,"'","''")&amp;"'!A"&amp;MATCH(A277,INDIRECT("'"&amp;SUBSTITUTE(F277,"'","''")&amp;"'!A:A"),0),"Open"),HYPERLINK("#'"&amp;SUBSTITUTE(F277,"'","''")&amp;"'!A1","Open"))</f>
        <v/>
      </c>
    </row>
    <row r="278" ht="18" customHeight="1">
      <c r="A278" s="37" t="inlineStr">
        <is>
          <t>https://africanmarketingconfederation.org/smoke-archive/page-46</t>
        </is>
      </c>
      <c r="B278" s="30" t="inlineStr">
        <is>
          <t>Issue Inventory</t>
        </is>
      </c>
      <c r="C278" s="80" t="inlineStr">
        <is>
          <t>Render Blocking Resources</t>
        </is>
      </c>
      <c r="D278" s="30" t="inlineStr">
        <is>
          <t>Observation</t>
        </is>
      </c>
      <c r="E278" s="31" t="n">
        <v>1</v>
      </c>
      <c r="F278" s="41" t="inlineStr">
        <is>
          <t>Technical Diagnostics</t>
        </is>
      </c>
      <c r="G278" s="30" t="inlineStr">
        <is>
          <t>https://africanmarketingconfederation.org/smoke-archive/page-46::render_blocking_resources</t>
        </is>
      </c>
      <c r="H278" s="30" t="inlineStr">
        <is>
          <t>Dev</t>
        </is>
      </c>
      <c r="I278" s="30" t="inlineStr"/>
      <c r="J278" s="30" t="inlineStr">
        <is>
          <t>To Do</t>
        </is>
      </c>
      <c r="K278" s="31" t="inlineStr">
        <is>
          <t>https://africanmarketingconfederation.org/smoke-archive/page-46</t>
        </is>
      </c>
      <c r="L278" s="30" t="inlineStr">
        <is>
          <t>IssueInventory</t>
        </is>
      </c>
      <c r="M278" s="30" t="n">
        <v>226</v>
      </c>
      <c r="N278" s="30" t="inlineStr">
        <is>
          <t>2026-07-01 20:54:35</t>
        </is>
      </c>
      <c r="O278" s="30" t="n">
        <v>0</v>
      </c>
      <c r="P278" s="30" t="inlineStr"/>
      <c r="Q278" s="30" t="inlineStr"/>
      <c r="R278" s="38">
        <f>IFERROR(HYPERLINK("#'Main'!B"&amp;MATCH(TRIM(A278),'Main'!B:B,0),"Open"),HYPERLINK("#'Main'!B1","Open"))</f>
        <v/>
      </c>
      <c r="S278" s="38">
        <f>IFERROR(HYPERLINK("#'"&amp;SUBSTITUTE(F278,"'","''")&amp;"'!A"&amp;MATCH(A278,INDIRECT("'"&amp;SUBSTITUTE(F278,"'","''")&amp;"'!A:A"),0),"Open"),HYPERLINK("#'"&amp;SUBSTITUTE(F278,"'","''")&amp;"'!A1","Open"))</f>
        <v/>
      </c>
    </row>
    <row r="279" ht="18" customHeight="1">
      <c r="A279" s="35" t="inlineStr">
        <is>
          <t>https://africanmarketingconfederation.org/smoke-archive/page-47</t>
        </is>
      </c>
      <c r="B279" s="28" t="inlineStr">
        <is>
          <t>Issue Inventory</t>
        </is>
      </c>
      <c r="C279" s="79" t="inlineStr">
        <is>
          <t>Missing OG Image</t>
        </is>
      </c>
      <c r="D279" s="28" t="inlineStr">
        <is>
          <t>Warning</t>
        </is>
      </c>
      <c r="E279" s="20" t="n">
        <v>1</v>
      </c>
      <c r="F279" s="39" t="inlineStr">
        <is>
          <t>Technical Diagnostics</t>
        </is>
      </c>
      <c r="G279" s="28" t="inlineStr">
        <is>
          <t>https://africanmarketingconfederation.org/smoke-archive/page-47::missing_og_image</t>
        </is>
      </c>
      <c r="H279" s="28" t="inlineStr">
        <is>
          <t>Copy Writer</t>
        </is>
      </c>
      <c r="I279" s="28" t="inlineStr"/>
      <c r="J279" s="28" t="inlineStr">
        <is>
          <t>To Do</t>
        </is>
      </c>
      <c r="K279" s="20" t="inlineStr">
        <is>
          <t>https://africanmarketingconfederation.org/smoke-archive/page-47</t>
        </is>
      </c>
      <c r="L279" s="28" t="inlineStr">
        <is>
          <t>IssueInventory</t>
        </is>
      </c>
      <c r="M279" s="28" t="n">
        <v>227</v>
      </c>
      <c r="N279" s="28" t="inlineStr">
        <is>
          <t>2026-07-01 20:54:35</t>
        </is>
      </c>
      <c r="O279" s="28" t="n">
        <v>0</v>
      </c>
      <c r="P279" s="28" t="inlineStr"/>
      <c r="Q279" s="28" t="inlineStr"/>
      <c r="R279">
        <f>IFERROR(HYPERLINK("#'Main'!B"&amp;MATCH(TRIM(A279),'Main'!B:B,0),"Open"),HYPERLINK("#'Main'!B1","Open"))</f>
        <v/>
      </c>
      <c r="S279">
        <f>IFERROR(HYPERLINK("#'"&amp;SUBSTITUTE(F279,"'","''")&amp;"'!A"&amp;MATCH(A279,INDIRECT("'"&amp;SUBSTITUTE(F279,"'","''")&amp;"'!A:A"),0),"Open"),HYPERLINK("#'"&amp;SUBSTITUTE(F279,"'","''")&amp;"'!A1","Open"))</f>
        <v/>
      </c>
    </row>
    <row r="280" ht="18" customHeight="1">
      <c r="A280" s="37" t="inlineStr">
        <is>
          <t>https://africanmarketingconfederation.org/smoke-archive/page-47</t>
        </is>
      </c>
      <c r="B280" s="30" t="inlineStr">
        <is>
          <t>Issue Inventory</t>
        </is>
      </c>
      <c r="C280" s="80" t="inlineStr">
        <is>
          <t>Lab TBT 150ms–300ms (Mobile)</t>
        </is>
      </c>
      <c r="D280" s="30" t="inlineStr">
        <is>
          <t>Observation</t>
        </is>
      </c>
      <c r="E280" s="31" t="n">
        <v>1</v>
      </c>
      <c r="F280" s="41" t="inlineStr">
        <is>
          <t>Technical Diagnostics</t>
        </is>
      </c>
      <c r="G280" s="30" t="inlineStr">
        <is>
          <t>https://africanmarketingconfederation.org/smoke-archive/page-47::lab_tbt_150ms_300ms_mobile_</t>
        </is>
      </c>
      <c r="H280" s="30" t="inlineStr">
        <is>
          <t>Dev</t>
        </is>
      </c>
      <c r="I280" s="30" t="inlineStr"/>
      <c r="J280" s="30" t="inlineStr">
        <is>
          <t>To Do</t>
        </is>
      </c>
      <c r="K280" s="31" t="inlineStr">
        <is>
          <t>https://africanmarketingconfederation.org/smoke-archive/page-47</t>
        </is>
      </c>
      <c r="L280" s="30" t="inlineStr">
        <is>
          <t>IssueInventory</t>
        </is>
      </c>
      <c r="M280" s="30" t="n">
        <v>228</v>
      </c>
      <c r="N280" s="30" t="inlineStr">
        <is>
          <t>2026-07-01 20:54:35</t>
        </is>
      </c>
      <c r="O280" s="30" t="n">
        <v>0</v>
      </c>
      <c r="P280" s="30" t="inlineStr"/>
      <c r="Q280" s="30" t="inlineStr"/>
      <c r="R280" s="38">
        <f>IFERROR(HYPERLINK("#'Main'!B"&amp;MATCH(TRIM(A280),'Main'!B:B,0),"Open"),HYPERLINK("#'Main'!B1","Open"))</f>
        <v/>
      </c>
      <c r="S280" s="38">
        <f>IFERROR(HYPERLINK("#'"&amp;SUBSTITUTE(F280,"'","''")&amp;"'!A"&amp;MATCH(A280,INDIRECT("'"&amp;SUBSTITUTE(F280,"'","''")&amp;"'!A:A"),0),"Open"),HYPERLINK("#'"&amp;SUBSTITUTE(F280,"'","''")&amp;"'!A1","Open"))</f>
        <v/>
      </c>
    </row>
    <row r="281" ht="18" customHeight="1">
      <c r="A281" s="35" t="inlineStr">
        <is>
          <t>https://africanmarketingconfederation.org/smoke-archive/page-47</t>
        </is>
      </c>
      <c r="B281" s="28" t="inlineStr">
        <is>
          <t>Issue Inventory</t>
        </is>
      </c>
      <c r="C281" s="79" t="inlineStr">
        <is>
          <t>Moderate Lighthouse Performance Mobile (50–89)</t>
        </is>
      </c>
      <c r="D281" s="28" t="inlineStr">
        <is>
          <t>Observation</t>
        </is>
      </c>
      <c r="E281" s="20" t="n">
        <v>1</v>
      </c>
      <c r="F281" s="39" t="inlineStr">
        <is>
          <t>Technical Diagnostics</t>
        </is>
      </c>
      <c r="G281" s="28" t="inlineStr">
        <is>
          <t>https://africanmarketingconfederation.org/smoke-archive/page-47::moderate_lighthouse_performance_mobile_50_89_</t>
        </is>
      </c>
      <c r="H281" s="28" t="inlineStr">
        <is>
          <t>Dev</t>
        </is>
      </c>
      <c r="I281" s="28" t="inlineStr"/>
      <c r="J281" s="28" t="inlineStr">
        <is>
          <t>To Do</t>
        </is>
      </c>
      <c r="K281" s="20" t="inlineStr">
        <is>
          <t>https://africanmarketingconfederation.org/smoke-archive/page-47</t>
        </is>
      </c>
      <c r="L281" s="28" t="inlineStr">
        <is>
          <t>IssueInventory</t>
        </is>
      </c>
      <c r="M281" s="28" t="n">
        <v>229</v>
      </c>
      <c r="N281" s="28" t="inlineStr">
        <is>
          <t>2026-07-01 20:54:35</t>
        </is>
      </c>
      <c r="O281" s="28" t="n">
        <v>0</v>
      </c>
      <c r="P281" s="28" t="inlineStr"/>
      <c r="Q281" s="28" t="inlineStr"/>
      <c r="R281">
        <f>IFERROR(HYPERLINK("#'Main'!B"&amp;MATCH(TRIM(A281),'Main'!B:B,0),"Open"),HYPERLINK("#'Main'!B1","Open"))</f>
        <v/>
      </c>
      <c r="S281">
        <f>IFERROR(HYPERLINK("#'"&amp;SUBSTITUTE(F281,"'","''")&amp;"'!A"&amp;MATCH(A281,INDIRECT("'"&amp;SUBSTITUTE(F281,"'","''")&amp;"'!A:A"),0),"Open"),HYPERLINK("#'"&amp;SUBSTITUTE(F281,"'","''")&amp;"'!A1","Open"))</f>
        <v/>
      </c>
    </row>
    <row r="282" ht="18" customHeight="1">
      <c r="A282" s="37" t="inlineStr">
        <is>
          <t>https://africanmarketingconfederation.org/smoke-archive/page-47</t>
        </is>
      </c>
      <c r="B282" s="30" t="inlineStr">
        <is>
          <t>Issue Inventory</t>
        </is>
      </c>
      <c r="C282" s="80" t="inlineStr">
        <is>
          <t>Render Blocking Resources</t>
        </is>
      </c>
      <c r="D282" s="30" t="inlineStr">
        <is>
          <t>Observation</t>
        </is>
      </c>
      <c r="E282" s="31" t="n">
        <v>1</v>
      </c>
      <c r="F282" s="41" t="inlineStr">
        <is>
          <t>Technical Diagnostics</t>
        </is>
      </c>
      <c r="G282" s="30" t="inlineStr">
        <is>
          <t>https://africanmarketingconfederation.org/smoke-archive/page-47::render_blocking_resources</t>
        </is>
      </c>
      <c r="H282" s="30" t="inlineStr">
        <is>
          <t>Dev</t>
        </is>
      </c>
      <c r="I282" s="30" t="inlineStr"/>
      <c r="J282" s="30" t="inlineStr">
        <is>
          <t>To Do</t>
        </is>
      </c>
      <c r="K282" s="31" t="inlineStr">
        <is>
          <t>https://africanmarketingconfederation.org/smoke-archive/page-47</t>
        </is>
      </c>
      <c r="L282" s="30" t="inlineStr">
        <is>
          <t>IssueInventory</t>
        </is>
      </c>
      <c r="M282" s="30" t="n">
        <v>230</v>
      </c>
      <c r="N282" s="30" t="inlineStr">
        <is>
          <t>2026-07-01 20:54:35</t>
        </is>
      </c>
      <c r="O282" s="30" t="n">
        <v>0</v>
      </c>
      <c r="P282" s="30" t="inlineStr"/>
      <c r="Q282" s="30" t="inlineStr"/>
      <c r="R282" s="38">
        <f>IFERROR(HYPERLINK("#'Main'!B"&amp;MATCH(TRIM(A282),'Main'!B:B,0),"Open"),HYPERLINK("#'Main'!B1","Open"))</f>
        <v/>
      </c>
      <c r="S282" s="38">
        <f>IFERROR(HYPERLINK("#'"&amp;SUBSTITUTE(F282,"'","''")&amp;"'!A"&amp;MATCH(A282,INDIRECT("'"&amp;SUBSTITUTE(F282,"'","''")&amp;"'!A:A"),0),"Open"),HYPERLINK("#'"&amp;SUBSTITUTE(F282,"'","''")&amp;"'!A1","Open"))</f>
        <v/>
      </c>
    </row>
    <row r="283" ht="18" customHeight="1">
      <c r="A283" s="35" t="inlineStr">
        <is>
          <t>https://africanmarketingconfederation.org/smoke-archive/page-48</t>
        </is>
      </c>
      <c r="B283" s="28" t="inlineStr">
        <is>
          <t>Issue Inventory</t>
        </is>
      </c>
      <c r="C283" s="79" t="inlineStr">
        <is>
          <t>No Schema Markup</t>
        </is>
      </c>
      <c r="D283" s="28" t="inlineStr">
        <is>
          <t>Critical</t>
        </is>
      </c>
      <c r="E283" s="20" t="n">
        <v>1</v>
      </c>
      <c r="F283" s="39" t="inlineStr">
        <is>
          <t>Technical Diagnostics</t>
        </is>
      </c>
      <c r="G283" s="28" t="inlineStr">
        <is>
          <t>https://africanmarketingconfederation.org/smoke-archive/page-48::no_schema_markup</t>
        </is>
      </c>
      <c r="H283" s="28" t="inlineStr">
        <is>
          <t>Dev</t>
        </is>
      </c>
      <c r="I283" s="28" t="inlineStr"/>
      <c r="J283" s="28" t="inlineStr">
        <is>
          <t>To Do</t>
        </is>
      </c>
      <c r="K283" s="20" t="inlineStr">
        <is>
          <t>https://africanmarketingconfederation.org/smoke-archive/page-48</t>
        </is>
      </c>
      <c r="L283" s="28" t="inlineStr">
        <is>
          <t>IssueInventory</t>
        </is>
      </c>
      <c r="M283" s="28" t="n">
        <v>231</v>
      </c>
      <c r="N283" s="28" t="inlineStr">
        <is>
          <t>2026-07-01 20:54:35</t>
        </is>
      </c>
      <c r="O283" s="28" t="n">
        <v>0</v>
      </c>
      <c r="P283" s="28" t="inlineStr"/>
      <c r="Q283" s="28" t="inlineStr"/>
      <c r="R283">
        <f>IFERROR(HYPERLINK("#'Main'!B"&amp;MATCH(TRIM(A283),'Main'!B:B,0),"Open"),HYPERLINK("#'Main'!B1","Open"))</f>
        <v/>
      </c>
      <c r="S283">
        <f>IFERROR(HYPERLINK("#'"&amp;SUBSTITUTE(F283,"'","''")&amp;"'!A"&amp;MATCH(A283,INDIRECT("'"&amp;SUBSTITUTE(F283,"'","''")&amp;"'!A:A"),0),"Open"),HYPERLINK("#'"&amp;SUBSTITUTE(F283,"'","''")&amp;"'!A1","Open"))</f>
        <v/>
      </c>
    </row>
    <row r="284" ht="18" customHeight="1">
      <c r="A284" s="37" t="inlineStr">
        <is>
          <t>https://africanmarketingconfederation.org/smoke-archive/page-48</t>
        </is>
      </c>
      <c r="B284" s="30" t="inlineStr">
        <is>
          <t>Issue Inventory</t>
        </is>
      </c>
      <c r="C284" s="80" t="inlineStr">
        <is>
          <t>Low Image Alt Coverage</t>
        </is>
      </c>
      <c r="D284" s="30" t="inlineStr">
        <is>
          <t>Warning</t>
        </is>
      </c>
      <c r="E284" s="31" t="n">
        <v>1</v>
      </c>
      <c r="F284" s="41" t="inlineStr">
        <is>
          <t>Technical Diagnostics</t>
        </is>
      </c>
      <c r="G284" s="30" t="inlineStr">
        <is>
          <t>https://africanmarketingconfederation.org/smoke-archive/page-48::low_image_alt_coverage</t>
        </is>
      </c>
      <c r="H284" s="30" t="inlineStr">
        <is>
          <t>Copy Writer</t>
        </is>
      </c>
      <c r="I284" s="30" t="inlineStr"/>
      <c r="J284" s="30" t="inlineStr">
        <is>
          <t>To Do</t>
        </is>
      </c>
      <c r="K284" s="31" t="inlineStr">
        <is>
          <t>https://africanmarketingconfederation.org/smoke-archive/page-48</t>
        </is>
      </c>
      <c r="L284" s="30" t="inlineStr">
        <is>
          <t>IssueInventory</t>
        </is>
      </c>
      <c r="M284" s="30" t="n">
        <v>232</v>
      </c>
      <c r="N284" s="30" t="inlineStr">
        <is>
          <t>2026-07-01 20:54:35</t>
        </is>
      </c>
      <c r="O284" s="30" t="n">
        <v>0</v>
      </c>
      <c r="P284" s="30" t="inlineStr"/>
      <c r="Q284" s="30" t="inlineStr"/>
      <c r="R284" s="38">
        <f>IFERROR(HYPERLINK("#'Main'!B"&amp;MATCH(TRIM(A284),'Main'!B:B,0),"Open"),HYPERLINK("#'Main'!B1","Open"))</f>
        <v/>
      </c>
      <c r="S284" s="38">
        <f>IFERROR(HYPERLINK("#'"&amp;SUBSTITUTE(F284,"'","''")&amp;"'!A"&amp;MATCH(A284,INDIRECT("'"&amp;SUBSTITUTE(F284,"'","''")&amp;"'!A:A"),0),"Open"),HYPERLINK("#'"&amp;SUBSTITUTE(F284,"'","''")&amp;"'!A1","Open"))</f>
        <v/>
      </c>
    </row>
    <row r="285" ht="18" customHeight="1">
      <c r="A285" s="35" t="inlineStr">
        <is>
          <t>https://africanmarketingconfederation.org/smoke-archive/page-48</t>
        </is>
      </c>
      <c r="B285" s="28" t="inlineStr">
        <is>
          <t>Issue Inventory</t>
        </is>
      </c>
      <c r="C285" s="79" t="inlineStr">
        <is>
          <t>Missing OG Title</t>
        </is>
      </c>
      <c r="D285" s="28" t="inlineStr">
        <is>
          <t>Warning</t>
        </is>
      </c>
      <c r="E285" s="20" t="n">
        <v>1</v>
      </c>
      <c r="F285" s="39" t="inlineStr">
        <is>
          <t>Technical Diagnostics</t>
        </is>
      </c>
      <c r="G285" s="28" t="inlineStr">
        <is>
          <t>https://africanmarketingconfederation.org/smoke-archive/page-48::missing_og_title</t>
        </is>
      </c>
      <c r="H285" s="28" t="inlineStr">
        <is>
          <t>Copy Writer</t>
        </is>
      </c>
      <c r="I285" s="28" t="inlineStr"/>
      <c r="J285" s="28" t="inlineStr">
        <is>
          <t>To Do</t>
        </is>
      </c>
      <c r="K285" s="20" t="inlineStr">
        <is>
          <t>https://africanmarketingconfederation.org/smoke-archive/page-48</t>
        </is>
      </c>
      <c r="L285" s="28" t="inlineStr">
        <is>
          <t>IssueInventory</t>
        </is>
      </c>
      <c r="M285" s="28" t="n">
        <v>233</v>
      </c>
      <c r="N285" s="28" t="inlineStr">
        <is>
          <t>2026-07-01 20:54:35</t>
        </is>
      </c>
      <c r="O285" s="28" t="n">
        <v>0</v>
      </c>
      <c r="P285" s="28" t="inlineStr"/>
      <c r="Q285" s="28" t="inlineStr"/>
      <c r="R285">
        <f>IFERROR(HYPERLINK("#'Main'!B"&amp;MATCH(TRIM(A285),'Main'!B:B,0),"Open"),HYPERLINK("#'Main'!B1","Open"))</f>
        <v/>
      </c>
      <c r="S285">
        <f>IFERROR(HYPERLINK("#'"&amp;SUBSTITUTE(F285,"'","''")&amp;"'!A"&amp;MATCH(A285,INDIRECT("'"&amp;SUBSTITUTE(F285,"'","''")&amp;"'!A:A"),0),"Open"),HYPERLINK("#'"&amp;SUBSTITUTE(F285,"'","''")&amp;"'!A1","Open"))</f>
        <v/>
      </c>
    </row>
    <row r="286" ht="18" customHeight="1">
      <c r="A286" s="37" t="inlineStr">
        <is>
          <t>https://africanmarketingconfederation.org/smoke-archive/page-48</t>
        </is>
      </c>
      <c r="B286" s="30" t="inlineStr">
        <is>
          <t>Issue Inventory</t>
        </is>
      </c>
      <c r="C286" s="80" t="inlineStr">
        <is>
          <t>Lab TBT 150ms–300ms (Mobile)</t>
        </is>
      </c>
      <c r="D286" s="30" t="inlineStr">
        <is>
          <t>Observation</t>
        </is>
      </c>
      <c r="E286" s="31" t="n">
        <v>1</v>
      </c>
      <c r="F286" s="41" t="inlineStr">
        <is>
          <t>Technical Diagnostics</t>
        </is>
      </c>
      <c r="G286" s="30" t="inlineStr">
        <is>
          <t>https://africanmarketingconfederation.org/smoke-archive/page-48::lab_tbt_150ms_300ms_mobile_</t>
        </is>
      </c>
      <c r="H286" s="30" t="inlineStr">
        <is>
          <t>Dev</t>
        </is>
      </c>
      <c r="I286" s="30" t="inlineStr"/>
      <c r="J286" s="30" t="inlineStr">
        <is>
          <t>To Do</t>
        </is>
      </c>
      <c r="K286" s="31" t="inlineStr">
        <is>
          <t>https://africanmarketingconfederation.org/smoke-archive/page-48</t>
        </is>
      </c>
      <c r="L286" s="30" t="inlineStr">
        <is>
          <t>IssueInventory</t>
        </is>
      </c>
      <c r="M286" s="30" t="n">
        <v>234</v>
      </c>
      <c r="N286" s="30" t="inlineStr">
        <is>
          <t>2026-07-01 20:54:35</t>
        </is>
      </c>
      <c r="O286" s="30" t="n">
        <v>0</v>
      </c>
      <c r="P286" s="30" t="inlineStr"/>
      <c r="Q286" s="30" t="inlineStr"/>
      <c r="R286" s="38">
        <f>IFERROR(HYPERLINK("#'Main'!B"&amp;MATCH(TRIM(A286),'Main'!B:B,0),"Open"),HYPERLINK("#'Main'!B1","Open"))</f>
        <v/>
      </c>
      <c r="S286" s="38">
        <f>IFERROR(HYPERLINK("#'"&amp;SUBSTITUTE(F286,"'","''")&amp;"'!A"&amp;MATCH(A286,INDIRECT("'"&amp;SUBSTITUTE(F286,"'","''")&amp;"'!A:A"),0),"Open"),HYPERLINK("#'"&amp;SUBSTITUTE(F286,"'","''")&amp;"'!A1","Open"))</f>
        <v/>
      </c>
    </row>
    <row r="287" ht="18" customHeight="1">
      <c r="A287" s="35" t="inlineStr">
        <is>
          <t>https://africanmarketingconfederation.org/smoke-archive/page-48</t>
        </is>
      </c>
      <c r="B287" s="28" t="inlineStr">
        <is>
          <t>Issue Inventory</t>
        </is>
      </c>
      <c r="C287" s="79" t="inlineStr">
        <is>
          <t>Moderate Lighthouse Performance Mobile (50–89)</t>
        </is>
      </c>
      <c r="D287" s="28" t="inlineStr">
        <is>
          <t>Observation</t>
        </is>
      </c>
      <c r="E287" s="20" t="n">
        <v>1</v>
      </c>
      <c r="F287" s="39" t="inlineStr">
        <is>
          <t>Technical Diagnostics</t>
        </is>
      </c>
      <c r="G287" s="28" t="inlineStr">
        <is>
          <t>https://africanmarketingconfederation.org/smoke-archive/page-48::moderate_lighthouse_performance_mobile_50_89_</t>
        </is>
      </c>
      <c r="H287" s="28" t="inlineStr">
        <is>
          <t>Dev</t>
        </is>
      </c>
      <c r="I287" s="28" t="inlineStr"/>
      <c r="J287" s="28" t="inlineStr">
        <is>
          <t>To Do</t>
        </is>
      </c>
      <c r="K287" s="20" t="inlineStr">
        <is>
          <t>https://africanmarketingconfederation.org/smoke-archive/page-48</t>
        </is>
      </c>
      <c r="L287" s="28" t="inlineStr">
        <is>
          <t>IssueInventory</t>
        </is>
      </c>
      <c r="M287" s="28" t="n">
        <v>235</v>
      </c>
      <c r="N287" s="28" t="inlineStr">
        <is>
          <t>2026-07-01 20:54:35</t>
        </is>
      </c>
      <c r="O287" s="28" t="n">
        <v>0</v>
      </c>
      <c r="P287" s="28" t="inlineStr"/>
      <c r="Q287" s="28" t="inlineStr"/>
      <c r="R287">
        <f>IFERROR(HYPERLINK("#'Main'!B"&amp;MATCH(TRIM(A287),'Main'!B:B,0),"Open"),HYPERLINK("#'Main'!B1","Open"))</f>
        <v/>
      </c>
      <c r="S287">
        <f>IFERROR(HYPERLINK("#'"&amp;SUBSTITUTE(F287,"'","''")&amp;"'!A"&amp;MATCH(A287,INDIRECT("'"&amp;SUBSTITUTE(F287,"'","''")&amp;"'!A:A"),0),"Open"),HYPERLINK("#'"&amp;SUBSTITUTE(F287,"'","''")&amp;"'!A1","Open"))</f>
        <v/>
      </c>
    </row>
    <row r="288" ht="18" customHeight="1">
      <c r="A288" s="37" t="inlineStr">
        <is>
          <t>https://africanmarketingconfederation.org/smoke-archive/page-48</t>
        </is>
      </c>
      <c r="B288" s="30" t="inlineStr">
        <is>
          <t>Issue Inventory</t>
        </is>
      </c>
      <c r="C288" s="80" t="inlineStr">
        <is>
          <t>Render Blocking Resources</t>
        </is>
      </c>
      <c r="D288" s="30" t="inlineStr">
        <is>
          <t>Observation</t>
        </is>
      </c>
      <c r="E288" s="31" t="n">
        <v>1</v>
      </c>
      <c r="F288" s="41" t="inlineStr">
        <is>
          <t>Technical Diagnostics</t>
        </is>
      </c>
      <c r="G288" s="30" t="inlineStr">
        <is>
          <t>https://africanmarketingconfederation.org/smoke-archive/page-48::render_blocking_resources</t>
        </is>
      </c>
      <c r="H288" s="30" t="inlineStr">
        <is>
          <t>Dev</t>
        </is>
      </c>
      <c r="I288" s="30" t="inlineStr"/>
      <c r="J288" s="30" t="inlineStr">
        <is>
          <t>To Do</t>
        </is>
      </c>
      <c r="K288" s="31" t="inlineStr">
        <is>
          <t>https://africanmarketingconfederation.org/smoke-archive/page-48</t>
        </is>
      </c>
      <c r="L288" s="30" t="inlineStr">
        <is>
          <t>IssueInventory</t>
        </is>
      </c>
      <c r="M288" s="30" t="n">
        <v>236</v>
      </c>
      <c r="N288" s="30" t="inlineStr">
        <is>
          <t>2026-07-01 20:54:35</t>
        </is>
      </c>
      <c r="O288" s="30" t="n">
        <v>0</v>
      </c>
      <c r="P288" s="30" t="inlineStr"/>
      <c r="Q288" s="30" t="inlineStr"/>
      <c r="R288" s="38">
        <f>IFERROR(HYPERLINK("#'Main'!B"&amp;MATCH(TRIM(A288),'Main'!B:B,0),"Open"),HYPERLINK("#'Main'!B1","Open"))</f>
        <v/>
      </c>
      <c r="S288" s="38">
        <f>IFERROR(HYPERLINK("#'"&amp;SUBSTITUTE(F288,"'","''")&amp;"'!A"&amp;MATCH(A288,INDIRECT("'"&amp;SUBSTITUTE(F288,"'","''")&amp;"'!A:A"),0),"Open"),HYPERLINK("#'"&amp;SUBSTITUTE(F288,"'","''")&amp;"'!A1","Open"))</f>
        <v/>
      </c>
    </row>
    <row r="289" ht="18" customHeight="1">
      <c r="A289" s="35" t="inlineStr">
        <is>
          <t>https://africanmarketingconfederation.org/smoke-archive/page-49</t>
        </is>
      </c>
      <c r="B289" s="28" t="inlineStr">
        <is>
          <t>Issue Inventory</t>
        </is>
      </c>
      <c r="C289" s="79" t="inlineStr">
        <is>
          <t>Low E-E-A-T Signal Score (&lt;3)</t>
        </is>
      </c>
      <c r="D289" s="28" t="inlineStr">
        <is>
          <t>Warning</t>
        </is>
      </c>
      <c r="E289" s="20" t="n">
        <v>1</v>
      </c>
      <c r="F289" s="39" t="inlineStr">
        <is>
          <t>Technical Diagnostics</t>
        </is>
      </c>
      <c r="G289" s="28" t="inlineStr">
        <is>
          <t>https://africanmarketingconfederation.org/smoke-archive/page-49::low_e-e-a-t_signal_score_3_</t>
        </is>
      </c>
      <c r="H289" s="28" t="inlineStr">
        <is>
          <t>Copy Writer</t>
        </is>
      </c>
      <c r="I289" s="28" t="inlineStr"/>
      <c r="J289" s="28" t="inlineStr">
        <is>
          <t>To Do</t>
        </is>
      </c>
      <c r="K289" s="20" t="inlineStr">
        <is>
          <t>https://africanmarketingconfederation.org/smoke-archive/page-49</t>
        </is>
      </c>
      <c r="L289" s="28" t="inlineStr">
        <is>
          <t>IssueInventory</t>
        </is>
      </c>
      <c r="M289" s="28" t="n">
        <v>237</v>
      </c>
      <c r="N289" s="28" t="inlineStr">
        <is>
          <t>2026-07-01 20:54:35</t>
        </is>
      </c>
      <c r="O289" s="28" t="n">
        <v>0</v>
      </c>
      <c r="P289" s="28" t="inlineStr"/>
      <c r="Q289" s="28" t="inlineStr"/>
      <c r="R289">
        <f>IFERROR(HYPERLINK("#'Main'!B"&amp;MATCH(TRIM(A289),'Main'!B:B,0),"Open"),HYPERLINK("#'Main'!B1","Open"))</f>
        <v/>
      </c>
      <c r="S289">
        <f>IFERROR(HYPERLINK("#'"&amp;SUBSTITUTE(F289,"'","''")&amp;"'!A"&amp;MATCH(A289,INDIRECT("'"&amp;SUBSTITUTE(F289,"'","''")&amp;"'!A:A"),0),"Open"),HYPERLINK("#'"&amp;SUBSTITUTE(F289,"'","''")&amp;"'!A1","Open"))</f>
        <v/>
      </c>
    </row>
    <row r="290" ht="18" customHeight="1">
      <c r="A290" s="37" t="inlineStr">
        <is>
          <t>https://africanmarketingconfederation.org/smoke-archive/page-49</t>
        </is>
      </c>
      <c r="B290" s="30" t="inlineStr">
        <is>
          <t>Issue Inventory</t>
        </is>
      </c>
      <c r="C290" s="80" t="inlineStr">
        <is>
          <t>Missing OG Image</t>
        </is>
      </c>
      <c r="D290" s="30" t="inlineStr">
        <is>
          <t>Warning</t>
        </is>
      </c>
      <c r="E290" s="31" t="n">
        <v>1</v>
      </c>
      <c r="F290" s="41" t="inlineStr">
        <is>
          <t>Technical Diagnostics</t>
        </is>
      </c>
      <c r="G290" s="30" t="inlineStr">
        <is>
          <t>https://africanmarketingconfederation.org/smoke-archive/page-49::missing_og_image</t>
        </is>
      </c>
      <c r="H290" s="30" t="inlineStr">
        <is>
          <t>Copy Writer</t>
        </is>
      </c>
      <c r="I290" s="30" t="inlineStr"/>
      <c r="J290" s="30" t="inlineStr">
        <is>
          <t>To Do</t>
        </is>
      </c>
      <c r="K290" s="31" t="inlineStr">
        <is>
          <t>https://africanmarketingconfederation.org/smoke-archive/page-49</t>
        </is>
      </c>
      <c r="L290" s="30" t="inlineStr">
        <is>
          <t>IssueInventory</t>
        </is>
      </c>
      <c r="M290" s="30" t="n">
        <v>238</v>
      </c>
      <c r="N290" s="30" t="inlineStr">
        <is>
          <t>2026-07-01 20:54:35</t>
        </is>
      </c>
      <c r="O290" s="30" t="n">
        <v>0</v>
      </c>
      <c r="P290" s="30" t="inlineStr"/>
      <c r="Q290" s="30" t="inlineStr"/>
      <c r="R290" s="38">
        <f>IFERROR(HYPERLINK("#'Main'!B"&amp;MATCH(TRIM(A290),'Main'!B:B,0),"Open"),HYPERLINK("#'Main'!B1","Open"))</f>
        <v/>
      </c>
      <c r="S290" s="38">
        <f>IFERROR(HYPERLINK("#'"&amp;SUBSTITUTE(F290,"'","''")&amp;"'!A"&amp;MATCH(A290,INDIRECT("'"&amp;SUBSTITUTE(F290,"'","''")&amp;"'!A:A"),0),"Open"),HYPERLINK("#'"&amp;SUBSTITUTE(F290,"'","''")&amp;"'!A1","Open"))</f>
        <v/>
      </c>
    </row>
    <row r="291" ht="18" customHeight="1">
      <c r="A291" s="35" t="inlineStr">
        <is>
          <t>https://africanmarketingconfederation.org/smoke-archive/page-49</t>
        </is>
      </c>
      <c r="B291" s="28" t="inlineStr">
        <is>
          <t>Issue Inventory</t>
        </is>
      </c>
      <c r="C291" s="79" t="inlineStr">
        <is>
          <t>No Author Attribution</t>
        </is>
      </c>
      <c r="D291" s="28" t="inlineStr">
        <is>
          <t>Observation</t>
        </is>
      </c>
      <c r="E291" s="20" t="n">
        <v>1</v>
      </c>
      <c r="F291" s="39" t="inlineStr">
        <is>
          <t>Technical Diagnostics</t>
        </is>
      </c>
      <c r="G291" s="28" t="inlineStr">
        <is>
          <t>https://africanmarketingconfederation.org/smoke-archive/page-49::no_author_attribution</t>
        </is>
      </c>
      <c r="H291" s="28" t="inlineStr">
        <is>
          <t>Copy Writer</t>
        </is>
      </c>
      <c r="I291" s="28" t="inlineStr"/>
      <c r="J291" s="28" t="inlineStr">
        <is>
          <t>To Do</t>
        </is>
      </c>
      <c r="K291" s="20" t="inlineStr">
        <is>
          <t>https://africanmarketingconfederation.org/smoke-archive/page-49</t>
        </is>
      </c>
      <c r="L291" s="28" t="inlineStr">
        <is>
          <t>IssueInventory</t>
        </is>
      </c>
      <c r="M291" s="28" t="n">
        <v>239</v>
      </c>
      <c r="N291" s="28" t="inlineStr">
        <is>
          <t>2026-07-01 20:54:35</t>
        </is>
      </c>
      <c r="O291" s="28" t="n">
        <v>0</v>
      </c>
      <c r="P291" s="28" t="inlineStr"/>
      <c r="Q291" s="28" t="inlineStr"/>
      <c r="R291">
        <f>IFERROR(HYPERLINK("#'Main'!B"&amp;MATCH(TRIM(A291),'Main'!B:B,0),"Open"),HYPERLINK("#'Main'!B1","Open"))</f>
        <v/>
      </c>
      <c r="S291">
        <f>IFERROR(HYPERLINK("#'"&amp;SUBSTITUTE(F291,"'","''")&amp;"'!A"&amp;MATCH(A291,INDIRECT("'"&amp;SUBSTITUTE(F291,"'","''")&amp;"'!A:A"),0),"Open"),HYPERLINK("#'"&amp;SUBSTITUTE(F291,"'","''")&amp;"'!A1","Open"))</f>
        <v/>
      </c>
    </row>
    <row r="292" ht="18" customHeight="1">
      <c r="A292" s="37" t="inlineStr">
        <is>
          <t>https://africanmarketingconfederation.org/smoke-archive/page-49</t>
        </is>
      </c>
      <c r="B292" s="30" t="inlineStr">
        <is>
          <t>Issue Inventory</t>
        </is>
      </c>
      <c r="C292" s="80" t="inlineStr">
        <is>
          <t>Lab TBT 150ms–300ms (Mobile)</t>
        </is>
      </c>
      <c r="D292" s="30" t="inlineStr">
        <is>
          <t>Observation</t>
        </is>
      </c>
      <c r="E292" s="31" t="n">
        <v>1</v>
      </c>
      <c r="F292" s="41" t="inlineStr">
        <is>
          <t>Technical Diagnostics</t>
        </is>
      </c>
      <c r="G292" s="30" t="inlineStr">
        <is>
          <t>https://africanmarketingconfederation.org/smoke-archive/page-49::lab_tbt_150ms_300ms_mobile_</t>
        </is>
      </c>
      <c r="H292" s="30" t="inlineStr">
        <is>
          <t>Dev</t>
        </is>
      </c>
      <c r="I292" s="30" t="inlineStr"/>
      <c r="J292" s="30" t="inlineStr">
        <is>
          <t>To Do</t>
        </is>
      </c>
      <c r="K292" s="31" t="inlineStr">
        <is>
          <t>https://africanmarketingconfederation.org/smoke-archive/page-49</t>
        </is>
      </c>
      <c r="L292" s="30" t="inlineStr">
        <is>
          <t>IssueInventory</t>
        </is>
      </c>
      <c r="M292" s="30" t="n">
        <v>240</v>
      </c>
      <c r="N292" s="30" t="inlineStr">
        <is>
          <t>2026-07-01 20:54:35</t>
        </is>
      </c>
      <c r="O292" s="30" t="n">
        <v>0</v>
      </c>
      <c r="P292" s="30" t="inlineStr"/>
      <c r="Q292" s="30" t="inlineStr"/>
      <c r="R292" s="38">
        <f>IFERROR(HYPERLINK("#'Main'!B"&amp;MATCH(TRIM(A292),'Main'!B:B,0),"Open"),HYPERLINK("#'Main'!B1","Open"))</f>
        <v/>
      </c>
      <c r="S292" s="38">
        <f>IFERROR(HYPERLINK("#'"&amp;SUBSTITUTE(F292,"'","''")&amp;"'!A"&amp;MATCH(A292,INDIRECT("'"&amp;SUBSTITUTE(F292,"'","''")&amp;"'!A:A"),0),"Open"),HYPERLINK("#'"&amp;SUBSTITUTE(F292,"'","''")&amp;"'!A1","Open"))</f>
        <v/>
      </c>
    </row>
    <row r="293" ht="18" customHeight="1">
      <c r="A293" s="35" t="inlineStr">
        <is>
          <t>https://africanmarketingconfederation.org/smoke-archive/page-49</t>
        </is>
      </c>
      <c r="B293" s="28" t="inlineStr">
        <is>
          <t>Issue Inventory</t>
        </is>
      </c>
      <c r="C293" s="79" t="inlineStr">
        <is>
          <t>Moderate Lighthouse Performance Mobile (50–89)</t>
        </is>
      </c>
      <c r="D293" s="28" t="inlineStr">
        <is>
          <t>Observation</t>
        </is>
      </c>
      <c r="E293" s="20" t="n">
        <v>1</v>
      </c>
      <c r="F293" s="39" t="inlineStr">
        <is>
          <t>Technical Diagnostics</t>
        </is>
      </c>
      <c r="G293" s="28" t="inlineStr">
        <is>
          <t>https://africanmarketingconfederation.org/smoke-archive/page-49::moderate_lighthouse_performance_mobile_50_89_</t>
        </is>
      </c>
      <c r="H293" s="28" t="inlineStr">
        <is>
          <t>Dev</t>
        </is>
      </c>
      <c r="I293" s="28" t="inlineStr"/>
      <c r="J293" s="28" t="inlineStr">
        <is>
          <t>To Do</t>
        </is>
      </c>
      <c r="K293" s="20" t="inlineStr">
        <is>
          <t>https://africanmarketingconfederation.org/smoke-archive/page-49</t>
        </is>
      </c>
      <c r="L293" s="28" t="inlineStr">
        <is>
          <t>IssueInventory</t>
        </is>
      </c>
      <c r="M293" s="28" t="n">
        <v>241</v>
      </c>
      <c r="N293" s="28" t="inlineStr">
        <is>
          <t>2026-07-01 20:54:35</t>
        </is>
      </c>
      <c r="O293" s="28" t="n">
        <v>0</v>
      </c>
      <c r="P293" s="28" t="inlineStr"/>
      <c r="Q293" s="28" t="inlineStr"/>
      <c r="R293">
        <f>IFERROR(HYPERLINK("#'Main'!B"&amp;MATCH(TRIM(A293),'Main'!B:B,0),"Open"),HYPERLINK("#'Main'!B1","Open"))</f>
        <v/>
      </c>
      <c r="S293">
        <f>IFERROR(HYPERLINK("#'"&amp;SUBSTITUTE(F293,"'","''")&amp;"'!A"&amp;MATCH(A293,INDIRECT("'"&amp;SUBSTITUTE(F293,"'","''")&amp;"'!A:A"),0),"Open"),HYPERLINK("#'"&amp;SUBSTITUTE(F293,"'","''")&amp;"'!A1","Open"))</f>
        <v/>
      </c>
    </row>
    <row r="294" ht="18" customHeight="1">
      <c r="A294" s="37" t="inlineStr">
        <is>
          <t>https://africanmarketingconfederation.org/smoke-archive/page-49</t>
        </is>
      </c>
      <c r="B294" s="30" t="inlineStr">
        <is>
          <t>Issue Inventory</t>
        </is>
      </c>
      <c r="C294" s="80" t="inlineStr">
        <is>
          <t>Render Blocking Resources</t>
        </is>
      </c>
      <c r="D294" s="30" t="inlineStr">
        <is>
          <t>Observation</t>
        </is>
      </c>
      <c r="E294" s="31" t="n">
        <v>1</v>
      </c>
      <c r="F294" s="41" t="inlineStr">
        <is>
          <t>Technical Diagnostics</t>
        </is>
      </c>
      <c r="G294" s="30" t="inlineStr">
        <is>
          <t>https://africanmarketingconfederation.org/smoke-archive/page-49::render_blocking_resources</t>
        </is>
      </c>
      <c r="H294" s="30" t="inlineStr">
        <is>
          <t>Dev</t>
        </is>
      </c>
      <c r="I294" s="30" t="inlineStr"/>
      <c r="J294" s="30" t="inlineStr">
        <is>
          <t>To Do</t>
        </is>
      </c>
      <c r="K294" s="31" t="inlineStr">
        <is>
          <t>https://africanmarketingconfederation.org/smoke-archive/page-49</t>
        </is>
      </c>
      <c r="L294" s="30" t="inlineStr">
        <is>
          <t>IssueInventory</t>
        </is>
      </c>
      <c r="M294" s="30" t="n">
        <v>242</v>
      </c>
      <c r="N294" s="30" t="inlineStr">
        <is>
          <t>2026-07-01 20:54:35</t>
        </is>
      </c>
      <c r="O294" s="30" t="n">
        <v>0</v>
      </c>
      <c r="P294" s="30" t="inlineStr"/>
      <c r="Q294" s="30" t="inlineStr"/>
      <c r="R294" s="38">
        <f>IFERROR(HYPERLINK("#'Main'!B"&amp;MATCH(TRIM(A294),'Main'!B:B,0),"Open"),HYPERLINK("#'Main'!B1","Open"))</f>
        <v/>
      </c>
      <c r="S294" s="38">
        <f>IFERROR(HYPERLINK("#'"&amp;SUBSTITUTE(F294,"'","''")&amp;"'!A"&amp;MATCH(A294,INDIRECT("'"&amp;SUBSTITUTE(F294,"'","''")&amp;"'!A:A"),0),"Open"),HYPERLINK("#'"&amp;SUBSTITUTE(F294,"'","''")&amp;"'!A1","Open"))</f>
        <v/>
      </c>
    </row>
    <row r="295" ht="18" customHeight="1">
      <c r="A295" s="35" t="inlineStr">
        <is>
          <t>https://africanmarketingconfederation.org/smoke-archive/page-50</t>
        </is>
      </c>
      <c r="B295" s="28" t="inlineStr">
        <is>
          <t>Issue Inventory</t>
        </is>
      </c>
      <c r="C295" s="79" t="inlineStr">
        <is>
          <t>Missing Meta Description</t>
        </is>
      </c>
      <c r="D295" s="28" t="inlineStr">
        <is>
          <t>Warning</t>
        </is>
      </c>
      <c r="E295" s="20" t="n">
        <v>1</v>
      </c>
      <c r="F295" s="39" t="inlineStr">
        <is>
          <t>Technical Diagnostics</t>
        </is>
      </c>
      <c r="G295" s="28" t="inlineStr">
        <is>
          <t>https://africanmarketingconfederation.org/smoke-archive/page-50::missing_meta_description</t>
        </is>
      </c>
      <c r="H295" s="28" t="inlineStr">
        <is>
          <t>Copy Writer</t>
        </is>
      </c>
      <c r="I295" s="28" t="inlineStr"/>
      <c r="J295" s="28" t="inlineStr">
        <is>
          <t>To Do</t>
        </is>
      </c>
      <c r="K295" s="20" t="inlineStr">
        <is>
          <t>https://africanmarketingconfederation.org/smoke-archive/page-50</t>
        </is>
      </c>
      <c r="L295" s="28" t="inlineStr">
        <is>
          <t>IssueInventory</t>
        </is>
      </c>
      <c r="M295" s="28" t="n">
        <v>243</v>
      </c>
      <c r="N295" s="28" t="inlineStr">
        <is>
          <t>2026-07-01 20:54:35</t>
        </is>
      </c>
      <c r="O295" s="28" t="n">
        <v>0</v>
      </c>
      <c r="P295" s="28" t="inlineStr"/>
      <c r="Q295" s="28" t="inlineStr"/>
      <c r="R295">
        <f>IFERROR(HYPERLINK("#'Main'!B"&amp;MATCH(TRIM(A295),'Main'!B:B,0),"Open"),HYPERLINK("#'Main'!B1","Open"))</f>
        <v/>
      </c>
      <c r="S295">
        <f>IFERROR(HYPERLINK("#'"&amp;SUBSTITUTE(F295,"'","''")&amp;"'!A"&amp;MATCH(A295,INDIRECT("'"&amp;SUBSTITUTE(F295,"'","''")&amp;"'!A:A"),0),"Open"),HYPERLINK("#'"&amp;SUBSTITUTE(F295,"'","''")&amp;"'!A1","Open"))</f>
        <v/>
      </c>
    </row>
    <row r="296" ht="18" customHeight="1">
      <c r="A296" s="37" t="inlineStr">
        <is>
          <t>https://africanmarketingconfederation.org/smoke-archive/page-50</t>
        </is>
      </c>
      <c r="B296" s="30" t="inlineStr">
        <is>
          <t>Issue Inventory</t>
        </is>
      </c>
      <c r="C296" s="80" t="inlineStr">
        <is>
          <t>Missing OG Description</t>
        </is>
      </c>
      <c r="D296" s="30" t="inlineStr">
        <is>
          <t>Warning</t>
        </is>
      </c>
      <c r="E296" s="31" t="n">
        <v>1</v>
      </c>
      <c r="F296" s="41" t="inlineStr">
        <is>
          <t>Technical Diagnostics</t>
        </is>
      </c>
      <c r="G296" s="30" t="inlineStr">
        <is>
          <t>https://africanmarketingconfederation.org/smoke-archive/page-50::missing_og_description</t>
        </is>
      </c>
      <c r="H296" s="30" t="inlineStr">
        <is>
          <t>Copy Writer</t>
        </is>
      </c>
      <c r="I296" s="30" t="inlineStr"/>
      <c r="J296" s="30" t="inlineStr">
        <is>
          <t>To Do</t>
        </is>
      </c>
      <c r="K296" s="31" t="inlineStr">
        <is>
          <t>https://africanmarketingconfederation.org/smoke-archive/page-50</t>
        </is>
      </c>
      <c r="L296" s="30" t="inlineStr">
        <is>
          <t>IssueInventory</t>
        </is>
      </c>
      <c r="M296" s="30" t="n">
        <v>244</v>
      </c>
      <c r="N296" s="30" t="inlineStr">
        <is>
          <t>2026-07-01 20:54:35</t>
        </is>
      </c>
      <c r="O296" s="30" t="n">
        <v>0</v>
      </c>
      <c r="P296" s="30" t="inlineStr"/>
      <c r="Q296" s="30" t="inlineStr"/>
      <c r="R296" s="38">
        <f>IFERROR(HYPERLINK("#'Main'!B"&amp;MATCH(TRIM(A296),'Main'!B:B,0),"Open"),HYPERLINK("#'Main'!B1","Open"))</f>
        <v/>
      </c>
      <c r="S296" s="38">
        <f>IFERROR(HYPERLINK("#'"&amp;SUBSTITUTE(F296,"'","''")&amp;"'!A"&amp;MATCH(A296,INDIRECT("'"&amp;SUBSTITUTE(F296,"'","''")&amp;"'!A:A"),0),"Open"),HYPERLINK("#'"&amp;SUBSTITUTE(F296,"'","''")&amp;"'!A1","Open"))</f>
        <v/>
      </c>
    </row>
    <row r="297" ht="18" customHeight="1">
      <c r="A297" s="35" t="inlineStr">
        <is>
          <t>https://africanmarketingconfederation.org/smoke-archive/page-50</t>
        </is>
      </c>
      <c r="B297" s="28" t="inlineStr">
        <is>
          <t>Issue Inventory</t>
        </is>
      </c>
      <c r="C297" s="79" t="inlineStr">
        <is>
          <t>Missing OG Image</t>
        </is>
      </c>
      <c r="D297" s="28" t="inlineStr">
        <is>
          <t>Warning</t>
        </is>
      </c>
      <c r="E297" s="20" t="n">
        <v>1</v>
      </c>
      <c r="F297" s="39" t="inlineStr">
        <is>
          <t>Technical Diagnostics</t>
        </is>
      </c>
      <c r="G297" s="28" t="inlineStr">
        <is>
          <t>https://africanmarketingconfederation.org/smoke-archive/page-50::missing_og_image</t>
        </is>
      </c>
      <c r="H297" s="28" t="inlineStr">
        <is>
          <t>Copy Writer</t>
        </is>
      </c>
      <c r="I297" s="28" t="inlineStr"/>
      <c r="J297" s="28" t="inlineStr">
        <is>
          <t>To Do</t>
        </is>
      </c>
      <c r="K297" s="20" t="inlineStr">
        <is>
          <t>https://africanmarketingconfederation.org/smoke-archive/page-50</t>
        </is>
      </c>
      <c r="L297" s="28" t="inlineStr">
        <is>
          <t>IssueInventory</t>
        </is>
      </c>
      <c r="M297" s="28" t="n">
        <v>245</v>
      </c>
      <c r="N297" s="28" t="inlineStr">
        <is>
          <t>2026-07-01 20:54:35</t>
        </is>
      </c>
      <c r="O297" s="28" t="n">
        <v>0</v>
      </c>
      <c r="P297" s="28" t="inlineStr"/>
      <c r="Q297" s="28" t="inlineStr"/>
      <c r="R297">
        <f>IFERROR(HYPERLINK("#'Main'!B"&amp;MATCH(TRIM(A297),'Main'!B:B,0),"Open"),HYPERLINK("#'Main'!B1","Open"))</f>
        <v/>
      </c>
      <c r="S297">
        <f>IFERROR(HYPERLINK("#'"&amp;SUBSTITUTE(F297,"'","''")&amp;"'!A"&amp;MATCH(A297,INDIRECT("'"&amp;SUBSTITUTE(F297,"'","''")&amp;"'!A:A"),0),"Open"),HYPERLINK("#'"&amp;SUBSTITUTE(F297,"'","''")&amp;"'!A1","Open"))</f>
        <v/>
      </c>
    </row>
    <row r="298" ht="18" customHeight="1">
      <c r="A298" s="37" t="inlineStr">
        <is>
          <t>https://africanmarketingconfederation.org/smoke-archive/page-50</t>
        </is>
      </c>
      <c r="B298" s="30" t="inlineStr">
        <is>
          <t>Issue Inventory</t>
        </is>
      </c>
      <c r="C298" s="80" t="inlineStr">
        <is>
          <t>Lab TBT 150ms–300ms (Mobile)</t>
        </is>
      </c>
      <c r="D298" s="30" t="inlineStr">
        <is>
          <t>Observation</t>
        </is>
      </c>
      <c r="E298" s="31" t="n">
        <v>1</v>
      </c>
      <c r="F298" s="41" t="inlineStr">
        <is>
          <t>Technical Diagnostics</t>
        </is>
      </c>
      <c r="G298" s="30" t="inlineStr">
        <is>
          <t>https://africanmarketingconfederation.org/smoke-archive/page-50::lab_tbt_150ms_300ms_mobile_</t>
        </is>
      </c>
      <c r="H298" s="30" t="inlineStr">
        <is>
          <t>Dev</t>
        </is>
      </c>
      <c r="I298" s="30" t="inlineStr"/>
      <c r="J298" s="30" t="inlineStr">
        <is>
          <t>To Do</t>
        </is>
      </c>
      <c r="K298" s="31" t="inlineStr">
        <is>
          <t>https://africanmarketingconfederation.org/smoke-archive/page-50</t>
        </is>
      </c>
      <c r="L298" s="30" t="inlineStr">
        <is>
          <t>IssueInventory</t>
        </is>
      </c>
      <c r="M298" s="30" t="n">
        <v>246</v>
      </c>
      <c r="N298" s="30" t="inlineStr">
        <is>
          <t>2026-07-01 20:54:35</t>
        </is>
      </c>
      <c r="O298" s="30" t="n">
        <v>0</v>
      </c>
      <c r="P298" s="30" t="inlineStr"/>
      <c r="Q298" s="30" t="inlineStr"/>
      <c r="R298" s="38">
        <f>IFERROR(HYPERLINK("#'Main'!B"&amp;MATCH(TRIM(A298),'Main'!B:B,0),"Open"),HYPERLINK("#'Main'!B1","Open"))</f>
        <v/>
      </c>
      <c r="S298" s="38">
        <f>IFERROR(HYPERLINK("#'"&amp;SUBSTITUTE(F298,"'","''")&amp;"'!A"&amp;MATCH(A298,INDIRECT("'"&amp;SUBSTITUTE(F298,"'","''")&amp;"'!A:A"),0),"Open"),HYPERLINK("#'"&amp;SUBSTITUTE(F298,"'","''")&amp;"'!A1","Open"))</f>
        <v/>
      </c>
    </row>
    <row r="299" ht="18" customHeight="1">
      <c r="A299" s="35" t="inlineStr">
        <is>
          <t>https://africanmarketingconfederation.org/smoke-archive/page-50</t>
        </is>
      </c>
      <c r="B299" s="28" t="inlineStr">
        <is>
          <t>Issue Inventory</t>
        </is>
      </c>
      <c r="C299" s="79" t="inlineStr">
        <is>
          <t>Moderate Lighthouse Performance Mobile (50–89)</t>
        </is>
      </c>
      <c r="D299" s="28" t="inlineStr">
        <is>
          <t>Observation</t>
        </is>
      </c>
      <c r="E299" s="20" t="n">
        <v>1</v>
      </c>
      <c r="F299" s="39" t="inlineStr">
        <is>
          <t>Technical Diagnostics</t>
        </is>
      </c>
      <c r="G299" s="28" t="inlineStr">
        <is>
          <t>https://africanmarketingconfederation.org/smoke-archive/page-50::moderate_lighthouse_performance_mobile_50_89_</t>
        </is>
      </c>
      <c r="H299" s="28" t="inlineStr">
        <is>
          <t>Dev</t>
        </is>
      </c>
      <c r="I299" s="28" t="inlineStr"/>
      <c r="J299" s="28" t="inlineStr">
        <is>
          <t>To Do</t>
        </is>
      </c>
      <c r="K299" s="20" t="inlineStr">
        <is>
          <t>https://africanmarketingconfederation.org/smoke-archive/page-50</t>
        </is>
      </c>
      <c r="L299" s="28" t="inlineStr">
        <is>
          <t>IssueInventory</t>
        </is>
      </c>
      <c r="M299" s="28" t="n">
        <v>247</v>
      </c>
      <c r="N299" s="28" t="inlineStr">
        <is>
          <t>2026-07-01 20:54:35</t>
        </is>
      </c>
      <c r="O299" s="28" t="n">
        <v>0</v>
      </c>
      <c r="P299" s="28" t="inlineStr"/>
      <c r="Q299" s="28" t="inlineStr"/>
      <c r="R299">
        <f>IFERROR(HYPERLINK("#'Main'!B"&amp;MATCH(TRIM(A299),'Main'!B:B,0),"Open"),HYPERLINK("#'Main'!B1","Open"))</f>
        <v/>
      </c>
      <c r="S299">
        <f>IFERROR(HYPERLINK("#'"&amp;SUBSTITUTE(F299,"'","''")&amp;"'!A"&amp;MATCH(A299,INDIRECT("'"&amp;SUBSTITUTE(F299,"'","''")&amp;"'!A:A"),0),"Open"),HYPERLINK("#'"&amp;SUBSTITUTE(F299,"'","''")&amp;"'!A1","Open"))</f>
        <v/>
      </c>
    </row>
    <row r="300" ht="18" customHeight="1">
      <c r="A300" s="37" t="inlineStr">
        <is>
          <t>https://africanmarketingconfederation.org/smoke-archive/page-50</t>
        </is>
      </c>
      <c r="B300" s="30" t="inlineStr">
        <is>
          <t>Issue Inventory</t>
        </is>
      </c>
      <c r="C300" s="80" t="inlineStr">
        <is>
          <t>Render Blocking Resources</t>
        </is>
      </c>
      <c r="D300" s="30" t="inlineStr">
        <is>
          <t>Observation</t>
        </is>
      </c>
      <c r="E300" s="31" t="n">
        <v>1</v>
      </c>
      <c r="F300" s="41" t="inlineStr">
        <is>
          <t>Technical Diagnostics</t>
        </is>
      </c>
      <c r="G300" s="30" t="inlineStr">
        <is>
          <t>https://africanmarketingconfederation.org/smoke-archive/page-50::render_blocking_resources</t>
        </is>
      </c>
      <c r="H300" s="30" t="inlineStr">
        <is>
          <t>Dev</t>
        </is>
      </c>
      <c r="I300" s="30" t="inlineStr"/>
      <c r="J300" s="30" t="inlineStr">
        <is>
          <t>To Do</t>
        </is>
      </c>
      <c r="K300" s="31" t="inlineStr">
        <is>
          <t>https://africanmarketingconfederation.org/smoke-archive/page-50</t>
        </is>
      </c>
      <c r="L300" s="30" t="inlineStr">
        <is>
          <t>IssueInventory</t>
        </is>
      </c>
      <c r="M300" s="30" t="n">
        <v>248</v>
      </c>
      <c r="N300" s="30" t="inlineStr">
        <is>
          <t>2026-07-01 20:54:35</t>
        </is>
      </c>
      <c r="O300" s="30" t="n">
        <v>0</v>
      </c>
      <c r="P300" s="30" t="inlineStr"/>
      <c r="Q300" s="30" t="inlineStr"/>
      <c r="R300" s="38">
        <f>IFERROR(HYPERLINK("#'Main'!B"&amp;MATCH(TRIM(A300),'Main'!B:B,0),"Open"),HYPERLINK("#'Main'!B1","Open"))</f>
        <v/>
      </c>
      <c r="S300" s="38">
        <f>IFERROR(HYPERLINK("#'"&amp;SUBSTITUTE(F300,"'","''")&amp;"'!A"&amp;MATCH(A300,INDIRECT("'"&amp;SUBSTITUTE(F300,"'","''")&amp;"'!A:A"),0),"Open"),HYPERLINK("#'"&amp;SUBSTITUTE(F300,"'","''")&amp;"'!A1","Open"))</f>
        <v/>
      </c>
    </row>
    <row r="301" ht="18" customHeight="1">
      <c r="A301" s="35" t="inlineStr">
        <is>
          <t>https://africanmarketingconfederation.org/smoke-archive/page-51</t>
        </is>
      </c>
      <c r="B301" s="28" t="inlineStr">
        <is>
          <t>Issue Inventory</t>
        </is>
      </c>
      <c r="C301" s="79" t="inlineStr">
        <is>
          <t>Non-200 Status</t>
        </is>
      </c>
      <c r="D301" s="28" t="inlineStr">
        <is>
          <t>Critical</t>
        </is>
      </c>
      <c r="E301" s="20" t="n">
        <v>1</v>
      </c>
      <c r="F301" s="39" t="inlineStr">
        <is>
          <t>Technical Diagnostics</t>
        </is>
      </c>
      <c r="G301" s="28" t="inlineStr">
        <is>
          <t>https://africanmarketingconfederation.org/smoke-archive/page-51::non-200_status</t>
        </is>
      </c>
      <c r="H301" s="28" t="inlineStr">
        <is>
          <t>Server/Host</t>
        </is>
      </c>
      <c r="I301" s="28" t="inlineStr"/>
      <c r="J301" s="28" t="inlineStr">
        <is>
          <t>To Do</t>
        </is>
      </c>
      <c r="K301" s="20" t="inlineStr">
        <is>
          <t>https://africanmarketingconfederation.org/smoke-archive/page-51</t>
        </is>
      </c>
      <c r="L301" s="28" t="inlineStr">
        <is>
          <t>IssueInventory</t>
        </is>
      </c>
      <c r="M301" s="28" t="n">
        <v>249</v>
      </c>
      <c r="N301" s="28" t="inlineStr">
        <is>
          <t>2026-07-01 20:54:35</t>
        </is>
      </c>
      <c r="O301" s="28" t="n">
        <v>0</v>
      </c>
      <c r="P301" s="28" t="inlineStr"/>
      <c r="Q301" s="28" t="inlineStr"/>
      <c r="R301">
        <f>IFERROR(HYPERLINK("#'Main'!B"&amp;MATCH(TRIM(A301),'Main'!B:B,0),"Open"),HYPERLINK("#'Main'!B1","Open"))</f>
        <v/>
      </c>
      <c r="S301">
        <f>IFERROR(HYPERLINK("#'"&amp;SUBSTITUTE(F301,"'","''")&amp;"'!A"&amp;MATCH(A301,INDIRECT("'"&amp;SUBSTITUTE(F301,"'","''")&amp;"'!A:A"),0),"Open"),HYPERLINK("#'"&amp;SUBSTITUTE(F301,"'","''")&amp;"'!A1","Open"))</f>
        <v/>
      </c>
    </row>
    <row r="302" ht="18" customHeight="1">
      <c r="A302" s="37" t="inlineStr">
        <is>
          <t>https://africanmarketingconfederation.org/smoke-archive/page-52</t>
        </is>
      </c>
      <c r="B302" s="30" t="inlineStr">
        <is>
          <t>Issue Inventory</t>
        </is>
      </c>
      <c r="C302" s="80" t="inlineStr">
        <is>
          <t>Non-200 Status</t>
        </is>
      </c>
      <c r="D302" s="30" t="inlineStr">
        <is>
          <t>Critical</t>
        </is>
      </c>
      <c r="E302" s="31" t="n">
        <v>1</v>
      </c>
      <c r="F302" s="41" t="inlineStr">
        <is>
          <t>Technical Diagnostics</t>
        </is>
      </c>
      <c r="G302" s="30" t="inlineStr">
        <is>
          <t>https://africanmarketingconfederation.org/smoke-archive/page-52::non-200_status</t>
        </is>
      </c>
      <c r="H302" s="30" t="inlineStr">
        <is>
          <t>Server/Host</t>
        </is>
      </c>
      <c r="I302" s="30" t="inlineStr"/>
      <c r="J302" s="30" t="inlineStr">
        <is>
          <t>To Do</t>
        </is>
      </c>
      <c r="K302" s="31" t="inlineStr">
        <is>
          <t>https://africanmarketingconfederation.org/smoke-archive/page-52</t>
        </is>
      </c>
      <c r="L302" s="30" t="inlineStr">
        <is>
          <t>IssueInventory</t>
        </is>
      </c>
      <c r="M302" s="30" t="n">
        <v>250</v>
      </c>
      <c r="N302" s="30" t="inlineStr">
        <is>
          <t>2026-07-01 20:54:35</t>
        </is>
      </c>
      <c r="O302" s="30" t="n">
        <v>0</v>
      </c>
      <c r="P302" s="30" t="inlineStr"/>
      <c r="Q302" s="30" t="inlineStr"/>
      <c r="R302" s="38">
        <f>IFERROR(HYPERLINK("#'Main'!B"&amp;MATCH(TRIM(A302),'Main'!B:B,0),"Open"),HYPERLINK("#'Main'!B1","Open"))</f>
        <v/>
      </c>
      <c r="S302" s="38">
        <f>IFERROR(HYPERLINK("#'"&amp;SUBSTITUTE(F302,"'","''")&amp;"'!A"&amp;MATCH(A302,INDIRECT("'"&amp;SUBSTITUTE(F302,"'","''")&amp;"'!A:A"),0),"Open"),HYPERLINK("#'"&amp;SUBSTITUTE(F302,"'","''")&amp;"'!A1","Open"))</f>
        <v/>
      </c>
    </row>
    <row r="303" ht="18" customHeight="1">
      <c r="A303" s="35" t="inlineStr">
        <is>
          <t>https://africanmarketingconfederation.org/smoke-archive/page-53</t>
        </is>
      </c>
      <c r="B303" s="28" t="inlineStr">
        <is>
          <t>Issue Inventory</t>
        </is>
      </c>
      <c r="C303" s="79" t="inlineStr">
        <is>
          <t>Missing OG Image</t>
        </is>
      </c>
      <c r="D303" s="28" t="inlineStr">
        <is>
          <t>Warning</t>
        </is>
      </c>
      <c r="E303" s="20" t="n">
        <v>1</v>
      </c>
      <c r="F303" s="39" t="inlineStr">
        <is>
          <t>Technical Diagnostics</t>
        </is>
      </c>
      <c r="G303" s="28" t="inlineStr">
        <is>
          <t>https://africanmarketingconfederation.org/smoke-archive/page-53::missing_og_image</t>
        </is>
      </c>
      <c r="H303" s="28" t="inlineStr">
        <is>
          <t>Copy Writer</t>
        </is>
      </c>
      <c r="I303" s="28" t="inlineStr"/>
      <c r="J303" s="28" t="inlineStr">
        <is>
          <t>To Do</t>
        </is>
      </c>
      <c r="K303" s="20" t="inlineStr">
        <is>
          <t>https://africanmarketingconfederation.org/smoke-archive/page-53</t>
        </is>
      </c>
      <c r="L303" s="28" t="inlineStr">
        <is>
          <t>IssueInventory</t>
        </is>
      </c>
      <c r="M303" s="28" t="n">
        <v>251</v>
      </c>
      <c r="N303" s="28" t="inlineStr">
        <is>
          <t>2026-07-01 20:54:35</t>
        </is>
      </c>
      <c r="O303" s="28" t="n">
        <v>0</v>
      </c>
      <c r="P303" s="28" t="inlineStr"/>
      <c r="Q303" s="28" t="inlineStr"/>
      <c r="R303">
        <f>IFERROR(HYPERLINK("#'Main'!B"&amp;MATCH(TRIM(A303),'Main'!B:B,0),"Open"),HYPERLINK("#'Main'!B1","Open"))</f>
        <v/>
      </c>
      <c r="S303">
        <f>IFERROR(HYPERLINK("#'"&amp;SUBSTITUTE(F303,"'","''")&amp;"'!A"&amp;MATCH(A303,INDIRECT("'"&amp;SUBSTITUTE(F303,"'","''")&amp;"'!A:A"),0),"Open"),HYPERLINK("#'"&amp;SUBSTITUTE(F303,"'","''")&amp;"'!A1","Open"))</f>
        <v/>
      </c>
    </row>
    <row r="304" ht="18" customHeight="1">
      <c r="A304" s="37" t="inlineStr">
        <is>
          <t>https://africanmarketingconfederation.org/smoke-archive/page-53</t>
        </is>
      </c>
      <c r="B304" s="30" t="inlineStr">
        <is>
          <t>Issue Inventory</t>
        </is>
      </c>
      <c r="C304" s="80" t="inlineStr">
        <is>
          <t>Lab TBT 150ms–300ms (Mobile)</t>
        </is>
      </c>
      <c r="D304" s="30" t="inlineStr">
        <is>
          <t>Observation</t>
        </is>
      </c>
      <c r="E304" s="31" t="n">
        <v>1</v>
      </c>
      <c r="F304" s="41" t="inlineStr">
        <is>
          <t>Technical Diagnostics</t>
        </is>
      </c>
      <c r="G304" s="30" t="inlineStr">
        <is>
          <t>https://africanmarketingconfederation.org/smoke-archive/page-53::lab_tbt_150ms_300ms_mobile_</t>
        </is>
      </c>
      <c r="H304" s="30" t="inlineStr">
        <is>
          <t>Dev</t>
        </is>
      </c>
      <c r="I304" s="30" t="inlineStr"/>
      <c r="J304" s="30" t="inlineStr">
        <is>
          <t>To Do</t>
        </is>
      </c>
      <c r="K304" s="31" t="inlineStr">
        <is>
          <t>https://africanmarketingconfederation.org/smoke-archive/page-53</t>
        </is>
      </c>
      <c r="L304" s="30" t="inlineStr">
        <is>
          <t>IssueInventory</t>
        </is>
      </c>
      <c r="M304" s="30" t="n">
        <v>252</v>
      </c>
      <c r="N304" s="30" t="inlineStr">
        <is>
          <t>2026-07-01 20:54:35</t>
        </is>
      </c>
      <c r="O304" s="30" t="n">
        <v>0</v>
      </c>
      <c r="P304" s="30" t="inlineStr"/>
      <c r="Q304" s="30" t="inlineStr"/>
      <c r="R304" s="38">
        <f>IFERROR(HYPERLINK("#'Main'!B"&amp;MATCH(TRIM(A304),'Main'!B:B,0),"Open"),HYPERLINK("#'Main'!B1","Open"))</f>
        <v/>
      </c>
      <c r="S304" s="38">
        <f>IFERROR(HYPERLINK("#'"&amp;SUBSTITUTE(F304,"'","''")&amp;"'!A"&amp;MATCH(A304,INDIRECT("'"&amp;SUBSTITUTE(F304,"'","''")&amp;"'!A:A"),0),"Open"),HYPERLINK("#'"&amp;SUBSTITUTE(F304,"'","''")&amp;"'!A1","Open"))</f>
        <v/>
      </c>
    </row>
    <row r="305" ht="18" customHeight="1">
      <c r="A305" s="35" t="inlineStr">
        <is>
          <t>https://africanmarketingconfederation.org/smoke-archive/page-53</t>
        </is>
      </c>
      <c r="B305" s="28" t="inlineStr">
        <is>
          <t>Issue Inventory</t>
        </is>
      </c>
      <c r="C305" s="79" t="inlineStr">
        <is>
          <t>Moderate Lighthouse Performance Mobile (50–89)</t>
        </is>
      </c>
      <c r="D305" s="28" t="inlineStr">
        <is>
          <t>Observation</t>
        </is>
      </c>
      <c r="E305" s="20" t="n">
        <v>1</v>
      </c>
      <c r="F305" s="39" t="inlineStr">
        <is>
          <t>Technical Diagnostics</t>
        </is>
      </c>
      <c r="G305" s="28" t="inlineStr">
        <is>
          <t>https://africanmarketingconfederation.org/smoke-archive/page-53::moderate_lighthouse_performance_mobile_50_89_</t>
        </is>
      </c>
      <c r="H305" s="28" t="inlineStr">
        <is>
          <t>Dev</t>
        </is>
      </c>
      <c r="I305" s="28" t="inlineStr"/>
      <c r="J305" s="28" t="inlineStr">
        <is>
          <t>To Do</t>
        </is>
      </c>
      <c r="K305" s="20" t="inlineStr">
        <is>
          <t>https://africanmarketingconfederation.org/smoke-archive/page-53</t>
        </is>
      </c>
      <c r="L305" s="28" t="inlineStr">
        <is>
          <t>IssueInventory</t>
        </is>
      </c>
      <c r="M305" s="28" t="n">
        <v>253</v>
      </c>
      <c r="N305" s="28" t="inlineStr">
        <is>
          <t>2026-07-01 20:54:35</t>
        </is>
      </c>
      <c r="O305" s="28" t="n">
        <v>0</v>
      </c>
      <c r="P305" s="28" t="inlineStr"/>
      <c r="Q305" s="28" t="inlineStr"/>
      <c r="R305">
        <f>IFERROR(HYPERLINK("#'Main'!B"&amp;MATCH(TRIM(A305),'Main'!B:B,0),"Open"),HYPERLINK("#'Main'!B1","Open"))</f>
        <v/>
      </c>
      <c r="S305">
        <f>IFERROR(HYPERLINK("#'"&amp;SUBSTITUTE(F305,"'","''")&amp;"'!A"&amp;MATCH(A305,INDIRECT("'"&amp;SUBSTITUTE(F305,"'","''")&amp;"'!A:A"),0),"Open"),HYPERLINK("#'"&amp;SUBSTITUTE(F305,"'","''")&amp;"'!A1","Open"))</f>
        <v/>
      </c>
    </row>
    <row r="306" ht="18" customHeight="1">
      <c r="A306" s="37" t="inlineStr">
        <is>
          <t>https://africanmarketingconfederation.org/smoke-archive/page-53</t>
        </is>
      </c>
      <c r="B306" s="30" t="inlineStr">
        <is>
          <t>Issue Inventory</t>
        </is>
      </c>
      <c r="C306" s="80" t="inlineStr">
        <is>
          <t>Render Blocking Resources</t>
        </is>
      </c>
      <c r="D306" s="30" t="inlineStr">
        <is>
          <t>Observation</t>
        </is>
      </c>
      <c r="E306" s="31" t="n">
        <v>1</v>
      </c>
      <c r="F306" s="41" t="inlineStr">
        <is>
          <t>Technical Diagnostics</t>
        </is>
      </c>
      <c r="G306" s="30" t="inlineStr">
        <is>
          <t>https://africanmarketingconfederation.org/smoke-archive/page-53::render_blocking_resources</t>
        </is>
      </c>
      <c r="H306" s="30" t="inlineStr">
        <is>
          <t>Dev</t>
        </is>
      </c>
      <c r="I306" s="30" t="inlineStr"/>
      <c r="J306" s="30" t="inlineStr">
        <is>
          <t>To Do</t>
        </is>
      </c>
      <c r="K306" s="31" t="inlineStr">
        <is>
          <t>https://africanmarketingconfederation.org/smoke-archive/page-53</t>
        </is>
      </c>
      <c r="L306" s="30" t="inlineStr">
        <is>
          <t>IssueInventory</t>
        </is>
      </c>
      <c r="M306" s="30" t="n">
        <v>254</v>
      </c>
      <c r="N306" s="30" t="inlineStr">
        <is>
          <t>2026-07-01 20:54:35</t>
        </is>
      </c>
      <c r="O306" s="30" t="n">
        <v>0</v>
      </c>
      <c r="P306" s="30" t="inlineStr"/>
      <c r="Q306" s="30" t="inlineStr"/>
      <c r="R306" s="38">
        <f>IFERROR(HYPERLINK("#'Main'!B"&amp;MATCH(TRIM(A306),'Main'!B:B,0),"Open"),HYPERLINK("#'Main'!B1","Open"))</f>
        <v/>
      </c>
      <c r="S306" s="38">
        <f>IFERROR(HYPERLINK("#'"&amp;SUBSTITUTE(F306,"'","''")&amp;"'!A"&amp;MATCH(A306,INDIRECT("'"&amp;SUBSTITUTE(F306,"'","''")&amp;"'!A:A"),0),"Open"),HYPERLINK("#'"&amp;SUBSTITUTE(F306,"'","''")&amp;"'!A1","Open"))</f>
        <v/>
      </c>
    </row>
    <row r="307" ht="18" customHeight="1">
      <c r="A307" s="35" t="inlineStr">
        <is>
          <t>https://africanmarketingconfederation.org/smoke-archive/page-54</t>
        </is>
      </c>
      <c r="B307" s="28" t="inlineStr">
        <is>
          <t>Issue Inventory</t>
        </is>
      </c>
      <c r="C307" s="79" t="inlineStr">
        <is>
          <t>Low Image Alt Coverage</t>
        </is>
      </c>
      <c r="D307" s="28" t="inlineStr">
        <is>
          <t>Warning</t>
        </is>
      </c>
      <c r="E307" s="20" t="n">
        <v>1</v>
      </c>
      <c r="F307" s="39" t="inlineStr">
        <is>
          <t>Technical Diagnostics</t>
        </is>
      </c>
      <c r="G307" s="28" t="inlineStr">
        <is>
          <t>https://africanmarketingconfederation.org/smoke-archive/page-54::low_image_alt_coverage</t>
        </is>
      </c>
      <c r="H307" s="28" t="inlineStr">
        <is>
          <t>Copy Writer</t>
        </is>
      </c>
      <c r="I307" s="28" t="inlineStr"/>
      <c r="J307" s="28" t="inlineStr">
        <is>
          <t>To Do</t>
        </is>
      </c>
      <c r="K307" s="20" t="inlineStr">
        <is>
          <t>https://africanmarketingconfederation.org/smoke-archive/page-54</t>
        </is>
      </c>
      <c r="L307" s="28" t="inlineStr">
        <is>
          <t>IssueInventory</t>
        </is>
      </c>
      <c r="M307" s="28" t="n">
        <v>255</v>
      </c>
      <c r="N307" s="28" t="inlineStr">
        <is>
          <t>2026-07-01 20:54:35</t>
        </is>
      </c>
      <c r="O307" s="28" t="n">
        <v>0</v>
      </c>
      <c r="P307" s="28" t="inlineStr"/>
      <c r="Q307" s="28" t="inlineStr"/>
      <c r="R307">
        <f>IFERROR(HYPERLINK("#'Main'!B"&amp;MATCH(TRIM(A307),'Main'!B:B,0),"Open"),HYPERLINK("#'Main'!B1","Open"))</f>
        <v/>
      </c>
      <c r="S307">
        <f>IFERROR(HYPERLINK("#'"&amp;SUBSTITUTE(F307,"'","''")&amp;"'!A"&amp;MATCH(A307,INDIRECT("'"&amp;SUBSTITUTE(F307,"'","''")&amp;"'!A:A"),0),"Open"),HYPERLINK("#'"&amp;SUBSTITUTE(F307,"'","''")&amp;"'!A1","Open"))</f>
        <v/>
      </c>
    </row>
    <row r="308" ht="18" customHeight="1">
      <c r="A308" s="37" t="inlineStr">
        <is>
          <t>https://africanmarketingconfederation.org/smoke-archive/page-54</t>
        </is>
      </c>
      <c r="B308" s="30" t="inlineStr">
        <is>
          <t>Issue Inventory</t>
        </is>
      </c>
      <c r="C308" s="80" t="inlineStr">
        <is>
          <t>Missing OG Image</t>
        </is>
      </c>
      <c r="D308" s="30" t="inlineStr">
        <is>
          <t>Warning</t>
        </is>
      </c>
      <c r="E308" s="31" t="n">
        <v>1</v>
      </c>
      <c r="F308" s="41" t="inlineStr">
        <is>
          <t>Technical Diagnostics</t>
        </is>
      </c>
      <c r="G308" s="30" t="inlineStr">
        <is>
          <t>https://africanmarketingconfederation.org/smoke-archive/page-54::missing_og_image</t>
        </is>
      </c>
      <c r="H308" s="30" t="inlineStr">
        <is>
          <t>Copy Writer</t>
        </is>
      </c>
      <c r="I308" s="30" t="inlineStr"/>
      <c r="J308" s="30" t="inlineStr">
        <is>
          <t>To Do</t>
        </is>
      </c>
      <c r="K308" s="31" t="inlineStr">
        <is>
          <t>https://africanmarketingconfederation.org/smoke-archive/page-54</t>
        </is>
      </c>
      <c r="L308" s="30" t="inlineStr">
        <is>
          <t>IssueInventory</t>
        </is>
      </c>
      <c r="M308" s="30" t="n">
        <v>256</v>
      </c>
      <c r="N308" s="30" t="inlineStr">
        <is>
          <t>2026-07-01 20:54:35</t>
        </is>
      </c>
      <c r="O308" s="30" t="n">
        <v>0</v>
      </c>
      <c r="P308" s="30" t="inlineStr"/>
      <c r="Q308" s="30" t="inlineStr"/>
      <c r="R308" s="38">
        <f>IFERROR(HYPERLINK("#'Main'!B"&amp;MATCH(TRIM(A308),'Main'!B:B,0),"Open"),HYPERLINK("#'Main'!B1","Open"))</f>
        <v/>
      </c>
      <c r="S308" s="38">
        <f>IFERROR(HYPERLINK("#'"&amp;SUBSTITUTE(F308,"'","''")&amp;"'!A"&amp;MATCH(A308,INDIRECT("'"&amp;SUBSTITUTE(F308,"'","''")&amp;"'!A:A"),0),"Open"),HYPERLINK("#'"&amp;SUBSTITUTE(F308,"'","''")&amp;"'!A1","Open"))</f>
        <v/>
      </c>
    </row>
    <row r="309" ht="18" customHeight="1">
      <c r="A309" s="35" t="inlineStr">
        <is>
          <t>https://africanmarketingconfederation.org/smoke-archive/page-54</t>
        </is>
      </c>
      <c r="B309" s="28" t="inlineStr">
        <is>
          <t>Issue Inventory</t>
        </is>
      </c>
      <c r="C309" s="79" t="inlineStr">
        <is>
          <t>Low AEO Readiness Score</t>
        </is>
      </c>
      <c r="D309" s="28" t="inlineStr">
        <is>
          <t>Warning</t>
        </is>
      </c>
      <c r="E309" s="20" t="n">
        <v>1</v>
      </c>
      <c r="F309" s="39" t="inlineStr">
        <is>
          <t>Content &amp; AI Readiness</t>
        </is>
      </c>
      <c r="G309" s="28" t="inlineStr">
        <is>
          <t>https://africanmarketingconfederation.org/smoke-archive/page-54::low_aeo_readiness_score</t>
        </is>
      </c>
      <c r="H309" s="28" t="inlineStr">
        <is>
          <t>Copy Writer</t>
        </is>
      </c>
      <c r="I309" s="28" t="inlineStr"/>
      <c r="J309" s="28" t="inlineStr">
        <is>
          <t>To Do</t>
        </is>
      </c>
      <c r="K309" s="20" t="inlineStr">
        <is>
          <t>https://africanmarketingconfederation.org/smoke-archive/page-54</t>
        </is>
      </c>
      <c r="L309" s="28" t="inlineStr">
        <is>
          <t>IssueInventory</t>
        </is>
      </c>
      <c r="M309" s="28" t="n">
        <v>257</v>
      </c>
      <c r="N309" s="28" t="inlineStr">
        <is>
          <t>2026-07-01 20:54:35</t>
        </is>
      </c>
      <c r="O309" s="28" t="n">
        <v>0</v>
      </c>
      <c r="P309" s="28" t="inlineStr"/>
      <c r="Q309" s="28" t="inlineStr"/>
      <c r="R309">
        <f>IFERROR(HYPERLINK("#'Main'!B"&amp;MATCH(TRIM(A309),'Main'!B:B,0),"Open"),HYPERLINK("#'Main'!B1","Open"))</f>
        <v/>
      </c>
      <c r="S309">
        <f>IFERROR(HYPERLINK("#'"&amp;SUBSTITUTE(F309,"'","''")&amp;"'!A"&amp;MATCH(A309,INDIRECT("'"&amp;SUBSTITUTE(F309,"'","''")&amp;"'!A:A"),0),"Open"),HYPERLINK("#'"&amp;SUBSTITUTE(F309,"'","''")&amp;"'!A1","Open"))</f>
        <v/>
      </c>
    </row>
    <row r="310" ht="18" customHeight="1">
      <c r="A310" s="37" t="inlineStr">
        <is>
          <t>https://africanmarketingconfederation.org/smoke-archive/page-54</t>
        </is>
      </c>
      <c r="B310" s="30" t="inlineStr">
        <is>
          <t>Issue Inventory</t>
        </is>
      </c>
      <c r="C310" s="80" t="inlineStr">
        <is>
          <t>No Question Headings</t>
        </is>
      </c>
      <c r="D310" s="30" t="inlineStr">
        <is>
          <t>Observation</t>
        </is>
      </c>
      <c r="E310" s="31" t="n">
        <v>1</v>
      </c>
      <c r="F310" s="41" t="inlineStr">
        <is>
          <t>Content &amp; AI Readiness</t>
        </is>
      </c>
      <c r="G310" s="30" t="inlineStr">
        <is>
          <t>https://africanmarketingconfederation.org/smoke-archive/page-54::no_question_headings</t>
        </is>
      </c>
      <c r="H310" s="30" t="inlineStr">
        <is>
          <t>Copy Writer</t>
        </is>
      </c>
      <c r="I310" s="30" t="inlineStr"/>
      <c r="J310" s="30" t="inlineStr">
        <is>
          <t>To Do</t>
        </is>
      </c>
      <c r="K310" s="31" t="inlineStr">
        <is>
          <t>https://africanmarketingconfederation.org/smoke-archive/page-54</t>
        </is>
      </c>
      <c r="L310" s="30" t="inlineStr">
        <is>
          <t>IssueInventory</t>
        </is>
      </c>
      <c r="M310" s="30" t="n">
        <v>258</v>
      </c>
      <c r="N310" s="30" t="inlineStr">
        <is>
          <t>2026-07-01 20:54:35</t>
        </is>
      </c>
      <c r="O310" s="30" t="n">
        <v>0</v>
      </c>
      <c r="P310" s="30" t="inlineStr"/>
      <c r="Q310" s="30" t="inlineStr"/>
      <c r="R310" s="38">
        <f>IFERROR(HYPERLINK("#'Main'!B"&amp;MATCH(TRIM(A310),'Main'!B:B,0),"Open"),HYPERLINK("#'Main'!B1","Open"))</f>
        <v/>
      </c>
      <c r="S310" s="38">
        <f>IFERROR(HYPERLINK("#'"&amp;SUBSTITUTE(F310,"'","''")&amp;"'!A"&amp;MATCH(A310,INDIRECT("'"&amp;SUBSTITUTE(F310,"'","''")&amp;"'!A:A"),0),"Open"),HYPERLINK("#'"&amp;SUBSTITUTE(F310,"'","''")&amp;"'!A1","Open"))</f>
        <v/>
      </c>
    </row>
    <row r="311" ht="18" customHeight="1">
      <c r="A311" s="35" t="inlineStr">
        <is>
          <t>https://africanmarketingconfederation.org/smoke-archive/page-54</t>
        </is>
      </c>
      <c r="B311" s="28" t="inlineStr">
        <is>
          <t>Issue Inventory</t>
        </is>
      </c>
      <c r="C311" s="79" t="inlineStr">
        <is>
          <t>No Answer-Friendly Structure</t>
        </is>
      </c>
      <c r="D311" s="28" t="inlineStr">
        <is>
          <t>Observation</t>
        </is>
      </c>
      <c r="E311" s="20" t="n">
        <v>1</v>
      </c>
      <c r="F311" s="39" t="inlineStr">
        <is>
          <t>Technical Diagnostics</t>
        </is>
      </c>
      <c r="G311" s="28" t="inlineStr">
        <is>
          <t>https://africanmarketingconfederation.org/smoke-archive/page-54::no_answer-friendly_structure</t>
        </is>
      </c>
      <c r="H311" s="28" t="inlineStr">
        <is>
          <t>Copy Writer</t>
        </is>
      </c>
      <c r="I311" s="28" t="inlineStr"/>
      <c r="J311" s="28" t="inlineStr">
        <is>
          <t>To Do</t>
        </is>
      </c>
      <c r="K311" s="20" t="inlineStr">
        <is>
          <t>https://africanmarketingconfederation.org/smoke-archive/page-54</t>
        </is>
      </c>
      <c r="L311" s="28" t="inlineStr">
        <is>
          <t>IssueInventory</t>
        </is>
      </c>
      <c r="M311" s="28" t="n">
        <v>259</v>
      </c>
      <c r="N311" s="28" t="inlineStr">
        <is>
          <t>2026-07-01 20:54:35</t>
        </is>
      </c>
      <c r="O311" s="28" t="n">
        <v>0</v>
      </c>
      <c r="P311" s="28" t="inlineStr"/>
      <c r="Q311" s="28" t="inlineStr"/>
      <c r="R311">
        <f>IFERROR(HYPERLINK("#'Main'!B"&amp;MATCH(TRIM(A311),'Main'!B:B,0),"Open"),HYPERLINK("#'Main'!B1","Open"))</f>
        <v/>
      </c>
      <c r="S311">
        <f>IFERROR(HYPERLINK("#'"&amp;SUBSTITUTE(F311,"'","''")&amp;"'!A"&amp;MATCH(A311,INDIRECT("'"&amp;SUBSTITUTE(F311,"'","''")&amp;"'!A:A"),0),"Open"),HYPERLINK("#'"&amp;SUBSTITUTE(F311,"'","''")&amp;"'!A1","Open"))</f>
        <v/>
      </c>
    </row>
    <row r="312" ht="18" customHeight="1">
      <c r="A312" s="37" t="inlineStr">
        <is>
          <t>https://africanmarketingconfederation.org/smoke-archive/page-54</t>
        </is>
      </c>
      <c r="B312" s="30" t="inlineStr">
        <is>
          <t>Issue Inventory</t>
        </is>
      </c>
      <c r="C312" s="80" t="inlineStr">
        <is>
          <t>No 40-60 Word Answer Paragraphs</t>
        </is>
      </c>
      <c r="D312" s="30" t="inlineStr">
        <is>
          <t>Observation</t>
        </is>
      </c>
      <c r="E312" s="31" t="n">
        <v>1</v>
      </c>
      <c r="F312" s="41" t="inlineStr">
        <is>
          <t>Technical Diagnostics</t>
        </is>
      </c>
      <c r="G312" s="30" t="inlineStr">
        <is>
          <t>https://africanmarketingconfederation.org/smoke-archive/page-54::no_40-60_word_answer_paragraphs</t>
        </is>
      </c>
      <c r="H312" s="30" t="inlineStr">
        <is>
          <t>Copy Writer</t>
        </is>
      </c>
      <c r="I312" s="30" t="inlineStr"/>
      <c r="J312" s="30" t="inlineStr">
        <is>
          <t>To Do</t>
        </is>
      </c>
      <c r="K312" s="31" t="inlineStr">
        <is>
          <t>https://africanmarketingconfederation.org/smoke-archive/page-54</t>
        </is>
      </c>
      <c r="L312" s="30" t="inlineStr">
        <is>
          <t>IssueInventory</t>
        </is>
      </c>
      <c r="M312" s="30" t="n">
        <v>260</v>
      </c>
      <c r="N312" s="30" t="inlineStr">
        <is>
          <t>2026-07-01 20:54:35</t>
        </is>
      </c>
      <c r="O312" s="30" t="n">
        <v>0</v>
      </c>
      <c r="P312" s="30" t="inlineStr"/>
      <c r="Q312" s="30" t="inlineStr"/>
      <c r="R312" s="38">
        <f>IFERROR(HYPERLINK("#'Main'!B"&amp;MATCH(TRIM(A312),'Main'!B:B,0),"Open"),HYPERLINK("#'Main'!B1","Open"))</f>
        <v/>
      </c>
      <c r="S312" s="38">
        <f>IFERROR(HYPERLINK("#'"&amp;SUBSTITUTE(F312,"'","''")&amp;"'!A"&amp;MATCH(A312,INDIRECT("'"&amp;SUBSTITUTE(F312,"'","''")&amp;"'!A:A"),0),"Open"),HYPERLINK("#'"&amp;SUBSTITUTE(F312,"'","''")&amp;"'!A1","Open"))</f>
        <v/>
      </c>
    </row>
    <row r="313" ht="18" customHeight="1">
      <c r="A313" s="35" t="inlineStr">
        <is>
          <t>https://africanmarketingconfederation.org/smoke-archive/page-54</t>
        </is>
      </c>
      <c r="B313" s="28" t="inlineStr">
        <is>
          <t>Issue Inventory</t>
        </is>
      </c>
      <c r="C313" s="79" t="inlineStr">
        <is>
          <t>Lab TBT 150ms–300ms (Mobile)</t>
        </is>
      </c>
      <c r="D313" s="28" t="inlineStr">
        <is>
          <t>Observation</t>
        </is>
      </c>
      <c r="E313" s="20" t="n">
        <v>1</v>
      </c>
      <c r="F313" s="39" t="inlineStr">
        <is>
          <t>Technical Diagnostics</t>
        </is>
      </c>
      <c r="G313" s="28" t="inlineStr">
        <is>
          <t>https://africanmarketingconfederation.org/smoke-archive/page-54::lab_tbt_150ms_300ms_mobile_</t>
        </is>
      </c>
      <c r="H313" s="28" t="inlineStr">
        <is>
          <t>Dev</t>
        </is>
      </c>
      <c r="I313" s="28" t="inlineStr"/>
      <c r="J313" s="28" t="inlineStr">
        <is>
          <t>To Do</t>
        </is>
      </c>
      <c r="K313" s="20" t="inlineStr">
        <is>
          <t>https://africanmarketingconfederation.org/smoke-archive/page-54</t>
        </is>
      </c>
      <c r="L313" s="28" t="inlineStr">
        <is>
          <t>IssueInventory</t>
        </is>
      </c>
      <c r="M313" s="28" t="n">
        <v>261</v>
      </c>
      <c r="N313" s="28" t="inlineStr">
        <is>
          <t>2026-07-01 20:54:35</t>
        </is>
      </c>
      <c r="O313" s="28" t="n">
        <v>0</v>
      </c>
      <c r="P313" s="28" t="inlineStr"/>
      <c r="Q313" s="28" t="inlineStr"/>
      <c r="R313">
        <f>IFERROR(HYPERLINK("#'Main'!B"&amp;MATCH(TRIM(A313),'Main'!B:B,0),"Open"),HYPERLINK("#'Main'!B1","Open"))</f>
        <v/>
      </c>
      <c r="S313">
        <f>IFERROR(HYPERLINK("#'"&amp;SUBSTITUTE(F313,"'","''")&amp;"'!A"&amp;MATCH(A313,INDIRECT("'"&amp;SUBSTITUTE(F313,"'","''")&amp;"'!A:A"),0),"Open"),HYPERLINK("#'"&amp;SUBSTITUTE(F313,"'","''")&amp;"'!A1","Open"))</f>
        <v/>
      </c>
    </row>
    <row r="314" ht="18" customHeight="1">
      <c r="A314" s="37" t="inlineStr">
        <is>
          <t>https://africanmarketingconfederation.org/smoke-archive/page-54</t>
        </is>
      </c>
      <c r="B314" s="30" t="inlineStr">
        <is>
          <t>Issue Inventory</t>
        </is>
      </c>
      <c r="C314" s="80" t="inlineStr">
        <is>
          <t>Moderate Lighthouse Performance Mobile (50–89)</t>
        </is>
      </c>
      <c r="D314" s="30" t="inlineStr">
        <is>
          <t>Observation</t>
        </is>
      </c>
      <c r="E314" s="31" t="n">
        <v>1</v>
      </c>
      <c r="F314" s="41" t="inlineStr">
        <is>
          <t>Technical Diagnostics</t>
        </is>
      </c>
      <c r="G314" s="30" t="inlineStr">
        <is>
          <t>https://africanmarketingconfederation.org/smoke-archive/page-54::moderate_lighthouse_performance_mobile_50_89_</t>
        </is>
      </c>
      <c r="H314" s="30" t="inlineStr">
        <is>
          <t>Dev</t>
        </is>
      </c>
      <c r="I314" s="30" t="inlineStr"/>
      <c r="J314" s="30" t="inlineStr">
        <is>
          <t>To Do</t>
        </is>
      </c>
      <c r="K314" s="31" t="inlineStr">
        <is>
          <t>https://africanmarketingconfederation.org/smoke-archive/page-54</t>
        </is>
      </c>
      <c r="L314" s="30" t="inlineStr">
        <is>
          <t>IssueInventory</t>
        </is>
      </c>
      <c r="M314" s="30" t="n">
        <v>262</v>
      </c>
      <c r="N314" s="30" t="inlineStr">
        <is>
          <t>2026-07-01 20:54:35</t>
        </is>
      </c>
      <c r="O314" s="30" t="n">
        <v>0</v>
      </c>
      <c r="P314" s="30" t="inlineStr"/>
      <c r="Q314" s="30" t="inlineStr"/>
      <c r="R314" s="38">
        <f>IFERROR(HYPERLINK("#'Main'!B"&amp;MATCH(TRIM(A314),'Main'!B:B,0),"Open"),HYPERLINK("#'Main'!B1","Open"))</f>
        <v/>
      </c>
      <c r="S314" s="38">
        <f>IFERROR(HYPERLINK("#'"&amp;SUBSTITUTE(F314,"'","''")&amp;"'!A"&amp;MATCH(A314,INDIRECT("'"&amp;SUBSTITUTE(F314,"'","''")&amp;"'!A:A"),0),"Open"),HYPERLINK("#'"&amp;SUBSTITUTE(F314,"'","''")&amp;"'!A1","Open"))</f>
        <v/>
      </c>
    </row>
    <row r="315" ht="18" customHeight="1">
      <c r="A315" s="35" t="inlineStr">
        <is>
          <t>https://africanmarketingconfederation.org/smoke-archive/page-54</t>
        </is>
      </c>
      <c r="B315" s="28" t="inlineStr">
        <is>
          <t>Issue Inventory</t>
        </is>
      </c>
      <c r="C315" s="79" t="inlineStr">
        <is>
          <t>Render Blocking Resources</t>
        </is>
      </c>
      <c r="D315" s="28" t="inlineStr">
        <is>
          <t>Observation</t>
        </is>
      </c>
      <c r="E315" s="20" t="n">
        <v>1</v>
      </c>
      <c r="F315" s="39" t="inlineStr">
        <is>
          <t>Technical Diagnostics</t>
        </is>
      </c>
      <c r="G315" s="28" t="inlineStr">
        <is>
          <t>https://africanmarketingconfederation.org/smoke-archive/page-54::render_blocking_resources</t>
        </is>
      </c>
      <c r="H315" s="28" t="inlineStr">
        <is>
          <t>Dev</t>
        </is>
      </c>
      <c r="I315" s="28" t="inlineStr"/>
      <c r="J315" s="28" t="inlineStr">
        <is>
          <t>To Do</t>
        </is>
      </c>
      <c r="K315" s="20" t="inlineStr">
        <is>
          <t>https://africanmarketingconfederation.org/smoke-archive/page-54</t>
        </is>
      </c>
      <c r="L315" s="28" t="inlineStr">
        <is>
          <t>IssueInventory</t>
        </is>
      </c>
      <c r="M315" s="28" t="n">
        <v>263</v>
      </c>
      <c r="N315" s="28" t="inlineStr">
        <is>
          <t>2026-07-01 20:54:35</t>
        </is>
      </c>
      <c r="O315" s="28" t="n">
        <v>0</v>
      </c>
      <c r="P315" s="28" t="inlineStr"/>
      <c r="Q315" s="28" t="inlineStr"/>
      <c r="R315">
        <f>IFERROR(HYPERLINK("#'Main'!B"&amp;MATCH(TRIM(A315),'Main'!B:B,0),"Open"),HYPERLINK("#'Main'!B1","Open"))</f>
        <v/>
      </c>
      <c r="S315">
        <f>IFERROR(HYPERLINK("#'"&amp;SUBSTITUTE(F315,"'","''")&amp;"'!A"&amp;MATCH(A315,INDIRECT("'"&amp;SUBSTITUTE(F315,"'","''")&amp;"'!A:A"),0),"Open"),HYPERLINK("#'"&amp;SUBSTITUTE(F315,"'","''")&amp;"'!A1","Open"))</f>
        <v/>
      </c>
    </row>
    <row r="316" ht="18" customHeight="1">
      <c r="A316" s="37" t="inlineStr">
        <is>
          <t>https://africanmarketingconfederation.org/smoke-archive/page-55</t>
        </is>
      </c>
      <c r="B316" s="30" t="inlineStr">
        <is>
          <t>Issue Inventory</t>
        </is>
      </c>
      <c r="C316" s="80" t="inlineStr">
        <is>
          <t>Missing Meta Description</t>
        </is>
      </c>
      <c r="D316" s="30" t="inlineStr">
        <is>
          <t>Warning</t>
        </is>
      </c>
      <c r="E316" s="31" t="n">
        <v>1</v>
      </c>
      <c r="F316" s="41" t="inlineStr">
        <is>
          <t>Technical Diagnostics</t>
        </is>
      </c>
      <c r="G316" s="30" t="inlineStr">
        <is>
          <t>https://africanmarketingconfederation.org/smoke-archive/page-55::missing_meta_description</t>
        </is>
      </c>
      <c r="H316" s="30" t="inlineStr">
        <is>
          <t>Copy Writer</t>
        </is>
      </c>
      <c r="I316" s="30" t="inlineStr"/>
      <c r="J316" s="30" t="inlineStr">
        <is>
          <t>To Do</t>
        </is>
      </c>
      <c r="K316" s="31" t="inlineStr">
        <is>
          <t>https://africanmarketingconfederation.org/smoke-archive/page-55</t>
        </is>
      </c>
      <c r="L316" s="30" t="inlineStr">
        <is>
          <t>IssueInventory</t>
        </is>
      </c>
      <c r="M316" s="30" t="n">
        <v>264</v>
      </c>
      <c r="N316" s="30" t="inlineStr">
        <is>
          <t>2026-07-01 20:54:35</t>
        </is>
      </c>
      <c r="O316" s="30" t="n">
        <v>0</v>
      </c>
      <c r="P316" s="30" t="inlineStr"/>
      <c r="Q316" s="30" t="inlineStr"/>
      <c r="R316" s="38">
        <f>IFERROR(HYPERLINK("#'Main'!B"&amp;MATCH(TRIM(A316),'Main'!B:B,0),"Open"),HYPERLINK("#'Main'!B1","Open"))</f>
        <v/>
      </c>
      <c r="S316" s="38">
        <f>IFERROR(HYPERLINK("#'"&amp;SUBSTITUTE(F316,"'","''")&amp;"'!A"&amp;MATCH(A316,INDIRECT("'"&amp;SUBSTITUTE(F316,"'","''")&amp;"'!A:A"),0),"Open"),HYPERLINK("#'"&amp;SUBSTITUTE(F316,"'","''")&amp;"'!A1","Open"))</f>
        <v/>
      </c>
    </row>
    <row r="317" ht="18" customHeight="1">
      <c r="A317" s="35" t="inlineStr">
        <is>
          <t>https://africanmarketingconfederation.org/smoke-archive/page-55</t>
        </is>
      </c>
      <c r="B317" s="28" t="inlineStr">
        <is>
          <t>Issue Inventory</t>
        </is>
      </c>
      <c r="C317" s="79" t="inlineStr">
        <is>
          <t>Missing OG Description</t>
        </is>
      </c>
      <c r="D317" s="28" t="inlineStr">
        <is>
          <t>Warning</t>
        </is>
      </c>
      <c r="E317" s="20" t="n">
        <v>1</v>
      </c>
      <c r="F317" s="39" t="inlineStr">
        <is>
          <t>Technical Diagnostics</t>
        </is>
      </c>
      <c r="G317" s="28" t="inlineStr">
        <is>
          <t>https://africanmarketingconfederation.org/smoke-archive/page-55::missing_og_description</t>
        </is>
      </c>
      <c r="H317" s="28" t="inlineStr">
        <is>
          <t>Copy Writer</t>
        </is>
      </c>
      <c r="I317" s="28" t="inlineStr"/>
      <c r="J317" s="28" t="inlineStr">
        <is>
          <t>To Do</t>
        </is>
      </c>
      <c r="K317" s="20" t="inlineStr">
        <is>
          <t>https://africanmarketingconfederation.org/smoke-archive/page-55</t>
        </is>
      </c>
      <c r="L317" s="28" t="inlineStr">
        <is>
          <t>IssueInventory</t>
        </is>
      </c>
      <c r="M317" s="28" t="n">
        <v>265</v>
      </c>
      <c r="N317" s="28" t="inlineStr">
        <is>
          <t>2026-07-01 20:54:35</t>
        </is>
      </c>
      <c r="O317" s="28" t="n">
        <v>0</v>
      </c>
      <c r="P317" s="28" t="inlineStr"/>
      <c r="Q317" s="28" t="inlineStr"/>
      <c r="R317">
        <f>IFERROR(HYPERLINK("#'Main'!B"&amp;MATCH(TRIM(A317),'Main'!B:B,0),"Open"),HYPERLINK("#'Main'!B1","Open"))</f>
        <v/>
      </c>
      <c r="S317">
        <f>IFERROR(HYPERLINK("#'"&amp;SUBSTITUTE(F317,"'","''")&amp;"'!A"&amp;MATCH(A317,INDIRECT("'"&amp;SUBSTITUTE(F317,"'","''")&amp;"'!A:A"),0),"Open"),HYPERLINK("#'"&amp;SUBSTITUTE(F317,"'","''")&amp;"'!A1","Open"))</f>
        <v/>
      </c>
    </row>
    <row r="318" ht="18" customHeight="1">
      <c r="A318" s="37" t="inlineStr">
        <is>
          <t>https://africanmarketingconfederation.org/smoke-archive/page-55</t>
        </is>
      </c>
      <c r="B318" s="30" t="inlineStr">
        <is>
          <t>Issue Inventory</t>
        </is>
      </c>
      <c r="C318" s="80" t="inlineStr">
        <is>
          <t>Missing OG Image</t>
        </is>
      </c>
      <c r="D318" s="30" t="inlineStr">
        <is>
          <t>Warning</t>
        </is>
      </c>
      <c r="E318" s="31" t="n">
        <v>1</v>
      </c>
      <c r="F318" s="41" t="inlineStr">
        <is>
          <t>Technical Diagnostics</t>
        </is>
      </c>
      <c r="G318" s="30" t="inlineStr">
        <is>
          <t>https://africanmarketingconfederation.org/smoke-archive/page-55::missing_og_image</t>
        </is>
      </c>
      <c r="H318" s="30" t="inlineStr">
        <is>
          <t>Copy Writer</t>
        </is>
      </c>
      <c r="I318" s="30" t="inlineStr"/>
      <c r="J318" s="30" t="inlineStr">
        <is>
          <t>To Do</t>
        </is>
      </c>
      <c r="K318" s="31" t="inlineStr">
        <is>
          <t>https://africanmarketingconfederation.org/smoke-archive/page-55</t>
        </is>
      </c>
      <c r="L318" s="30" t="inlineStr">
        <is>
          <t>IssueInventory</t>
        </is>
      </c>
      <c r="M318" s="30" t="n">
        <v>266</v>
      </c>
      <c r="N318" s="30" t="inlineStr">
        <is>
          <t>2026-07-01 20:54:35</t>
        </is>
      </c>
      <c r="O318" s="30" t="n">
        <v>0</v>
      </c>
      <c r="P318" s="30" t="inlineStr"/>
      <c r="Q318" s="30" t="inlineStr"/>
      <c r="R318" s="38">
        <f>IFERROR(HYPERLINK("#'Main'!B"&amp;MATCH(TRIM(A318),'Main'!B:B,0),"Open"),HYPERLINK("#'Main'!B1","Open"))</f>
        <v/>
      </c>
      <c r="S318" s="38">
        <f>IFERROR(HYPERLINK("#'"&amp;SUBSTITUTE(F318,"'","''")&amp;"'!A"&amp;MATCH(A318,INDIRECT("'"&amp;SUBSTITUTE(F318,"'","''")&amp;"'!A:A"),0),"Open"),HYPERLINK("#'"&amp;SUBSTITUTE(F318,"'","''")&amp;"'!A1","Open"))</f>
        <v/>
      </c>
    </row>
    <row r="319" ht="18" customHeight="1">
      <c r="A319" s="35" t="inlineStr">
        <is>
          <t>https://africanmarketingconfederation.org/smoke-archive/page-55</t>
        </is>
      </c>
      <c r="B319" s="28" t="inlineStr">
        <is>
          <t>Issue Inventory</t>
        </is>
      </c>
      <c r="C319" s="79" t="inlineStr">
        <is>
          <t>Lab TBT 150ms–300ms (Mobile)</t>
        </is>
      </c>
      <c r="D319" s="28" t="inlineStr">
        <is>
          <t>Observation</t>
        </is>
      </c>
      <c r="E319" s="20" t="n">
        <v>1</v>
      </c>
      <c r="F319" s="39" t="inlineStr">
        <is>
          <t>Technical Diagnostics</t>
        </is>
      </c>
      <c r="G319" s="28" t="inlineStr">
        <is>
          <t>https://africanmarketingconfederation.org/smoke-archive/page-55::lab_tbt_150ms_300ms_mobile_</t>
        </is>
      </c>
      <c r="H319" s="28" t="inlineStr">
        <is>
          <t>Dev</t>
        </is>
      </c>
      <c r="I319" s="28" t="inlineStr"/>
      <c r="J319" s="28" t="inlineStr">
        <is>
          <t>To Do</t>
        </is>
      </c>
      <c r="K319" s="20" t="inlineStr">
        <is>
          <t>https://africanmarketingconfederation.org/smoke-archive/page-55</t>
        </is>
      </c>
      <c r="L319" s="28" t="inlineStr">
        <is>
          <t>IssueInventory</t>
        </is>
      </c>
      <c r="M319" s="28" t="n">
        <v>267</v>
      </c>
      <c r="N319" s="28" t="inlineStr">
        <is>
          <t>2026-07-01 20:54:35</t>
        </is>
      </c>
      <c r="O319" s="28" t="n">
        <v>0</v>
      </c>
      <c r="P319" s="28" t="inlineStr"/>
      <c r="Q319" s="28" t="inlineStr"/>
      <c r="R319">
        <f>IFERROR(HYPERLINK("#'Main'!B"&amp;MATCH(TRIM(A319),'Main'!B:B,0),"Open"),HYPERLINK("#'Main'!B1","Open"))</f>
        <v/>
      </c>
      <c r="S319">
        <f>IFERROR(HYPERLINK("#'"&amp;SUBSTITUTE(F319,"'","''")&amp;"'!A"&amp;MATCH(A319,INDIRECT("'"&amp;SUBSTITUTE(F319,"'","''")&amp;"'!A:A"),0),"Open"),HYPERLINK("#'"&amp;SUBSTITUTE(F319,"'","''")&amp;"'!A1","Open"))</f>
        <v/>
      </c>
    </row>
    <row r="320" ht="18" customHeight="1">
      <c r="A320" s="37" t="inlineStr">
        <is>
          <t>https://africanmarketingconfederation.org/smoke-archive/page-55</t>
        </is>
      </c>
      <c r="B320" s="30" t="inlineStr">
        <is>
          <t>Issue Inventory</t>
        </is>
      </c>
      <c r="C320" s="80" t="inlineStr">
        <is>
          <t>Moderate Lighthouse Performance Mobile (50–89)</t>
        </is>
      </c>
      <c r="D320" s="30" t="inlineStr">
        <is>
          <t>Observation</t>
        </is>
      </c>
      <c r="E320" s="31" t="n">
        <v>1</v>
      </c>
      <c r="F320" s="41" t="inlineStr">
        <is>
          <t>Technical Diagnostics</t>
        </is>
      </c>
      <c r="G320" s="30" t="inlineStr">
        <is>
          <t>https://africanmarketingconfederation.org/smoke-archive/page-55::moderate_lighthouse_performance_mobile_50_89_</t>
        </is>
      </c>
      <c r="H320" s="30" t="inlineStr">
        <is>
          <t>Dev</t>
        </is>
      </c>
      <c r="I320" s="30" t="inlineStr"/>
      <c r="J320" s="30" t="inlineStr">
        <is>
          <t>To Do</t>
        </is>
      </c>
      <c r="K320" s="31" t="inlineStr">
        <is>
          <t>https://africanmarketingconfederation.org/smoke-archive/page-55</t>
        </is>
      </c>
      <c r="L320" s="30" t="inlineStr">
        <is>
          <t>IssueInventory</t>
        </is>
      </c>
      <c r="M320" s="30" t="n">
        <v>268</v>
      </c>
      <c r="N320" s="30" t="inlineStr">
        <is>
          <t>2026-07-01 20:54:35</t>
        </is>
      </c>
      <c r="O320" s="30" t="n">
        <v>0</v>
      </c>
      <c r="P320" s="30" t="inlineStr"/>
      <c r="Q320" s="30" t="inlineStr"/>
      <c r="R320" s="38">
        <f>IFERROR(HYPERLINK("#'Main'!B"&amp;MATCH(TRIM(A320),'Main'!B:B,0),"Open"),HYPERLINK("#'Main'!B1","Open"))</f>
        <v/>
      </c>
      <c r="S320" s="38">
        <f>IFERROR(HYPERLINK("#'"&amp;SUBSTITUTE(F320,"'","''")&amp;"'!A"&amp;MATCH(A320,INDIRECT("'"&amp;SUBSTITUTE(F320,"'","''")&amp;"'!A:A"),0),"Open"),HYPERLINK("#'"&amp;SUBSTITUTE(F320,"'","''")&amp;"'!A1","Open"))</f>
        <v/>
      </c>
    </row>
    <row r="321" ht="18" customHeight="1">
      <c r="A321" s="35" t="inlineStr">
        <is>
          <t>https://africanmarketingconfederation.org/smoke-archive/page-55</t>
        </is>
      </c>
      <c r="B321" s="28" t="inlineStr">
        <is>
          <t>Issue Inventory</t>
        </is>
      </c>
      <c r="C321" s="79" t="inlineStr">
        <is>
          <t>Render Blocking Resources</t>
        </is>
      </c>
      <c r="D321" s="28" t="inlineStr">
        <is>
          <t>Observation</t>
        </is>
      </c>
      <c r="E321" s="20" t="n">
        <v>1</v>
      </c>
      <c r="F321" s="39" t="inlineStr">
        <is>
          <t>Technical Diagnostics</t>
        </is>
      </c>
      <c r="G321" s="28" t="inlineStr">
        <is>
          <t>https://africanmarketingconfederation.org/smoke-archive/page-55::render_blocking_resources</t>
        </is>
      </c>
      <c r="H321" s="28" t="inlineStr">
        <is>
          <t>Dev</t>
        </is>
      </c>
      <c r="I321" s="28" t="inlineStr"/>
      <c r="J321" s="28" t="inlineStr">
        <is>
          <t>To Do</t>
        </is>
      </c>
      <c r="K321" s="20" t="inlineStr">
        <is>
          <t>https://africanmarketingconfederation.org/smoke-archive/page-55</t>
        </is>
      </c>
      <c r="L321" s="28" t="inlineStr">
        <is>
          <t>IssueInventory</t>
        </is>
      </c>
      <c r="M321" s="28" t="n">
        <v>269</v>
      </c>
      <c r="N321" s="28" t="inlineStr">
        <is>
          <t>2026-07-01 20:54:35</t>
        </is>
      </c>
      <c r="O321" s="28" t="n">
        <v>0</v>
      </c>
      <c r="P321" s="28" t="inlineStr"/>
      <c r="Q321" s="28" t="inlineStr"/>
      <c r="R321">
        <f>IFERROR(HYPERLINK("#'Main'!B"&amp;MATCH(TRIM(A321),'Main'!B:B,0),"Open"),HYPERLINK("#'Main'!B1","Open"))</f>
        <v/>
      </c>
      <c r="S321">
        <f>IFERROR(HYPERLINK("#'"&amp;SUBSTITUTE(F321,"'","''")&amp;"'!A"&amp;MATCH(A321,INDIRECT("'"&amp;SUBSTITUTE(F321,"'","''")&amp;"'!A:A"),0),"Open"),HYPERLINK("#'"&amp;SUBSTITUTE(F321,"'","''")&amp;"'!A1","Open"))</f>
        <v/>
      </c>
    </row>
    <row r="322" ht="18" customHeight="1">
      <c r="A322" s="37" t="inlineStr">
        <is>
          <t>https://africanmarketingconfederation.org/smoke-archive/page-56</t>
        </is>
      </c>
      <c r="B322" s="30" t="inlineStr">
        <is>
          <t>Issue Inventory</t>
        </is>
      </c>
      <c r="C322" s="80" t="inlineStr">
        <is>
          <t>Low E-E-A-T Signal Score (&lt;3)</t>
        </is>
      </c>
      <c r="D322" s="30" t="inlineStr">
        <is>
          <t>Warning</t>
        </is>
      </c>
      <c r="E322" s="31" t="n">
        <v>1</v>
      </c>
      <c r="F322" s="41" t="inlineStr">
        <is>
          <t>Technical Diagnostics</t>
        </is>
      </c>
      <c r="G322" s="30" t="inlineStr">
        <is>
          <t>https://africanmarketingconfederation.org/smoke-archive/page-56::low_e-e-a-t_signal_score_3_</t>
        </is>
      </c>
      <c r="H322" s="30" t="inlineStr">
        <is>
          <t>Copy Writer</t>
        </is>
      </c>
      <c r="I322" s="30" t="inlineStr"/>
      <c r="J322" s="30" t="inlineStr">
        <is>
          <t>To Do</t>
        </is>
      </c>
      <c r="K322" s="31" t="inlineStr">
        <is>
          <t>https://africanmarketingconfederation.org/smoke-archive/page-56</t>
        </is>
      </c>
      <c r="L322" s="30" t="inlineStr">
        <is>
          <t>IssueInventory</t>
        </is>
      </c>
      <c r="M322" s="30" t="n">
        <v>270</v>
      </c>
      <c r="N322" s="30" t="inlineStr">
        <is>
          <t>2026-07-01 20:54:35</t>
        </is>
      </c>
      <c r="O322" s="30" t="n">
        <v>0</v>
      </c>
      <c r="P322" s="30" t="inlineStr"/>
      <c r="Q322" s="30" t="inlineStr"/>
      <c r="R322" s="38">
        <f>IFERROR(HYPERLINK("#'Main'!B"&amp;MATCH(TRIM(A322),'Main'!B:B,0),"Open"),HYPERLINK("#'Main'!B1","Open"))</f>
        <v/>
      </c>
      <c r="S322" s="38">
        <f>IFERROR(HYPERLINK("#'"&amp;SUBSTITUTE(F322,"'","''")&amp;"'!A"&amp;MATCH(A322,INDIRECT("'"&amp;SUBSTITUTE(F322,"'","''")&amp;"'!A:A"),0),"Open"),HYPERLINK("#'"&amp;SUBSTITUTE(F322,"'","''")&amp;"'!A1","Open"))</f>
        <v/>
      </c>
    </row>
    <row r="323" ht="18" customHeight="1">
      <c r="A323" s="35" t="inlineStr">
        <is>
          <t>https://africanmarketingconfederation.org/smoke-archive/page-56</t>
        </is>
      </c>
      <c r="B323" s="28" t="inlineStr">
        <is>
          <t>Issue Inventory</t>
        </is>
      </c>
      <c r="C323" s="79" t="inlineStr">
        <is>
          <t>Missing OG Title</t>
        </is>
      </c>
      <c r="D323" s="28" t="inlineStr">
        <is>
          <t>Warning</t>
        </is>
      </c>
      <c r="E323" s="20" t="n">
        <v>1</v>
      </c>
      <c r="F323" s="39" t="inlineStr">
        <is>
          <t>Technical Diagnostics</t>
        </is>
      </c>
      <c r="G323" s="28" t="inlineStr">
        <is>
          <t>https://africanmarketingconfederation.org/smoke-archive/page-56::missing_og_title</t>
        </is>
      </c>
      <c r="H323" s="28" t="inlineStr">
        <is>
          <t>Copy Writer</t>
        </is>
      </c>
      <c r="I323" s="28" t="inlineStr"/>
      <c r="J323" s="28" t="inlineStr">
        <is>
          <t>To Do</t>
        </is>
      </c>
      <c r="K323" s="20" t="inlineStr">
        <is>
          <t>https://africanmarketingconfederation.org/smoke-archive/page-56</t>
        </is>
      </c>
      <c r="L323" s="28" t="inlineStr">
        <is>
          <t>IssueInventory</t>
        </is>
      </c>
      <c r="M323" s="28" t="n">
        <v>271</v>
      </c>
      <c r="N323" s="28" t="inlineStr">
        <is>
          <t>2026-07-01 20:54:35</t>
        </is>
      </c>
      <c r="O323" s="28" t="n">
        <v>0</v>
      </c>
      <c r="P323" s="28" t="inlineStr"/>
      <c r="Q323" s="28" t="inlineStr"/>
      <c r="R323">
        <f>IFERROR(HYPERLINK("#'Main'!B"&amp;MATCH(TRIM(A323),'Main'!B:B,0),"Open"),HYPERLINK("#'Main'!B1","Open"))</f>
        <v/>
      </c>
      <c r="S323">
        <f>IFERROR(HYPERLINK("#'"&amp;SUBSTITUTE(F323,"'","''")&amp;"'!A"&amp;MATCH(A323,INDIRECT("'"&amp;SUBSTITUTE(F323,"'","''")&amp;"'!A:A"),0),"Open"),HYPERLINK("#'"&amp;SUBSTITUTE(F323,"'","''")&amp;"'!A1","Open"))</f>
        <v/>
      </c>
    </row>
    <row r="324" ht="18" customHeight="1">
      <c r="A324" s="37" t="inlineStr">
        <is>
          <t>https://africanmarketingconfederation.org/smoke-archive/page-56</t>
        </is>
      </c>
      <c r="B324" s="30" t="inlineStr">
        <is>
          <t>Issue Inventory</t>
        </is>
      </c>
      <c r="C324" s="80" t="inlineStr">
        <is>
          <t>No Author Attribution</t>
        </is>
      </c>
      <c r="D324" s="30" t="inlineStr">
        <is>
          <t>Observation</t>
        </is>
      </c>
      <c r="E324" s="31" t="n">
        <v>1</v>
      </c>
      <c r="F324" s="41" t="inlineStr">
        <is>
          <t>Technical Diagnostics</t>
        </is>
      </c>
      <c r="G324" s="30" t="inlineStr">
        <is>
          <t>https://africanmarketingconfederation.org/smoke-archive/page-56::no_author_attribution</t>
        </is>
      </c>
      <c r="H324" s="30" t="inlineStr">
        <is>
          <t>Copy Writer</t>
        </is>
      </c>
      <c r="I324" s="30" t="inlineStr"/>
      <c r="J324" s="30" t="inlineStr">
        <is>
          <t>To Do</t>
        </is>
      </c>
      <c r="K324" s="31" t="inlineStr">
        <is>
          <t>https://africanmarketingconfederation.org/smoke-archive/page-56</t>
        </is>
      </c>
      <c r="L324" s="30" t="inlineStr">
        <is>
          <t>IssueInventory</t>
        </is>
      </c>
      <c r="M324" s="30" t="n">
        <v>272</v>
      </c>
      <c r="N324" s="30" t="inlineStr">
        <is>
          <t>2026-07-01 20:54:35</t>
        </is>
      </c>
      <c r="O324" s="30" t="n">
        <v>0</v>
      </c>
      <c r="P324" s="30" t="inlineStr"/>
      <c r="Q324" s="30" t="inlineStr"/>
      <c r="R324" s="38">
        <f>IFERROR(HYPERLINK("#'Main'!B"&amp;MATCH(TRIM(A324),'Main'!B:B,0),"Open"),HYPERLINK("#'Main'!B1","Open"))</f>
        <v/>
      </c>
      <c r="S324" s="38">
        <f>IFERROR(HYPERLINK("#'"&amp;SUBSTITUTE(F324,"'","''")&amp;"'!A"&amp;MATCH(A324,INDIRECT("'"&amp;SUBSTITUTE(F324,"'","''")&amp;"'!A:A"),0),"Open"),HYPERLINK("#'"&amp;SUBSTITUTE(F324,"'","''")&amp;"'!A1","Open"))</f>
        <v/>
      </c>
    </row>
    <row r="325" ht="18" customHeight="1">
      <c r="A325" s="35" t="inlineStr">
        <is>
          <t>https://africanmarketingconfederation.org/smoke-archive/page-56</t>
        </is>
      </c>
      <c r="B325" s="28" t="inlineStr">
        <is>
          <t>Issue Inventory</t>
        </is>
      </c>
      <c r="C325" s="79" t="inlineStr">
        <is>
          <t>Lab TBT 150ms–300ms (Mobile)</t>
        </is>
      </c>
      <c r="D325" s="28" t="inlineStr">
        <is>
          <t>Observation</t>
        </is>
      </c>
      <c r="E325" s="20" t="n">
        <v>1</v>
      </c>
      <c r="F325" s="39" t="inlineStr">
        <is>
          <t>Technical Diagnostics</t>
        </is>
      </c>
      <c r="G325" s="28" t="inlineStr">
        <is>
          <t>https://africanmarketingconfederation.org/smoke-archive/page-56::lab_tbt_150ms_300ms_mobile_</t>
        </is>
      </c>
      <c r="H325" s="28" t="inlineStr">
        <is>
          <t>Dev</t>
        </is>
      </c>
      <c r="I325" s="28" t="inlineStr"/>
      <c r="J325" s="28" t="inlineStr">
        <is>
          <t>To Do</t>
        </is>
      </c>
      <c r="K325" s="20" t="inlineStr">
        <is>
          <t>https://africanmarketingconfederation.org/smoke-archive/page-56</t>
        </is>
      </c>
      <c r="L325" s="28" t="inlineStr">
        <is>
          <t>IssueInventory</t>
        </is>
      </c>
      <c r="M325" s="28" t="n">
        <v>273</v>
      </c>
      <c r="N325" s="28" t="inlineStr">
        <is>
          <t>2026-07-01 20:54:35</t>
        </is>
      </c>
      <c r="O325" s="28" t="n">
        <v>0</v>
      </c>
      <c r="P325" s="28" t="inlineStr"/>
      <c r="Q325" s="28" t="inlineStr"/>
      <c r="R325">
        <f>IFERROR(HYPERLINK("#'Main'!B"&amp;MATCH(TRIM(A325),'Main'!B:B,0),"Open"),HYPERLINK("#'Main'!B1","Open"))</f>
        <v/>
      </c>
      <c r="S325">
        <f>IFERROR(HYPERLINK("#'"&amp;SUBSTITUTE(F325,"'","''")&amp;"'!A"&amp;MATCH(A325,INDIRECT("'"&amp;SUBSTITUTE(F325,"'","''")&amp;"'!A:A"),0),"Open"),HYPERLINK("#'"&amp;SUBSTITUTE(F325,"'","''")&amp;"'!A1","Open"))</f>
        <v/>
      </c>
    </row>
    <row r="326" ht="18" customHeight="1">
      <c r="A326" s="37" t="inlineStr">
        <is>
          <t>https://africanmarketingconfederation.org/smoke-archive/page-56</t>
        </is>
      </c>
      <c r="B326" s="30" t="inlineStr">
        <is>
          <t>Issue Inventory</t>
        </is>
      </c>
      <c r="C326" s="80" t="inlineStr">
        <is>
          <t>Moderate Lighthouse Performance Mobile (50–89)</t>
        </is>
      </c>
      <c r="D326" s="30" t="inlineStr">
        <is>
          <t>Observation</t>
        </is>
      </c>
      <c r="E326" s="31" t="n">
        <v>1</v>
      </c>
      <c r="F326" s="41" t="inlineStr">
        <is>
          <t>Technical Diagnostics</t>
        </is>
      </c>
      <c r="G326" s="30" t="inlineStr">
        <is>
          <t>https://africanmarketingconfederation.org/smoke-archive/page-56::moderate_lighthouse_performance_mobile_50_89_</t>
        </is>
      </c>
      <c r="H326" s="30" t="inlineStr">
        <is>
          <t>Dev</t>
        </is>
      </c>
      <c r="I326" s="30" t="inlineStr"/>
      <c r="J326" s="30" t="inlineStr">
        <is>
          <t>To Do</t>
        </is>
      </c>
      <c r="K326" s="31" t="inlineStr">
        <is>
          <t>https://africanmarketingconfederation.org/smoke-archive/page-56</t>
        </is>
      </c>
      <c r="L326" s="30" t="inlineStr">
        <is>
          <t>IssueInventory</t>
        </is>
      </c>
      <c r="M326" s="30" t="n">
        <v>274</v>
      </c>
      <c r="N326" s="30" t="inlineStr">
        <is>
          <t>2026-07-01 20:54:35</t>
        </is>
      </c>
      <c r="O326" s="30" t="n">
        <v>0</v>
      </c>
      <c r="P326" s="30" t="inlineStr"/>
      <c r="Q326" s="30" t="inlineStr"/>
      <c r="R326" s="38">
        <f>IFERROR(HYPERLINK("#'Main'!B"&amp;MATCH(TRIM(A326),'Main'!B:B,0),"Open"),HYPERLINK("#'Main'!B1","Open"))</f>
        <v/>
      </c>
      <c r="S326" s="38">
        <f>IFERROR(HYPERLINK("#'"&amp;SUBSTITUTE(F326,"'","''")&amp;"'!A"&amp;MATCH(A326,INDIRECT("'"&amp;SUBSTITUTE(F326,"'","''")&amp;"'!A:A"),0),"Open"),HYPERLINK("#'"&amp;SUBSTITUTE(F326,"'","''")&amp;"'!A1","Open"))</f>
        <v/>
      </c>
    </row>
    <row r="327" ht="18" customHeight="1">
      <c r="A327" s="35" t="inlineStr">
        <is>
          <t>https://africanmarketingconfederation.org/smoke-archive/page-56</t>
        </is>
      </c>
      <c r="B327" s="28" t="inlineStr">
        <is>
          <t>Issue Inventory</t>
        </is>
      </c>
      <c r="C327" s="79" t="inlineStr">
        <is>
          <t>Render Blocking Resources</t>
        </is>
      </c>
      <c r="D327" s="28" t="inlineStr">
        <is>
          <t>Observation</t>
        </is>
      </c>
      <c r="E327" s="20" t="n">
        <v>1</v>
      </c>
      <c r="F327" s="39" t="inlineStr">
        <is>
          <t>Technical Diagnostics</t>
        </is>
      </c>
      <c r="G327" s="28" t="inlineStr">
        <is>
          <t>https://africanmarketingconfederation.org/smoke-archive/page-56::render_blocking_resources</t>
        </is>
      </c>
      <c r="H327" s="28" t="inlineStr">
        <is>
          <t>Dev</t>
        </is>
      </c>
      <c r="I327" s="28" t="inlineStr"/>
      <c r="J327" s="28" t="inlineStr">
        <is>
          <t>To Do</t>
        </is>
      </c>
      <c r="K327" s="20" t="inlineStr">
        <is>
          <t>https://africanmarketingconfederation.org/smoke-archive/page-56</t>
        </is>
      </c>
      <c r="L327" s="28" t="inlineStr">
        <is>
          <t>IssueInventory</t>
        </is>
      </c>
      <c r="M327" s="28" t="n">
        <v>275</v>
      </c>
      <c r="N327" s="28" t="inlineStr">
        <is>
          <t>2026-07-01 20:54:35</t>
        </is>
      </c>
      <c r="O327" s="28" t="n">
        <v>0</v>
      </c>
      <c r="P327" s="28" t="inlineStr"/>
      <c r="Q327" s="28" t="inlineStr"/>
      <c r="R327">
        <f>IFERROR(HYPERLINK("#'Main'!B"&amp;MATCH(TRIM(A327),'Main'!B:B,0),"Open"),HYPERLINK("#'Main'!B1","Open"))</f>
        <v/>
      </c>
      <c r="S327">
        <f>IFERROR(HYPERLINK("#'"&amp;SUBSTITUTE(F327,"'","''")&amp;"'!A"&amp;MATCH(A327,INDIRECT("'"&amp;SUBSTITUTE(F327,"'","''")&amp;"'!A:A"),0),"Open"),HYPERLINK("#'"&amp;SUBSTITUTE(F327,"'","''")&amp;"'!A1","Open"))</f>
        <v/>
      </c>
    </row>
    <row r="328" ht="18" customHeight="1">
      <c r="A328" s="37" t="inlineStr">
        <is>
          <t>https://africanmarketingconfederation.org/smoke-archive/page-57</t>
        </is>
      </c>
      <c r="B328" s="30" t="inlineStr">
        <is>
          <t>Issue Inventory</t>
        </is>
      </c>
      <c r="C328" s="80" t="inlineStr">
        <is>
          <t>Missing OG Image</t>
        </is>
      </c>
      <c r="D328" s="30" t="inlineStr">
        <is>
          <t>Warning</t>
        </is>
      </c>
      <c r="E328" s="31" t="n">
        <v>1</v>
      </c>
      <c r="F328" s="41" t="inlineStr">
        <is>
          <t>Technical Diagnostics</t>
        </is>
      </c>
      <c r="G328" s="30" t="inlineStr">
        <is>
          <t>https://africanmarketingconfederation.org/smoke-archive/page-57::missing_og_image</t>
        </is>
      </c>
      <c r="H328" s="30" t="inlineStr">
        <is>
          <t>Copy Writer</t>
        </is>
      </c>
      <c r="I328" s="30" t="inlineStr"/>
      <c r="J328" s="30" t="inlineStr">
        <is>
          <t>To Do</t>
        </is>
      </c>
      <c r="K328" s="31" t="inlineStr">
        <is>
          <t>https://africanmarketingconfederation.org/smoke-archive/page-57</t>
        </is>
      </c>
      <c r="L328" s="30" t="inlineStr">
        <is>
          <t>IssueInventory</t>
        </is>
      </c>
      <c r="M328" s="30" t="n">
        <v>276</v>
      </c>
      <c r="N328" s="30" t="inlineStr">
        <is>
          <t>2026-07-01 20:54:35</t>
        </is>
      </c>
      <c r="O328" s="30" t="n">
        <v>0</v>
      </c>
      <c r="P328" s="30" t="inlineStr"/>
      <c r="Q328" s="30" t="inlineStr"/>
      <c r="R328" s="38">
        <f>IFERROR(HYPERLINK("#'Main'!B"&amp;MATCH(TRIM(A328),'Main'!B:B,0),"Open"),HYPERLINK("#'Main'!B1","Open"))</f>
        <v/>
      </c>
      <c r="S328" s="38">
        <f>IFERROR(HYPERLINK("#'"&amp;SUBSTITUTE(F328,"'","''")&amp;"'!A"&amp;MATCH(A328,INDIRECT("'"&amp;SUBSTITUTE(F328,"'","''")&amp;"'!A:A"),0),"Open"),HYPERLINK("#'"&amp;SUBSTITUTE(F328,"'","''")&amp;"'!A1","Open"))</f>
        <v/>
      </c>
    </row>
    <row r="329" ht="18" customHeight="1">
      <c r="A329" s="35" t="inlineStr">
        <is>
          <t>https://africanmarketingconfederation.org/smoke-archive/page-57</t>
        </is>
      </c>
      <c r="B329" s="28" t="inlineStr">
        <is>
          <t>Issue Inventory</t>
        </is>
      </c>
      <c r="C329" s="79" t="inlineStr">
        <is>
          <t>Lab TBT 150ms–300ms (Mobile)</t>
        </is>
      </c>
      <c r="D329" s="28" t="inlineStr">
        <is>
          <t>Observation</t>
        </is>
      </c>
      <c r="E329" s="20" t="n">
        <v>1</v>
      </c>
      <c r="F329" s="39" t="inlineStr">
        <is>
          <t>Technical Diagnostics</t>
        </is>
      </c>
      <c r="G329" s="28" t="inlineStr">
        <is>
          <t>https://africanmarketingconfederation.org/smoke-archive/page-57::lab_tbt_150ms_300ms_mobile_</t>
        </is>
      </c>
      <c r="H329" s="28" t="inlineStr">
        <is>
          <t>Dev</t>
        </is>
      </c>
      <c r="I329" s="28" t="inlineStr"/>
      <c r="J329" s="28" t="inlineStr">
        <is>
          <t>To Do</t>
        </is>
      </c>
      <c r="K329" s="20" t="inlineStr">
        <is>
          <t>https://africanmarketingconfederation.org/smoke-archive/page-57</t>
        </is>
      </c>
      <c r="L329" s="28" t="inlineStr">
        <is>
          <t>IssueInventory</t>
        </is>
      </c>
      <c r="M329" s="28" t="n">
        <v>277</v>
      </c>
      <c r="N329" s="28" t="inlineStr">
        <is>
          <t>2026-07-01 20:54:35</t>
        </is>
      </c>
      <c r="O329" s="28" t="n">
        <v>0</v>
      </c>
      <c r="P329" s="28" t="inlineStr"/>
      <c r="Q329" s="28" t="inlineStr"/>
      <c r="R329">
        <f>IFERROR(HYPERLINK("#'Main'!B"&amp;MATCH(TRIM(A329),'Main'!B:B,0),"Open"),HYPERLINK("#'Main'!B1","Open"))</f>
        <v/>
      </c>
      <c r="S329">
        <f>IFERROR(HYPERLINK("#'"&amp;SUBSTITUTE(F329,"'","''")&amp;"'!A"&amp;MATCH(A329,INDIRECT("'"&amp;SUBSTITUTE(F329,"'","''")&amp;"'!A:A"),0),"Open"),HYPERLINK("#'"&amp;SUBSTITUTE(F329,"'","''")&amp;"'!A1","Open"))</f>
        <v/>
      </c>
    </row>
    <row r="330" ht="18" customHeight="1">
      <c r="A330" s="37" t="inlineStr">
        <is>
          <t>https://africanmarketingconfederation.org/smoke-archive/page-57</t>
        </is>
      </c>
      <c r="B330" s="30" t="inlineStr">
        <is>
          <t>Issue Inventory</t>
        </is>
      </c>
      <c r="C330" s="80" t="inlineStr">
        <is>
          <t>Moderate Lighthouse Performance Mobile (50–89)</t>
        </is>
      </c>
      <c r="D330" s="30" t="inlineStr">
        <is>
          <t>Observation</t>
        </is>
      </c>
      <c r="E330" s="31" t="n">
        <v>1</v>
      </c>
      <c r="F330" s="41" t="inlineStr">
        <is>
          <t>Technical Diagnostics</t>
        </is>
      </c>
      <c r="G330" s="30" t="inlineStr">
        <is>
          <t>https://africanmarketingconfederation.org/smoke-archive/page-57::moderate_lighthouse_performance_mobile_50_89_</t>
        </is>
      </c>
      <c r="H330" s="30" t="inlineStr">
        <is>
          <t>Dev</t>
        </is>
      </c>
      <c r="I330" s="30" t="inlineStr"/>
      <c r="J330" s="30" t="inlineStr">
        <is>
          <t>To Do</t>
        </is>
      </c>
      <c r="K330" s="31" t="inlineStr">
        <is>
          <t>https://africanmarketingconfederation.org/smoke-archive/page-57</t>
        </is>
      </c>
      <c r="L330" s="30" t="inlineStr">
        <is>
          <t>IssueInventory</t>
        </is>
      </c>
      <c r="M330" s="30" t="n">
        <v>278</v>
      </c>
      <c r="N330" s="30" t="inlineStr">
        <is>
          <t>2026-07-01 20:54:35</t>
        </is>
      </c>
      <c r="O330" s="30" t="n">
        <v>0</v>
      </c>
      <c r="P330" s="30" t="inlineStr"/>
      <c r="Q330" s="30" t="inlineStr"/>
      <c r="R330" s="38">
        <f>IFERROR(HYPERLINK("#'Main'!B"&amp;MATCH(TRIM(A330),'Main'!B:B,0),"Open"),HYPERLINK("#'Main'!B1","Open"))</f>
        <v/>
      </c>
      <c r="S330" s="38">
        <f>IFERROR(HYPERLINK("#'"&amp;SUBSTITUTE(F330,"'","''")&amp;"'!A"&amp;MATCH(A330,INDIRECT("'"&amp;SUBSTITUTE(F330,"'","''")&amp;"'!A:A"),0),"Open"),HYPERLINK("#'"&amp;SUBSTITUTE(F330,"'","''")&amp;"'!A1","Open"))</f>
        <v/>
      </c>
    </row>
    <row r="331" ht="18" customHeight="1">
      <c r="A331" s="35" t="inlineStr">
        <is>
          <t>https://africanmarketingconfederation.org/smoke-archive/page-57</t>
        </is>
      </c>
      <c r="B331" s="28" t="inlineStr">
        <is>
          <t>Issue Inventory</t>
        </is>
      </c>
      <c r="C331" s="79" t="inlineStr">
        <is>
          <t>Render Blocking Resources</t>
        </is>
      </c>
      <c r="D331" s="28" t="inlineStr">
        <is>
          <t>Observation</t>
        </is>
      </c>
      <c r="E331" s="20" t="n">
        <v>1</v>
      </c>
      <c r="F331" s="39" t="inlineStr">
        <is>
          <t>Technical Diagnostics</t>
        </is>
      </c>
      <c r="G331" s="28" t="inlineStr">
        <is>
          <t>https://africanmarketingconfederation.org/smoke-archive/page-57::render_blocking_resources</t>
        </is>
      </c>
      <c r="H331" s="28" t="inlineStr">
        <is>
          <t>Dev</t>
        </is>
      </c>
      <c r="I331" s="28" t="inlineStr"/>
      <c r="J331" s="28" t="inlineStr">
        <is>
          <t>To Do</t>
        </is>
      </c>
      <c r="K331" s="20" t="inlineStr">
        <is>
          <t>https://africanmarketingconfederation.org/smoke-archive/page-57</t>
        </is>
      </c>
      <c r="L331" s="28" t="inlineStr">
        <is>
          <t>IssueInventory</t>
        </is>
      </c>
      <c r="M331" s="28" t="n">
        <v>279</v>
      </c>
      <c r="N331" s="28" t="inlineStr">
        <is>
          <t>2026-07-01 20:54:35</t>
        </is>
      </c>
      <c r="O331" s="28" t="n">
        <v>0</v>
      </c>
      <c r="P331" s="28" t="inlineStr"/>
      <c r="Q331" s="28" t="inlineStr"/>
      <c r="R331">
        <f>IFERROR(HYPERLINK("#'Main'!B"&amp;MATCH(TRIM(A331),'Main'!B:B,0),"Open"),HYPERLINK("#'Main'!B1","Open"))</f>
        <v/>
      </c>
      <c r="S331">
        <f>IFERROR(HYPERLINK("#'"&amp;SUBSTITUTE(F331,"'","''")&amp;"'!A"&amp;MATCH(A331,INDIRECT("'"&amp;SUBSTITUTE(F331,"'","''")&amp;"'!A:A"),0),"Open"),HYPERLINK("#'"&amp;SUBSTITUTE(F331,"'","''")&amp;"'!A1","Open"))</f>
        <v/>
      </c>
    </row>
    <row r="332" ht="18" customHeight="1">
      <c r="A332" s="37" t="inlineStr">
        <is>
          <t>https://africanmarketingconfederation.org/smoke-archive/page-58</t>
        </is>
      </c>
      <c r="B332" s="30" t="inlineStr">
        <is>
          <t>Issue Inventory</t>
        </is>
      </c>
      <c r="C332" s="80" t="inlineStr">
        <is>
          <t>Missing OG Image</t>
        </is>
      </c>
      <c r="D332" s="30" t="inlineStr">
        <is>
          <t>Warning</t>
        </is>
      </c>
      <c r="E332" s="31" t="n">
        <v>1</v>
      </c>
      <c r="F332" s="41" t="inlineStr">
        <is>
          <t>Technical Diagnostics</t>
        </is>
      </c>
      <c r="G332" s="30" t="inlineStr">
        <is>
          <t>https://africanmarketingconfederation.org/smoke-archive/page-58::missing_og_image</t>
        </is>
      </c>
      <c r="H332" s="30" t="inlineStr">
        <is>
          <t>Copy Writer</t>
        </is>
      </c>
      <c r="I332" s="30" t="inlineStr"/>
      <c r="J332" s="30" t="inlineStr">
        <is>
          <t>To Do</t>
        </is>
      </c>
      <c r="K332" s="31" t="inlineStr">
        <is>
          <t>https://africanmarketingconfederation.org/smoke-archive/page-58</t>
        </is>
      </c>
      <c r="L332" s="30" t="inlineStr">
        <is>
          <t>IssueInventory</t>
        </is>
      </c>
      <c r="M332" s="30" t="n">
        <v>280</v>
      </c>
      <c r="N332" s="30" t="inlineStr">
        <is>
          <t>2026-07-01 20:54:35</t>
        </is>
      </c>
      <c r="O332" s="30" t="n">
        <v>0</v>
      </c>
      <c r="P332" s="30" t="inlineStr"/>
      <c r="Q332" s="30" t="inlineStr"/>
      <c r="R332" s="38">
        <f>IFERROR(HYPERLINK("#'Main'!B"&amp;MATCH(TRIM(A332),'Main'!B:B,0),"Open"),HYPERLINK("#'Main'!B1","Open"))</f>
        <v/>
      </c>
      <c r="S332" s="38">
        <f>IFERROR(HYPERLINK("#'"&amp;SUBSTITUTE(F332,"'","''")&amp;"'!A"&amp;MATCH(A332,INDIRECT("'"&amp;SUBSTITUTE(F332,"'","''")&amp;"'!A:A"),0),"Open"),HYPERLINK("#'"&amp;SUBSTITUTE(F332,"'","''")&amp;"'!A1","Open"))</f>
        <v/>
      </c>
    </row>
    <row r="333" ht="18" customHeight="1">
      <c r="A333" s="35" t="inlineStr">
        <is>
          <t>https://africanmarketingconfederation.org/smoke-archive/page-58</t>
        </is>
      </c>
      <c r="B333" s="28" t="inlineStr">
        <is>
          <t>Issue Inventory</t>
        </is>
      </c>
      <c r="C333" s="79" t="inlineStr">
        <is>
          <t>Lab TBT 150ms–300ms (Mobile)</t>
        </is>
      </c>
      <c r="D333" s="28" t="inlineStr">
        <is>
          <t>Observation</t>
        </is>
      </c>
      <c r="E333" s="20" t="n">
        <v>1</v>
      </c>
      <c r="F333" s="39" t="inlineStr">
        <is>
          <t>Technical Diagnostics</t>
        </is>
      </c>
      <c r="G333" s="28" t="inlineStr">
        <is>
          <t>https://africanmarketingconfederation.org/smoke-archive/page-58::lab_tbt_150ms_300ms_mobile_</t>
        </is>
      </c>
      <c r="H333" s="28" t="inlineStr">
        <is>
          <t>Dev</t>
        </is>
      </c>
      <c r="I333" s="28" t="inlineStr"/>
      <c r="J333" s="28" t="inlineStr">
        <is>
          <t>To Do</t>
        </is>
      </c>
      <c r="K333" s="20" t="inlineStr">
        <is>
          <t>https://africanmarketingconfederation.org/smoke-archive/page-58</t>
        </is>
      </c>
      <c r="L333" s="28" t="inlineStr">
        <is>
          <t>IssueInventory</t>
        </is>
      </c>
      <c r="M333" s="28" t="n">
        <v>281</v>
      </c>
      <c r="N333" s="28" t="inlineStr">
        <is>
          <t>2026-07-01 20:54:35</t>
        </is>
      </c>
      <c r="O333" s="28" t="n">
        <v>0</v>
      </c>
      <c r="P333" s="28" t="inlineStr"/>
      <c r="Q333" s="28" t="inlineStr"/>
      <c r="R333">
        <f>IFERROR(HYPERLINK("#'Main'!B"&amp;MATCH(TRIM(A333),'Main'!B:B,0),"Open"),HYPERLINK("#'Main'!B1","Open"))</f>
        <v/>
      </c>
      <c r="S333">
        <f>IFERROR(HYPERLINK("#'"&amp;SUBSTITUTE(F333,"'","''")&amp;"'!A"&amp;MATCH(A333,INDIRECT("'"&amp;SUBSTITUTE(F333,"'","''")&amp;"'!A:A"),0),"Open"),HYPERLINK("#'"&amp;SUBSTITUTE(F333,"'","''")&amp;"'!A1","Open"))</f>
        <v/>
      </c>
    </row>
    <row r="334" ht="18" customHeight="1">
      <c r="A334" s="37" t="inlineStr">
        <is>
          <t>https://africanmarketingconfederation.org/smoke-archive/page-58</t>
        </is>
      </c>
      <c r="B334" s="30" t="inlineStr">
        <is>
          <t>Issue Inventory</t>
        </is>
      </c>
      <c r="C334" s="80" t="inlineStr">
        <is>
          <t>Moderate Lighthouse Performance Mobile (50–89)</t>
        </is>
      </c>
      <c r="D334" s="30" t="inlineStr">
        <is>
          <t>Observation</t>
        </is>
      </c>
      <c r="E334" s="31" t="n">
        <v>1</v>
      </c>
      <c r="F334" s="41" t="inlineStr">
        <is>
          <t>Technical Diagnostics</t>
        </is>
      </c>
      <c r="G334" s="30" t="inlineStr">
        <is>
          <t>https://africanmarketingconfederation.org/smoke-archive/page-58::moderate_lighthouse_performance_mobile_50_89_</t>
        </is>
      </c>
      <c r="H334" s="30" t="inlineStr">
        <is>
          <t>Dev</t>
        </is>
      </c>
      <c r="I334" s="30" t="inlineStr"/>
      <c r="J334" s="30" t="inlineStr">
        <is>
          <t>To Do</t>
        </is>
      </c>
      <c r="K334" s="31" t="inlineStr">
        <is>
          <t>https://africanmarketingconfederation.org/smoke-archive/page-58</t>
        </is>
      </c>
      <c r="L334" s="30" t="inlineStr">
        <is>
          <t>IssueInventory</t>
        </is>
      </c>
      <c r="M334" s="30" t="n">
        <v>282</v>
      </c>
      <c r="N334" s="30" t="inlineStr">
        <is>
          <t>2026-07-01 20:54:35</t>
        </is>
      </c>
      <c r="O334" s="30" t="n">
        <v>0</v>
      </c>
      <c r="P334" s="30" t="inlineStr"/>
      <c r="Q334" s="30" t="inlineStr"/>
      <c r="R334" s="38">
        <f>IFERROR(HYPERLINK("#'Main'!B"&amp;MATCH(TRIM(A334),'Main'!B:B,0),"Open"),HYPERLINK("#'Main'!B1","Open"))</f>
        <v/>
      </c>
      <c r="S334" s="38">
        <f>IFERROR(HYPERLINK("#'"&amp;SUBSTITUTE(F334,"'","''")&amp;"'!A"&amp;MATCH(A334,INDIRECT("'"&amp;SUBSTITUTE(F334,"'","''")&amp;"'!A:A"),0),"Open"),HYPERLINK("#'"&amp;SUBSTITUTE(F334,"'","''")&amp;"'!A1","Open"))</f>
        <v/>
      </c>
    </row>
    <row r="335" ht="18" customHeight="1">
      <c r="A335" s="35" t="inlineStr">
        <is>
          <t>https://africanmarketingconfederation.org/smoke-archive/page-58</t>
        </is>
      </c>
      <c r="B335" s="28" t="inlineStr">
        <is>
          <t>Issue Inventory</t>
        </is>
      </c>
      <c r="C335" s="79" t="inlineStr">
        <is>
          <t>Render Blocking Resources</t>
        </is>
      </c>
      <c r="D335" s="28" t="inlineStr">
        <is>
          <t>Observation</t>
        </is>
      </c>
      <c r="E335" s="20" t="n">
        <v>1</v>
      </c>
      <c r="F335" s="39" t="inlineStr">
        <is>
          <t>Technical Diagnostics</t>
        </is>
      </c>
      <c r="G335" s="28" t="inlineStr">
        <is>
          <t>https://africanmarketingconfederation.org/smoke-archive/page-58::render_blocking_resources</t>
        </is>
      </c>
      <c r="H335" s="28" t="inlineStr">
        <is>
          <t>Dev</t>
        </is>
      </c>
      <c r="I335" s="28" t="inlineStr"/>
      <c r="J335" s="28" t="inlineStr">
        <is>
          <t>To Do</t>
        </is>
      </c>
      <c r="K335" s="20" t="inlineStr">
        <is>
          <t>https://africanmarketingconfederation.org/smoke-archive/page-58</t>
        </is>
      </c>
      <c r="L335" s="28" t="inlineStr">
        <is>
          <t>IssueInventory</t>
        </is>
      </c>
      <c r="M335" s="28" t="n">
        <v>283</v>
      </c>
      <c r="N335" s="28" t="inlineStr">
        <is>
          <t>2026-07-01 20:54:35</t>
        </is>
      </c>
      <c r="O335" s="28" t="n">
        <v>0</v>
      </c>
      <c r="P335" s="28" t="inlineStr"/>
      <c r="Q335" s="28" t="inlineStr"/>
      <c r="R335">
        <f>IFERROR(HYPERLINK("#'Main'!B"&amp;MATCH(TRIM(A335),'Main'!B:B,0),"Open"),HYPERLINK("#'Main'!B1","Open"))</f>
        <v/>
      </c>
      <c r="S335">
        <f>IFERROR(HYPERLINK("#'"&amp;SUBSTITUTE(F335,"'","''")&amp;"'!A"&amp;MATCH(A335,INDIRECT("'"&amp;SUBSTITUTE(F335,"'","''")&amp;"'!A:A"),0),"Open"),HYPERLINK("#'"&amp;SUBSTITUTE(F335,"'","''")&amp;"'!A1","Open"))</f>
        <v/>
      </c>
    </row>
    <row r="336" ht="18" customHeight="1">
      <c r="A336" s="37" t="inlineStr">
        <is>
          <t>https://africanmarketingconfederation.org/smoke-archive/page-59</t>
        </is>
      </c>
      <c r="B336" s="30" t="inlineStr">
        <is>
          <t>Issue Inventory</t>
        </is>
      </c>
      <c r="C336" s="80" t="inlineStr">
        <is>
          <t>Missing OG Image</t>
        </is>
      </c>
      <c r="D336" s="30" t="inlineStr">
        <is>
          <t>Warning</t>
        </is>
      </c>
      <c r="E336" s="31" t="n">
        <v>1</v>
      </c>
      <c r="F336" s="41" t="inlineStr">
        <is>
          <t>Technical Diagnostics</t>
        </is>
      </c>
      <c r="G336" s="30" t="inlineStr">
        <is>
          <t>https://africanmarketingconfederation.org/smoke-archive/page-59::missing_og_image</t>
        </is>
      </c>
      <c r="H336" s="30" t="inlineStr">
        <is>
          <t>Copy Writer</t>
        </is>
      </c>
      <c r="I336" s="30" t="inlineStr"/>
      <c r="J336" s="30" t="inlineStr">
        <is>
          <t>To Do</t>
        </is>
      </c>
      <c r="K336" s="31" t="inlineStr">
        <is>
          <t>https://africanmarketingconfederation.org/smoke-archive/page-59</t>
        </is>
      </c>
      <c r="L336" s="30" t="inlineStr">
        <is>
          <t>IssueInventory</t>
        </is>
      </c>
      <c r="M336" s="30" t="n">
        <v>284</v>
      </c>
      <c r="N336" s="30" t="inlineStr">
        <is>
          <t>2026-07-01 20:54:35</t>
        </is>
      </c>
      <c r="O336" s="30" t="n">
        <v>0</v>
      </c>
      <c r="P336" s="30" t="inlineStr"/>
      <c r="Q336" s="30" t="inlineStr"/>
      <c r="R336" s="38">
        <f>IFERROR(HYPERLINK("#'Main'!B"&amp;MATCH(TRIM(A336),'Main'!B:B,0),"Open"),HYPERLINK("#'Main'!B1","Open"))</f>
        <v/>
      </c>
      <c r="S336" s="38">
        <f>IFERROR(HYPERLINK("#'"&amp;SUBSTITUTE(F336,"'","''")&amp;"'!A"&amp;MATCH(A336,INDIRECT("'"&amp;SUBSTITUTE(F336,"'","''")&amp;"'!A:A"),0),"Open"),HYPERLINK("#'"&amp;SUBSTITUTE(F336,"'","''")&amp;"'!A1","Open"))</f>
        <v/>
      </c>
    </row>
    <row r="337" ht="18" customHeight="1">
      <c r="A337" s="35" t="inlineStr">
        <is>
          <t>https://africanmarketingconfederation.org/smoke-archive/page-59</t>
        </is>
      </c>
      <c r="B337" s="28" t="inlineStr">
        <is>
          <t>Issue Inventory</t>
        </is>
      </c>
      <c r="C337" s="79" t="inlineStr">
        <is>
          <t>Lab TBT 150ms–300ms (Mobile)</t>
        </is>
      </c>
      <c r="D337" s="28" t="inlineStr">
        <is>
          <t>Observation</t>
        </is>
      </c>
      <c r="E337" s="20" t="n">
        <v>1</v>
      </c>
      <c r="F337" s="39" t="inlineStr">
        <is>
          <t>Technical Diagnostics</t>
        </is>
      </c>
      <c r="G337" s="28" t="inlineStr">
        <is>
          <t>https://africanmarketingconfederation.org/smoke-archive/page-59::lab_tbt_150ms_300ms_mobile_</t>
        </is>
      </c>
      <c r="H337" s="28" t="inlineStr">
        <is>
          <t>Dev</t>
        </is>
      </c>
      <c r="I337" s="28" t="inlineStr"/>
      <c r="J337" s="28" t="inlineStr">
        <is>
          <t>To Do</t>
        </is>
      </c>
      <c r="K337" s="20" t="inlineStr">
        <is>
          <t>https://africanmarketingconfederation.org/smoke-archive/page-59</t>
        </is>
      </c>
      <c r="L337" s="28" t="inlineStr">
        <is>
          <t>IssueInventory</t>
        </is>
      </c>
      <c r="M337" s="28" t="n">
        <v>285</v>
      </c>
      <c r="N337" s="28" t="inlineStr">
        <is>
          <t>2026-07-01 20:54:35</t>
        </is>
      </c>
      <c r="O337" s="28" t="n">
        <v>0</v>
      </c>
      <c r="P337" s="28" t="inlineStr"/>
      <c r="Q337" s="28" t="inlineStr"/>
      <c r="R337">
        <f>IFERROR(HYPERLINK("#'Main'!B"&amp;MATCH(TRIM(A337),'Main'!B:B,0),"Open"),HYPERLINK("#'Main'!B1","Open"))</f>
        <v/>
      </c>
      <c r="S337">
        <f>IFERROR(HYPERLINK("#'"&amp;SUBSTITUTE(F337,"'","''")&amp;"'!A"&amp;MATCH(A337,INDIRECT("'"&amp;SUBSTITUTE(F337,"'","''")&amp;"'!A:A"),0),"Open"),HYPERLINK("#'"&amp;SUBSTITUTE(F337,"'","''")&amp;"'!A1","Open"))</f>
        <v/>
      </c>
    </row>
    <row r="338" ht="18" customHeight="1">
      <c r="A338" s="37" t="inlineStr">
        <is>
          <t>https://africanmarketingconfederation.org/smoke-archive/page-59</t>
        </is>
      </c>
      <c r="B338" s="30" t="inlineStr">
        <is>
          <t>Issue Inventory</t>
        </is>
      </c>
      <c r="C338" s="80" t="inlineStr">
        <is>
          <t>Moderate Lighthouse Performance Mobile (50–89)</t>
        </is>
      </c>
      <c r="D338" s="30" t="inlineStr">
        <is>
          <t>Observation</t>
        </is>
      </c>
      <c r="E338" s="31" t="n">
        <v>1</v>
      </c>
      <c r="F338" s="41" t="inlineStr">
        <is>
          <t>Technical Diagnostics</t>
        </is>
      </c>
      <c r="G338" s="30" t="inlineStr">
        <is>
          <t>https://africanmarketingconfederation.org/smoke-archive/page-59::moderate_lighthouse_performance_mobile_50_89_</t>
        </is>
      </c>
      <c r="H338" s="30" t="inlineStr">
        <is>
          <t>Dev</t>
        </is>
      </c>
      <c r="I338" s="30" t="inlineStr"/>
      <c r="J338" s="30" t="inlineStr">
        <is>
          <t>To Do</t>
        </is>
      </c>
      <c r="K338" s="31" t="inlineStr">
        <is>
          <t>https://africanmarketingconfederation.org/smoke-archive/page-59</t>
        </is>
      </c>
      <c r="L338" s="30" t="inlineStr">
        <is>
          <t>IssueInventory</t>
        </is>
      </c>
      <c r="M338" s="30" t="n">
        <v>286</v>
      </c>
      <c r="N338" s="30" t="inlineStr">
        <is>
          <t>2026-07-01 20:54:35</t>
        </is>
      </c>
      <c r="O338" s="30" t="n">
        <v>0</v>
      </c>
      <c r="P338" s="30" t="inlineStr"/>
      <c r="Q338" s="30" t="inlineStr"/>
      <c r="R338" s="38">
        <f>IFERROR(HYPERLINK("#'Main'!B"&amp;MATCH(TRIM(A338),'Main'!B:B,0),"Open"),HYPERLINK("#'Main'!B1","Open"))</f>
        <v/>
      </c>
      <c r="S338" s="38">
        <f>IFERROR(HYPERLINK("#'"&amp;SUBSTITUTE(F338,"'","''")&amp;"'!A"&amp;MATCH(A338,INDIRECT("'"&amp;SUBSTITUTE(F338,"'","''")&amp;"'!A:A"),0),"Open"),HYPERLINK("#'"&amp;SUBSTITUTE(F338,"'","''")&amp;"'!A1","Open"))</f>
        <v/>
      </c>
    </row>
    <row r="339" ht="18" customHeight="1">
      <c r="A339" s="35" t="inlineStr">
        <is>
          <t>https://africanmarketingconfederation.org/smoke-archive/page-59</t>
        </is>
      </c>
      <c r="B339" s="28" t="inlineStr">
        <is>
          <t>Issue Inventory</t>
        </is>
      </c>
      <c r="C339" s="79" t="inlineStr">
        <is>
          <t>Render Blocking Resources</t>
        </is>
      </c>
      <c r="D339" s="28" t="inlineStr">
        <is>
          <t>Observation</t>
        </is>
      </c>
      <c r="E339" s="20" t="n">
        <v>1</v>
      </c>
      <c r="F339" s="39" t="inlineStr">
        <is>
          <t>Technical Diagnostics</t>
        </is>
      </c>
      <c r="G339" s="28" t="inlineStr">
        <is>
          <t>https://africanmarketingconfederation.org/smoke-archive/page-59::render_blocking_resources</t>
        </is>
      </c>
      <c r="H339" s="28" t="inlineStr">
        <is>
          <t>Dev</t>
        </is>
      </c>
      <c r="I339" s="28" t="inlineStr"/>
      <c r="J339" s="28" t="inlineStr">
        <is>
          <t>To Do</t>
        </is>
      </c>
      <c r="K339" s="20" t="inlineStr">
        <is>
          <t>https://africanmarketingconfederation.org/smoke-archive/page-59</t>
        </is>
      </c>
      <c r="L339" s="28" t="inlineStr">
        <is>
          <t>IssueInventory</t>
        </is>
      </c>
      <c r="M339" s="28" t="n">
        <v>287</v>
      </c>
      <c r="N339" s="28" t="inlineStr">
        <is>
          <t>2026-07-01 20:54:35</t>
        </is>
      </c>
      <c r="O339" s="28" t="n">
        <v>0</v>
      </c>
      <c r="P339" s="28" t="inlineStr"/>
      <c r="Q339" s="28" t="inlineStr"/>
      <c r="R339">
        <f>IFERROR(HYPERLINK("#'Main'!B"&amp;MATCH(TRIM(A339),'Main'!B:B,0),"Open"),HYPERLINK("#'Main'!B1","Open"))</f>
        <v/>
      </c>
      <c r="S339">
        <f>IFERROR(HYPERLINK("#'"&amp;SUBSTITUTE(F339,"'","''")&amp;"'!A"&amp;MATCH(A339,INDIRECT("'"&amp;SUBSTITUTE(F339,"'","''")&amp;"'!A:A"),0),"Open"),HYPERLINK("#'"&amp;SUBSTITUTE(F339,"'","''")&amp;"'!A1","Open"))</f>
        <v/>
      </c>
    </row>
    <row r="340" ht="18" customHeight="1">
      <c r="A340" s="37" t="inlineStr">
        <is>
          <t>https://africanmarketingconfederation.org/smoke-archive/page-60</t>
        </is>
      </c>
      <c r="B340" s="30" t="inlineStr">
        <is>
          <t>Issue Inventory</t>
        </is>
      </c>
      <c r="C340" s="80" t="inlineStr">
        <is>
          <t>No Schema Markup</t>
        </is>
      </c>
      <c r="D340" s="30" t="inlineStr">
        <is>
          <t>Critical</t>
        </is>
      </c>
      <c r="E340" s="31" t="n">
        <v>1</v>
      </c>
      <c r="F340" s="41" t="inlineStr">
        <is>
          <t>Technical Diagnostics</t>
        </is>
      </c>
      <c r="G340" s="30" t="inlineStr">
        <is>
          <t>https://africanmarketingconfederation.org/smoke-archive/page-60::no_schema_markup</t>
        </is>
      </c>
      <c r="H340" s="30" t="inlineStr">
        <is>
          <t>Dev</t>
        </is>
      </c>
      <c r="I340" s="30" t="inlineStr"/>
      <c r="J340" s="30" t="inlineStr">
        <is>
          <t>To Do</t>
        </is>
      </c>
      <c r="K340" s="31" t="inlineStr">
        <is>
          <t>https://africanmarketingconfederation.org/smoke-archive/page-60</t>
        </is>
      </c>
      <c r="L340" s="30" t="inlineStr">
        <is>
          <t>IssueInventory</t>
        </is>
      </c>
      <c r="M340" s="30" t="n">
        <v>288</v>
      </c>
      <c r="N340" s="30" t="inlineStr">
        <is>
          <t>2026-07-01 20:54:35</t>
        </is>
      </c>
      <c r="O340" s="30" t="n">
        <v>0</v>
      </c>
      <c r="P340" s="30" t="inlineStr"/>
      <c r="Q340" s="30" t="inlineStr"/>
      <c r="R340" s="38">
        <f>IFERROR(HYPERLINK("#'Main'!B"&amp;MATCH(TRIM(A340),'Main'!B:B,0),"Open"),HYPERLINK("#'Main'!B1","Open"))</f>
        <v/>
      </c>
      <c r="S340" s="38">
        <f>IFERROR(HYPERLINK("#'"&amp;SUBSTITUTE(F340,"'","''")&amp;"'!A"&amp;MATCH(A340,INDIRECT("'"&amp;SUBSTITUTE(F340,"'","''")&amp;"'!A:A"),0),"Open"),HYPERLINK("#'"&amp;SUBSTITUTE(F340,"'","''")&amp;"'!A1","Open"))</f>
        <v/>
      </c>
    </row>
    <row r="341" ht="18" customHeight="1">
      <c r="A341" s="35" t="inlineStr">
        <is>
          <t>https://africanmarketingconfederation.org/smoke-archive/page-60</t>
        </is>
      </c>
      <c r="B341" s="28" t="inlineStr">
        <is>
          <t>Issue Inventory</t>
        </is>
      </c>
      <c r="C341" s="79" t="inlineStr">
        <is>
          <t>Missing Meta Description</t>
        </is>
      </c>
      <c r="D341" s="28" t="inlineStr">
        <is>
          <t>Warning</t>
        </is>
      </c>
      <c r="E341" s="20" t="n">
        <v>1</v>
      </c>
      <c r="F341" s="39" t="inlineStr">
        <is>
          <t>Technical Diagnostics</t>
        </is>
      </c>
      <c r="G341" s="28" t="inlineStr">
        <is>
          <t>https://africanmarketingconfederation.org/smoke-archive/page-60::missing_meta_description</t>
        </is>
      </c>
      <c r="H341" s="28" t="inlineStr">
        <is>
          <t>Copy Writer</t>
        </is>
      </c>
      <c r="I341" s="28" t="inlineStr"/>
      <c r="J341" s="28" t="inlineStr">
        <is>
          <t>To Do</t>
        </is>
      </c>
      <c r="K341" s="20" t="inlineStr">
        <is>
          <t>https://africanmarketingconfederation.org/smoke-archive/page-60</t>
        </is>
      </c>
      <c r="L341" s="28" t="inlineStr">
        <is>
          <t>IssueInventory</t>
        </is>
      </c>
      <c r="M341" s="28" t="n">
        <v>289</v>
      </c>
      <c r="N341" s="28" t="inlineStr">
        <is>
          <t>2026-07-01 20:54:35</t>
        </is>
      </c>
      <c r="O341" s="28" t="n">
        <v>0</v>
      </c>
      <c r="P341" s="28" t="inlineStr"/>
      <c r="Q341" s="28" t="inlineStr"/>
      <c r="R341">
        <f>IFERROR(HYPERLINK("#'Main'!B"&amp;MATCH(TRIM(A341),'Main'!B:B,0),"Open"),HYPERLINK("#'Main'!B1","Open"))</f>
        <v/>
      </c>
      <c r="S341">
        <f>IFERROR(HYPERLINK("#'"&amp;SUBSTITUTE(F341,"'","''")&amp;"'!A"&amp;MATCH(A341,INDIRECT("'"&amp;SUBSTITUTE(F341,"'","''")&amp;"'!A:A"),0),"Open"),HYPERLINK("#'"&amp;SUBSTITUTE(F341,"'","''")&amp;"'!A1","Open"))</f>
        <v/>
      </c>
    </row>
    <row r="342" ht="18" customHeight="1">
      <c r="A342" s="37" t="inlineStr">
        <is>
          <t>https://africanmarketingconfederation.org/smoke-archive/page-60</t>
        </is>
      </c>
      <c r="B342" s="30" t="inlineStr">
        <is>
          <t>Issue Inventory</t>
        </is>
      </c>
      <c r="C342" s="80" t="inlineStr">
        <is>
          <t>Low Image Alt Coverage</t>
        </is>
      </c>
      <c r="D342" s="30" t="inlineStr">
        <is>
          <t>Warning</t>
        </is>
      </c>
      <c r="E342" s="31" t="n">
        <v>1</v>
      </c>
      <c r="F342" s="41" t="inlineStr">
        <is>
          <t>Technical Diagnostics</t>
        </is>
      </c>
      <c r="G342" s="30" t="inlineStr">
        <is>
          <t>https://africanmarketingconfederation.org/smoke-archive/page-60::low_image_alt_coverage</t>
        </is>
      </c>
      <c r="H342" s="30" t="inlineStr">
        <is>
          <t>Copy Writer</t>
        </is>
      </c>
      <c r="I342" s="30" t="inlineStr"/>
      <c r="J342" s="30" t="inlineStr">
        <is>
          <t>To Do</t>
        </is>
      </c>
      <c r="K342" s="31" t="inlineStr">
        <is>
          <t>https://africanmarketingconfederation.org/smoke-archive/page-60</t>
        </is>
      </c>
      <c r="L342" s="30" t="inlineStr">
        <is>
          <t>IssueInventory</t>
        </is>
      </c>
      <c r="M342" s="30" t="n">
        <v>290</v>
      </c>
      <c r="N342" s="30" t="inlineStr">
        <is>
          <t>2026-07-01 20:54:35</t>
        </is>
      </c>
      <c r="O342" s="30" t="n">
        <v>0</v>
      </c>
      <c r="P342" s="30" t="inlineStr"/>
      <c r="Q342" s="30" t="inlineStr"/>
      <c r="R342" s="38">
        <f>IFERROR(HYPERLINK("#'Main'!B"&amp;MATCH(TRIM(A342),'Main'!B:B,0),"Open"),HYPERLINK("#'Main'!B1","Open"))</f>
        <v/>
      </c>
      <c r="S342" s="38">
        <f>IFERROR(HYPERLINK("#'"&amp;SUBSTITUTE(F342,"'","''")&amp;"'!A"&amp;MATCH(A342,INDIRECT("'"&amp;SUBSTITUTE(F342,"'","''")&amp;"'!A:A"),0),"Open"),HYPERLINK("#'"&amp;SUBSTITUTE(F342,"'","''")&amp;"'!A1","Open"))</f>
        <v/>
      </c>
    </row>
    <row r="343" ht="18" customHeight="1">
      <c r="A343" s="35" t="inlineStr">
        <is>
          <t>https://africanmarketingconfederation.org/smoke-archive/page-60</t>
        </is>
      </c>
      <c r="B343" s="28" t="inlineStr">
        <is>
          <t>Issue Inventory</t>
        </is>
      </c>
      <c r="C343" s="79" t="inlineStr">
        <is>
          <t>Missing OG Description</t>
        </is>
      </c>
      <c r="D343" s="28" t="inlineStr">
        <is>
          <t>Warning</t>
        </is>
      </c>
      <c r="E343" s="20" t="n">
        <v>1</v>
      </c>
      <c r="F343" s="39" t="inlineStr">
        <is>
          <t>Technical Diagnostics</t>
        </is>
      </c>
      <c r="G343" s="28" t="inlineStr">
        <is>
          <t>https://africanmarketingconfederation.org/smoke-archive/page-60::missing_og_description</t>
        </is>
      </c>
      <c r="H343" s="28" t="inlineStr">
        <is>
          <t>Copy Writer</t>
        </is>
      </c>
      <c r="I343" s="28" t="inlineStr"/>
      <c r="J343" s="28" t="inlineStr">
        <is>
          <t>To Do</t>
        </is>
      </c>
      <c r="K343" s="20" t="inlineStr">
        <is>
          <t>https://africanmarketingconfederation.org/smoke-archive/page-60</t>
        </is>
      </c>
      <c r="L343" s="28" t="inlineStr">
        <is>
          <t>IssueInventory</t>
        </is>
      </c>
      <c r="M343" s="28" t="n">
        <v>291</v>
      </c>
      <c r="N343" s="28" t="inlineStr">
        <is>
          <t>2026-07-01 20:54:35</t>
        </is>
      </c>
      <c r="O343" s="28" t="n">
        <v>0</v>
      </c>
      <c r="P343" s="28" t="inlineStr"/>
      <c r="Q343" s="28" t="inlineStr"/>
      <c r="R343">
        <f>IFERROR(HYPERLINK("#'Main'!B"&amp;MATCH(TRIM(A343),'Main'!B:B,0),"Open"),HYPERLINK("#'Main'!B1","Open"))</f>
        <v/>
      </c>
      <c r="S343">
        <f>IFERROR(HYPERLINK("#'"&amp;SUBSTITUTE(F343,"'","''")&amp;"'!A"&amp;MATCH(A343,INDIRECT("'"&amp;SUBSTITUTE(F343,"'","''")&amp;"'!A:A"),0),"Open"),HYPERLINK("#'"&amp;SUBSTITUTE(F343,"'","''")&amp;"'!A1","Open"))</f>
        <v/>
      </c>
    </row>
    <row r="344" ht="18" customHeight="1">
      <c r="A344" s="37" t="inlineStr">
        <is>
          <t>https://africanmarketingconfederation.org/smoke-archive/page-60</t>
        </is>
      </c>
      <c r="B344" s="30" t="inlineStr">
        <is>
          <t>Issue Inventory</t>
        </is>
      </c>
      <c r="C344" s="80" t="inlineStr">
        <is>
          <t>Lab TBT 150ms–300ms (Mobile)</t>
        </is>
      </c>
      <c r="D344" s="30" t="inlineStr">
        <is>
          <t>Observation</t>
        </is>
      </c>
      <c r="E344" s="31" t="n">
        <v>1</v>
      </c>
      <c r="F344" s="41" t="inlineStr">
        <is>
          <t>Technical Diagnostics</t>
        </is>
      </c>
      <c r="G344" s="30" t="inlineStr">
        <is>
          <t>https://africanmarketingconfederation.org/smoke-archive/page-60::lab_tbt_150ms_300ms_mobile_</t>
        </is>
      </c>
      <c r="H344" s="30" t="inlineStr">
        <is>
          <t>Dev</t>
        </is>
      </c>
      <c r="I344" s="30" t="inlineStr"/>
      <c r="J344" s="30" t="inlineStr">
        <is>
          <t>To Do</t>
        </is>
      </c>
      <c r="K344" s="31" t="inlineStr">
        <is>
          <t>https://africanmarketingconfederation.org/smoke-archive/page-60</t>
        </is>
      </c>
      <c r="L344" s="30" t="inlineStr">
        <is>
          <t>IssueInventory</t>
        </is>
      </c>
      <c r="M344" s="30" t="n">
        <v>292</v>
      </c>
      <c r="N344" s="30" t="inlineStr">
        <is>
          <t>2026-07-01 20:54:35</t>
        </is>
      </c>
      <c r="O344" s="30" t="n">
        <v>0</v>
      </c>
      <c r="P344" s="30" t="inlineStr"/>
      <c r="Q344" s="30" t="inlineStr"/>
      <c r="R344" s="38">
        <f>IFERROR(HYPERLINK("#'Main'!B"&amp;MATCH(TRIM(A344),'Main'!B:B,0),"Open"),HYPERLINK("#'Main'!B1","Open"))</f>
        <v/>
      </c>
      <c r="S344" s="38">
        <f>IFERROR(HYPERLINK("#'"&amp;SUBSTITUTE(F344,"'","''")&amp;"'!A"&amp;MATCH(A344,INDIRECT("'"&amp;SUBSTITUTE(F344,"'","''")&amp;"'!A:A"),0),"Open"),HYPERLINK("#'"&amp;SUBSTITUTE(F344,"'","''")&amp;"'!A1","Open"))</f>
        <v/>
      </c>
    </row>
    <row r="345" ht="18" customHeight="1">
      <c r="A345" s="35" t="inlineStr">
        <is>
          <t>https://africanmarketingconfederation.org/smoke-archive/page-60</t>
        </is>
      </c>
      <c r="B345" s="28" t="inlineStr">
        <is>
          <t>Issue Inventory</t>
        </is>
      </c>
      <c r="C345" s="79" t="inlineStr">
        <is>
          <t>Moderate Lighthouse Performance Mobile (50–89)</t>
        </is>
      </c>
      <c r="D345" s="28" t="inlineStr">
        <is>
          <t>Observation</t>
        </is>
      </c>
      <c r="E345" s="20" t="n">
        <v>1</v>
      </c>
      <c r="F345" s="39" t="inlineStr">
        <is>
          <t>Technical Diagnostics</t>
        </is>
      </c>
      <c r="G345" s="28" t="inlineStr">
        <is>
          <t>https://africanmarketingconfederation.org/smoke-archive/page-60::moderate_lighthouse_performance_mobile_50_89_</t>
        </is>
      </c>
      <c r="H345" s="28" t="inlineStr">
        <is>
          <t>Dev</t>
        </is>
      </c>
      <c r="I345" s="28" t="inlineStr"/>
      <c r="J345" s="28" t="inlineStr">
        <is>
          <t>To Do</t>
        </is>
      </c>
      <c r="K345" s="20" t="inlineStr">
        <is>
          <t>https://africanmarketingconfederation.org/smoke-archive/page-60</t>
        </is>
      </c>
      <c r="L345" s="28" t="inlineStr">
        <is>
          <t>IssueInventory</t>
        </is>
      </c>
      <c r="M345" s="28" t="n">
        <v>293</v>
      </c>
      <c r="N345" s="28" t="inlineStr">
        <is>
          <t>2026-07-01 20:54:35</t>
        </is>
      </c>
      <c r="O345" s="28" t="n">
        <v>0</v>
      </c>
      <c r="P345" s="28" t="inlineStr"/>
      <c r="Q345" s="28" t="inlineStr"/>
      <c r="R345">
        <f>IFERROR(HYPERLINK("#'Main'!B"&amp;MATCH(TRIM(A345),'Main'!B:B,0),"Open"),HYPERLINK("#'Main'!B1","Open"))</f>
        <v/>
      </c>
      <c r="S345">
        <f>IFERROR(HYPERLINK("#'"&amp;SUBSTITUTE(F345,"'","''")&amp;"'!A"&amp;MATCH(A345,INDIRECT("'"&amp;SUBSTITUTE(F345,"'","''")&amp;"'!A:A"),0),"Open"),HYPERLINK("#'"&amp;SUBSTITUTE(F345,"'","''")&amp;"'!A1","Open"))</f>
        <v/>
      </c>
    </row>
    <row r="346" ht="18" customHeight="1">
      <c r="A346" s="37" t="inlineStr">
        <is>
          <t>https://africanmarketingconfederation.org/smoke-archive/page-60</t>
        </is>
      </c>
      <c r="B346" s="30" t="inlineStr">
        <is>
          <t>Issue Inventory</t>
        </is>
      </c>
      <c r="C346" s="80" t="inlineStr">
        <is>
          <t>Render Blocking Resources</t>
        </is>
      </c>
      <c r="D346" s="30" t="inlineStr">
        <is>
          <t>Observation</t>
        </is>
      </c>
      <c r="E346" s="31" t="n">
        <v>1</v>
      </c>
      <c r="F346" s="41" t="inlineStr">
        <is>
          <t>Technical Diagnostics</t>
        </is>
      </c>
      <c r="G346" s="30" t="inlineStr">
        <is>
          <t>https://africanmarketingconfederation.org/smoke-archive/page-60::render_blocking_resources</t>
        </is>
      </c>
      <c r="H346" s="30" t="inlineStr">
        <is>
          <t>Dev</t>
        </is>
      </c>
      <c r="I346" s="30" t="inlineStr"/>
      <c r="J346" s="30" t="inlineStr">
        <is>
          <t>To Do</t>
        </is>
      </c>
      <c r="K346" s="31" t="inlineStr">
        <is>
          <t>https://africanmarketingconfederation.org/smoke-archive/page-60</t>
        </is>
      </c>
      <c r="L346" s="30" t="inlineStr">
        <is>
          <t>IssueInventory</t>
        </is>
      </c>
      <c r="M346" s="30" t="n">
        <v>294</v>
      </c>
      <c r="N346" s="30" t="inlineStr">
        <is>
          <t>2026-07-01 20:54:35</t>
        </is>
      </c>
      <c r="O346" s="30" t="n">
        <v>0</v>
      </c>
      <c r="P346" s="30" t="inlineStr"/>
      <c r="Q346" s="30" t="inlineStr"/>
      <c r="R346" s="38">
        <f>IFERROR(HYPERLINK("#'Main'!B"&amp;MATCH(TRIM(A346),'Main'!B:B,0),"Open"),HYPERLINK("#'Main'!B1","Open"))</f>
        <v/>
      </c>
      <c r="S346" s="38">
        <f>IFERROR(HYPERLINK("#'"&amp;SUBSTITUTE(F346,"'","''")&amp;"'!A"&amp;MATCH(A346,INDIRECT("'"&amp;SUBSTITUTE(F346,"'","''")&amp;"'!A:A"),0),"Open"),HYPERLINK("#'"&amp;SUBSTITUTE(F346,"'","''")&amp;"'!A1","Open"))</f>
        <v/>
      </c>
    </row>
    <row r="347" ht="18" customHeight="1">
      <c r="A347" s="35" t="inlineStr">
        <is>
          <t>https://africanmarketingconfederation.org/smoke-archive/page-61</t>
        </is>
      </c>
      <c r="B347" s="28" t="inlineStr">
        <is>
          <t>Issue Inventory</t>
        </is>
      </c>
      <c r="C347" s="79" t="inlineStr">
        <is>
          <t>Missing OG Image</t>
        </is>
      </c>
      <c r="D347" s="28" t="inlineStr">
        <is>
          <t>Warning</t>
        </is>
      </c>
      <c r="E347" s="20" t="n">
        <v>1</v>
      </c>
      <c r="F347" s="39" t="inlineStr">
        <is>
          <t>Technical Diagnostics</t>
        </is>
      </c>
      <c r="G347" s="28" t="inlineStr">
        <is>
          <t>https://africanmarketingconfederation.org/smoke-archive/page-61::missing_og_image</t>
        </is>
      </c>
      <c r="H347" s="28" t="inlineStr">
        <is>
          <t>Copy Writer</t>
        </is>
      </c>
      <c r="I347" s="28" t="inlineStr"/>
      <c r="J347" s="28" t="inlineStr">
        <is>
          <t>To Do</t>
        </is>
      </c>
      <c r="K347" s="20" t="inlineStr">
        <is>
          <t>https://africanmarketingconfederation.org/smoke-archive/page-61</t>
        </is>
      </c>
      <c r="L347" s="28" t="inlineStr">
        <is>
          <t>IssueInventory</t>
        </is>
      </c>
      <c r="M347" s="28" t="n">
        <v>295</v>
      </c>
      <c r="N347" s="28" t="inlineStr">
        <is>
          <t>2026-07-01 20:54:35</t>
        </is>
      </c>
      <c r="O347" s="28" t="n">
        <v>0</v>
      </c>
      <c r="P347" s="28" t="inlineStr"/>
      <c r="Q347" s="28" t="inlineStr"/>
      <c r="R347">
        <f>IFERROR(HYPERLINK("#'Main'!B"&amp;MATCH(TRIM(A347),'Main'!B:B,0),"Open"),HYPERLINK("#'Main'!B1","Open"))</f>
        <v/>
      </c>
      <c r="S347">
        <f>IFERROR(HYPERLINK("#'"&amp;SUBSTITUTE(F347,"'","''")&amp;"'!A"&amp;MATCH(A347,INDIRECT("'"&amp;SUBSTITUTE(F347,"'","''")&amp;"'!A:A"),0),"Open"),HYPERLINK("#'"&amp;SUBSTITUTE(F347,"'","''")&amp;"'!A1","Open"))</f>
        <v/>
      </c>
    </row>
    <row r="348" ht="18" customHeight="1">
      <c r="A348" s="37" t="inlineStr">
        <is>
          <t>https://africanmarketingconfederation.org/smoke-archive/page-61</t>
        </is>
      </c>
      <c r="B348" s="30" t="inlineStr">
        <is>
          <t>Issue Inventory</t>
        </is>
      </c>
      <c r="C348" s="80" t="inlineStr">
        <is>
          <t>Lab TBT 150ms–300ms (Mobile)</t>
        </is>
      </c>
      <c r="D348" s="30" t="inlineStr">
        <is>
          <t>Observation</t>
        </is>
      </c>
      <c r="E348" s="31" t="n">
        <v>1</v>
      </c>
      <c r="F348" s="41" t="inlineStr">
        <is>
          <t>Technical Diagnostics</t>
        </is>
      </c>
      <c r="G348" s="30" t="inlineStr">
        <is>
          <t>https://africanmarketingconfederation.org/smoke-archive/page-61::lab_tbt_150ms_300ms_mobile_</t>
        </is>
      </c>
      <c r="H348" s="30" t="inlineStr">
        <is>
          <t>Dev</t>
        </is>
      </c>
      <c r="I348" s="30" t="inlineStr"/>
      <c r="J348" s="30" t="inlineStr">
        <is>
          <t>To Do</t>
        </is>
      </c>
      <c r="K348" s="31" t="inlineStr">
        <is>
          <t>https://africanmarketingconfederation.org/smoke-archive/page-61</t>
        </is>
      </c>
      <c r="L348" s="30" t="inlineStr">
        <is>
          <t>IssueInventory</t>
        </is>
      </c>
      <c r="M348" s="30" t="n">
        <v>296</v>
      </c>
      <c r="N348" s="30" t="inlineStr">
        <is>
          <t>2026-07-01 20:54:35</t>
        </is>
      </c>
      <c r="O348" s="30" t="n">
        <v>0</v>
      </c>
      <c r="P348" s="30" t="inlineStr"/>
      <c r="Q348" s="30" t="inlineStr"/>
      <c r="R348" s="38">
        <f>IFERROR(HYPERLINK("#'Main'!B"&amp;MATCH(TRIM(A348),'Main'!B:B,0),"Open"),HYPERLINK("#'Main'!B1","Open"))</f>
        <v/>
      </c>
      <c r="S348" s="38">
        <f>IFERROR(HYPERLINK("#'"&amp;SUBSTITUTE(F348,"'","''")&amp;"'!A"&amp;MATCH(A348,INDIRECT("'"&amp;SUBSTITUTE(F348,"'","''")&amp;"'!A:A"),0),"Open"),HYPERLINK("#'"&amp;SUBSTITUTE(F348,"'","''")&amp;"'!A1","Open"))</f>
        <v/>
      </c>
    </row>
    <row r="349" ht="18" customHeight="1">
      <c r="A349" s="35" t="inlineStr">
        <is>
          <t>https://africanmarketingconfederation.org/smoke-archive/page-61</t>
        </is>
      </c>
      <c r="B349" s="28" t="inlineStr">
        <is>
          <t>Issue Inventory</t>
        </is>
      </c>
      <c r="C349" s="79" t="inlineStr">
        <is>
          <t>Moderate Lighthouse Performance Mobile (50–89)</t>
        </is>
      </c>
      <c r="D349" s="28" t="inlineStr">
        <is>
          <t>Observation</t>
        </is>
      </c>
      <c r="E349" s="20" t="n">
        <v>1</v>
      </c>
      <c r="F349" s="39" t="inlineStr">
        <is>
          <t>Technical Diagnostics</t>
        </is>
      </c>
      <c r="G349" s="28" t="inlineStr">
        <is>
          <t>https://africanmarketingconfederation.org/smoke-archive/page-61::moderate_lighthouse_performance_mobile_50_89_</t>
        </is>
      </c>
      <c r="H349" s="28" t="inlineStr">
        <is>
          <t>Dev</t>
        </is>
      </c>
      <c r="I349" s="28" t="inlineStr"/>
      <c r="J349" s="28" t="inlineStr">
        <is>
          <t>To Do</t>
        </is>
      </c>
      <c r="K349" s="20" t="inlineStr">
        <is>
          <t>https://africanmarketingconfederation.org/smoke-archive/page-61</t>
        </is>
      </c>
      <c r="L349" s="28" t="inlineStr">
        <is>
          <t>IssueInventory</t>
        </is>
      </c>
      <c r="M349" s="28" t="n">
        <v>297</v>
      </c>
      <c r="N349" s="28" t="inlineStr">
        <is>
          <t>2026-07-01 20:54:35</t>
        </is>
      </c>
      <c r="O349" s="28" t="n">
        <v>0</v>
      </c>
      <c r="P349" s="28" t="inlineStr"/>
      <c r="Q349" s="28" t="inlineStr"/>
      <c r="R349">
        <f>IFERROR(HYPERLINK("#'Main'!B"&amp;MATCH(TRIM(A349),'Main'!B:B,0),"Open"),HYPERLINK("#'Main'!B1","Open"))</f>
        <v/>
      </c>
      <c r="S349">
        <f>IFERROR(HYPERLINK("#'"&amp;SUBSTITUTE(F349,"'","''")&amp;"'!A"&amp;MATCH(A349,INDIRECT("'"&amp;SUBSTITUTE(F349,"'","''")&amp;"'!A:A"),0),"Open"),HYPERLINK("#'"&amp;SUBSTITUTE(F349,"'","''")&amp;"'!A1","Open"))</f>
        <v/>
      </c>
    </row>
    <row r="350" ht="18" customHeight="1">
      <c r="A350" s="37" t="inlineStr">
        <is>
          <t>https://africanmarketingconfederation.org/smoke-archive/page-61</t>
        </is>
      </c>
      <c r="B350" s="30" t="inlineStr">
        <is>
          <t>Issue Inventory</t>
        </is>
      </c>
      <c r="C350" s="80" t="inlineStr">
        <is>
          <t>Render Blocking Resources</t>
        </is>
      </c>
      <c r="D350" s="30" t="inlineStr">
        <is>
          <t>Observation</t>
        </is>
      </c>
      <c r="E350" s="31" t="n">
        <v>1</v>
      </c>
      <c r="F350" s="41" t="inlineStr">
        <is>
          <t>Technical Diagnostics</t>
        </is>
      </c>
      <c r="G350" s="30" t="inlineStr">
        <is>
          <t>https://africanmarketingconfederation.org/smoke-archive/page-61::render_blocking_resources</t>
        </is>
      </c>
      <c r="H350" s="30" t="inlineStr">
        <is>
          <t>Dev</t>
        </is>
      </c>
      <c r="I350" s="30" t="inlineStr"/>
      <c r="J350" s="30" t="inlineStr">
        <is>
          <t>To Do</t>
        </is>
      </c>
      <c r="K350" s="31" t="inlineStr">
        <is>
          <t>https://africanmarketingconfederation.org/smoke-archive/page-61</t>
        </is>
      </c>
      <c r="L350" s="30" t="inlineStr">
        <is>
          <t>IssueInventory</t>
        </is>
      </c>
      <c r="M350" s="30" t="n">
        <v>298</v>
      </c>
      <c r="N350" s="30" t="inlineStr">
        <is>
          <t>2026-07-01 20:54:35</t>
        </is>
      </c>
      <c r="O350" s="30" t="n">
        <v>0</v>
      </c>
      <c r="P350" s="30" t="inlineStr"/>
      <c r="Q350" s="30" t="inlineStr"/>
      <c r="R350" s="38">
        <f>IFERROR(HYPERLINK("#'Main'!B"&amp;MATCH(TRIM(A350),'Main'!B:B,0),"Open"),HYPERLINK("#'Main'!B1","Open"))</f>
        <v/>
      </c>
      <c r="S350" s="38">
        <f>IFERROR(HYPERLINK("#'"&amp;SUBSTITUTE(F350,"'","''")&amp;"'!A"&amp;MATCH(A350,INDIRECT("'"&amp;SUBSTITUTE(F350,"'","''")&amp;"'!A:A"),0),"Open"),HYPERLINK("#'"&amp;SUBSTITUTE(F350,"'","''")&amp;"'!A1","Open"))</f>
        <v/>
      </c>
    </row>
    <row r="351" ht="18" customHeight="1">
      <c r="A351" s="35" t="inlineStr">
        <is>
          <t>https://africanmarketingconfederation.org/smoke-archive/page-62</t>
        </is>
      </c>
      <c r="B351" s="28" t="inlineStr">
        <is>
          <t>Issue Inventory</t>
        </is>
      </c>
      <c r="C351" s="79" t="inlineStr">
        <is>
          <t>Missing OG Image</t>
        </is>
      </c>
      <c r="D351" s="28" t="inlineStr">
        <is>
          <t>Warning</t>
        </is>
      </c>
      <c r="E351" s="20" t="n">
        <v>1</v>
      </c>
      <c r="F351" s="39" t="inlineStr">
        <is>
          <t>Technical Diagnostics</t>
        </is>
      </c>
      <c r="G351" s="28" t="inlineStr">
        <is>
          <t>https://africanmarketingconfederation.org/smoke-archive/page-62::missing_og_image</t>
        </is>
      </c>
      <c r="H351" s="28" t="inlineStr">
        <is>
          <t>Copy Writer</t>
        </is>
      </c>
      <c r="I351" s="28" t="inlineStr"/>
      <c r="J351" s="28" t="inlineStr">
        <is>
          <t>To Do</t>
        </is>
      </c>
      <c r="K351" s="20" t="inlineStr">
        <is>
          <t>https://africanmarketingconfederation.org/smoke-archive/page-62</t>
        </is>
      </c>
      <c r="L351" s="28" t="inlineStr">
        <is>
          <t>IssueInventory</t>
        </is>
      </c>
      <c r="M351" s="28" t="n">
        <v>299</v>
      </c>
      <c r="N351" s="28" t="inlineStr">
        <is>
          <t>2026-07-01 20:54:35</t>
        </is>
      </c>
      <c r="O351" s="28" t="n">
        <v>0</v>
      </c>
      <c r="P351" s="28" t="inlineStr"/>
      <c r="Q351" s="28" t="inlineStr"/>
      <c r="R351">
        <f>IFERROR(HYPERLINK("#'Main'!B"&amp;MATCH(TRIM(A351),'Main'!B:B,0),"Open"),HYPERLINK("#'Main'!B1","Open"))</f>
        <v/>
      </c>
      <c r="S351">
        <f>IFERROR(HYPERLINK("#'"&amp;SUBSTITUTE(F351,"'","''")&amp;"'!A"&amp;MATCH(A351,INDIRECT("'"&amp;SUBSTITUTE(F351,"'","''")&amp;"'!A:A"),0),"Open"),HYPERLINK("#'"&amp;SUBSTITUTE(F351,"'","''")&amp;"'!A1","Open"))</f>
        <v/>
      </c>
    </row>
    <row r="352" ht="18" customHeight="1">
      <c r="A352" s="37" t="inlineStr">
        <is>
          <t>https://africanmarketingconfederation.org/smoke-archive/page-62</t>
        </is>
      </c>
      <c r="B352" s="30" t="inlineStr">
        <is>
          <t>Issue Inventory</t>
        </is>
      </c>
      <c r="C352" s="80" t="inlineStr">
        <is>
          <t>Lab TBT 150ms–300ms (Mobile)</t>
        </is>
      </c>
      <c r="D352" s="30" t="inlineStr">
        <is>
          <t>Observation</t>
        </is>
      </c>
      <c r="E352" s="31" t="n">
        <v>1</v>
      </c>
      <c r="F352" s="41" t="inlineStr">
        <is>
          <t>Technical Diagnostics</t>
        </is>
      </c>
      <c r="G352" s="30" t="inlineStr">
        <is>
          <t>https://africanmarketingconfederation.org/smoke-archive/page-62::lab_tbt_150ms_300ms_mobile_</t>
        </is>
      </c>
      <c r="H352" s="30" t="inlineStr">
        <is>
          <t>Dev</t>
        </is>
      </c>
      <c r="I352" s="30" t="inlineStr"/>
      <c r="J352" s="30" t="inlineStr">
        <is>
          <t>To Do</t>
        </is>
      </c>
      <c r="K352" s="31" t="inlineStr">
        <is>
          <t>https://africanmarketingconfederation.org/smoke-archive/page-62</t>
        </is>
      </c>
      <c r="L352" s="30" t="inlineStr">
        <is>
          <t>IssueInventory</t>
        </is>
      </c>
      <c r="M352" s="30" t="n">
        <v>300</v>
      </c>
      <c r="N352" s="30" t="inlineStr">
        <is>
          <t>2026-07-01 20:54:35</t>
        </is>
      </c>
      <c r="O352" s="30" t="n">
        <v>0</v>
      </c>
      <c r="P352" s="30" t="inlineStr"/>
      <c r="Q352" s="30" t="inlineStr"/>
      <c r="R352" s="38">
        <f>IFERROR(HYPERLINK("#'Main'!B"&amp;MATCH(TRIM(A352),'Main'!B:B,0),"Open"),HYPERLINK("#'Main'!B1","Open"))</f>
        <v/>
      </c>
      <c r="S352" s="38">
        <f>IFERROR(HYPERLINK("#'"&amp;SUBSTITUTE(F352,"'","''")&amp;"'!A"&amp;MATCH(A352,INDIRECT("'"&amp;SUBSTITUTE(F352,"'","''")&amp;"'!A:A"),0),"Open"),HYPERLINK("#'"&amp;SUBSTITUTE(F352,"'","''")&amp;"'!A1","Open"))</f>
        <v/>
      </c>
    </row>
    <row r="353" ht="18" customHeight="1">
      <c r="A353" s="35" t="inlineStr">
        <is>
          <t>https://africanmarketingconfederation.org/smoke-archive/page-62</t>
        </is>
      </c>
      <c r="B353" s="28" t="inlineStr">
        <is>
          <t>Issue Inventory</t>
        </is>
      </c>
      <c r="C353" s="79" t="inlineStr">
        <is>
          <t>Moderate Lighthouse Performance Mobile (50–89)</t>
        </is>
      </c>
      <c r="D353" s="28" t="inlineStr">
        <is>
          <t>Observation</t>
        </is>
      </c>
      <c r="E353" s="20" t="n">
        <v>1</v>
      </c>
      <c r="F353" s="39" t="inlineStr">
        <is>
          <t>Technical Diagnostics</t>
        </is>
      </c>
      <c r="G353" s="28" t="inlineStr">
        <is>
          <t>https://africanmarketingconfederation.org/smoke-archive/page-62::moderate_lighthouse_performance_mobile_50_89_</t>
        </is>
      </c>
      <c r="H353" s="28" t="inlineStr">
        <is>
          <t>Dev</t>
        </is>
      </c>
      <c r="I353" s="28" t="inlineStr"/>
      <c r="J353" s="28" t="inlineStr">
        <is>
          <t>To Do</t>
        </is>
      </c>
      <c r="K353" s="20" t="inlineStr">
        <is>
          <t>https://africanmarketingconfederation.org/smoke-archive/page-62</t>
        </is>
      </c>
      <c r="L353" s="28" t="inlineStr">
        <is>
          <t>IssueInventory</t>
        </is>
      </c>
      <c r="M353" s="28" t="n">
        <v>301</v>
      </c>
      <c r="N353" s="28" t="inlineStr">
        <is>
          <t>2026-07-01 20:54:35</t>
        </is>
      </c>
      <c r="O353" s="28" t="n">
        <v>0</v>
      </c>
      <c r="P353" s="28" t="inlineStr"/>
      <c r="Q353" s="28" t="inlineStr"/>
      <c r="R353">
        <f>IFERROR(HYPERLINK("#'Main'!B"&amp;MATCH(TRIM(A353),'Main'!B:B,0),"Open"),HYPERLINK("#'Main'!B1","Open"))</f>
        <v/>
      </c>
      <c r="S353">
        <f>IFERROR(HYPERLINK("#'"&amp;SUBSTITUTE(F353,"'","''")&amp;"'!A"&amp;MATCH(A353,INDIRECT("'"&amp;SUBSTITUTE(F353,"'","''")&amp;"'!A:A"),0),"Open"),HYPERLINK("#'"&amp;SUBSTITUTE(F353,"'","''")&amp;"'!A1","Open"))</f>
        <v/>
      </c>
    </row>
    <row r="354" ht="18" customHeight="1">
      <c r="A354" s="37" t="inlineStr">
        <is>
          <t>https://africanmarketingconfederation.org/smoke-archive/page-62</t>
        </is>
      </c>
      <c r="B354" s="30" t="inlineStr">
        <is>
          <t>Issue Inventory</t>
        </is>
      </c>
      <c r="C354" s="80" t="inlineStr">
        <is>
          <t>Render Blocking Resources</t>
        </is>
      </c>
      <c r="D354" s="30" t="inlineStr">
        <is>
          <t>Observation</t>
        </is>
      </c>
      <c r="E354" s="31" t="n">
        <v>1</v>
      </c>
      <c r="F354" s="41" t="inlineStr">
        <is>
          <t>Technical Diagnostics</t>
        </is>
      </c>
      <c r="G354" s="30" t="inlineStr">
        <is>
          <t>https://africanmarketingconfederation.org/smoke-archive/page-62::render_blocking_resources</t>
        </is>
      </c>
      <c r="H354" s="30" t="inlineStr">
        <is>
          <t>Dev</t>
        </is>
      </c>
      <c r="I354" s="30" t="inlineStr"/>
      <c r="J354" s="30" t="inlineStr">
        <is>
          <t>To Do</t>
        </is>
      </c>
      <c r="K354" s="31" t="inlineStr">
        <is>
          <t>https://africanmarketingconfederation.org/smoke-archive/page-62</t>
        </is>
      </c>
      <c r="L354" s="30" t="inlineStr">
        <is>
          <t>IssueInventory</t>
        </is>
      </c>
      <c r="M354" s="30" t="n">
        <v>302</v>
      </c>
      <c r="N354" s="30" t="inlineStr">
        <is>
          <t>2026-07-01 20:54:35</t>
        </is>
      </c>
      <c r="O354" s="30" t="n">
        <v>0</v>
      </c>
      <c r="P354" s="30" t="inlineStr"/>
      <c r="Q354" s="30" t="inlineStr"/>
      <c r="R354" s="38">
        <f>IFERROR(HYPERLINK("#'Main'!B"&amp;MATCH(TRIM(A354),'Main'!B:B,0),"Open"),HYPERLINK("#'Main'!B1","Open"))</f>
        <v/>
      </c>
      <c r="S354" s="38">
        <f>IFERROR(HYPERLINK("#'"&amp;SUBSTITUTE(F354,"'","''")&amp;"'!A"&amp;MATCH(A354,INDIRECT("'"&amp;SUBSTITUTE(F354,"'","''")&amp;"'!A:A"),0),"Open"),HYPERLINK("#'"&amp;SUBSTITUTE(F354,"'","''")&amp;"'!A1","Open"))</f>
        <v/>
      </c>
    </row>
    <row r="355" ht="18" customHeight="1">
      <c r="A355" s="35" t="inlineStr">
        <is>
          <t>https://africanmarketingconfederation.org/smoke-archive/page-63</t>
        </is>
      </c>
      <c r="B355" s="28" t="inlineStr">
        <is>
          <t>Issue Inventory</t>
        </is>
      </c>
      <c r="C355" s="79" t="inlineStr">
        <is>
          <t>Low E-E-A-T Signal Score (&lt;3)</t>
        </is>
      </c>
      <c r="D355" s="28" t="inlineStr">
        <is>
          <t>Warning</t>
        </is>
      </c>
      <c r="E355" s="20" t="n">
        <v>1</v>
      </c>
      <c r="F355" s="39" t="inlineStr">
        <is>
          <t>Technical Diagnostics</t>
        </is>
      </c>
      <c r="G355" s="28" t="inlineStr">
        <is>
          <t>https://africanmarketingconfederation.org/smoke-archive/page-63::low_e-e-a-t_signal_score_3_</t>
        </is>
      </c>
      <c r="H355" s="28" t="inlineStr">
        <is>
          <t>Copy Writer</t>
        </is>
      </c>
      <c r="I355" s="28" t="inlineStr"/>
      <c r="J355" s="28" t="inlineStr">
        <is>
          <t>To Do</t>
        </is>
      </c>
      <c r="K355" s="20" t="inlineStr">
        <is>
          <t>https://africanmarketingconfederation.org/smoke-archive/page-63</t>
        </is>
      </c>
      <c r="L355" s="28" t="inlineStr">
        <is>
          <t>IssueInventory</t>
        </is>
      </c>
      <c r="M355" s="28" t="n">
        <v>303</v>
      </c>
      <c r="N355" s="28" t="inlineStr">
        <is>
          <t>2026-07-01 20:54:35</t>
        </is>
      </c>
      <c r="O355" s="28" t="n">
        <v>0</v>
      </c>
      <c r="P355" s="28" t="inlineStr"/>
      <c r="Q355" s="28" t="inlineStr"/>
      <c r="R355">
        <f>IFERROR(HYPERLINK("#'Main'!B"&amp;MATCH(TRIM(A355),'Main'!B:B,0),"Open"),HYPERLINK("#'Main'!B1","Open"))</f>
        <v/>
      </c>
      <c r="S355">
        <f>IFERROR(HYPERLINK("#'"&amp;SUBSTITUTE(F355,"'","''")&amp;"'!A"&amp;MATCH(A355,INDIRECT("'"&amp;SUBSTITUTE(F355,"'","''")&amp;"'!A:A"),0),"Open"),HYPERLINK("#'"&amp;SUBSTITUTE(F355,"'","''")&amp;"'!A1","Open"))</f>
        <v/>
      </c>
    </row>
    <row r="356" ht="18" customHeight="1">
      <c r="A356" s="37" t="inlineStr">
        <is>
          <t>https://africanmarketingconfederation.org/smoke-archive/page-63</t>
        </is>
      </c>
      <c r="B356" s="30" t="inlineStr">
        <is>
          <t>Issue Inventory</t>
        </is>
      </c>
      <c r="C356" s="80" t="inlineStr">
        <is>
          <t>Missing OG Image</t>
        </is>
      </c>
      <c r="D356" s="30" t="inlineStr">
        <is>
          <t>Warning</t>
        </is>
      </c>
      <c r="E356" s="31" t="n">
        <v>1</v>
      </c>
      <c r="F356" s="41" t="inlineStr">
        <is>
          <t>Technical Diagnostics</t>
        </is>
      </c>
      <c r="G356" s="30" t="inlineStr">
        <is>
          <t>https://africanmarketingconfederation.org/smoke-archive/page-63::missing_og_image</t>
        </is>
      </c>
      <c r="H356" s="30" t="inlineStr">
        <is>
          <t>Copy Writer</t>
        </is>
      </c>
      <c r="I356" s="30" t="inlineStr"/>
      <c r="J356" s="30" t="inlineStr">
        <is>
          <t>To Do</t>
        </is>
      </c>
      <c r="K356" s="31" t="inlineStr">
        <is>
          <t>https://africanmarketingconfederation.org/smoke-archive/page-63</t>
        </is>
      </c>
      <c r="L356" s="30" t="inlineStr">
        <is>
          <t>IssueInventory</t>
        </is>
      </c>
      <c r="M356" s="30" t="n">
        <v>304</v>
      </c>
      <c r="N356" s="30" t="inlineStr">
        <is>
          <t>2026-07-01 20:54:35</t>
        </is>
      </c>
      <c r="O356" s="30" t="n">
        <v>0</v>
      </c>
      <c r="P356" s="30" t="inlineStr"/>
      <c r="Q356" s="30" t="inlineStr"/>
      <c r="R356" s="38">
        <f>IFERROR(HYPERLINK("#'Main'!B"&amp;MATCH(TRIM(A356),'Main'!B:B,0),"Open"),HYPERLINK("#'Main'!B1","Open"))</f>
        <v/>
      </c>
      <c r="S356" s="38">
        <f>IFERROR(HYPERLINK("#'"&amp;SUBSTITUTE(F356,"'","''")&amp;"'!A"&amp;MATCH(A356,INDIRECT("'"&amp;SUBSTITUTE(F356,"'","''")&amp;"'!A:A"),0),"Open"),HYPERLINK("#'"&amp;SUBSTITUTE(F356,"'","''")&amp;"'!A1","Open"))</f>
        <v/>
      </c>
    </row>
    <row r="357" ht="18" customHeight="1">
      <c r="A357" s="35" t="inlineStr">
        <is>
          <t>https://africanmarketingconfederation.org/smoke-archive/page-63</t>
        </is>
      </c>
      <c r="B357" s="28" t="inlineStr">
        <is>
          <t>Issue Inventory</t>
        </is>
      </c>
      <c r="C357" s="79" t="inlineStr">
        <is>
          <t>Low AEO Readiness Score</t>
        </is>
      </c>
      <c r="D357" s="28" t="inlineStr">
        <is>
          <t>Warning</t>
        </is>
      </c>
      <c r="E357" s="20" t="n">
        <v>1</v>
      </c>
      <c r="F357" s="39" t="inlineStr">
        <is>
          <t>Content &amp; AI Readiness</t>
        </is>
      </c>
      <c r="G357" s="28" t="inlineStr">
        <is>
          <t>https://africanmarketingconfederation.org/smoke-archive/page-63::low_aeo_readiness_score</t>
        </is>
      </c>
      <c r="H357" s="28" t="inlineStr">
        <is>
          <t>Copy Writer</t>
        </is>
      </c>
      <c r="I357" s="28" t="inlineStr"/>
      <c r="J357" s="28" t="inlineStr">
        <is>
          <t>To Do</t>
        </is>
      </c>
      <c r="K357" s="20" t="inlineStr">
        <is>
          <t>https://africanmarketingconfederation.org/smoke-archive/page-63</t>
        </is>
      </c>
      <c r="L357" s="28" t="inlineStr">
        <is>
          <t>IssueInventory</t>
        </is>
      </c>
      <c r="M357" s="28" t="n">
        <v>305</v>
      </c>
      <c r="N357" s="28" t="inlineStr">
        <is>
          <t>2026-07-01 20:54:35</t>
        </is>
      </c>
      <c r="O357" s="28" t="n">
        <v>0</v>
      </c>
      <c r="P357" s="28" t="inlineStr"/>
      <c r="Q357" s="28" t="inlineStr"/>
      <c r="R357">
        <f>IFERROR(HYPERLINK("#'Main'!B"&amp;MATCH(TRIM(A357),'Main'!B:B,0),"Open"),HYPERLINK("#'Main'!B1","Open"))</f>
        <v/>
      </c>
      <c r="S357">
        <f>IFERROR(HYPERLINK("#'"&amp;SUBSTITUTE(F357,"'","''")&amp;"'!A"&amp;MATCH(A357,INDIRECT("'"&amp;SUBSTITUTE(F357,"'","''")&amp;"'!A:A"),0),"Open"),HYPERLINK("#'"&amp;SUBSTITUTE(F357,"'","''")&amp;"'!A1","Open"))</f>
        <v/>
      </c>
    </row>
    <row r="358" ht="18" customHeight="1">
      <c r="A358" s="37" t="inlineStr">
        <is>
          <t>https://africanmarketingconfederation.org/smoke-archive/page-63</t>
        </is>
      </c>
      <c r="B358" s="30" t="inlineStr">
        <is>
          <t>Issue Inventory</t>
        </is>
      </c>
      <c r="C358" s="80" t="inlineStr">
        <is>
          <t>No Author Attribution</t>
        </is>
      </c>
      <c r="D358" s="30" t="inlineStr">
        <is>
          <t>Observation</t>
        </is>
      </c>
      <c r="E358" s="31" t="n">
        <v>1</v>
      </c>
      <c r="F358" s="41" t="inlineStr">
        <is>
          <t>Technical Diagnostics</t>
        </is>
      </c>
      <c r="G358" s="30" t="inlineStr">
        <is>
          <t>https://africanmarketingconfederation.org/smoke-archive/page-63::no_author_attribution</t>
        </is>
      </c>
      <c r="H358" s="30" t="inlineStr">
        <is>
          <t>Copy Writer</t>
        </is>
      </c>
      <c r="I358" s="30" t="inlineStr"/>
      <c r="J358" s="30" t="inlineStr">
        <is>
          <t>To Do</t>
        </is>
      </c>
      <c r="K358" s="31" t="inlineStr">
        <is>
          <t>https://africanmarketingconfederation.org/smoke-archive/page-63</t>
        </is>
      </c>
      <c r="L358" s="30" t="inlineStr">
        <is>
          <t>IssueInventory</t>
        </is>
      </c>
      <c r="M358" s="30" t="n">
        <v>306</v>
      </c>
      <c r="N358" s="30" t="inlineStr">
        <is>
          <t>2026-07-01 20:54:35</t>
        </is>
      </c>
      <c r="O358" s="30" t="n">
        <v>0</v>
      </c>
      <c r="P358" s="30" t="inlineStr"/>
      <c r="Q358" s="30" t="inlineStr"/>
      <c r="R358" s="38">
        <f>IFERROR(HYPERLINK("#'Main'!B"&amp;MATCH(TRIM(A358),'Main'!B:B,0),"Open"),HYPERLINK("#'Main'!B1","Open"))</f>
        <v/>
      </c>
      <c r="S358" s="38">
        <f>IFERROR(HYPERLINK("#'"&amp;SUBSTITUTE(F358,"'","''")&amp;"'!A"&amp;MATCH(A358,INDIRECT("'"&amp;SUBSTITUTE(F358,"'","''")&amp;"'!A:A"),0),"Open"),HYPERLINK("#'"&amp;SUBSTITUTE(F358,"'","''")&amp;"'!A1","Open"))</f>
        <v/>
      </c>
    </row>
    <row r="359" ht="18" customHeight="1">
      <c r="A359" s="35" t="inlineStr">
        <is>
          <t>https://africanmarketingconfederation.org/smoke-archive/page-63</t>
        </is>
      </c>
      <c r="B359" s="28" t="inlineStr">
        <is>
          <t>Issue Inventory</t>
        </is>
      </c>
      <c r="C359" s="79" t="inlineStr">
        <is>
          <t>No Question Headings</t>
        </is>
      </c>
      <c r="D359" s="28" t="inlineStr">
        <is>
          <t>Observation</t>
        </is>
      </c>
      <c r="E359" s="20" t="n">
        <v>1</v>
      </c>
      <c r="F359" s="39" t="inlineStr">
        <is>
          <t>Content &amp; AI Readiness</t>
        </is>
      </c>
      <c r="G359" s="28" t="inlineStr">
        <is>
          <t>https://africanmarketingconfederation.org/smoke-archive/page-63::no_question_headings</t>
        </is>
      </c>
      <c r="H359" s="28" t="inlineStr">
        <is>
          <t>Copy Writer</t>
        </is>
      </c>
      <c r="I359" s="28" t="inlineStr"/>
      <c r="J359" s="28" t="inlineStr">
        <is>
          <t>To Do</t>
        </is>
      </c>
      <c r="K359" s="20" t="inlineStr">
        <is>
          <t>https://africanmarketingconfederation.org/smoke-archive/page-63</t>
        </is>
      </c>
      <c r="L359" s="28" t="inlineStr">
        <is>
          <t>IssueInventory</t>
        </is>
      </c>
      <c r="M359" s="28" t="n">
        <v>307</v>
      </c>
      <c r="N359" s="28" t="inlineStr">
        <is>
          <t>2026-07-01 20:54:35</t>
        </is>
      </c>
      <c r="O359" s="28" t="n">
        <v>0</v>
      </c>
      <c r="P359" s="28" t="inlineStr"/>
      <c r="Q359" s="28" t="inlineStr"/>
      <c r="R359">
        <f>IFERROR(HYPERLINK("#'Main'!B"&amp;MATCH(TRIM(A359),'Main'!B:B,0),"Open"),HYPERLINK("#'Main'!B1","Open"))</f>
        <v/>
      </c>
      <c r="S359">
        <f>IFERROR(HYPERLINK("#'"&amp;SUBSTITUTE(F359,"'","''")&amp;"'!A"&amp;MATCH(A359,INDIRECT("'"&amp;SUBSTITUTE(F359,"'","''")&amp;"'!A:A"),0),"Open"),HYPERLINK("#'"&amp;SUBSTITUTE(F359,"'","''")&amp;"'!A1","Open"))</f>
        <v/>
      </c>
    </row>
    <row r="360" ht="18" customHeight="1">
      <c r="A360" s="37" t="inlineStr">
        <is>
          <t>https://africanmarketingconfederation.org/smoke-archive/page-63</t>
        </is>
      </c>
      <c r="B360" s="30" t="inlineStr">
        <is>
          <t>Issue Inventory</t>
        </is>
      </c>
      <c r="C360" s="80" t="inlineStr">
        <is>
          <t>No Answer-Friendly Structure</t>
        </is>
      </c>
      <c r="D360" s="30" t="inlineStr">
        <is>
          <t>Observation</t>
        </is>
      </c>
      <c r="E360" s="31" t="n">
        <v>1</v>
      </c>
      <c r="F360" s="41" t="inlineStr">
        <is>
          <t>Technical Diagnostics</t>
        </is>
      </c>
      <c r="G360" s="30" t="inlineStr">
        <is>
          <t>https://africanmarketingconfederation.org/smoke-archive/page-63::no_answer-friendly_structure</t>
        </is>
      </c>
      <c r="H360" s="30" t="inlineStr">
        <is>
          <t>Copy Writer</t>
        </is>
      </c>
      <c r="I360" s="30" t="inlineStr"/>
      <c r="J360" s="30" t="inlineStr">
        <is>
          <t>To Do</t>
        </is>
      </c>
      <c r="K360" s="31" t="inlineStr">
        <is>
          <t>https://africanmarketingconfederation.org/smoke-archive/page-63</t>
        </is>
      </c>
      <c r="L360" s="30" t="inlineStr">
        <is>
          <t>IssueInventory</t>
        </is>
      </c>
      <c r="M360" s="30" t="n">
        <v>308</v>
      </c>
      <c r="N360" s="30" t="inlineStr">
        <is>
          <t>2026-07-01 20:54:35</t>
        </is>
      </c>
      <c r="O360" s="30" t="n">
        <v>0</v>
      </c>
      <c r="P360" s="30" t="inlineStr"/>
      <c r="Q360" s="30" t="inlineStr"/>
      <c r="R360" s="38">
        <f>IFERROR(HYPERLINK("#'Main'!B"&amp;MATCH(TRIM(A360),'Main'!B:B,0),"Open"),HYPERLINK("#'Main'!B1","Open"))</f>
        <v/>
      </c>
      <c r="S360" s="38">
        <f>IFERROR(HYPERLINK("#'"&amp;SUBSTITUTE(F360,"'","''")&amp;"'!A"&amp;MATCH(A360,INDIRECT("'"&amp;SUBSTITUTE(F360,"'","''")&amp;"'!A:A"),0),"Open"),HYPERLINK("#'"&amp;SUBSTITUTE(F360,"'","''")&amp;"'!A1","Open"))</f>
        <v/>
      </c>
    </row>
    <row r="361" ht="18" customHeight="1">
      <c r="A361" s="35" t="inlineStr">
        <is>
          <t>https://africanmarketingconfederation.org/smoke-archive/page-63</t>
        </is>
      </c>
      <c r="B361" s="28" t="inlineStr">
        <is>
          <t>Issue Inventory</t>
        </is>
      </c>
      <c r="C361" s="79" t="inlineStr">
        <is>
          <t>No 40-60 Word Answer Paragraphs</t>
        </is>
      </c>
      <c r="D361" s="28" t="inlineStr">
        <is>
          <t>Observation</t>
        </is>
      </c>
      <c r="E361" s="20" t="n">
        <v>1</v>
      </c>
      <c r="F361" s="39" t="inlineStr">
        <is>
          <t>Technical Diagnostics</t>
        </is>
      </c>
      <c r="G361" s="28" t="inlineStr">
        <is>
          <t>https://africanmarketingconfederation.org/smoke-archive/page-63::no_40-60_word_answer_paragraphs</t>
        </is>
      </c>
      <c r="H361" s="28" t="inlineStr">
        <is>
          <t>Copy Writer</t>
        </is>
      </c>
      <c r="I361" s="28" t="inlineStr"/>
      <c r="J361" s="28" t="inlineStr">
        <is>
          <t>To Do</t>
        </is>
      </c>
      <c r="K361" s="20" t="inlineStr">
        <is>
          <t>https://africanmarketingconfederation.org/smoke-archive/page-63</t>
        </is>
      </c>
      <c r="L361" s="28" t="inlineStr">
        <is>
          <t>IssueInventory</t>
        </is>
      </c>
      <c r="M361" s="28" t="n">
        <v>309</v>
      </c>
      <c r="N361" s="28" t="inlineStr">
        <is>
          <t>2026-07-01 20:54:35</t>
        </is>
      </c>
      <c r="O361" s="28" t="n">
        <v>0</v>
      </c>
      <c r="P361" s="28" t="inlineStr"/>
      <c r="Q361" s="28" t="inlineStr"/>
      <c r="R361">
        <f>IFERROR(HYPERLINK("#'Main'!B"&amp;MATCH(TRIM(A361),'Main'!B:B,0),"Open"),HYPERLINK("#'Main'!B1","Open"))</f>
        <v/>
      </c>
      <c r="S361">
        <f>IFERROR(HYPERLINK("#'"&amp;SUBSTITUTE(F361,"'","''")&amp;"'!A"&amp;MATCH(A361,INDIRECT("'"&amp;SUBSTITUTE(F361,"'","''")&amp;"'!A:A"),0),"Open"),HYPERLINK("#'"&amp;SUBSTITUTE(F361,"'","''")&amp;"'!A1","Open"))</f>
        <v/>
      </c>
    </row>
    <row r="362" ht="18" customHeight="1">
      <c r="A362" s="37" t="inlineStr">
        <is>
          <t>https://africanmarketingconfederation.org/smoke-archive/page-63</t>
        </is>
      </c>
      <c r="B362" s="30" t="inlineStr">
        <is>
          <t>Issue Inventory</t>
        </is>
      </c>
      <c r="C362" s="80" t="inlineStr">
        <is>
          <t>Lab TBT 150ms–300ms (Mobile)</t>
        </is>
      </c>
      <c r="D362" s="30" t="inlineStr">
        <is>
          <t>Observation</t>
        </is>
      </c>
      <c r="E362" s="31" t="n">
        <v>1</v>
      </c>
      <c r="F362" s="41" t="inlineStr">
        <is>
          <t>Technical Diagnostics</t>
        </is>
      </c>
      <c r="G362" s="30" t="inlineStr">
        <is>
          <t>https://africanmarketingconfederation.org/smoke-archive/page-63::lab_tbt_150ms_300ms_mobile_</t>
        </is>
      </c>
      <c r="H362" s="30" t="inlineStr">
        <is>
          <t>Dev</t>
        </is>
      </c>
      <c r="I362" s="30" t="inlineStr"/>
      <c r="J362" s="30" t="inlineStr">
        <is>
          <t>To Do</t>
        </is>
      </c>
      <c r="K362" s="31" t="inlineStr">
        <is>
          <t>https://africanmarketingconfederation.org/smoke-archive/page-63</t>
        </is>
      </c>
      <c r="L362" s="30" t="inlineStr">
        <is>
          <t>IssueInventory</t>
        </is>
      </c>
      <c r="M362" s="30" t="n">
        <v>310</v>
      </c>
      <c r="N362" s="30" t="inlineStr">
        <is>
          <t>2026-07-01 20:54:35</t>
        </is>
      </c>
      <c r="O362" s="30" t="n">
        <v>0</v>
      </c>
      <c r="P362" s="30" t="inlineStr"/>
      <c r="Q362" s="30" t="inlineStr"/>
      <c r="R362" s="38">
        <f>IFERROR(HYPERLINK("#'Main'!B"&amp;MATCH(TRIM(A362),'Main'!B:B,0),"Open"),HYPERLINK("#'Main'!B1","Open"))</f>
        <v/>
      </c>
      <c r="S362" s="38">
        <f>IFERROR(HYPERLINK("#'"&amp;SUBSTITUTE(F362,"'","''")&amp;"'!A"&amp;MATCH(A362,INDIRECT("'"&amp;SUBSTITUTE(F362,"'","''")&amp;"'!A:A"),0),"Open"),HYPERLINK("#'"&amp;SUBSTITUTE(F362,"'","''")&amp;"'!A1","Open"))</f>
        <v/>
      </c>
    </row>
    <row r="363" ht="18" customHeight="1">
      <c r="A363" s="35" t="inlineStr">
        <is>
          <t>https://africanmarketingconfederation.org/smoke-archive/page-63</t>
        </is>
      </c>
      <c r="B363" s="28" t="inlineStr">
        <is>
          <t>Issue Inventory</t>
        </is>
      </c>
      <c r="C363" s="79" t="inlineStr">
        <is>
          <t>Moderate Lighthouse Performance Mobile (50–89)</t>
        </is>
      </c>
      <c r="D363" s="28" t="inlineStr">
        <is>
          <t>Observation</t>
        </is>
      </c>
      <c r="E363" s="20" t="n">
        <v>1</v>
      </c>
      <c r="F363" s="39" t="inlineStr">
        <is>
          <t>Technical Diagnostics</t>
        </is>
      </c>
      <c r="G363" s="28" t="inlineStr">
        <is>
          <t>https://africanmarketingconfederation.org/smoke-archive/page-63::moderate_lighthouse_performance_mobile_50_89_</t>
        </is>
      </c>
      <c r="H363" s="28" t="inlineStr">
        <is>
          <t>Dev</t>
        </is>
      </c>
      <c r="I363" s="28" t="inlineStr"/>
      <c r="J363" s="28" t="inlineStr">
        <is>
          <t>To Do</t>
        </is>
      </c>
      <c r="K363" s="20" t="inlineStr">
        <is>
          <t>https://africanmarketingconfederation.org/smoke-archive/page-63</t>
        </is>
      </c>
      <c r="L363" s="28" t="inlineStr">
        <is>
          <t>IssueInventory</t>
        </is>
      </c>
      <c r="M363" s="28" t="n">
        <v>311</v>
      </c>
      <c r="N363" s="28" t="inlineStr">
        <is>
          <t>2026-07-01 20:54:35</t>
        </is>
      </c>
      <c r="O363" s="28" t="n">
        <v>0</v>
      </c>
      <c r="P363" s="28" t="inlineStr"/>
      <c r="Q363" s="28" t="inlineStr"/>
      <c r="R363">
        <f>IFERROR(HYPERLINK("#'Main'!B"&amp;MATCH(TRIM(A363),'Main'!B:B,0),"Open"),HYPERLINK("#'Main'!B1","Open"))</f>
        <v/>
      </c>
      <c r="S363">
        <f>IFERROR(HYPERLINK("#'"&amp;SUBSTITUTE(F363,"'","''")&amp;"'!A"&amp;MATCH(A363,INDIRECT("'"&amp;SUBSTITUTE(F363,"'","''")&amp;"'!A:A"),0),"Open"),HYPERLINK("#'"&amp;SUBSTITUTE(F363,"'","''")&amp;"'!A1","Open"))</f>
        <v/>
      </c>
    </row>
    <row r="364" ht="18" customHeight="1">
      <c r="A364" s="37" t="inlineStr">
        <is>
          <t>https://africanmarketingconfederation.org/smoke-archive/page-63</t>
        </is>
      </c>
      <c r="B364" s="30" t="inlineStr">
        <is>
          <t>Issue Inventory</t>
        </is>
      </c>
      <c r="C364" s="80" t="inlineStr">
        <is>
          <t>Render Blocking Resources</t>
        </is>
      </c>
      <c r="D364" s="30" t="inlineStr">
        <is>
          <t>Observation</t>
        </is>
      </c>
      <c r="E364" s="31" t="n">
        <v>1</v>
      </c>
      <c r="F364" s="41" t="inlineStr">
        <is>
          <t>Technical Diagnostics</t>
        </is>
      </c>
      <c r="G364" s="30" t="inlineStr">
        <is>
          <t>https://africanmarketingconfederation.org/smoke-archive/page-63::render_blocking_resources</t>
        </is>
      </c>
      <c r="H364" s="30" t="inlineStr">
        <is>
          <t>Dev</t>
        </is>
      </c>
      <c r="I364" s="30" t="inlineStr"/>
      <c r="J364" s="30" t="inlineStr">
        <is>
          <t>To Do</t>
        </is>
      </c>
      <c r="K364" s="31" t="inlineStr">
        <is>
          <t>https://africanmarketingconfederation.org/smoke-archive/page-63</t>
        </is>
      </c>
      <c r="L364" s="30" t="inlineStr">
        <is>
          <t>IssueInventory</t>
        </is>
      </c>
      <c r="M364" s="30" t="n">
        <v>312</v>
      </c>
      <c r="N364" s="30" t="inlineStr">
        <is>
          <t>2026-07-01 20:54:35</t>
        </is>
      </c>
      <c r="O364" s="30" t="n">
        <v>0</v>
      </c>
      <c r="P364" s="30" t="inlineStr"/>
      <c r="Q364" s="30" t="inlineStr"/>
      <c r="R364" s="38">
        <f>IFERROR(HYPERLINK("#'Main'!B"&amp;MATCH(TRIM(A364),'Main'!B:B,0),"Open"),HYPERLINK("#'Main'!B1","Open"))</f>
        <v/>
      </c>
      <c r="S364" s="38">
        <f>IFERROR(HYPERLINK("#'"&amp;SUBSTITUTE(F364,"'","''")&amp;"'!A"&amp;MATCH(A364,INDIRECT("'"&amp;SUBSTITUTE(F364,"'","''")&amp;"'!A:A"),0),"Open"),HYPERLINK("#'"&amp;SUBSTITUTE(F364,"'","''")&amp;"'!A1","Open"))</f>
        <v/>
      </c>
    </row>
    <row r="365" ht="18" customHeight="1">
      <c r="A365" s="35" t="inlineStr">
        <is>
          <t>https://africanmarketingconfederation.org/smoke-archive/page-64</t>
        </is>
      </c>
      <c r="B365" s="28" t="inlineStr">
        <is>
          <t>Issue Inventory</t>
        </is>
      </c>
      <c r="C365" s="79" t="inlineStr">
        <is>
          <t>Missing OG Title</t>
        </is>
      </c>
      <c r="D365" s="28" t="inlineStr">
        <is>
          <t>Warning</t>
        </is>
      </c>
      <c r="E365" s="20" t="n">
        <v>1</v>
      </c>
      <c r="F365" s="39" t="inlineStr">
        <is>
          <t>Technical Diagnostics</t>
        </is>
      </c>
      <c r="G365" s="28" t="inlineStr">
        <is>
          <t>https://africanmarketingconfederation.org/smoke-archive/page-64::missing_og_title</t>
        </is>
      </c>
      <c r="H365" s="28" t="inlineStr">
        <is>
          <t>Copy Writer</t>
        </is>
      </c>
      <c r="I365" s="28" t="inlineStr"/>
      <c r="J365" s="28" t="inlineStr">
        <is>
          <t>To Do</t>
        </is>
      </c>
      <c r="K365" s="20" t="inlineStr">
        <is>
          <t>https://africanmarketingconfederation.org/smoke-archive/page-64</t>
        </is>
      </c>
      <c r="L365" s="28" t="inlineStr">
        <is>
          <t>IssueInventory</t>
        </is>
      </c>
      <c r="M365" s="28" t="n">
        <v>313</v>
      </c>
      <c r="N365" s="28" t="inlineStr">
        <is>
          <t>2026-07-01 20:54:35</t>
        </is>
      </c>
      <c r="O365" s="28" t="n">
        <v>0</v>
      </c>
      <c r="P365" s="28" t="inlineStr"/>
      <c r="Q365" s="28" t="inlineStr"/>
      <c r="R365">
        <f>IFERROR(HYPERLINK("#'Main'!B"&amp;MATCH(TRIM(A365),'Main'!B:B,0),"Open"),HYPERLINK("#'Main'!B1","Open"))</f>
        <v/>
      </c>
      <c r="S365">
        <f>IFERROR(HYPERLINK("#'"&amp;SUBSTITUTE(F365,"'","''")&amp;"'!A"&amp;MATCH(A365,INDIRECT("'"&amp;SUBSTITUTE(F365,"'","''")&amp;"'!A:A"),0),"Open"),HYPERLINK("#'"&amp;SUBSTITUTE(F365,"'","''")&amp;"'!A1","Open"))</f>
        <v/>
      </c>
    </row>
    <row r="366" ht="18" customHeight="1">
      <c r="A366" s="37" t="inlineStr">
        <is>
          <t>https://africanmarketingconfederation.org/smoke-archive/page-64</t>
        </is>
      </c>
      <c r="B366" s="30" t="inlineStr">
        <is>
          <t>Issue Inventory</t>
        </is>
      </c>
      <c r="C366" s="80" t="inlineStr">
        <is>
          <t>Lab TBT 150ms–300ms (Mobile)</t>
        </is>
      </c>
      <c r="D366" s="30" t="inlineStr">
        <is>
          <t>Observation</t>
        </is>
      </c>
      <c r="E366" s="31" t="n">
        <v>1</v>
      </c>
      <c r="F366" s="41" t="inlineStr">
        <is>
          <t>Technical Diagnostics</t>
        </is>
      </c>
      <c r="G366" s="30" t="inlineStr">
        <is>
          <t>https://africanmarketingconfederation.org/smoke-archive/page-64::lab_tbt_150ms_300ms_mobile_</t>
        </is>
      </c>
      <c r="H366" s="30" t="inlineStr">
        <is>
          <t>Dev</t>
        </is>
      </c>
      <c r="I366" s="30" t="inlineStr"/>
      <c r="J366" s="30" t="inlineStr">
        <is>
          <t>To Do</t>
        </is>
      </c>
      <c r="K366" s="31" t="inlineStr">
        <is>
          <t>https://africanmarketingconfederation.org/smoke-archive/page-64</t>
        </is>
      </c>
      <c r="L366" s="30" t="inlineStr">
        <is>
          <t>IssueInventory</t>
        </is>
      </c>
      <c r="M366" s="30" t="n">
        <v>314</v>
      </c>
      <c r="N366" s="30" t="inlineStr">
        <is>
          <t>2026-07-01 20:54:35</t>
        </is>
      </c>
      <c r="O366" s="30" t="n">
        <v>0</v>
      </c>
      <c r="P366" s="30" t="inlineStr"/>
      <c r="Q366" s="30" t="inlineStr"/>
      <c r="R366" s="38">
        <f>IFERROR(HYPERLINK("#'Main'!B"&amp;MATCH(TRIM(A366),'Main'!B:B,0),"Open"),HYPERLINK("#'Main'!B1","Open"))</f>
        <v/>
      </c>
      <c r="S366" s="38">
        <f>IFERROR(HYPERLINK("#'"&amp;SUBSTITUTE(F366,"'","''")&amp;"'!A"&amp;MATCH(A366,INDIRECT("'"&amp;SUBSTITUTE(F366,"'","''")&amp;"'!A:A"),0),"Open"),HYPERLINK("#'"&amp;SUBSTITUTE(F366,"'","''")&amp;"'!A1","Open"))</f>
        <v/>
      </c>
    </row>
    <row r="367" ht="18" customHeight="1">
      <c r="A367" s="35" t="inlineStr">
        <is>
          <t>https://africanmarketingconfederation.org/smoke-archive/page-64</t>
        </is>
      </c>
      <c r="B367" s="28" t="inlineStr">
        <is>
          <t>Issue Inventory</t>
        </is>
      </c>
      <c r="C367" s="79" t="inlineStr">
        <is>
          <t>Moderate Lighthouse Performance Mobile (50–89)</t>
        </is>
      </c>
      <c r="D367" s="28" t="inlineStr">
        <is>
          <t>Observation</t>
        </is>
      </c>
      <c r="E367" s="20" t="n">
        <v>1</v>
      </c>
      <c r="F367" s="39" t="inlineStr">
        <is>
          <t>Technical Diagnostics</t>
        </is>
      </c>
      <c r="G367" s="28" t="inlineStr">
        <is>
          <t>https://africanmarketingconfederation.org/smoke-archive/page-64::moderate_lighthouse_performance_mobile_50_89_</t>
        </is>
      </c>
      <c r="H367" s="28" t="inlineStr">
        <is>
          <t>Dev</t>
        </is>
      </c>
      <c r="I367" s="28" t="inlineStr"/>
      <c r="J367" s="28" t="inlineStr">
        <is>
          <t>To Do</t>
        </is>
      </c>
      <c r="K367" s="20" t="inlineStr">
        <is>
          <t>https://africanmarketingconfederation.org/smoke-archive/page-64</t>
        </is>
      </c>
      <c r="L367" s="28" t="inlineStr">
        <is>
          <t>IssueInventory</t>
        </is>
      </c>
      <c r="M367" s="28" t="n">
        <v>315</v>
      </c>
      <c r="N367" s="28" t="inlineStr">
        <is>
          <t>2026-07-01 20:54:35</t>
        </is>
      </c>
      <c r="O367" s="28" t="n">
        <v>0</v>
      </c>
      <c r="P367" s="28" t="inlineStr"/>
      <c r="Q367" s="28" t="inlineStr"/>
      <c r="R367">
        <f>IFERROR(HYPERLINK("#'Main'!B"&amp;MATCH(TRIM(A367),'Main'!B:B,0),"Open"),HYPERLINK("#'Main'!B1","Open"))</f>
        <v/>
      </c>
      <c r="S367">
        <f>IFERROR(HYPERLINK("#'"&amp;SUBSTITUTE(F367,"'","''")&amp;"'!A"&amp;MATCH(A367,INDIRECT("'"&amp;SUBSTITUTE(F367,"'","''")&amp;"'!A:A"),0),"Open"),HYPERLINK("#'"&amp;SUBSTITUTE(F367,"'","''")&amp;"'!A1","Open"))</f>
        <v/>
      </c>
    </row>
    <row r="368" ht="18" customHeight="1">
      <c r="A368" s="37" t="inlineStr">
        <is>
          <t>https://africanmarketingconfederation.org/smoke-archive/page-64</t>
        </is>
      </c>
      <c r="B368" s="30" t="inlineStr">
        <is>
          <t>Issue Inventory</t>
        </is>
      </c>
      <c r="C368" s="80" t="inlineStr">
        <is>
          <t>Render Blocking Resources</t>
        </is>
      </c>
      <c r="D368" s="30" t="inlineStr">
        <is>
          <t>Observation</t>
        </is>
      </c>
      <c r="E368" s="31" t="n">
        <v>1</v>
      </c>
      <c r="F368" s="41" t="inlineStr">
        <is>
          <t>Technical Diagnostics</t>
        </is>
      </c>
      <c r="G368" s="30" t="inlineStr">
        <is>
          <t>https://africanmarketingconfederation.org/smoke-archive/page-64::render_blocking_resources</t>
        </is>
      </c>
      <c r="H368" s="30" t="inlineStr">
        <is>
          <t>Dev</t>
        </is>
      </c>
      <c r="I368" s="30" t="inlineStr"/>
      <c r="J368" s="30" t="inlineStr">
        <is>
          <t>To Do</t>
        </is>
      </c>
      <c r="K368" s="31" t="inlineStr">
        <is>
          <t>https://africanmarketingconfederation.org/smoke-archive/page-64</t>
        </is>
      </c>
      <c r="L368" s="30" t="inlineStr">
        <is>
          <t>IssueInventory</t>
        </is>
      </c>
      <c r="M368" s="30" t="n">
        <v>316</v>
      </c>
      <c r="N368" s="30" t="inlineStr">
        <is>
          <t>2026-07-01 20:54:35</t>
        </is>
      </c>
      <c r="O368" s="30" t="n">
        <v>0</v>
      </c>
      <c r="P368" s="30" t="inlineStr"/>
      <c r="Q368" s="30" t="inlineStr"/>
      <c r="R368" s="38">
        <f>IFERROR(HYPERLINK("#'Main'!B"&amp;MATCH(TRIM(A368),'Main'!B:B,0),"Open"),HYPERLINK("#'Main'!B1","Open"))</f>
        <v/>
      </c>
      <c r="S368" s="38">
        <f>IFERROR(HYPERLINK("#'"&amp;SUBSTITUTE(F368,"'","''")&amp;"'!A"&amp;MATCH(A368,INDIRECT("'"&amp;SUBSTITUTE(F368,"'","''")&amp;"'!A:A"),0),"Open"),HYPERLINK("#'"&amp;SUBSTITUTE(F368,"'","''")&amp;"'!A1","Open"))</f>
        <v/>
      </c>
    </row>
    <row r="369" ht="18" customHeight="1">
      <c r="A369" s="35" t="inlineStr">
        <is>
          <t>https://africanmarketingconfederation.org/smoke-archive/page-65</t>
        </is>
      </c>
      <c r="B369" s="28" t="inlineStr">
        <is>
          <t>Issue Inventory</t>
        </is>
      </c>
      <c r="C369" s="79" t="inlineStr">
        <is>
          <t>Non-200 Status</t>
        </is>
      </c>
      <c r="D369" s="28" t="inlineStr">
        <is>
          <t>Critical</t>
        </is>
      </c>
      <c r="E369" s="20" t="n">
        <v>1</v>
      </c>
      <c r="F369" s="39" t="inlineStr">
        <is>
          <t>Technical Diagnostics</t>
        </is>
      </c>
      <c r="G369" s="28" t="inlineStr">
        <is>
          <t>https://africanmarketingconfederation.org/smoke-archive/page-65::non-200_status</t>
        </is>
      </c>
      <c r="H369" s="28" t="inlineStr">
        <is>
          <t>Server/Host</t>
        </is>
      </c>
      <c r="I369" s="28" t="inlineStr"/>
      <c r="J369" s="28" t="inlineStr">
        <is>
          <t>To Do</t>
        </is>
      </c>
      <c r="K369" s="20" t="inlineStr">
        <is>
          <t>https://africanmarketingconfederation.org/smoke-archive/page-65</t>
        </is>
      </c>
      <c r="L369" s="28" t="inlineStr">
        <is>
          <t>IssueInventory</t>
        </is>
      </c>
      <c r="M369" s="28" t="n">
        <v>317</v>
      </c>
      <c r="N369" s="28" t="inlineStr">
        <is>
          <t>2026-07-01 20:54:35</t>
        </is>
      </c>
      <c r="O369" s="28" t="n">
        <v>0</v>
      </c>
      <c r="P369" s="28" t="inlineStr"/>
      <c r="Q369" s="28" t="inlineStr"/>
      <c r="R369">
        <f>IFERROR(HYPERLINK("#'Main'!B"&amp;MATCH(TRIM(A369),'Main'!B:B,0),"Open"),HYPERLINK("#'Main'!B1","Open"))</f>
        <v/>
      </c>
      <c r="S369">
        <f>IFERROR(HYPERLINK("#'"&amp;SUBSTITUTE(F369,"'","''")&amp;"'!A"&amp;MATCH(A369,INDIRECT("'"&amp;SUBSTITUTE(F369,"'","''")&amp;"'!A:A"),0),"Open"),HYPERLINK("#'"&amp;SUBSTITUTE(F369,"'","''")&amp;"'!A1","Open"))</f>
        <v/>
      </c>
    </row>
    <row r="370" ht="18" customHeight="1">
      <c r="A370" s="37" t="inlineStr">
        <is>
          <t>https://africanmarketingconfederation.org/smoke-archive/page-66</t>
        </is>
      </c>
      <c r="B370" s="30" t="inlineStr">
        <is>
          <t>Issue Inventory</t>
        </is>
      </c>
      <c r="C370" s="80" t="inlineStr">
        <is>
          <t>Low Image Alt Coverage</t>
        </is>
      </c>
      <c r="D370" s="30" t="inlineStr">
        <is>
          <t>Warning</t>
        </is>
      </c>
      <c r="E370" s="31" t="n">
        <v>1</v>
      </c>
      <c r="F370" s="41" t="inlineStr">
        <is>
          <t>Technical Diagnostics</t>
        </is>
      </c>
      <c r="G370" s="30" t="inlineStr">
        <is>
          <t>https://africanmarketingconfederation.org/smoke-archive/page-66::low_image_alt_coverage</t>
        </is>
      </c>
      <c r="H370" s="30" t="inlineStr">
        <is>
          <t>Copy Writer</t>
        </is>
      </c>
      <c r="I370" s="30" t="inlineStr"/>
      <c r="J370" s="30" t="inlineStr">
        <is>
          <t>To Do</t>
        </is>
      </c>
      <c r="K370" s="31" t="inlineStr">
        <is>
          <t>https://africanmarketingconfederation.org/smoke-archive/page-66</t>
        </is>
      </c>
      <c r="L370" s="30" t="inlineStr">
        <is>
          <t>IssueInventory</t>
        </is>
      </c>
      <c r="M370" s="30" t="n">
        <v>318</v>
      </c>
      <c r="N370" s="30" t="inlineStr">
        <is>
          <t>2026-07-01 20:54:35</t>
        </is>
      </c>
      <c r="O370" s="30" t="n">
        <v>0</v>
      </c>
      <c r="P370" s="30" t="inlineStr"/>
      <c r="Q370" s="30" t="inlineStr"/>
      <c r="R370" s="38">
        <f>IFERROR(HYPERLINK("#'Main'!B"&amp;MATCH(TRIM(A370),'Main'!B:B,0),"Open"),HYPERLINK("#'Main'!B1","Open"))</f>
        <v/>
      </c>
      <c r="S370" s="38">
        <f>IFERROR(HYPERLINK("#'"&amp;SUBSTITUTE(F370,"'","''")&amp;"'!A"&amp;MATCH(A370,INDIRECT("'"&amp;SUBSTITUTE(F370,"'","''")&amp;"'!A:A"),0),"Open"),HYPERLINK("#'"&amp;SUBSTITUTE(F370,"'","''")&amp;"'!A1","Open"))</f>
        <v/>
      </c>
    </row>
    <row r="371" ht="18" customHeight="1">
      <c r="A371" s="35" t="inlineStr">
        <is>
          <t>https://africanmarketingconfederation.org/smoke-archive/page-66</t>
        </is>
      </c>
      <c r="B371" s="28" t="inlineStr">
        <is>
          <t>Issue Inventory</t>
        </is>
      </c>
      <c r="C371" s="79" t="inlineStr">
        <is>
          <t>Missing OG Image</t>
        </is>
      </c>
      <c r="D371" s="28" t="inlineStr">
        <is>
          <t>Warning</t>
        </is>
      </c>
      <c r="E371" s="20" t="n">
        <v>1</v>
      </c>
      <c r="F371" s="39" t="inlineStr">
        <is>
          <t>Technical Diagnostics</t>
        </is>
      </c>
      <c r="G371" s="28" t="inlineStr">
        <is>
          <t>https://africanmarketingconfederation.org/smoke-archive/page-66::missing_og_image</t>
        </is>
      </c>
      <c r="H371" s="28" t="inlineStr">
        <is>
          <t>Copy Writer</t>
        </is>
      </c>
      <c r="I371" s="28" t="inlineStr"/>
      <c r="J371" s="28" t="inlineStr">
        <is>
          <t>To Do</t>
        </is>
      </c>
      <c r="K371" s="20" t="inlineStr">
        <is>
          <t>https://africanmarketingconfederation.org/smoke-archive/page-66</t>
        </is>
      </c>
      <c r="L371" s="28" t="inlineStr">
        <is>
          <t>IssueInventory</t>
        </is>
      </c>
      <c r="M371" s="28" t="n">
        <v>319</v>
      </c>
      <c r="N371" s="28" t="inlineStr">
        <is>
          <t>2026-07-01 20:54:35</t>
        </is>
      </c>
      <c r="O371" s="28" t="n">
        <v>0</v>
      </c>
      <c r="P371" s="28" t="inlineStr"/>
      <c r="Q371" s="28" t="inlineStr"/>
      <c r="R371">
        <f>IFERROR(HYPERLINK("#'Main'!B"&amp;MATCH(TRIM(A371),'Main'!B:B,0),"Open"),HYPERLINK("#'Main'!B1","Open"))</f>
        <v/>
      </c>
      <c r="S371">
        <f>IFERROR(HYPERLINK("#'"&amp;SUBSTITUTE(F371,"'","''")&amp;"'!A"&amp;MATCH(A371,INDIRECT("'"&amp;SUBSTITUTE(F371,"'","''")&amp;"'!A:A"),0),"Open"),HYPERLINK("#'"&amp;SUBSTITUTE(F371,"'","''")&amp;"'!A1","Open"))</f>
        <v/>
      </c>
    </row>
    <row r="372" ht="18" customHeight="1">
      <c r="A372" s="37" t="inlineStr">
        <is>
          <t>https://africanmarketingconfederation.org/smoke-archive/page-66</t>
        </is>
      </c>
      <c r="B372" s="30" t="inlineStr">
        <is>
          <t>Issue Inventory</t>
        </is>
      </c>
      <c r="C372" s="80" t="inlineStr">
        <is>
          <t>Lab TBT 150ms–300ms (Mobile)</t>
        </is>
      </c>
      <c r="D372" s="30" t="inlineStr">
        <is>
          <t>Observation</t>
        </is>
      </c>
      <c r="E372" s="31" t="n">
        <v>1</v>
      </c>
      <c r="F372" s="41" t="inlineStr">
        <is>
          <t>Technical Diagnostics</t>
        </is>
      </c>
      <c r="G372" s="30" t="inlineStr">
        <is>
          <t>https://africanmarketingconfederation.org/smoke-archive/page-66::lab_tbt_150ms_300ms_mobile_</t>
        </is>
      </c>
      <c r="H372" s="30" t="inlineStr">
        <is>
          <t>Dev</t>
        </is>
      </c>
      <c r="I372" s="30" t="inlineStr"/>
      <c r="J372" s="30" t="inlineStr">
        <is>
          <t>To Do</t>
        </is>
      </c>
      <c r="K372" s="31" t="inlineStr">
        <is>
          <t>https://africanmarketingconfederation.org/smoke-archive/page-66</t>
        </is>
      </c>
      <c r="L372" s="30" t="inlineStr">
        <is>
          <t>IssueInventory</t>
        </is>
      </c>
      <c r="M372" s="30" t="n">
        <v>320</v>
      </c>
      <c r="N372" s="30" t="inlineStr">
        <is>
          <t>2026-07-01 20:54:35</t>
        </is>
      </c>
      <c r="O372" s="30" t="n">
        <v>0</v>
      </c>
      <c r="P372" s="30" t="inlineStr"/>
      <c r="Q372" s="30" t="inlineStr"/>
      <c r="R372" s="38">
        <f>IFERROR(HYPERLINK("#'Main'!B"&amp;MATCH(TRIM(A372),'Main'!B:B,0),"Open"),HYPERLINK("#'Main'!B1","Open"))</f>
        <v/>
      </c>
      <c r="S372" s="38">
        <f>IFERROR(HYPERLINK("#'"&amp;SUBSTITUTE(F372,"'","''")&amp;"'!A"&amp;MATCH(A372,INDIRECT("'"&amp;SUBSTITUTE(F372,"'","''")&amp;"'!A:A"),0),"Open"),HYPERLINK("#'"&amp;SUBSTITUTE(F372,"'","''")&amp;"'!A1","Open"))</f>
        <v/>
      </c>
    </row>
    <row r="373" ht="18" customHeight="1">
      <c r="A373" s="35" t="inlineStr">
        <is>
          <t>https://africanmarketingconfederation.org/smoke-archive/page-66</t>
        </is>
      </c>
      <c r="B373" s="28" t="inlineStr">
        <is>
          <t>Issue Inventory</t>
        </is>
      </c>
      <c r="C373" s="79" t="inlineStr">
        <is>
          <t>Moderate Lighthouse Performance Mobile (50–89)</t>
        </is>
      </c>
      <c r="D373" s="28" t="inlineStr">
        <is>
          <t>Observation</t>
        </is>
      </c>
      <c r="E373" s="20" t="n">
        <v>1</v>
      </c>
      <c r="F373" s="39" t="inlineStr">
        <is>
          <t>Technical Diagnostics</t>
        </is>
      </c>
      <c r="G373" s="28" t="inlineStr">
        <is>
          <t>https://africanmarketingconfederation.org/smoke-archive/page-66::moderate_lighthouse_performance_mobile_50_89_</t>
        </is>
      </c>
      <c r="H373" s="28" t="inlineStr">
        <is>
          <t>Dev</t>
        </is>
      </c>
      <c r="I373" s="28" t="inlineStr"/>
      <c r="J373" s="28" t="inlineStr">
        <is>
          <t>To Do</t>
        </is>
      </c>
      <c r="K373" s="20" t="inlineStr">
        <is>
          <t>https://africanmarketingconfederation.org/smoke-archive/page-66</t>
        </is>
      </c>
      <c r="L373" s="28" t="inlineStr">
        <is>
          <t>IssueInventory</t>
        </is>
      </c>
      <c r="M373" s="28" t="n">
        <v>321</v>
      </c>
      <c r="N373" s="28" t="inlineStr">
        <is>
          <t>2026-07-01 20:54:35</t>
        </is>
      </c>
      <c r="O373" s="28" t="n">
        <v>0</v>
      </c>
      <c r="P373" s="28" t="inlineStr"/>
      <c r="Q373" s="28" t="inlineStr"/>
      <c r="R373">
        <f>IFERROR(HYPERLINK("#'Main'!B"&amp;MATCH(TRIM(A373),'Main'!B:B,0),"Open"),HYPERLINK("#'Main'!B1","Open"))</f>
        <v/>
      </c>
      <c r="S373">
        <f>IFERROR(HYPERLINK("#'"&amp;SUBSTITUTE(F373,"'","''")&amp;"'!A"&amp;MATCH(A373,INDIRECT("'"&amp;SUBSTITUTE(F373,"'","''")&amp;"'!A:A"),0),"Open"),HYPERLINK("#'"&amp;SUBSTITUTE(F373,"'","''")&amp;"'!A1","Open"))</f>
        <v/>
      </c>
    </row>
    <row r="374" ht="18" customHeight="1">
      <c r="A374" s="37" t="inlineStr">
        <is>
          <t>https://africanmarketingconfederation.org/smoke-archive/page-66</t>
        </is>
      </c>
      <c r="B374" s="30" t="inlineStr">
        <is>
          <t>Issue Inventory</t>
        </is>
      </c>
      <c r="C374" s="80" t="inlineStr">
        <is>
          <t>Render Blocking Resources</t>
        </is>
      </c>
      <c r="D374" s="30" t="inlineStr">
        <is>
          <t>Observation</t>
        </is>
      </c>
      <c r="E374" s="31" t="n">
        <v>1</v>
      </c>
      <c r="F374" s="41" t="inlineStr">
        <is>
          <t>Technical Diagnostics</t>
        </is>
      </c>
      <c r="G374" s="30" t="inlineStr">
        <is>
          <t>https://africanmarketingconfederation.org/smoke-archive/page-66::render_blocking_resources</t>
        </is>
      </c>
      <c r="H374" s="30" t="inlineStr">
        <is>
          <t>Dev</t>
        </is>
      </c>
      <c r="I374" s="30" t="inlineStr"/>
      <c r="J374" s="30" t="inlineStr">
        <is>
          <t>To Do</t>
        </is>
      </c>
      <c r="K374" s="31" t="inlineStr">
        <is>
          <t>https://africanmarketingconfederation.org/smoke-archive/page-66</t>
        </is>
      </c>
      <c r="L374" s="30" t="inlineStr">
        <is>
          <t>IssueInventory</t>
        </is>
      </c>
      <c r="M374" s="30" t="n">
        <v>322</v>
      </c>
      <c r="N374" s="30" t="inlineStr">
        <is>
          <t>2026-07-01 20:54:35</t>
        </is>
      </c>
      <c r="O374" s="30" t="n">
        <v>0</v>
      </c>
      <c r="P374" s="30" t="inlineStr"/>
      <c r="Q374" s="30" t="inlineStr"/>
      <c r="R374" s="38">
        <f>IFERROR(HYPERLINK("#'Main'!B"&amp;MATCH(TRIM(A374),'Main'!B:B,0),"Open"),HYPERLINK("#'Main'!B1","Open"))</f>
        <v/>
      </c>
      <c r="S374" s="38">
        <f>IFERROR(HYPERLINK("#'"&amp;SUBSTITUTE(F374,"'","''")&amp;"'!A"&amp;MATCH(A374,INDIRECT("'"&amp;SUBSTITUTE(F374,"'","''")&amp;"'!A:A"),0),"Open"),HYPERLINK("#'"&amp;SUBSTITUTE(F374,"'","''")&amp;"'!A1","Open"))</f>
        <v/>
      </c>
    </row>
    <row r="375" ht="18" customHeight="1">
      <c r="A375" s="35" t="inlineStr">
        <is>
          <t>https://africanmarketingconfederation.org/smoke-archive/page-67</t>
        </is>
      </c>
      <c r="B375" s="28" t="inlineStr">
        <is>
          <t>Issue Inventory</t>
        </is>
      </c>
      <c r="C375" s="79" t="inlineStr">
        <is>
          <t>Missing OG Image</t>
        </is>
      </c>
      <c r="D375" s="28" t="inlineStr">
        <is>
          <t>Warning</t>
        </is>
      </c>
      <c r="E375" s="20" t="n">
        <v>1</v>
      </c>
      <c r="F375" s="39" t="inlineStr">
        <is>
          <t>Technical Diagnostics</t>
        </is>
      </c>
      <c r="G375" s="28" t="inlineStr">
        <is>
          <t>https://africanmarketingconfederation.org/smoke-archive/page-67::missing_og_image</t>
        </is>
      </c>
      <c r="H375" s="28" t="inlineStr">
        <is>
          <t>Copy Writer</t>
        </is>
      </c>
      <c r="I375" s="28" t="inlineStr"/>
      <c r="J375" s="28" t="inlineStr">
        <is>
          <t>To Do</t>
        </is>
      </c>
      <c r="K375" s="20" t="inlineStr">
        <is>
          <t>https://africanmarketingconfederation.org/smoke-archive/page-67</t>
        </is>
      </c>
      <c r="L375" s="28" t="inlineStr">
        <is>
          <t>IssueInventory</t>
        </is>
      </c>
      <c r="M375" s="28" t="n">
        <v>323</v>
      </c>
      <c r="N375" s="28" t="inlineStr">
        <is>
          <t>2026-07-01 20:54:35</t>
        </is>
      </c>
      <c r="O375" s="28" t="n">
        <v>0</v>
      </c>
      <c r="P375" s="28" t="inlineStr"/>
      <c r="Q375" s="28" t="inlineStr"/>
      <c r="R375">
        <f>IFERROR(HYPERLINK("#'Main'!B"&amp;MATCH(TRIM(A375),'Main'!B:B,0),"Open"),HYPERLINK("#'Main'!B1","Open"))</f>
        <v/>
      </c>
      <c r="S375">
        <f>IFERROR(HYPERLINK("#'"&amp;SUBSTITUTE(F375,"'","''")&amp;"'!A"&amp;MATCH(A375,INDIRECT("'"&amp;SUBSTITUTE(F375,"'","''")&amp;"'!A:A"),0),"Open"),HYPERLINK("#'"&amp;SUBSTITUTE(F375,"'","''")&amp;"'!A1","Open"))</f>
        <v/>
      </c>
    </row>
    <row r="376" ht="18" customHeight="1">
      <c r="A376" s="37" t="inlineStr">
        <is>
          <t>https://africanmarketingconfederation.org/smoke-archive/page-67</t>
        </is>
      </c>
      <c r="B376" s="30" t="inlineStr">
        <is>
          <t>Issue Inventory</t>
        </is>
      </c>
      <c r="C376" s="80" t="inlineStr">
        <is>
          <t>Lab TBT 150ms–300ms (Mobile)</t>
        </is>
      </c>
      <c r="D376" s="30" t="inlineStr">
        <is>
          <t>Observation</t>
        </is>
      </c>
      <c r="E376" s="31" t="n">
        <v>1</v>
      </c>
      <c r="F376" s="41" t="inlineStr">
        <is>
          <t>Technical Diagnostics</t>
        </is>
      </c>
      <c r="G376" s="30" t="inlineStr">
        <is>
          <t>https://africanmarketingconfederation.org/smoke-archive/page-67::lab_tbt_150ms_300ms_mobile_</t>
        </is>
      </c>
      <c r="H376" s="30" t="inlineStr">
        <is>
          <t>Dev</t>
        </is>
      </c>
      <c r="I376" s="30" t="inlineStr"/>
      <c r="J376" s="30" t="inlineStr">
        <is>
          <t>To Do</t>
        </is>
      </c>
      <c r="K376" s="31" t="inlineStr">
        <is>
          <t>https://africanmarketingconfederation.org/smoke-archive/page-67</t>
        </is>
      </c>
      <c r="L376" s="30" t="inlineStr">
        <is>
          <t>IssueInventory</t>
        </is>
      </c>
      <c r="M376" s="30" t="n">
        <v>324</v>
      </c>
      <c r="N376" s="30" t="inlineStr">
        <is>
          <t>2026-07-01 20:54:35</t>
        </is>
      </c>
      <c r="O376" s="30" t="n">
        <v>0</v>
      </c>
      <c r="P376" s="30" t="inlineStr"/>
      <c r="Q376" s="30" t="inlineStr"/>
      <c r="R376" s="38">
        <f>IFERROR(HYPERLINK("#'Main'!B"&amp;MATCH(TRIM(A376),'Main'!B:B,0),"Open"),HYPERLINK("#'Main'!B1","Open"))</f>
        <v/>
      </c>
      <c r="S376" s="38">
        <f>IFERROR(HYPERLINK("#'"&amp;SUBSTITUTE(F376,"'","''")&amp;"'!A"&amp;MATCH(A376,INDIRECT("'"&amp;SUBSTITUTE(F376,"'","''")&amp;"'!A:A"),0),"Open"),HYPERLINK("#'"&amp;SUBSTITUTE(F376,"'","''")&amp;"'!A1","Open"))</f>
        <v/>
      </c>
    </row>
    <row r="377" ht="18" customHeight="1">
      <c r="A377" s="35" t="inlineStr">
        <is>
          <t>https://africanmarketingconfederation.org/smoke-archive/page-67</t>
        </is>
      </c>
      <c r="B377" s="28" t="inlineStr">
        <is>
          <t>Issue Inventory</t>
        </is>
      </c>
      <c r="C377" s="79" t="inlineStr">
        <is>
          <t>Moderate Lighthouse Performance Mobile (50–89)</t>
        </is>
      </c>
      <c r="D377" s="28" t="inlineStr">
        <is>
          <t>Observation</t>
        </is>
      </c>
      <c r="E377" s="20" t="n">
        <v>1</v>
      </c>
      <c r="F377" s="39" t="inlineStr">
        <is>
          <t>Technical Diagnostics</t>
        </is>
      </c>
      <c r="G377" s="28" t="inlineStr">
        <is>
          <t>https://africanmarketingconfederation.org/smoke-archive/page-67::moderate_lighthouse_performance_mobile_50_89_</t>
        </is>
      </c>
      <c r="H377" s="28" t="inlineStr">
        <is>
          <t>Dev</t>
        </is>
      </c>
      <c r="I377" s="28" t="inlineStr"/>
      <c r="J377" s="28" t="inlineStr">
        <is>
          <t>To Do</t>
        </is>
      </c>
      <c r="K377" s="20" t="inlineStr">
        <is>
          <t>https://africanmarketingconfederation.org/smoke-archive/page-67</t>
        </is>
      </c>
      <c r="L377" s="28" t="inlineStr">
        <is>
          <t>IssueInventory</t>
        </is>
      </c>
      <c r="M377" s="28" t="n">
        <v>325</v>
      </c>
      <c r="N377" s="28" t="inlineStr">
        <is>
          <t>2026-07-01 20:54:35</t>
        </is>
      </c>
      <c r="O377" s="28" t="n">
        <v>0</v>
      </c>
      <c r="P377" s="28" t="inlineStr"/>
      <c r="Q377" s="28" t="inlineStr"/>
      <c r="R377">
        <f>IFERROR(HYPERLINK("#'Main'!B"&amp;MATCH(TRIM(A377),'Main'!B:B,0),"Open"),HYPERLINK("#'Main'!B1","Open"))</f>
        <v/>
      </c>
      <c r="S377">
        <f>IFERROR(HYPERLINK("#'"&amp;SUBSTITUTE(F377,"'","''")&amp;"'!A"&amp;MATCH(A377,INDIRECT("'"&amp;SUBSTITUTE(F377,"'","''")&amp;"'!A:A"),0),"Open"),HYPERLINK("#'"&amp;SUBSTITUTE(F377,"'","''")&amp;"'!A1","Open"))</f>
        <v/>
      </c>
    </row>
    <row r="378" ht="18" customHeight="1">
      <c r="A378" s="37" t="inlineStr">
        <is>
          <t>https://africanmarketingconfederation.org/smoke-archive/page-67</t>
        </is>
      </c>
      <c r="B378" s="30" t="inlineStr">
        <is>
          <t>Issue Inventory</t>
        </is>
      </c>
      <c r="C378" s="80" t="inlineStr">
        <is>
          <t>Render Blocking Resources</t>
        </is>
      </c>
      <c r="D378" s="30" t="inlineStr">
        <is>
          <t>Observation</t>
        </is>
      </c>
      <c r="E378" s="31" t="n">
        <v>1</v>
      </c>
      <c r="F378" s="41" t="inlineStr">
        <is>
          <t>Technical Diagnostics</t>
        </is>
      </c>
      <c r="G378" s="30" t="inlineStr">
        <is>
          <t>https://africanmarketingconfederation.org/smoke-archive/page-67::render_blocking_resources</t>
        </is>
      </c>
      <c r="H378" s="30" t="inlineStr">
        <is>
          <t>Dev</t>
        </is>
      </c>
      <c r="I378" s="30" t="inlineStr"/>
      <c r="J378" s="30" t="inlineStr">
        <is>
          <t>To Do</t>
        </is>
      </c>
      <c r="K378" s="31" t="inlineStr">
        <is>
          <t>https://africanmarketingconfederation.org/smoke-archive/page-67</t>
        </is>
      </c>
      <c r="L378" s="30" t="inlineStr">
        <is>
          <t>IssueInventory</t>
        </is>
      </c>
      <c r="M378" s="30" t="n">
        <v>326</v>
      </c>
      <c r="N378" s="30" t="inlineStr">
        <is>
          <t>2026-07-01 20:54:35</t>
        </is>
      </c>
      <c r="O378" s="30" t="n">
        <v>0</v>
      </c>
      <c r="P378" s="30" t="inlineStr"/>
      <c r="Q378" s="30" t="inlineStr"/>
      <c r="R378" s="38">
        <f>IFERROR(HYPERLINK("#'Main'!B"&amp;MATCH(TRIM(A378),'Main'!B:B,0),"Open"),HYPERLINK("#'Main'!B1","Open"))</f>
        <v/>
      </c>
      <c r="S378" s="38">
        <f>IFERROR(HYPERLINK("#'"&amp;SUBSTITUTE(F378,"'","''")&amp;"'!A"&amp;MATCH(A378,INDIRECT("'"&amp;SUBSTITUTE(F378,"'","''")&amp;"'!A:A"),0),"Open"),HYPERLINK("#'"&amp;SUBSTITUTE(F378,"'","''")&amp;"'!A1","Open"))</f>
        <v/>
      </c>
    </row>
    <row r="379" ht="18" customHeight="1">
      <c r="A379" s="35" t="inlineStr">
        <is>
          <t>https://africanmarketingconfederation.org/smoke-archive/page-68</t>
        </is>
      </c>
      <c r="B379" s="28" t="inlineStr">
        <is>
          <t>Issue Inventory</t>
        </is>
      </c>
      <c r="C379" s="79" t="inlineStr">
        <is>
          <t>Non-200 Status</t>
        </is>
      </c>
      <c r="D379" s="28" t="inlineStr">
        <is>
          <t>Critical</t>
        </is>
      </c>
      <c r="E379" s="20" t="n">
        <v>1</v>
      </c>
      <c r="F379" s="39" t="inlineStr">
        <is>
          <t>Technical Diagnostics</t>
        </is>
      </c>
      <c r="G379" s="28" t="inlineStr">
        <is>
          <t>https://africanmarketingconfederation.org/smoke-archive/page-68::non-200_status</t>
        </is>
      </c>
      <c r="H379" s="28" t="inlineStr">
        <is>
          <t>Server/Host</t>
        </is>
      </c>
      <c r="I379" s="28" t="inlineStr"/>
      <c r="J379" s="28" t="inlineStr">
        <is>
          <t>To Do</t>
        </is>
      </c>
      <c r="K379" s="20" t="inlineStr">
        <is>
          <t>https://africanmarketingconfederation.org/smoke-archive/page-68</t>
        </is>
      </c>
      <c r="L379" s="28" t="inlineStr">
        <is>
          <t>IssueInventory</t>
        </is>
      </c>
      <c r="M379" s="28" t="n">
        <v>327</v>
      </c>
      <c r="N379" s="28" t="inlineStr">
        <is>
          <t>2026-07-01 20:54:35</t>
        </is>
      </c>
      <c r="O379" s="28" t="n">
        <v>0</v>
      </c>
      <c r="P379" s="28" t="inlineStr"/>
      <c r="Q379" s="28" t="inlineStr"/>
      <c r="R379">
        <f>IFERROR(HYPERLINK("#'Main'!B"&amp;MATCH(TRIM(A379),'Main'!B:B,0),"Open"),HYPERLINK("#'Main'!B1","Open"))</f>
        <v/>
      </c>
      <c r="S379">
        <f>IFERROR(HYPERLINK("#'"&amp;SUBSTITUTE(F379,"'","''")&amp;"'!A"&amp;MATCH(A379,INDIRECT("'"&amp;SUBSTITUTE(F379,"'","''")&amp;"'!A:A"),0),"Open"),HYPERLINK("#'"&amp;SUBSTITUTE(F379,"'","''")&amp;"'!A1","Open"))</f>
        <v/>
      </c>
    </row>
    <row r="380" ht="18" customHeight="1">
      <c r="A380" s="37" t="inlineStr">
        <is>
          <t>https://africanmarketingconfederation.org/smoke-archive/page-69</t>
        </is>
      </c>
      <c r="B380" s="30" t="inlineStr">
        <is>
          <t>Issue Inventory</t>
        </is>
      </c>
      <c r="C380" s="80" t="inlineStr">
        <is>
          <t>Missing OG Image</t>
        </is>
      </c>
      <c r="D380" s="30" t="inlineStr">
        <is>
          <t>Warning</t>
        </is>
      </c>
      <c r="E380" s="31" t="n">
        <v>1</v>
      </c>
      <c r="F380" s="41" t="inlineStr">
        <is>
          <t>Technical Diagnostics</t>
        </is>
      </c>
      <c r="G380" s="30" t="inlineStr">
        <is>
          <t>https://africanmarketingconfederation.org/smoke-archive/page-69::missing_og_image</t>
        </is>
      </c>
      <c r="H380" s="30" t="inlineStr">
        <is>
          <t>Copy Writer</t>
        </is>
      </c>
      <c r="I380" s="30" t="inlineStr"/>
      <c r="J380" s="30" t="inlineStr">
        <is>
          <t>To Do</t>
        </is>
      </c>
      <c r="K380" s="31" t="inlineStr">
        <is>
          <t>https://africanmarketingconfederation.org/smoke-archive/page-69</t>
        </is>
      </c>
      <c r="L380" s="30" t="inlineStr">
        <is>
          <t>IssueInventory</t>
        </is>
      </c>
      <c r="M380" s="30" t="n">
        <v>328</v>
      </c>
      <c r="N380" s="30" t="inlineStr">
        <is>
          <t>2026-07-01 20:54:35</t>
        </is>
      </c>
      <c r="O380" s="30" t="n">
        <v>0</v>
      </c>
      <c r="P380" s="30" t="inlineStr"/>
      <c r="Q380" s="30" t="inlineStr"/>
      <c r="R380" s="38">
        <f>IFERROR(HYPERLINK("#'Main'!B"&amp;MATCH(TRIM(A380),'Main'!B:B,0),"Open"),HYPERLINK("#'Main'!B1","Open"))</f>
        <v/>
      </c>
      <c r="S380" s="38">
        <f>IFERROR(HYPERLINK("#'"&amp;SUBSTITUTE(F380,"'","''")&amp;"'!A"&amp;MATCH(A380,INDIRECT("'"&amp;SUBSTITUTE(F380,"'","''")&amp;"'!A:A"),0),"Open"),HYPERLINK("#'"&amp;SUBSTITUTE(F380,"'","''")&amp;"'!A1","Open"))</f>
        <v/>
      </c>
    </row>
    <row r="381" ht="18" customHeight="1">
      <c r="A381" s="35" t="inlineStr">
        <is>
          <t>https://africanmarketingconfederation.org/smoke-archive/page-69</t>
        </is>
      </c>
      <c r="B381" s="28" t="inlineStr">
        <is>
          <t>Issue Inventory</t>
        </is>
      </c>
      <c r="C381" s="79" t="inlineStr">
        <is>
          <t>Lab TBT 150ms–300ms (Mobile)</t>
        </is>
      </c>
      <c r="D381" s="28" t="inlineStr">
        <is>
          <t>Observation</t>
        </is>
      </c>
      <c r="E381" s="20" t="n">
        <v>1</v>
      </c>
      <c r="F381" s="39" t="inlineStr">
        <is>
          <t>Technical Diagnostics</t>
        </is>
      </c>
      <c r="G381" s="28" t="inlineStr">
        <is>
          <t>https://africanmarketingconfederation.org/smoke-archive/page-69::lab_tbt_150ms_300ms_mobile_</t>
        </is>
      </c>
      <c r="H381" s="28" t="inlineStr">
        <is>
          <t>Dev</t>
        </is>
      </c>
      <c r="I381" s="28" t="inlineStr"/>
      <c r="J381" s="28" t="inlineStr">
        <is>
          <t>To Do</t>
        </is>
      </c>
      <c r="K381" s="20" t="inlineStr">
        <is>
          <t>https://africanmarketingconfederation.org/smoke-archive/page-69</t>
        </is>
      </c>
      <c r="L381" s="28" t="inlineStr">
        <is>
          <t>IssueInventory</t>
        </is>
      </c>
      <c r="M381" s="28" t="n">
        <v>329</v>
      </c>
      <c r="N381" s="28" t="inlineStr">
        <is>
          <t>2026-07-01 20:54:35</t>
        </is>
      </c>
      <c r="O381" s="28" t="n">
        <v>0</v>
      </c>
      <c r="P381" s="28" t="inlineStr"/>
      <c r="Q381" s="28" t="inlineStr"/>
      <c r="R381">
        <f>IFERROR(HYPERLINK("#'Main'!B"&amp;MATCH(TRIM(A381),'Main'!B:B,0),"Open"),HYPERLINK("#'Main'!B1","Open"))</f>
        <v/>
      </c>
      <c r="S381">
        <f>IFERROR(HYPERLINK("#'"&amp;SUBSTITUTE(F381,"'","''")&amp;"'!A"&amp;MATCH(A381,INDIRECT("'"&amp;SUBSTITUTE(F381,"'","''")&amp;"'!A:A"),0),"Open"),HYPERLINK("#'"&amp;SUBSTITUTE(F381,"'","''")&amp;"'!A1","Open"))</f>
        <v/>
      </c>
    </row>
    <row r="382" ht="18" customHeight="1">
      <c r="A382" s="37" t="inlineStr">
        <is>
          <t>https://africanmarketingconfederation.org/smoke-archive/page-69</t>
        </is>
      </c>
      <c r="B382" s="30" t="inlineStr">
        <is>
          <t>Issue Inventory</t>
        </is>
      </c>
      <c r="C382" s="80" t="inlineStr">
        <is>
          <t>Moderate Lighthouse Performance Mobile (50–89)</t>
        </is>
      </c>
      <c r="D382" s="30" t="inlineStr">
        <is>
          <t>Observation</t>
        </is>
      </c>
      <c r="E382" s="31" t="n">
        <v>1</v>
      </c>
      <c r="F382" s="41" t="inlineStr">
        <is>
          <t>Technical Diagnostics</t>
        </is>
      </c>
      <c r="G382" s="30" t="inlineStr">
        <is>
          <t>https://africanmarketingconfederation.org/smoke-archive/page-69::moderate_lighthouse_performance_mobile_50_89_</t>
        </is>
      </c>
      <c r="H382" s="30" t="inlineStr">
        <is>
          <t>Dev</t>
        </is>
      </c>
      <c r="I382" s="30" t="inlineStr"/>
      <c r="J382" s="30" t="inlineStr">
        <is>
          <t>To Do</t>
        </is>
      </c>
      <c r="K382" s="31" t="inlineStr">
        <is>
          <t>https://africanmarketingconfederation.org/smoke-archive/page-69</t>
        </is>
      </c>
      <c r="L382" s="30" t="inlineStr">
        <is>
          <t>IssueInventory</t>
        </is>
      </c>
      <c r="M382" s="30" t="n">
        <v>330</v>
      </c>
      <c r="N382" s="30" t="inlineStr">
        <is>
          <t>2026-07-01 20:54:35</t>
        </is>
      </c>
      <c r="O382" s="30" t="n">
        <v>0</v>
      </c>
      <c r="P382" s="30" t="inlineStr"/>
      <c r="Q382" s="30" t="inlineStr"/>
      <c r="R382" s="38">
        <f>IFERROR(HYPERLINK("#'Main'!B"&amp;MATCH(TRIM(A382),'Main'!B:B,0),"Open"),HYPERLINK("#'Main'!B1","Open"))</f>
        <v/>
      </c>
      <c r="S382" s="38">
        <f>IFERROR(HYPERLINK("#'"&amp;SUBSTITUTE(F382,"'","''")&amp;"'!A"&amp;MATCH(A382,INDIRECT("'"&amp;SUBSTITUTE(F382,"'","''")&amp;"'!A:A"),0),"Open"),HYPERLINK("#'"&amp;SUBSTITUTE(F382,"'","''")&amp;"'!A1","Open"))</f>
        <v/>
      </c>
    </row>
    <row r="383" ht="18" customHeight="1">
      <c r="A383" s="35" t="inlineStr">
        <is>
          <t>https://africanmarketingconfederation.org/smoke-archive/page-69</t>
        </is>
      </c>
      <c r="B383" s="28" t="inlineStr">
        <is>
          <t>Issue Inventory</t>
        </is>
      </c>
      <c r="C383" s="79" t="inlineStr">
        <is>
          <t>Render Blocking Resources</t>
        </is>
      </c>
      <c r="D383" s="28" t="inlineStr">
        <is>
          <t>Observation</t>
        </is>
      </c>
      <c r="E383" s="20" t="n">
        <v>1</v>
      </c>
      <c r="F383" s="39" t="inlineStr">
        <is>
          <t>Technical Diagnostics</t>
        </is>
      </c>
      <c r="G383" s="28" t="inlineStr">
        <is>
          <t>https://africanmarketingconfederation.org/smoke-archive/page-69::render_blocking_resources</t>
        </is>
      </c>
      <c r="H383" s="28" t="inlineStr">
        <is>
          <t>Dev</t>
        </is>
      </c>
      <c r="I383" s="28" t="inlineStr"/>
      <c r="J383" s="28" t="inlineStr">
        <is>
          <t>To Do</t>
        </is>
      </c>
      <c r="K383" s="20" t="inlineStr">
        <is>
          <t>https://africanmarketingconfederation.org/smoke-archive/page-69</t>
        </is>
      </c>
      <c r="L383" s="28" t="inlineStr">
        <is>
          <t>IssueInventory</t>
        </is>
      </c>
      <c r="M383" s="28" t="n">
        <v>331</v>
      </c>
      <c r="N383" s="28" t="inlineStr">
        <is>
          <t>2026-07-01 20:54:35</t>
        </is>
      </c>
      <c r="O383" s="28" t="n">
        <v>0</v>
      </c>
      <c r="P383" s="28" t="inlineStr"/>
      <c r="Q383" s="28" t="inlineStr"/>
      <c r="R383">
        <f>IFERROR(HYPERLINK("#'Main'!B"&amp;MATCH(TRIM(A383),'Main'!B:B,0),"Open"),HYPERLINK("#'Main'!B1","Open"))</f>
        <v/>
      </c>
      <c r="S383">
        <f>IFERROR(HYPERLINK("#'"&amp;SUBSTITUTE(F383,"'","''")&amp;"'!A"&amp;MATCH(A383,INDIRECT("'"&amp;SUBSTITUTE(F383,"'","''")&amp;"'!A:A"),0),"Open"),HYPERLINK("#'"&amp;SUBSTITUTE(F383,"'","''")&amp;"'!A1","Open"))</f>
        <v/>
      </c>
    </row>
    <row r="384" ht="18" customHeight="1">
      <c r="A384" s="37" t="inlineStr">
        <is>
          <t>https://africanmarketingconfederation.org/smoke-archive/page-70</t>
        </is>
      </c>
      <c r="B384" s="30" t="inlineStr">
        <is>
          <t>Issue Inventory</t>
        </is>
      </c>
      <c r="C384" s="80" t="inlineStr">
        <is>
          <t>Missing Meta Description</t>
        </is>
      </c>
      <c r="D384" s="30" t="inlineStr">
        <is>
          <t>Warning</t>
        </is>
      </c>
      <c r="E384" s="31" t="n">
        <v>1</v>
      </c>
      <c r="F384" s="41" t="inlineStr">
        <is>
          <t>Technical Diagnostics</t>
        </is>
      </c>
      <c r="G384" s="30" t="inlineStr">
        <is>
          <t>https://africanmarketingconfederation.org/smoke-archive/page-70::missing_meta_description</t>
        </is>
      </c>
      <c r="H384" s="30" t="inlineStr">
        <is>
          <t>Copy Writer</t>
        </is>
      </c>
      <c r="I384" s="30" t="inlineStr"/>
      <c r="J384" s="30" t="inlineStr">
        <is>
          <t>To Do</t>
        </is>
      </c>
      <c r="K384" s="31" t="inlineStr">
        <is>
          <t>https://africanmarketingconfederation.org/smoke-archive/page-70</t>
        </is>
      </c>
      <c r="L384" s="30" t="inlineStr">
        <is>
          <t>IssueInventory</t>
        </is>
      </c>
      <c r="M384" s="30" t="n">
        <v>332</v>
      </c>
      <c r="N384" s="30" t="inlineStr">
        <is>
          <t>2026-07-01 20:54:35</t>
        </is>
      </c>
      <c r="O384" s="30" t="n">
        <v>0</v>
      </c>
      <c r="P384" s="30" t="inlineStr"/>
      <c r="Q384" s="30" t="inlineStr"/>
      <c r="R384" s="38">
        <f>IFERROR(HYPERLINK("#'Main'!B"&amp;MATCH(TRIM(A384),'Main'!B:B,0),"Open"),HYPERLINK("#'Main'!B1","Open"))</f>
        <v/>
      </c>
      <c r="S384" s="38">
        <f>IFERROR(HYPERLINK("#'"&amp;SUBSTITUTE(F384,"'","''")&amp;"'!A"&amp;MATCH(A384,INDIRECT("'"&amp;SUBSTITUTE(F384,"'","''")&amp;"'!A:A"),0),"Open"),HYPERLINK("#'"&amp;SUBSTITUTE(F384,"'","''")&amp;"'!A1","Open"))</f>
        <v/>
      </c>
    </row>
    <row r="385" ht="18" customHeight="1">
      <c r="A385" s="35" t="inlineStr">
        <is>
          <t>https://africanmarketingconfederation.org/smoke-archive/page-70</t>
        </is>
      </c>
      <c r="B385" s="28" t="inlineStr">
        <is>
          <t>Issue Inventory</t>
        </is>
      </c>
      <c r="C385" s="79" t="inlineStr">
        <is>
          <t>Low E-E-A-T Signal Score (&lt;3)</t>
        </is>
      </c>
      <c r="D385" s="28" t="inlineStr">
        <is>
          <t>Warning</t>
        </is>
      </c>
      <c r="E385" s="20" t="n">
        <v>1</v>
      </c>
      <c r="F385" s="39" t="inlineStr">
        <is>
          <t>Technical Diagnostics</t>
        </is>
      </c>
      <c r="G385" s="28" t="inlineStr">
        <is>
          <t>https://africanmarketingconfederation.org/smoke-archive/page-70::low_e-e-a-t_signal_score_3_</t>
        </is>
      </c>
      <c r="H385" s="28" t="inlineStr">
        <is>
          <t>Copy Writer</t>
        </is>
      </c>
      <c r="I385" s="28" t="inlineStr"/>
      <c r="J385" s="28" t="inlineStr">
        <is>
          <t>To Do</t>
        </is>
      </c>
      <c r="K385" s="20" t="inlineStr">
        <is>
          <t>https://africanmarketingconfederation.org/smoke-archive/page-70</t>
        </is>
      </c>
      <c r="L385" s="28" t="inlineStr">
        <is>
          <t>IssueInventory</t>
        </is>
      </c>
      <c r="M385" s="28" t="n">
        <v>333</v>
      </c>
      <c r="N385" s="28" t="inlineStr">
        <is>
          <t>2026-07-01 20:54:35</t>
        </is>
      </c>
      <c r="O385" s="28" t="n">
        <v>0</v>
      </c>
      <c r="P385" s="28" t="inlineStr"/>
      <c r="Q385" s="28" t="inlineStr"/>
      <c r="R385">
        <f>IFERROR(HYPERLINK("#'Main'!B"&amp;MATCH(TRIM(A385),'Main'!B:B,0),"Open"),HYPERLINK("#'Main'!B1","Open"))</f>
        <v/>
      </c>
      <c r="S385">
        <f>IFERROR(HYPERLINK("#'"&amp;SUBSTITUTE(F385,"'","''")&amp;"'!A"&amp;MATCH(A385,INDIRECT("'"&amp;SUBSTITUTE(F385,"'","''")&amp;"'!A:A"),0),"Open"),HYPERLINK("#'"&amp;SUBSTITUTE(F385,"'","''")&amp;"'!A1","Open"))</f>
        <v/>
      </c>
    </row>
    <row r="386" ht="18" customHeight="1">
      <c r="A386" s="37" t="inlineStr">
        <is>
          <t>https://africanmarketingconfederation.org/smoke-archive/page-70</t>
        </is>
      </c>
      <c r="B386" s="30" t="inlineStr">
        <is>
          <t>Issue Inventory</t>
        </is>
      </c>
      <c r="C386" s="80" t="inlineStr">
        <is>
          <t>Missing OG Description</t>
        </is>
      </c>
      <c r="D386" s="30" t="inlineStr">
        <is>
          <t>Warning</t>
        </is>
      </c>
      <c r="E386" s="31" t="n">
        <v>1</v>
      </c>
      <c r="F386" s="41" t="inlineStr">
        <is>
          <t>Technical Diagnostics</t>
        </is>
      </c>
      <c r="G386" s="30" t="inlineStr">
        <is>
          <t>https://africanmarketingconfederation.org/smoke-archive/page-70::missing_og_description</t>
        </is>
      </c>
      <c r="H386" s="30" t="inlineStr">
        <is>
          <t>Copy Writer</t>
        </is>
      </c>
      <c r="I386" s="30" t="inlineStr"/>
      <c r="J386" s="30" t="inlineStr">
        <is>
          <t>To Do</t>
        </is>
      </c>
      <c r="K386" s="31" t="inlineStr">
        <is>
          <t>https://africanmarketingconfederation.org/smoke-archive/page-70</t>
        </is>
      </c>
      <c r="L386" s="30" t="inlineStr">
        <is>
          <t>IssueInventory</t>
        </is>
      </c>
      <c r="M386" s="30" t="n">
        <v>334</v>
      </c>
      <c r="N386" s="30" t="inlineStr">
        <is>
          <t>2026-07-01 20:54:35</t>
        </is>
      </c>
      <c r="O386" s="30" t="n">
        <v>0</v>
      </c>
      <c r="P386" s="30" t="inlineStr"/>
      <c r="Q386" s="30" t="inlineStr"/>
      <c r="R386" s="38">
        <f>IFERROR(HYPERLINK("#'Main'!B"&amp;MATCH(TRIM(A386),'Main'!B:B,0),"Open"),HYPERLINK("#'Main'!B1","Open"))</f>
        <v/>
      </c>
      <c r="S386" s="38">
        <f>IFERROR(HYPERLINK("#'"&amp;SUBSTITUTE(F386,"'","''")&amp;"'!A"&amp;MATCH(A386,INDIRECT("'"&amp;SUBSTITUTE(F386,"'","''")&amp;"'!A:A"),0),"Open"),HYPERLINK("#'"&amp;SUBSTITUTE(F386,"'","''")&amp;"'!A1","Open"))</f>
        <v/>
      </c>
    </row>
    <row r="387" ht="18" customHeight="1">
      <c r="A387" s="35" t="inlineStr">
        <is>
          <t>https://africanmarketingconfederation.org/smoke-archive/page-70</t>
        </is>
      </c>
      <c r="B387" s="28" t="inlineStr">
        <is>
          <t>Issue Inventory</t>
        </is>
      </c>
      <c r="C387" s="79" t="inlineStr">
        <is>
          <t>Missing OG Image</t>
        </is>
      </c>
      <c r="D387" s="28" t="inlineStr">
        <is>
          <t>Warning</t>
        </is>
      </c>
      <c r="E387" s="20" t="n">
        <v>1</v>
      </c>
      <c r="F387" s="39" t="inlineStr">
        <is>
          <t>Technical Diagnostics</t>
        </is>
      </c>
      <c r="G387" s="28" t="inlineStr">
        <is>
          <t>https://africanmarketingconfederation.org/smoke-archive/page-70::missing_og_image</t>
        </is>
      </c>
      <c r="H387" s="28" t="inlineStr">
        <is>
          <t>Copy Writer</t>
        </is>
      </c>
      <c r="I387" s="28" t="inlineStr"/>
      <c r="J387" s="28" t="inlineStr">
        <is>
          <t>To Do</t>
        </is>
      </c>
      <c r="K387" s="20" t="inlineStr">
        <is>
          <t>https://africanmarketingconfederation.org/smoke-archive/page-70</t>
        </is>
      </c>
      <c r="L387" s="28" t="inlineStr">
        <is>
          <t>IssueInventory</t>
        </is>
      </c>
      <c r="M387" s="28" t="n">
        <v>335</v>
      </c>
      <c r="N387" s="28" t="inlineStr">
        <is>
          <t>2026-07-01 20:54:35</t>
        </is>
      </c>
      <c r="O387" s="28" t="n">
        <v>0</v>
      </c>
      <c r="P387" s="28" t="inlineStr"/>
      <c r="Q387" s="28" t="inlineStr"/>
      <c r="R387">
        <f>IFERROR(HYPERLINK("#'Main'!B"&amp;MATCH(TRIM(A387),'Main'!B:B,0),"Open"),HYPERLINK("#'Main'!B1","Open"))</f>
        <v/>
      </c>
      <c r="S387">
        <f>IFERROR(HYPERLINK("#'"&amp;SUBSTITUTE(F387,"'","''")&amp;"'!A"&amp;MATCH(A387,INDIRECT("'"&amp;SUBSTITUTE(F387,"'","''")&amp;"'!A:A"),0),"Open"),HYPERLINK("#'"&amp;SUBSTITUTE(F387,"'","''")&amp;"'!A1","Open"))</f>
        <v/>
      </c>
    </row>
    <row r="388" ht="18" customHeight="1">
      <c r="A388" s="37" t="inlineStr">
        <is>
          <t>https://africanmarketingconfederation.org/smoke-archive/page-70</t>
        </is>
      </c>
      <c r="B388" s="30" t="inlineStr">
        <is>
          <t>Issue Inventory</t>
        </is>
      </c>
      <c r="C388" s="80" t="inlineStr">
        <is>
          <t>No Author Attribution</t>
        </is>
      </c>
      <c r="D388" s="30" t="inlineStr">
        <is>
          <t>Observation</t>
        </is>
      </c>
      <c r="E388" s="31" t="n">
        <v>1</v>
      </c>
      <c r="F388" s="41" t="inlineStr">
        <is>
          <t>Technical Diagnostics</t>
        </is>
      </c>
      <c r="G388" s="30" t="inlineStr">
        <is>
          <t>https://africanmarketingconfederation.org/smoke-archive/page-70::no_author_attribution</t>
        </is>
      </c>
      <c r="H388" s="30" t="inlineStr">
        <is>
          <t>Copy Writer</t>
        </is>
      </c>
      <c r="I388" s="30" t="inlineStr"/>
      <c r="J388" s="30" t="inlineStr">
        <is>
          <t>To Do</t>
        </is>
      </c>
      <c r="K388" s="31" t="inlineStr">
        <is>
          <t>https://africanmarketingconfederation.org/smoke-archive/page-70</t>
        </is>
      </c>
      <c r="L388" s="30" t="inlineStr">
        <is>
          <t>IssueInventory</t>
        </is>
      </c>
      <c r="M388" s="30" t="n">
        <v>336</v>
      </c>
      <c r="N388" s="30" t="inlineStr">
        <is>
          <t>2026-07-01 20:54:35</t>
        </is>
      </c>
      <c r="O388" s="30" t="n">
        <v>0</v>
      </c>
      <c r="P388" s="30" t="inlineStr"/>
      <c r="Q388" s="30" t="inlineStr"/>
      <c r="R388" s="38">
        <f>IFERROR(HYPERLINK("#'Main'!B"&amp;MATCH(TRIM(A388),'Main'!B:B,0),"Open"),HYPERLINK("#'Main'!B1","Open"))</f>
        <v/>
      </c>
      <c r="S388" s="38">
        <f>IFERROR(HYPERLINK("#'"&amp;SUBSTITUTE(F388,"'","''")&amp;"'!A"&amp;MATCH(A388,INDIRECT("'"&amp;SUBSTITUTE(F388,"'","''")&amp;"'!A:A"),0),"Open"),HYPERLINK("#'"&amp;SUBSTITUTE(F388,"'","''")&amp;"'!A1","Open"))</f>
        <v/>
      </c>
    </row>
    <row r="389" ht="18" customHeight="1">
      <c r="A389" s="35" t="inlineStr">
        <is>
          <t>https://africanmarketingconfederation.org/smoke-archive/page-70</t>
        </is>
      </c>
      <c r="B389" s="28" t="inlineStr">
        <is>
          <t>Issue Inventory</t>
        </is>
      </c>
      <c r="C389" s="79" t="inlineStr">
        <is>
          <t>Lab TBT 150ms–300ms (Mobile)</t>
        </is>
      </c>
      <c r="D389" s="28" t="inlineStr">
        <is>
          <t>Observation</t>
        </is>
      </c>
      <c r="E389" s="20" t="n">
        <v>1</v>
      </c>
      <c r="F389" s="39" t="inlineStr">
        <is>
          <t>Technical Diagnostics</t>
        </is>
      </c>
      <c r="G389" s="28" t="inlineStr">
        <is>
          <t>https://africanmarketingconfederation.org/smoke-archive/page-70::lab_tbt_150ms_300ms_mobile_</t>
        </is>
      </c>
      <c r="H389" s="28" t="inlineStr">
        <is>
          <t>Dev</t>
        </is>
      </c>
      <c r="I389" s="28" t="inlineStr"/>
      <c r="J389" s="28" t="inlineStr">
        <is>
          <t>To Do</t>
        </is>
      </c>
      <c r="K389" s="20" t="inlineStr">
        <is>
          <t>https://africanmarketingconfederation.org/smoke-archive/page-70</t>
        </is>
      </c>
      <c r="L389" s="28" t="inlineStr">
        <is>
          <t>IssueInventory</t>
        </is>
      </c>
      <c r="M389" s="28" t="n">
        <v>337</v>
      </c>
      <c r="N389" s="28" t="inlineStr">
        <is>
          <t>2026-07-01 20:54:35</t>
        </is>
      </c>
      <c r="O389" s="28" t="n">
        <v>0</v>
      </c>
      <c r="P389" s="28" t="inlineStr"/>
      <c r="Q389" s="28" t="inlineStr"/>
      <c r="R389">
        <f>IFERROR(HYPERLINK("#'Main'!B"&amp;MATCH(TRIM(A389),'Main'!B:B,0),"Open"),HYPERLINK("#'Main'!B1","Open"))</f>
        <v/>
      </c>
      <c r="S389">
        <f>IFERROR(HYPERLINK("#'"&amp;SUBSTITUTE(F389,"'","''")&amp;"'!A"&amp;MATCH(A389,INDIRECT("'"&amp;SUBSTITUTE(F389,"'","''")&amp;"'!A:A"),0),"Open"),HYPERLINK("#'"&amp;SUBSTITUTE(F389,"'","''")&amp;"'!A1","Open"))</f>
        <v/>
      </c>
    </row>
    <row r="390" ht="18" customHeight="1">
      <c r="A390" s="37" t="inlineStr">
        <is>
          <t>https://africanmarketingconfederation.org/smoke-archive/page-70</t>
        </is>
      </c>
      <c r="B390" s="30" t="inlineStr">
        <is>
          <t>Issue Inventory</t>
        </is>
      </c>
      <c r="C390" s="80" t="inlineStr">
        <is>
          <t>Moderate Lighthouse Performance Mobile (50–89)</t>
        </is>
      </c>
      <c r="D390" s="30" t="inlineStr">
        <is>
          <t>Observation</t>
        </is>
      </c>
      <c r="E390" s="31" t="n">
        <v>1</v>
      </c>
      <c r="F390" s="41" t="inlineStr">
        <is>
          <t>Technical Diagnostics</t>
        </is>
      </c>
      <c r="G390" s="30" t="inlineStr">
        <is>
          <t>https://africanmarketingconfederation.org/smoke-archive/page-70::moderate_lighthouse_performance_mobile_50_89_</t>
        </is>
      </c>
      <c r="H390" s="30" t="inlineStr">
        <is>
          <t>Dev</t>
        </is>
      </c>
      <c r="I390" s="30" t="inlineStr"/>
      <c r="J390" s="30" t="inlineStr">
        <is>
          <t>To Do</t>
        </is>
      </c>
      <c r="K390" s="31" t="inlineStr">
        <is>
          <t>https://africanmarketingconfederation.org/smoke-archive/page-70</t>
        </is>
      </c>
      <c r="L390" s="30" t="inlineStr">
        <is>
          <t>IssueInventory</t>
        </is>
      </c>
      <c r="M390" s="30" t="n">
        <v>338</v>
      </c>
      <c r="N390" s="30" t="inlineStr">
        <is>
          <t>2026-07-01 20:54:35</t>
        </is>
      </c>
      <c r="O390" s="30" t="n">
        <v>0</v>
      </c>
      <c r="P390" s="30" t="inlineStr"/>
      <c r="Q390" s="30" t="inlineStr"/>
      <c r="R390" s="38">
        <f>IFERROR(HYPERLINK("#'Main'!B"&amp;MATCH(TRIM(A390),'Main'!B:B,0),"Open"),HYPERLINK("#'Main'!B1","Open"))</f>
        <v/>
      </c>
      <c r="S390" s="38">
        <f>IFERROR(HYPERLINK("#'"&amp;SUBSTITUTE(F390,"'","''")&amp;"'!A"&amp;MATCH(A390,INDIRECT("'"&amp;SUBSTITUTE(F390,"'","''")&amp;"'!A:A"),0),"Open"),HYPERLINK("#'"&amp;SUBSTITUTE(F390,"'","''")&amp;"'!A1","Open"))</f>
        <v/>
      </c>
    </row>
    <row r="391" ht="18" customHeight="1">
      <c r="A391" s="35" t="inlineStr">
        <is>
          <t>https://africanmarketingconfederation.org/smoke-archive/page-70</t>
        </is>
      </c>
      <c r="B391" s="28" t="inlineStr">
        <is>
          <t>Issue Inventory</t>
        </is>
      </c>
      <c r="C391" s="79" t="inlineStr">
        <is>
          <t>Render Blocking Resources</t>
        </is>
      </c>
      <c r="D391" s="28" t="inlineStr">
        <is>
          <t>Observation</t>
        </is>
      </c>
      <c r="E391" s="20" t="n">
        <v>1</v>
      </c>
      <c r="F391" s="39" t="inlineStr">
        <is>
          <t>Technical Diagnostics</t>
        </is>
      </c>
      <c r="G391" s="28" t="inlineStr">
        <is>
          <t>https://africanmarketingconfederation.org/smoke-archive/page-70::render_blocking_resources</t>
        </is>
      </c>
      <c r="H391" s="28" t="inlineStr">
        <is>
          <t>Dev</t>
        </is>
      </c>
      <c r="I391" s="28" t="inlineStr"/>
      <c r="J391" s="28" t="inlineStr">
        <is>
          <t>To Do</t>
        </is>
      </c>
      <c r="K391" s="20" t="inlineStr">
        <is>
          <t>https://africanmarketingconfederation.org/smoke-archive/page-70</t>
        </is>
      </c>
      <c r="L391" s="28" t="inlineStr">
        <is>
          <t>IssueInventory</t>
        </is>
      </c>
      <c r="M391" s="28" t="n">
        <v>339</v>
      </c>
      <c r="N391" s="28" t="inlineStr">
        <is>
          <t>2026-07-01 20:54:35</t>
        </is>
      </c>
      <c r="O391" s="28" t="n">
        <v>0</v>
      </c>
      <c r="P391" s="28" t="inlineStr"/>
      <c r="Q391" s="28" t="inlineStr"/>
      <c r="R391">
        <f>IFERROR(HYPERLINK("#'Main'!B"&amp;MATCH(TRIM(A391),'Main'!B:B,0),"Open"),HYPERLINK("#'Main'!B1","Open"))</f>
        <v/>
      </c>
      <c r="S391">
        <f>IFERROR(HYPERLINK("#'"&amp;SUBSTITUTE(F391,"'","''")&amp;"'!A"&amp;MATCH(A391,INDIRECT("'"&amp;SUBSTITUTE(F391,"'","''")&amp;"'!A:A"),0),"Open"),HYPERLINK("#'"&amp;SUBSTITUTE(F391,"'","''")&amp;"'!A1","Open"))</f>
        <v/>
      </c>
    </row>
    <row r="392" ht="18" customHeight="1">
      <c r="A392" s="37" t="inlineStr">
        <is>
          <t>https://africanmarketingconfederation.org/smoke-archive/page-71</t>
        </is>
      </c>
      <c r="B392" s="30" t="inlineStr">
        <is>
          <t>Issue Inventory</t>
        </is>
      </c>
      <c r="C392" s="80" t="inlineStr">
        <is>
          <t>Missing OG Image</t>
        </is>
      </c>
      <c r="D392" s="30" t="inlineStr">
        <is>
          <t>Warning</t>
        </is>
      </c>
      <c r="E392" s="31" t="n">
        <v>1</v>
      </c>
      <c r="F392" s="41" t="inlineStr">
        <is>
          <t>Technical Diagnostics</t>
        </is>
      </c>
      <c r="G392" s="30" t="inlineStr">
        <is>
          <t>https://africanmarketingconfederation.org/smoke-archive/page-71::missing_og_image</t>
        </is>
      </c>
      <c r="H392" s="30" t="inlineStr">
        <is>
          <t>Copy Writer</t>
        </is>
      </c>
      <c r="I392" s="30" t="inlineStr"/>
      <c r="J392" s="30" t="inlineStr">
        <is>
          <t>To Do</t>
        </is>
      </c>
      <c r="K392" s="31" t="inlineStr">
        <is>
          <t>https://africanmarketingconfederation.org/smoke-archive/page-71</t>
        </is>
      </c>
      <c r="L392" s="30" t="inlineStr">
        <is>
          <t>IssueInventory</t>
        </is>
      </c>
      <c r="M392" s="30" t="n">
        <v>340</v>
      </c>
      <c r="N392" s="30" t="inlineStr">
        <is>
          <t>2026-07-01 20:54:35</t>
        </is>
      </c>
      <c r="O392" s="30" t="n">
        <v>0</v>
      </c>
      <c r="P392" s="30" t="inlineStr"/>
      <c r="Q392" s="30" t="inlineStr"/>
      <c r="R392" s="38">
        <f>IFERROR(HYPERLINK("#'Main'!B"&amp;MATCH(TRIM(A392),'Main'!B:B,0),"Open"),HYPERLINK("#'Main'!B1","Open"))</f>
        <v/>
      </c>
      <c r="S392" s="38">
        <f>IFERROR(HYPERLINK("#'"&amp;SUBSTITUTE(F392,"'","''")&amp;"'!A"&amp;MATCH(A392,INDIRECT("'"&amp;SUBSTITUTE(F392,"'","''")&amp;"'!A:A"),0),"Open"),HYPERLINK("#'"&amp;SUBSTITUTE(F392,"'","''")&amp;"'!A1","Open"))</f>
        <v/>
      </c>
    </row>
    <row r="393" ht="18" customHeight="1">
      <c r="A393" s="35" t="inlineStr">
        <is>
          <t>https://africanmarketingconfederation.org/smoke-archive/page-71</t>
        </is>
      </c>
      <c r="B393" s="28" t="inlineStr">
        <is>
          <t>Issue Inventory</t>
        </is>
      </c>
      <c r="C393" s="79" t="inlineStr">
        <is>
          <t>Lab TBT 150ms–300ms (Mobile)</t>
        </is>
      </c>
      <c r="D393" s="28" t="inlineStr">
        <is>
          <t>Observation</t>
        </is>
      </c>
      <c r="E393" s="20" t="n">
        <v>1</v>
      </c>
      <c r="F393" s="39" t="inlineStr">
        <is>
          <t>Technical Diagnostics</t>
        </is>
      </c>
      <c r="G393" s="28" t="inlineStr">
        <is>
          <t>https://africanmarketingconfederation.org/smoke-archive/page-71::lab_tbt_150ms_300ms_mobile_</t>
        </is>
      </c>
      <c r="H393" s="28" t="inlineStr">
        <is>
          <t>Dev</t>
        </is>
      </c>
      <c r="I393" s="28" t="inlineStr"/>
      <c r="J393" s="28" t="inlineStr">
        <is>
          <t>To Do</t>
        </is>
      </c>
      <c r="K393" s="20" t="inlineStr">
        <is>
          <t>https://africanmarketingconfederation.org/smoke-archive/page-71</t>
        </is>
      </c>
      <c r="L393" s="28" t="inlineStr">
        <is>
          <t>IssueInventory</t>
        </is>
      </c>
      <c r="M393" s="28" t="n">
        <v>341</v>
      </c>
      <c r="N393" s="28" t="inlineStr">
        <is>
          <t>2026-07-01 20:54:35</t>
        </is>
      </c>
      <c r="O393" s="28" t="n">
        <v>0</v>
      </c>
      <c r="P393" s="28" t="inlineStr"/>
      <c r="Q393" s="28" t="inlineStr"/>
      <c r="R393">
        <f>IFERROR(HYPERLINK("#'Main'!B"&amp;MATCH(TRIM(A393),'Main'!B:B,0),"Open"),HYPERLINK("#'Main'!B1","Open"))</f>
        <v/>
      </c>
      <c r="S393">
        <f>IFERROR(HYPERLINK("#'"&amp;SUBSTITUTE(F393,"'","''")&amp;"'!A"&amp;MATCH(A393,INDIRECT("'"&amp;SUBSTITUTE(F393,"'","''")&amp;"'!A:A"),0),"Open"),HYPERLINK("#'"&amp;SUBSTITUTE(F393,"'","''")&amp;"'!A1","Open"))</f>
        <v/>
      </c>
    </row>
    <row r="394" ht="18" customHeight="1">
      <c r="A394" s="37" t="inlineStr">
        <is>
          <t>https://africanmarketingconfederation.org/smoke-archive/page-71</t>
        </is>
      </c>
      <c r="B394" s="30" t="inlineStr">
        <is>
          <t>Issue Inventory</t>
        </is>
      </c>
      <c r="C394" s="80" t="inlineStr">
        <is>
          <t>Moderate Lighthouse Performance Mobile (50–89)</t>
        </is>
      </c>
      <c r="D394" s="30" t="inlineStr">
        <is>
          <t>Observation</t>
        </is>
      </c>
      <c r="E394" s="31" t="n">
        <v>1</v>
      </c>
      <c r="F394" s="41" t="inlineStr">
        <is>
          <t>Technical Diagnostics</t>
        </is>
      </c>
      <c r="G394" s="30" t="inlineStr">
        <is>
          <t>https://africanmarketingconfederation.org/smoke-archive/page-71::moderate_lighthouse_performance_mobile_50_89_</t>
        </is>
      </c>
      <c r="H394" s="30" t="inlineStr">
        <is>
          <t>Dev</t>
        </is>
      </c>
      <c r="I394" s="30" t="inlineStr"/>
      <c r="J394" s="30" t="inlineStr">
        <is>
          <t>To Do</t>
        </is>
      </c>
      <c r="K394" s="31" t="inlineStr">
        <is>
          <t>https://africanmarketingconfederation.org/smoke-archive/page-71</t>
        </is>
      </c>
      <c r="L394" s="30" t="inlineStr">
        <is>
          <t>IssueInventory</t>
        </is>
      </c>
      <c r="M394" s="30" t="n">
        <v>342</v>
      </c>
      <c r="N394" s="30" t="inlineStr">
        <is>
          <t>2026-07-01 20:54:35</t>
        </is>
      </c>
      <c r="O394" s="30" t="n">
        <v>0</v>
      </c>
      <c r="P394" s="30" t="inlineStr"/>
      <c r="Q394" s="30" t="inlineStr"/>
      <c r="R394" s="38">
        <f>IFERROR(HYPERLINK("#'Main'!B"&amp;MATCH(TRIM(A394),'Main'!B:B,0),"Open"),HYPERLINK("#'Main'!B1","Open"))</f>
        <v/>
      </c>
      <c r="S394" s="38">
        <f>IFERROR(HYPERLINK("#'"&amp;SUBSTITUTE(F394,"'","''")&amp;"'!A"&amp;MATCH(A394,INDIRECT("'"&amp;SUBSTITUTE(F394,"'","''")&amp;"'!A:A"),0),"Open"),HYPERLINK("#'"&amp;SUBSTITUTE(F394,"'","''")&amp;"'!A1","Open"))</f>
        <v/>
      </c>
    </row>
    <row r="395" ht="18" customHeight="1">
      <c r="A395" s="35" t="inlineStr">
        <is>
          <t>https://africanmarketingconfederation.org/smoke-archive/page-71</t>
        </is>
      </c>
      <c r="B395" s="28" t="inlineStr">
        <is>
          <t>Issue Inventory</t>
        </is>
      </c>
      <c r="C395" s="79" t="inlineStr">
        <is>
          <t>Render Blocking Resources</t>
        </is>
      </c>
      <c r="D395" s="28" t="inlineStr">
        <is>
          <t>Observation</t>
        </is>
      </c>
      <c r="E395" s="20" t="n">
        <v>1</v>
      </c>
      <c r="F395" s="39" t="inlineStr">
        <is>
          <t>Technical Diagnostics</t>
        </is>
      </c>
      <c r="G395" s="28" t="inlineStr">
        <is>
          <t>https://africanmarketingconfederation.org/smoke-archive/page-71::render_blocking_resources</t>
        </is>
      </c>
      <c r="H395" s="28" t="inlineStr">
        <is>
          <t>Dev</t>
        </is>
      </c>
      <c r="I395" s="28" t="inlineStr"/>
      <c r="J395" s="28" t="inlineStr">
        <is>
          <t>To Do</t>
        </is>
      </c>
      <c r="K395" s="20" t="inlineStr">
        <is>
          <t>https://africanmarketingconfederation.org/smoke-archive/page-71</t>
        </is>
      </c>
      <c r="L395" s="28" t="inlineStr">
        <is>
          <t>IssueInventory</t>
        </is>
      </c>
      <c r="M395" s="28" t="n">
        <v>343</v>
      </c>
      <c r="N395" s="28" t="inlineStr">
        <is>
          <t>2026-07-01 20:54:35</t>
        </is>
      </c>
      <c r="O395" s="28" t="n">
        <v>0</v>
      </c>
      <c r="P395" s="28" t="inlineStr"/>
      <c r="Q395" s="28" t="inlineStr"/>
      <c r="R395">
        <f>IFERROR(HYPERLINK("#'Main'!B"&amp;MATCH(TRIM(A395),'Main'!B:B,0),"Open"),HYPERLINK("#'Main'!B1","Open"))</f>
        <v/>
      </c>
      <c r="S395">
        <f>IFERROR(HYPERLINK("#'"&amp;SUBSTITUTE(F395,"'","''")&amp;"'!A"&amp;MATCH(A395,INDIRECT("'"&amp;SUBSTITUTE(F395,"'","''")&amp;"'!A:A"),0),"Open"),HYPERLINK("#'"&amp;SUBSTITUTE(F395,"'","''")&amp;"'!A1","Open"))</f>
        <v/>
      </c>
    </row>
    <row r="396" ht="18" customHeight="1">
      <c r="A396" s="37" t="inlineStr">
        <is>
          <t>https://africanmarketingconfederation.org/smoke-archive/page-72</t>
        </is>
      </c>
      <c r="B396" s="30" t="inlineStr">
        <is>
          <t>Issue Inventory</t>
        </is>
      </c>
      <c r="C396" s="80" t="inlineStr">
        <is>
          <t>No Schema Markup</t>
        </is>
      </c>
      <c r="D396" s="30" t="inlineStr">
        <is>
          <t>Critical</t>
        </is>
      </c>
      <c r="E396" s="31" t="n">
        <v>1</v>
      </c>
      <c r="F396" s="41" t="inlineStr">
        <is>
          <t>Technical Diagnostics</t>
        </is>
      </c>
      <c r="G396" s="30" t="inlineStr">
        <is>
          <t>https://africanmarketingconfederation.org/smoke-archive/page-72::no_schema_markup</t>
        </is>
      </c>
      <c r="H396" s="30" t="inlineStr">
        <is>
          <t>Dev</t>
        </is>
      </c>
      <c r="I396" s="30" t="inlineStr"/>
      <c r="J396" s="30" t="inlineStr">
        <is>
          <t>To Do</t>
        </is>
      </c>
      <c r="K396" s="31" t="inlineStr">
        <is>
          <t>https://africanmarketingconfederation.org/smoke-archive/page-72</t>
        </is>
      </c>
      <c r="L396" s="30" t="inlineStr">
        <is>
          <t>IssueInventory</t>
        </is>
      </c>
      <c r="M396" s="30" t="n">
        <v>344</v>
      </c>
      <c r="N396" s="30" t="inlineStr">
        <is>
          <t>2026-07-01 20:54:35</t>
        </is>
      </c>
      <c r="O396" s="30" t="n">
        <v>0</v>
      </c>
      <c r="P396" s="30" t="inlineStr"/>
      <c r="Q396" s="30" t="inlineStr"/>
      <c r="R396" s="38">
        <f>IFERROR(HYPERLINK("#'Main'!B"&amp;MATCH(TRIM(A396),'Main'!B:B,0),"Open"),HYPERLINK("#'Main'!B1","Open"))</f>
        <v/>
      </c>
      <c r="S396" s="38">
        <f>IFERROR(HYPERLINK("#'"&amp;SUBSTITUTE(F396,"'","''")&amp;"'!A"&amp;MATCH(A396,INDIRECT("'"&amp;SUBSTITUTE(F396,"'","''")&amp;"'!A:A"),0),"Open"),HYPERLINK("#'"&amp;SUBSTITUTE(F396,"'","''")&amp;"'!A1","Open"))</f>
        <v/>
      </c>
    </row>
    <row r="397" ht="18" customHeight="1">
      <c r="A397" s="35" t="inlineStr">
        <is>
          <t>https://africanmarketingconfederation.org/smoke-archive/page-72</t>
        </is>
      </c>
      <c r="B397" s="28" t="inlineStr">
        <is>
          <t>Issue Inventory</t>
        </is>
      </c>
      <c r="C397" s="79" t="inlineStr">
        <is>
          <t>Low Image Alt Coverage</t>
        </is>
      </c>
      <c r="D397" s="28" t="inlineStr">
        <is>
          <t>Warning</t>
        </is>
      </c>
      <c r="E397" s="20" t="n">
        <v>1</v>
      </c>
      <c r="F397" s="39" t="inlineStr">
        <is>
          <t>Technical Diagnostics</t>
        </is>
      </c>
      <c r="G397" s="28" t="inlineStr">
        <is>
          <t>https://africanmarketingconfederation.org/smoke-archive/page-72::low_image_alt_coverage</t>
        </is>
      </c>
      <c r="H397" s="28" t="inlineStr">
        <is>
          <t>Copy Writer</t>
        </is>
      </c>
      <c r="I397" s="28" t="inlineStr"/>
      <c r="J397" s="28" t="inlineStr">
        <is>
          <t>To Do</t>
        </is>
      </c>
      <c r="K397" s="20" t="inlineStr">
        <is>
          <t>https://africanmarketingconfederation.org/smoke-archive/page-72</t>
        </is>
      </c>
      <c r="L397" s="28" t="inlineStr">
        <is>
          <t>IssueInventory</t>
        </is>
      </c>
      <c r="M397" s="28" t="n">
        <v>345</v>
      </c>
      <c r="N397" s="28" t="inlineStr">
        <is>
          <t>2026-07-01 20:54:35</t>
        </is>
      </c>
      <c r="O397" s="28" t="n">
        <v>0</v>
      </c>
      <c r="P397" s="28" t="inlineStr"/>
      <c r="Q397" s="28" t="inlineStr"/>
      <c r="R397">
        <f>IFERROR(HYPERLINK("#'Main'!B"&amp;MATCH(TRIM(A397),'Main'!B:B,0),"Open"),HYPERLINK("#'Main'!B1","Open"))</f>
        <v/>
      </c>
      <c r="S397">
        <f>IFERROR(HYPERLINK("#'"&amp;SUBSTITUTE(F397,"'","''")&amp;"'!A"&amp;MATCH(A397,INDIRECT("'"&amp;SUBSTITUTE(F397,"'","''")&amp;"'!A:A"),0),"Open"),HYPERLINK("#'"&amp;SUBSTITUTE(F397,"'","''")&amp;"'!A1","Open"))</f>
        <v/>
      </c>
    </row>
    <row r="398" ht="18" customHeight="1">
      <c r="A398" s="37" t="inlineStr">
        <is>
          <t>https://africanmarketingconfederation.org/smoke-archive/page-72</t>
        </is>
      </c>
      <c r="B398" s="30" t="inlineStr">
        <is>
          <t>Issue Inventory</t>
        </is>
      </c>
      <c r="C398" s="80" t="inlineStr">
        <is>
          <t>Missing OG Title</t>
        </is>
      </c>
      <c r="D398" s="30" t="inlineStr">
        <is>
          <t>Warning</t>
        </is>
      </c>
      <c r="E398" s="31" t="n">
        <v>1</v>
      </c>
      <c r="F398" s="41" t="inlineStr">
        <is>
          <t>Technical Diagnostics</t>
        </is>
      </c>
      <c r="G398" s="30" t="inlineStr">
        <is>
          <t>https://africanmarketingconfederation.org/smoke-archive/page-72::missing_og_title</t>
        </is>
      </c>
      <c r="H398" s="30" t="inlineStr">
        <is>
          <t>Copy Writer</t>
        </is>
      </c>
      <c r="I398" s="30" t="inlineStr"/>
      <c r="J398" s="30" t="inlineStr">
        <is>
          <t>To Do</t>
        </is>
      </c>
      <c r="K398" s="31" t="inlineStr">
        <is>
          <t>https://africanmarketingconfederation.org/smoke-archive/page-72</t>
        </is>
      </c>
      <c r="L398" s="30" t="inlineStr">
        <is>
          <t>IssueInventory</t>
        </is>
      </c>
      <c r="M398" s="30" t="n">
        <v>346</v>
      </c>
      <c r="N398" s="30" t="inlineStr">
        <is>
          <t>2026-07-01 20:54:35</t>
        </is>
      </c>
      <c r="O398" s="30" t="n">
        <v>0</v>
      </c>
      <c r="P398" s="30" t="inlineStr"/>
      <c r="Q398" s="30" t="inlineStr"/>
      <c r="R398" s="38">
        <f>IFERROR(HYPERLINK("#'Main'!B"&amp;MATCH(TRIM(A398),'Main'!B:B,0),"Open"),HYPERLINK("#'Main'!B1","Open"))</f>
        <v/>
      </c>
      <c r="S398" s="38">
        <f>IFERROR(HYPERLINK("#'"&amp;SUBSTITUTE(F398,"'","''")&amp;"'!A"&amp;MATCH(A398,INDIRECT("'"&amp;SUBSTITUTE(F398,"'","''")&amp;"'!A:A"),0),"Open"),HYPERLINK("#'"&amp;SUBSTITUTE(F398,"'","''")&amp;"'!A1","Open"))</f>
        <v/>
      </c>
    </row>
    <row r="399" ht="18" customHeight="1">
      <c r="A399" s="35" t="inlineStr">
        <is>
          <t>https://africanmarketingconfederation.org/smoke-archive/page-72</t>
        </is>
      </c>
      <c r="B399" s="28" t="inlineStr">
        <is>
          <t>Issue Inventory</t>
        </is>
      </c>
      <c r="C399" s="79" t="inlineStr">
        <is>
          <t>Low AEO Readiness Score</t>
        </is>
      </c>
      <c r="D399" s="28" t="inlineStr">
        <is>
          <t>Warning</t>
        </is>
      </c>
      <c r="E399" s="20" t="n">
        <v>1</v>
      </c>
      <c r="F399" s="39" t="inlineStr">
        <is>
          <t>Content &amp; AI Readiness</t>
        </is>
      </c>
      <c r="G399" s="28" t="inlineStr">
        <is>
          <t>https://africanmarketingconfederation.org/smoke-archive/page-72::low_aeo_readiness_score</t>
        </is>
      </c>
      <c r="H399" s="28" t="inlineStr">
        <is>
          <t>Copy Writer</t>
        </is>
      </c>
      <c r="I399" s="28" t="inlineStr"/>
      <c r="J399" s="28" t="inlineStr">
        <is>
          <t>To Do</t>
        </is>
      </c>
      <c r="K399" s="20" t="inlineStr">
        <is>
          <t>https://africanmarketingconfederation.org/smoke-archive/page-72</t>
        </is>
      </c>
      <c r="L399" s="28" t="inlineStr">
        <is>
          <t>IssueInventory</t>
        </is>
      </c>
      <c r="M399" s="28" t="n">
        <v>347</v>
      </c>
      <c r="N399" s="28" t="inlineStr">
        <is>
          <t>2026-07-01 20:54:35</t>
        </is>
      </c>
      <c r="O399" s="28" t="n">
        <v>0</v>
      </c>
      <c r="P399" s="28" t="inlineStr"/>
      <c r="Q399" s="28" t="inlineStr"/>
      <c r="R399">
        <f>IFERROR(HYPERLINK("#'Main'!B"&amp;MATCH(TRIM(A399),'Main'!B:B,0),"Open"),HYPERLINK("#'Main'!B1","Open"))</f>
        <v/>
      </c>
      <c r="S399">
        <f>IFERROR(HYPERLINK("#'"&amp;SUBSTITUTE(F399,"'","''")&amp;"'!A"&amp;MATCH(A399,INDIRECT("'"&amp;SUBSTITUTE(F399,"'","''")&amp;"'!A:A"),0),"Open"),HYPERLINK("#'"&amp;SUBSTITUTE(F399,"'","''")&amp;"'!A1","Open"))</f>
        <v/>
      </c>
    </row>
    <row r="400" ht="18" customHeight="1">
      <c r="A400" s="37" t="inlineStr">
        <is>
          <t>https://africanmarketingconfederation.org/smoke-archive/page-72</t>
        </is>
      </c>
      <c r="B400" s="30" t="inlineStr">
        <is>
          <t>Issue Inventory</t>
        </is>
      </c>
      <c r="C400" s="80" t="inlineStr">
        <is>
          <t>No Question Headings</t>
        </is>
      </c>
      <c r="D400" s="30" t="inlineStr">
        <is>
          <t>Observation</t>
        </is>
      </c>
      <c r="E400" s="31" t="n">
        <v>1</v>
      </c>
      <c r="F400" s="41" t="inlineStr">
        <is>
          <t>Content &amp; AI Readiness</t>
        </is>
      </c>
      <c r="G400" s="30" t="inlineStr">
        <is>
          <t>https://africanmarketingconfederation.org/smoke-archive/page-72::no_question_headings</t>
        </is>
      </c>
      <c r="H400" s="30" t="inlineStr">
        <is>
          <t>Copy Writer</t>
        </is>
      </c>
      <c r="I400" s="30" t="inlineStr"/>
      <c r="J400" s="30" t="inlineStr">
        <is>
          <t>To Do</t>
        </is>
      </c>
      <c r="K400" s="31" t="inlineStr">
        <is>
          <t>https://africanmarketingconfederation.org/smoke-archive/page-72</t>
        </is>
      </c>
      <c r="L400" s="30" t="inlineStr">
        <is>
          <t>IssueInventory</t>
        </is>
      </c>
      <c r="M400" s="30" t="n">
        <v>348</v>
      </c>
      <c r="N400" s="30" t="inlineStr">
        <is>
          <t>2026-07-01 20:54:35</t>
        </is>
      </c>
      <c r="O400" s="30" t="n">
        <v>0</v>
      </c>
      <c r="P400" s="30" t="inlineStr"/>
      <c r="Q400" s="30" t="inlineStr"/>
      <c r="R400" s="38">
        <f>IFERROR(HYPERLINK("#'Main'!B"&amp;MATCH(TRIM(A400),'Main'!B:B,0),"Open"),HYPERLINK("#'Main'!B1","Open"))</f>
        <v/>
      </c>
      <c r="S400" s="38">
        <f>IFERROR(HYPERLINK("#'"&amp;SUBSTITUTE(F400,"'","''")&amp;"'!A"&amp;MATCH(A400,INDIRECT("'"&amp;SUBSTITUTE(F400,"'","''")&amp;"'!A:A"),0),"Open"),HYPERLINK("#'"&amp;SUBSTITUTE(F400,"'","''")&amp;"'!A1","Open"))</f>
        <v/>
      </c>
    </row>
    <row r="401" ht="18" customHeight="1">
      <c r="A401" s="35" t="inlineStr">
        <is>
          <t>https://africanmarketingconfederation.org/smoke-archive/page-72</t>
        </is>
      </c>
      <c r="B401" s="28" t="inlineStr">
        <is>
          <t>Issue Inventory</t>
        </is>
      </c>
      <c r="C401" s="79" t="inlineStr">
        <is>
          <t>No Answer-Friendly Structure</t>
        </is>
      </c>
      <c r="D401" s="28" t="inlineStr">
        <is>
          <t>Observation</t>
        </is>
      </c>
      <c r="E401" s="20" t="n">
        <v>1</v>
      </c>
      <c r="F401" s="39" t="inlineStr">
        <is>
          <t>Technical Diagnostics</t>
        </is>
      </c>
      <c r="G401" s="28" t="inlineStr">
        <is>
          <t>https://africanmarketingconfederation.org/smoke-archive/page-72::no_answer-friendly_structure</t>
        </is>
      </c>
      <c r="H401" s="28" t="inlineStr">
        <is>
          <t>Copy Writer</t>
        </is>
      </c>
      <c r="I401" s="28" t="inlineStr"/>
      <c r="J401" s="28" t="inlineStr">
        <is>
          <t>To Do</t>
        </is>
      </c>
      <c r="K401" s="20" t="inlineStr">
        <is>
          <t>https://africanmarketingconfederation.org/smoke-archive/page-72</t>
        </is>
      </c>
      <c r="L401" s="28" t="inlineStr">
        <is>
          <t>IssueInventory</t>
        </is>
      </c>
      <c r="M401" s="28" t="n">
        <v>349</v>
      </c>
      <c r="N401" s="28" t="inlineStr">
        <is>
          <t>2026-07-01 20:54:35</t>
        </is>
      </c>
      <c r="O401" s="28" t="n">
        <v>0</v>
      </c>
      <c r="P401" s="28" t="inlineStr"/>
      <c r="Q401" s="28" t="inlineStr"/>
      <c r="R401">
        <f>IFERROR(HYPERLINK("#'Main'!B"&amp;MATCH(TRIM(A401),'Main'!B:B,0),"Open"),HYPERLINK("#'Main'!B1","Open"))</f>
        <v/>
      </c>
      <c r="S401">
        <f>IFERROR(HYPERLINK("#'"&amp;SUBSTITUTE(F401,"'","''")&amp;"'!A"&amp;MATCH(A401,INDIRECT("'"&amp;SUBSTITUTE(F401,"'","''")&amp;"'!A:A"),0),"Open"),HYPERLINK("#'"&amp;SUBSTITUTE(F401,"'","''")&amp;"'!A1","Open"))</f>
        <v/>
      </c>
    </row>
    <row r="402" ht="18" customHeight="1">
      <c r="A402" s="37" t="inlineStr">
        <is>
          <t>https://africanmarketingconfederation.org/smoke-archive/page-72</t>
        </is>
      </c>
      <c r="B402" s="30" t="inlineStr">
        <is>
          <t>Issue Inventory</t>
        </is>
      </c>
      <c r="C402" s="80" t="inlineStr">
        <is>
          <t>No 40-60 Word Answer Paragraphs</t>
        </is>
      </c>
      <c r="D402" s="30" t="inlineStr">
        <is>
          <t>Observation</t>
        </is>
      </c>
      <c r="E402" s="31" t="n">
        <v>1</v>
      </c>
      <c r="F402" s="41" t="inlineStr">
        <is>
          <t>Technical Diagnostics</t>
        </is>
      </c>
      <c r="G402" s="30" t="inlineStr">
        <is>
          <t>https://africanmarketingconfederation.org/smoke-archive/page-72::no_40-60_word_answer_paragraphs</t>
        </is>
      </c>
      <c r="H402" s="30" t="inlineStr">
        <is>
          <t>Copy Writer</t>
        </is>
      </c>
      <c r="I402" s="30" t="inlineStr"/>
      <c r="J402" s="30" t="inlineStr">
        <is>
          <t>To Do</t>
        </is>
      </c>
      <c r="K402" s="31" t="inlineStr">
        <is>
          <t>https://africanmarketingconfederation.org/smoke-archive/page-72</t>
        </is>
      </c>
      <c r="L402" s="30" t="inlineStr">
        <is>
          <t>IssueInventory</t>
        </is>
      </c>
      <c r="M402" s="30" t="n">
        <v>350</v>
      </c>
      <c r="N402" s="30" t="inlineStr">
        <is>
          <t>2026-07-01 20:54:35</t>
        </is>
      </c>
      <c r="O402" s="30" t="n">
        <v>0</v>
      </c>
      <c r="P402" s="30" t="inlineStr"/>
      <c r="Q402" s="30" t="inlineStr"/>
      <c r="R402" s="38">
        <f>IFERROR(HYPERLINK("#'Main'!B"&amp;MATCH(TRIM(A402),'Main'!B:B,0),"Open"),HYPERLINK("#'Main'!B1","Open"))</f>
        <v/>
      </c>
      <c r="S402" s="38">
        <f>IFERROR(HYPERLINK("#'"&amp;SUBSTITUTE(F402,"'","''")&amp;"'!A"&amp;MATCH(A402,INDIRECT("'"&amp;SUBSTITUTE(F402,"'","''")&amp;"'!A:A"),0),"Open"),HYPERLINK("#'"&amp;SUBSTITUTE(F402,"'","''")&amp;"'!A1","Open"))</f>
        <v/>
      </c>
    </row>
    <row r="403" ht="18" customHeight="1">
      <c r="A403" s="35" t="inlineStr">
        <is>
          <t>https://africanmarketingconfederation.org/smoke-archive/page-72</t>
        </is>
      </c>
      <c r="B403" s="28" t="inlineStr">
        <is>
          <t>Issue Inventory</t>
        </is>
      </c>
      <c r="C403" s="79" t="inlineStr">
        <is>
          <t>Lab TBT 150ms–300ms (Mobile)</t>
        </is>
      </c>
      <c r="D403" s="28" t="inlineStr">
        <is>
          <t>Observation</t>
        </is>
      </c>
      <c r="E403" s="20" t="n">
        <v>1</v>
      </c>
      <c r="F403" s="39" t="inlineStr">
        <is>
          <t>Technical Diagnostics</t>
        </is>
      </c>
      <c r="G403" s="28" t="inlineStr">
        <is>
          <t>https://africanmarketingconfederation.org/smoke-archive/page-72::lab_tbt_150ms_300ms_mobile_</t>
        </is>
      </c>
      <c r="H403" s="28" t="inlineStr">
        <is>
          <t>Dev</t>
        </is>
      </c>
      <c r="I403" s="28" t="inlineStr"/>
      <c r="J403" s="28" t="inlineStr">
        <is>
          <t>To Do</t>
        </is>
      </c>
      <c r="K403" s="20" t="inlineStr">
        <is>
          <t>https://africanmarketingconfederation.org/smoke-archive/page-72</t>
        </is>
      </c>
      <c r="L403" s="28" t="inlineStr">
        <is>
          <t>IssueInventory</t>
        </is>
      </c>
      <c r="M403" s="28" t="n">
        <v>351</v>
      </c>
      <c r="N403" s="28" t="inlineStr">
        <is>
          <t>2026-07-01 20:54:35</t>
        </is>
      </c>
      <c r="O403" s="28" t="n">
        <v>0</v>
      </c>
      <c r="P403" s="28" t="inlineStr"/>
      <c r="Q403" s="28" t="inlineStr"/>
      <c r="R403">
        <f>IFERROR(HYPERLINK("#'Main'!B"&amp;MATCH(TRIM(A403),'Main'!B:B,0),"Open"),HYPERLINK("#'Main'!B1","Open"))</f>
        <v/>
      </c>
      <c r="S403">
        <f>IFERROR(HYPERLINK("#'"&amp;SUBSTITUTE(F403,"'","''")&amp;"'!A"&amp;MATCH(A403,INDIRECT("'"&amp;SUBSTITUTE(F403,"'","''")&amp;"'!A:A"),0),"Open"),HYPERLINK("#'"&amp;SUBSTITUTE(F403,"'","''")&amp;"'!A1","Open"))</f>
        <v/>
      </c>
    </row>
    <row r="404" ht="18" customHeight="1">
      <c r="A404" s="37" t="inlineStr">
        <is>
          <t>https://africanmarketingconfederation.org/smoke-archive/page-72</t>
        </is>
      </c>
      <c r="B404" s="30" t="inlineStr">
        <is>
          <t>Issue Inventory</t>
        </is>
      </c>
      <c r="C404" s="80" t="inlineStr">
        <is>
          <t>Moderate Lighthouse Performance Mobile (50–89)</t>
        </is>
      </c>
      <c r="D404" s="30" t="inlineStr">
        <is>
          <t>Observation</t>
        </is>
      </c>
      <c r="E404" s="31" t="n">
        <v>1</v>
      </c>
      <c r="F404" s="41" t="inlineStr">
        <is>
          <t>Technical Diagnostics</t>
        </is>
      </c>
      <c r="G404" s="30" t="inlineStr">
        <is>
          <t>https://africanmarketingconfederation.org/smoke-archive/page-72::moderate_lighthouse_performance_mobile_50_89_</t>
        </is>
      </c>
      <c r="H404" s="30" t="inlineStr">
        <is>
          <t>Dev</t>
        </is>
      </c>
      <c r="I404" s="30" t="inlineStr"/>
      <c r="J404" s="30" t="inlineStr">
        <is>
          <t>To Do</t>
        </is>
      </c>
      <c r="K404" s="31" t="inlineStr">
        <is>
          <t>https://africanmarketingconfederation.org/smoke-archive/page-72</t>
        </is>
      </c>
      <c r="L404" s="30" t="inlineStr">
        <is>
          <t>IssueInventory</t>
        </is>
      </c>
      <c r="M404" s="30" t="n">
        <v>352</v>
      </c>
      <c r="N404" s="30" t="inlineStr">
        <is>
          <t>2026-07-01 20:54:35</t>
        </is>
      </c>
      <c r="O404" s="30" t="n">
        <v>0</v>
      </c>
      <c r="P404" s="30" t="inlineStr"/>
      <c r="Q404" s="30" t="inlineStr"/>
      <c r="R404" s="38">
        <f>IFERROR(HYPERLINK("#'Main'!B"&amp;MATCH(TRIM(A404),'Main'!B:B,0),"Open"),HYPERLINK("#'Main'!B1","Open"))</f>
        <v/>
      </c>
      <c r="S404" s="38">
        <f>IFERROR(HYPERLINK("#'"&amp;SUBSTITUTE(F404,"'","''")&amp;"'!A"&amp;MATCH(A404,INDIRECT("'"&amp;SUBSTITUTE(F404,"'","''")&amp;"'!A:A"),0),"Open"),HYPERLINK("#'"&amp;SUBSTITUTE(F404,"'","''")&amp;"'!A1","Open"))</f>
        <v/>
      </c>
    </row>
    <row r="405" ht="18" customHeight="1">
      <c r="A405" s="35" t="inlineStr">
        <is>
          <t>https://africanmarketingconfederation.org/smoke-archive/page-72</t>
        </is>
      </c>
      <c r="B405" s="28" t="inlineStr">
        <is>
          <t>Issue Inventory</t>
        </is>
      </c>
      <c r="C405" s="79" t="inlineStr">
        <is>
          <t>Render Blocking Resources</t>
        </is>
      </c>
      <c r="D405" s="28" t="inlineStr">
        <is>
          <t>Observation</t>
        </is>
      </c>
      <c r="E405" s="20" t="n">
        <v>1</v>
      </c>
      <c r="F405" s="39" t="inlineStr">
        <is>
          <t>Technical Diagnostics</t>
        </is>
      </c>
      <c r="G405" s="28" t="inlineStr">
        <is>
          <t>https://africanmarketingconfederation.org/smoke-archive/page-72::render_blocking_resources</t>
        </is>
      </c>
      <c r="H405" s="28" t="inlineStr">
        <is>
          <t>Dev</t>
        </is>
      </c>
      <c r="I405" s="28" t="inlineStr"/>
      <c r="J405" s="28" t="inlineStr">
        <is>
          <t>To Do</t>
        </is>
      </c>
      <c r="K405" s="20" t="inlineStr">
        <is>
          <t>https://africanmarketingconfederation.org/smoke-archive/page-72</t>
        </is>
      </c>
      <c r="L405" s="28" t="inlineStr">
        <is>
          <t>IssueInventory</t>
        </is>
      </c>
      <c r="M405" s="28" t="n">
        <v>353</v>
      </c>
      <c r="N405" s="28" t="inlineStr">
        <is>
          <t>2026-07-01 20:54:35</t>
        </is>
      </c>
      <c r="O405" s="28" t="n">
        <v>0</v>
      </c>
      <c r="P405" s="28" t="inlineStr"/>
      <c r="Q405" s="28" t="inlineStr"/>
      <c r="R405">
        <f>IFERROR(HYPERLINK("#'Main'!B"&amp;MATCH(TRIM(A405),'Main'!B:B,0),"Open"),HYPERLINK("#'Main'!B1","Open"))</f>
        <v/>
      </c>
      <c r="S405">
        <f>IFERROR(HYPERLINK("#'"&amp;SUBSTITUTE(F405,"'","''")&amp;"'!A"&amp;MATCH(A405,INDIRECT("'"&amp;SUBSTITUTE(F405,"'","''")&amp;"'!A:A"),0),"Open"),HYPERLINK("#'"&amp;SUBSTITUTE(F405,"'","''")&amp;"'!A1","Open"))</f>
        <v/>
      </c>
    </row>
    <row r="406" ht="18" customHeight="1">
      <c r="A406" s="37" t="inlineStr">
        <is>
          <t>https://africanmarketingconfederation.org/smoke-archive/page-73</t>
        </is>
      </c>
      <c r="B406" s="30" t="inlineStr">
        <is>
          <t>Issue Inventory</t>
        </is>
      </c>
      <c r="C406" s="80" t="inlineStr">
        <is>
          <t>Missing OG Image</t>
        </is>
      </c>
      <c r="D406" s="30" t="inlineStr">
        <is>
          <t>Warning</t>
        </is>
      </c>
      <c r="E406" s="31" t="n">
        <v>1</v>
      </c>
      <c r="F406" s="41" t="inlineStr">
        <is>
          <t>Technical Diagnostics</t>
        </is>
      </c>
      <c r="G406" s="30" t="inlineStr">
        <is>
          <t>https://africanmarketingconfederation.org/smoke-archive/page-73::missing_og_image</t>
        </is>
      </c>
      <c r="H406" s="30" t="inlineStr">
        <is>
          <t>Copy Writer</t>
        </is>
      </c>
      <c r="I406" s="30" t="inlineStr"/>
      <c r="J406" s="30" t="inlineStr">
        <is>
          <t>To Do</t>
        </is>
      </c>
      <c r="K406" s="31" t="inlineStr">
        <is>
          <t>https://africanmarketingconfederation.org/smoke-archive/page-73</t>
        </is>
      </c>
      <c r="L406" s="30" t="inlineStr">
        <is>
          <t>IssueInventory</t>
        </is>
      </c>
      <c r="M406" s="30" t="n">
        <v>354</v>
      </c>
      <c r="N406" s="30" t="inlineStr">
        <is>
          <t>2026-07-01 20:54:35</t>
        </is>
      </c>
      <c r="O406" s="30" t="n">
        <v>0</v>
      </c>
      <c r="P406" s="30" t="inlineStr"/>
      <c r="Q406" s="30" t="inlineStr"/>
      <c r="R406" s="38">
        <f>IFERROR(HYPERLINK("#'Main'!B"&amp;MATCH(TRIM(A406),'Main'!B:B,0),"Open"),HYPERLINK("#'Main'!B1","Open"))</f>
        <v/>
      </c>
      <c r="S406" s="38">
        <f>IFERROR(HYPERLINK("#'"&amp;SUBSTITUTE(F406,"'","''")&amp;"'!A"&amp;MATCH(A406,INDIRECT("'"&amp;SUBSTITUTE(F406,"'","''")&amp;"'!A:A"),0),"Open"),HYPERLINK("#'"&amp;SUBSTITUTE(F406,"'","''")&amp;"'!A1","Open"))</f>
        <v/>
      </c>
    </row>
    <row r="407" ht="18" customHeight="1">
      <c r="A407" s="35" t="inlineStr">
        <is>
          <t>https://africanmarketingconfederation.org/smoke-archive/page-73</t>
        </is>
      </c>
      <c r="B407" s="28" t="inlineStr">
        <is>
          <t>Issue Inventory</t>
        </is>
      </c>
      <c r="C407" s="79" t="inlineStr">
        <is>
          <t>Lab TBT 150ms–300ms (Mobile)</t>
        </is>
      </c>
      <c r="D407" s="28" t="inlineStr">
        <is>
          <t>Observation</t>
        </is>
      </c>
      <c r="E407" s="20" t="n">
        <v>1</v>
      </c>
      <c r="F407" s="39" t="inlineStr">
        <is>
          <t>Technical Diagnostics</t>
        </is>
      </c>
      <c r="G407" s="28" t="inlineStr">
        <is>
          <t>https://africanmarketingconfederation.org/smoke-archive/page-73::lab_tbt_150ms_300ms_mobile_</t>
        </is>
      </c>
      <c r="H407" s="28" t="inlineStr">
        <is>
          <t>Dev</t>
        </is>
      </c>
      <c r="I407" s="28" t="inlineStr"/>
      <c r="J407" s="28" t="inlineStr">
        <is>
          <t>To Do</t>
        </is>
      </c>
      <c r="K407" s="20" t="inlineStr">
        <is>
          <t>https://africanmarketingconfederation.org/smoke-archive/page-73</t>
        </is>
      </c>
      <c r="L407" s="28" t="inlineStr">
        <is>
          <t>IssueInventory</t>
        </is>
      </c>
      <c r="M407" s="28" t="n">
        <v>355</v>
      </c>
      <c r="N407" s="28" t="inlineStr">
        <is>
          <t>2026-07-01 20:54:35</t>
        </is>
      </c>
      <c r="O407" s="28" t="n">
        <v>0</v>
      </c>
      <c r="P407" s="28" t="inlineStr"/>
      <c r="Q407" s="28" t="inlineStr"/>
      <c r="R407">
        <f>IFERROR(HYPERLINK("#'Main'!B"&amp;MATCH(TRIM(A407),'Main'!B:B,0),"Open"),HYPERLINK("#'Main'!B1","Open"))</f>
        <v/>
      </c>
      <c r="S407">
        <f>IFERROR(HYPERLINK("#'"&amp;SUBSTITUTE(F407,"'","''")&amp;"'!A"&amp;MATCH(A407,INDIRECT("'"&amp;SUBSTITUTE(F407,"'","''")&amp;"'!A:A"),0),"Open"),HYPERLINK("#'"&amp;SUBSTITUTE(F407,"'","''")&amp;"'!A1","Open"))</f>
        <v/>
      </c>
    </row>
    <row r="408" ht="18" customHeight="1">
      <c r="A408" s="37" t="inlineStr">
        <is>
          <t>https://africanmarketingconfederation.org/smoke-archive/page-73</t>
        </is>
      </c>
      <c r="B408" s="30" t="inlineStr">
        <is>
          <t>Issue Inventory</t>
        </is>
      </c>
      <c r="C408" s="80" t="inlineStr">
        <is>
          <t>Moderate Lighthouse Performance Mobile (50–89)</t>
        </is>
      </c>
      <c r="D408" s="30" t="inlineStr">
        <is>
          <t>Observation</t>
        </is>
      </c>
      <c r="E408" s="31" t="n">
        <v>1</v>
      </c>
      <c r="F408" s="41" t="inlineStr">
        <is>
          <t>Technical Diagnostics</t>
        </is>
      </c>
      <c r="G408" s="30" t="inlineStr">
        <is>
          <t>https://africanmarketingconfederation.org/smoke-archive/page-73::moderate_lighthouse_performance_mobile_50_89_</t>
        </is>
      </c>
      <c r="H408" s="30" t="inlineStr">
        <is>
          <t>Dev</t>
        </is>
      </c>
      <c r="I408" s="30" t="inlineStr"/>
      <c r="J408" s="30" t="inlineStr">
        <is>
          <t>To Do</t>
        </is>
      </c>
      <c r="K408" s="31" t="inlineStr">
        <is>
          <t>https://africanmarketingconfederation.org/smoke-archive/page-73</t>
        </is>
      </c>
      <c r="L408" s="30" t="inlineStr">
        <is>
          <t>IssueInventory</t>
        </is>
      </c>
      <c r="M408" s="30" t="n">
        <v>356</v>
      </c>
      <c r="N408" s="30" t="inlineStr">
        <is>
          <t>2026-07-01 20:54:35</t>
        </is>
      </c>
      <c r="O408" s="30" t="n">
        <v>0</v>
      </c>
      <c r="P408" s="30" t="inlineStr"/>
      <c r="Q408" s="30" t="inlineStr"/>
      <c r="R408" s="38">
        <f>IFERROR(HYPERLINK("#'Main'!B"&amp;MATCH(TRIM(A408),'Main'!B:B,0),"Open"),HYPERLINK("#'Main'!B1","Open"))</f>
        <v/>
      </c>
      <c r="S408" s="38">
        <f>IFERROR(HYPERLINK("#'"&amp;SUBSTITUTE(F408,"'","''")&amp;"'!A"&amp;MATCH(A408,INDIRECT("'"&amp;SUBSTITUTE(F408,"'","''")&amp;"'!A:A"),0),"Open"),HYPERLINK("#'"&amp;SUBSTITUTE(F408,"'","''")&amp;"'!A1","Open"))</f>
        <v/>
      </c>
    </row>
    <row r="409" ht="18" customHeight="1">
      <c r="A409" s="35" t="inlineStr">
        <is>
          <t>https://africanmarketingconfederation.org/smoke-archive/page-73</t>
        </is>
      </c>
      <c r="B409" s="28" t="inlineStr">
        <is>
          <t>Issue Inventory</t>
        </is>
      </c>
      <c r="C409" s="79" t="inlineStr">
        <is>
          <t>Render Blocking Resources</t>
        </is>
      </c>
      <c r="D409" s="28" t="inlineStr">
        <is>
          <t>Observation</t>
        </is>
      </c>
      <c r="E409" s="20" t="n">
        <v>1</v>
      </c>
      <c r="F409" s="39" t="inlineStr">
        <is>
          <t>Technical Diagnostics</t>
        </is>
      </c>
      <c r="G409" s="28" t="inlineStr">
        <is>
          <t>https://africanmarketingconfederation.org/smoke-archive/page-73::render_blocking_resources</t>
        </is>
      </c>
      <c r="H409" s="28" t="inlineStr">
        <is>
          <t>Dev</t>
        </is>
      </c>
      <c r="I409" s="28" t="inlineStr"/>
      <c r="J409" s="28" t="inlineStr">
        <is>
          <t>To Do</t>
        </is>
      </c>
      <c r="K409" s="20" t="inlineStr">
        <is>
          <t>https://africanmarketingconfederation.org/smoke-archive/page-73</t>
        </is>
      </c>
      <c r="L409" s="28" t="inlineStr">
        <is>
          <t>IssueInventory</t>
        </is>
      </c>
      <c r="M409" s="28" t="n">
        <v>357</v>
      </c>
      <c r="N409" s="28" t="inlineStr">
        <is>
          <t>2026-07-01 20:54:35</t>
        </is>
      </c>
      <c r="O409" s="28" t="n">
        <v>0</v>
      </c>
      <c r="P409" s="28" t="inlineStr"/>
      <c r="Q409" s="28" t="inlineStr"/>
      <c r="R409">
        <f>IFERROR(HYPERLINK("#'Main'!B"&amp;MATCH(TRIM(A409),'Main'!B:B,0),"Open"),HYPERLINK("#'Main'!B1","Open"))</f>
        <v/>
      </c>
      <c r="S409">
        <f>IFERROR(HYPERLINK("#'"&amp;SUBSTITUTE(F409,"'","''")&amp;"'!A"&amp;MATCH(A409,INDIRECT("'"&amp;SUBSTITUTE(F409,"'","''")&amp;"'!A:A"),0),"Open"),HYPERLINK("#'"&amp;SUBSTITUTE(F409,"'","''")&amp;"'!A1","Open"))</f>
        <v/>
      </c>
    </row>
    <row r="410" ht="18" customHeight="1">
      <c r="A410" s="37" t="inlineStr">
        <is>
          <t>https://africanmarketingconfederation.org/smoke-archive/page-74</t>
        </is>
      </c>
      <c r="B410" s="30" t="inlineStr">
        <is>
          <t>Issue Inventory</t>
        </is>
      </c>
      <c r="C410" s="80" t="inlineStr">
        <is>
          <t>Missing OG Image</t>
        </is>
      </c>
      <c r="D410" s="30" t="inlineStr">
        <is>
          <t>Warning</t>
        </is>
      </c>
      <c r="E410" s="31" t="n">
        <v>1</v>
      </c>
      <c r="F410" s="41" t="inlineStr">
        <is>
          <t>Technical Diagnostics</t>
        </is>
      </c>
      <c r="G410" s="30" t="inlineStr">
        <is>
          <t>https://africanmarketingconfederation.org/smoke-archive/page-74::missing_og_image</t>
        </is>
      </c>
      <c r="H410" s="30" t="inlineStr">
        <is>
          <t>Copy Writer</t>
        </is>
      </c>
      <c r="I410" s="30" t="inlineStr"/>
      <c r="J410" s="30" t="inlineStr">
        <is>
          <t>To Do</t>
        </is>
      </c>
      <c r="K410" s="31" t="inlineStr">
        <is>
          <t>https://africanmarketingconfederation.org/smoke-archive/page-74</t>
        </is>
      </c>
      <c r="L410" s="30" t="inlineStr">
        <is>
          <t>IssueInventory</t>
        </is>
      </c>
      <c r="M410" s="30" t="n">
        <v>358</v>
      </c>
      <c r="N410" s="30" t="inlineStr">
        <is>
          <t>2026-07-01 20:54:35</t>
        </is>
      </c>
      <c r="O410" s="30" t="n">
        <v>0</v>
      </c>
      <c r="P410" s="30" t="inlineStr"/>
      <c r="Q410" s="30" t="inlineStr"/>
      <c r="R410" s="38">
        <f>IFERROR(HYPERLINK("#'Main'!B"&amp;MATCH(TRIM(A410),'Main'!B:B,0),"Open"),HYPERLINK("#'Main'!B1","Open"))</f>
        <v/>
      </c>
      <c r="S410" s="38">
        <f>IFERROR(HYPERLINK("#'"&amp;SUBSTITUTE(F410,"'","''")&amp;"'!A"&amp;MATCH(A410,INDIRECT("'"&amp;SUBSTITUTE(F410,"'","''")&amp;"'!A:A"),0),"Open"),HYPERLINK("#'"&amp;SUBSTITUTE(F410,"'","''")&amp;"'!A1","Open"))</f>
        <v/>
      </c>
    </row>
    <row r="411" ht="18" customHeight="1">
      <c r="A411" s="35" t="inlineStr">
        <is>
          <t>https://africanmarketingconfederation.org/smoke-archive/page-74</t>
        </is>
      </c>
      <c r="B411" s="28" t="inlineStr">
        <is>
          <t>Issue Inventory</t>
        </is>
      </c>
      <c r="C411" s="79" t="inlineStr">
        <is>
          <t>Lab TBT 150ms–300ms (Mobile)</t>
        </is>
      </c>
      <c r="D411" s="28" t="inlineStr">
        <is>
          <t>Observation</t>
        </is>
      </c>
      <c r="E411" s="20" t="n">
        <v>1</v>
      </c>
      <c r="F411" s="39" t="inlineStr">
        <is>
          <t>Technical Diagnostics</t>
        </is>
      </c>
      <c r="G411" s="28" t="inlineStr">
        <is>
          <t>https://africanmarketingconfederation.org/smoke-archive/page-74::lab_tbt_150ms_300ms_mobile_</t>
        </is>
      </c>
      <c r="H411" s="28" t="inlineStr">
        <is>
          <t>Dev</t>
        </is>
      </c>
      <c r="I411" s="28" t="inlineStr"/>
      <c r="J411" s="28" t="inlineStr">
        <is>
          <t>To Do</t>
        </is>
      </c>
      <c r="K411" s="20" t="inlineStr">
        <is>
          <t>https://africanmarketingconfederation.org/smoke-archive/page-74</t>
        </is>
      </c>
      <c r="L411" s="28" t="inlineStr">
        <is>
          <t>IssueInventory</t>
        </is>
      </c>
      <c r="M411" s="28" t="n">
        <v>359</v>
      </c>
      <c r="N411" s="28" t="inlineStr">
        <is>
          <t>2026-07-01 20:54:35</t>
        </is>
      </c>
      <c r="O411" s="28" t="n">
        <v>0</v>
      </c>
      <c r="P411" s="28" t="inlineStr"/>
      <c r="Q411" s="28" t="inlineStr"/>
      <c r="R411">
        <f>IFERROR(HYPERLINK("#'Main'!B"&amp;MATCH(TRIM(A411),'Main'!B:B,0),"Open"),HYPERLINK("#'Main'!B1","Open"))</f>
        <v/>
      </c>
      <c r="S411">
        <f>IFERROR(HYPERLINK("#'"&amp;SUBSTITUTE(F411,"'","''")&amp;"'!A"&amp;MATCH(A411,INDIRECT("'"&amp;SUBSTITUTE(F411,"'","''")&amp;"'!A:A"),0),"Open"),HYPERLINK("#'"&amp;SUBSTITUTE(F411,"'","''")&amp;"'!A1","Open"))</f>
        <v/>
      </c>
    </row>
    <row r="412" ht="18" customHeight="1">
      <c r="A412" s="37" t="inlineStr">
        <is>
          <t>https://africanmarketingconfederation.org/smoke-archive/page-74</t>
        </is>
      </c>
      <c r="B412" s="30" t="inlineStr">
        <is>
          <t>Issue Inventory</t>
        </is>
      </c>
      <c r="C412" s="80" t="inlineStr">
        <is>
          <t>Moderate Lighthouse Performance Mobile (50–89)</t>
        </is>
      </c>
      <c r="D412" s="30" t="inlineStr">
        <is>
          <t>Observation</t>
        </is>
      </c>
      <c r="E412" s="31" t="n">
        <v>1</v>
      </c>
      <c r="F412" s="41" t="inlineStr">
        <is>
          <t>Technical Diagnostics</t>
        </is>
      </c>
      <c r="G412" s="30" t="inlineStr">
        <is>
          <t>https://africanmarketingconfederation.org/smoke-archive/page-74::moderate_lighthouse_performance_mobile_50_89_</t>
        </is>
      </c>
      <c r="H412" s="30" t="inlineStr">
        <is>
          <t>Dev</t>
        </is>
      </c>
      <c r="I412" s="30" t="inlineStr"/>
      <c r="J412" s="30" t="inlineStr">
        <is>
          <t>To Do</t>
        </is>
      </c>
      <c r="K412" s="31" t="inlineStr">
        <is>
          <t>https://africanmarketingconfederation.org/smoke-archive/page-74</t>
        </is>
      </c>
      <c r="L412" s="30" t="inlineStr">
        <is>
          <t>IssueInventory</t>
        </is>
      </c>
      <c r="M412" s="30" t="n">
        <v>360</v>
      </c>
      <c r="N412" s="30" t="inlineStr">
        <is>
          <t>2026-07-01 20:54:35</t>
        </is>
      </c>
      <c r="O412" s="30" t="n">
        <v>0</v>
      </c>
      <c r="P412" s="30" t="inlineStr"/>
      <c r="Q412" s="30" t="inlineStr"/>
      <c r="R412" s="38">
        <f>IFERROR(HYPERLINK("#'Main'!B"&amp;MATCH(TRIM(A412),'Main'!B:B,0),"Open"),HYPERLINK("#'Main'!B1","Open"))</f>
        <v/>
      </c>
      <c r="S412" s="38">
        <f>IFERROR(HYPERLINK("#'"&amp;SUBSTITUTE(F412,"'","''")&amp;"'!A"&amp;MATCH(A412,INDIRECT("'"&amp;SUBSTITUTE(F412,"'","''")&amp;"'!A:A"),0),"Open"),HYPERLINK("#'"&amp;SUBSTITUTE(F412,"'","''")&amp;"'!A1","Open"))</f>
        <v/>
      </c>
    </row>
    <row r="413" ht="18" customHeight="1">
      <c r="A413" s="35" t="inlineStr">
        <is>
          <t>https://africanmarketingconfederation.org/smoke-archive/page-74</t>
        </is>
      </c>
      <c r="B413" s="28" t="inlineStr">
        <is>
          <t>Issue Inventory</t>
        </is>
      </c>
      <c r="C413" s="79" t="inlineStr">
        <is>
          <t>Render Blocking Resources</t>
        </is>
      </c>
      <c r="D413" s="28" t="inlineStr">
        <is>
          <t>Observation</t>
        </is>
      </c>
      <c r="E413" s="20" t="n">
        <v>1</v>
      </c>
      <c r="F413" s="39" t="inlineStr">
        <is>
          <t>Technical Diagnostics</t>
        </is>
      </c>
      <c r="G413" s="28" t="inlineStr">
        <is>
          <t>https://africanmarketingconfederation.org/smoke-archive/page-74::render_blocking_resources</t>
        </is>
      </c>
      <c r="H413" s="28" t="inlineStr">
        <is>
          <t>Dev</t>
        </is>
      </c>
      <c r="I413" s="28" t="inlineStr"/>
      <c r="J413" s="28" t="inlineStr">
        <is>
          <t>To Do</t>
        </is>
      </c>
      <c r="K413" s="20" t="inlineStr">
        <is>
          <t>https://africanmarketingconfederation.org/smoke-archive/page-74</t>
        </is>
      </c>
      <c r="L413" s="28" t="inlineStr">
        <is>
          <t>IssueInventory</t>
        </is>
      </c>
      <c r="M413" s="28" t="n">
        <v>361</v>
      </c>
      <c r="N413" s="28" t="inlineStr">
        <is>
          <t>2026-07-01 20:54:35</t>
        </is>
      </c>
      <c r="O413" s="28" t="n">
        <v>0</v>
      </c>
      <c r="P413" s="28" t="inlineStr"/>
      <c r="Q413" s="28" t="inlineStr"/>
      <c r="R413">
        <f>IFERROR(HYPERLINK("#'Main'!B"&amp;MATCH(TRIM(A413),'Main'!B:B,0),"Open"),HYPERLINK("#'Main'!B1","Open"))</f>
        <v/>
      </c>
      <c r="S413">
        <f>IFERROR(HYPERLINK("#'"&amp;SUBSTITUTE(F413,"'","''")&amp;"'!A"&amp;MATCH(A413,INDIRECT("'"&amp;SUBSTITUTE(F413,"'","''")&amp;"'!A:A"),0),"Open"),HYPERLINK("#'"&amp;SUBSTITUTE(F413,"'","''")&amp;"'!A1","Open"))</f>
        <v/>
      </c>
    </row>
    <row r="414" ht="18" customHeight="1">
      <c r="A414" s="37" t="inlineStr">
        <is>
          <t>https://africanmarketingconfederation.org/smoke-archive/page-75</t>
        </is>
      </c>
      <c r="B414" s="30" t="inlineStr">
        <is>
          <t>Issue Inventory</t>
        </is>
      </c>
      <c r="C414" s="80" t="inlineStr">
        <is>
          <t>Missing Meta Description</t>
        </is>
      </c>
      <c r="D414" s="30" t="inlineStr">
        <is>
          <t>Warning</t>
        </is>
      </c>
      <c r="E414" s="31" t="n">
        <v>1</v>
      </c>
      <c r="F414" s="41" t="inlineStr">
        <is>
          <t>Technical Diagnostics</t>
        </is>
      </c>
      <c r="G414" s="30" t="inlineStr">
        <is>
          <t>https://africanmarketingconfederation.org/smoke-archive/page-75::missing_meta_description</t>
        </is>
      </c>
      <c r="H414" s="30" t="inlineStr">
        <is>
          <t>Copy Writer</t>
        </is>
      </c>
      <c r="I414" s="30" t="inlineStr"/>
      <c r="J414" s="30" t="inlineStr">
        <is>
          <t>To Do</t>
        </is>
      </c>
      <c r="K414" s="31" t="inlineStr">
        <is>
          <t>https://africanmarketingconfederation.org/smoke-archive/page-75</t>
        </is>
      </c>
      <c r="L414" s="30" t="inlineStr">
        <is>
          <t>IssueInventory</t>
        </is>
      </c>
      <c r="M414" s="30" t="n">
        <v>362</v>
      </c>
      <c r="N414" s="30" t="inlineStr">
        <is>
          <t>2026-07-01 20:54:35</t>
        </is>
      </c>
      <c r="O414" s="30" t="n">
        <v>0</v>
      </c>
      <c r="P414" s="30" t="inlineStr"/>
      <c r="Q414" s="30" t="inlineStr"/>
      <c r="R414" s="38">
        <f>IFERROR(HYPERLINK("#'Main'!B"&amp;MATCH(TRIM(A414),'Main'!B:B,0),"Open"),HYPERLINK("#'Main'!B1","Open"))</f>
        <v/>
      </c>
      <c r="S414" s="38">
        <f>IFERROR(HYPERLINK("#'"&amp;SUBSTITUTE(F414,"'","''")&amp;"'!A"&amp;MATCH(A414,INDIRECT("'"&amp;SUBSTITUTE(F414,"'","''")&amp;"'!A:A"),0),"Open"),HYPERLINK("#'"&amp;SUBSTITUTE(F414,"'","''")&amp;"'!A1","Open"))</f>
        <v/>
      </c>
    </row>
    <row r="415" ht="18" customHeight="1">
      <c r="A415" s="35" t="inlineStr">
        <is>
          <t>https://africanmarketingconfederation.org/smoke-archive/page-75</t>
        </is>
      </c>
      <c r="B415" s="28" t="inlineStr">
        <is>
          <t>Issue Inventory</t>
        </is>
      </c>
      <c r="C415" s="79" t="inlineStr">
        <is>
          <t>Missing OG Description</t>
        </is>
      </c>
      <c r="D415" s="28" t="inlineStr">
        <is>
          <t>Warning</t>
        </is>
      </c>
      <c r="E415" s="20" t="n">
        <v>1</v>
      </c>
      <c r="F415" s="39" t="inlineStr">
        <is>
          <t>Technical Diagnostics</t>
        </is>
      </c>
      <c r="G415" s="28" t="inlineStr">
        <is>
          <t>https://africanmarketingconfederation.org/smoke-archive/page-75::missing_og_description</t>
        </is>
      </c>
      <c r="H415" s="28" t="inlineStr">
        <is>
          <t>Copy Writer</t>
        </is>
      </c>
      <c r="I415" s="28" t="inlineStr"/>
      <c r="J415" s="28" t="inlineStr">
        <is>
          <t>To Do</t>
        </is>
      </c>
      <c r="K415" s="20" t="inlineStr">
        <is>
          <t>https://africanmarketingconfederation.org/smoke-archive/page-75</t>
        </is>
      </c>
      <c r="L415" s="28" t="inlineStr">
        <is>
          <t>IssueInventory</t>
        </is>
      </c>
      <c r="M415" s="28" t="n">
        <v>363</v>
      </c>
      <c r="N415" s="28" t="inlineStr">
        <is>
          <t>2026-07-01 20:54:35</t>
        </is>
      </c>
      <c r="O415" s="28" t="n">
        <v>0</v>
      </c>
      <c r="P415" s="28" t="inlineStr"/>
      <c r="Q415" s="28" t="inlineStr"/>
      <c r="R415">
        <f>IFERROR(HYPERLINK("#'Main'!B"&amp;MATCH(TRIM(A415),'Main'!B:B,0),"Open"),HYPERLINK("#'Main'!B1","Open"))</f>
        <v/>
      </c>
      <c r="S415">
        <f>IFERROR(HYPERLINK("#'"&amp;SUBSTITUTE(F415,"'","''")&amp;"'!A"&amp;MATCH(A415,INDIRECT("'"&amp;SUBSTITUTE(F415,"'","''")&amp;"'!A:A"),0),"Open"),HYPERLINK("#'"&amp;SUBSTITUTE(F415,"'","''")&amp;"'!A1","Open"))</f>
        <v/>
      </c>
    </row>
    <row r="416" ht="18" customHeight="1">
      <c r="A416" s="37" t="inlineStr">
        <is>
          <t>https://africanmarketingconfederation.org/smoke-archive/page-75</t>
        </is>
      </c>
      <c r="B416" s="30" t="inlineStr">
        <is>
          <t>Issue Inventory</t>
        </is>
      </c>
      <c r="C416" s="80" t="inlineStr">
        <is>
          <t>Missing OG Image</t>
        </is>
      </c>
      <c r="D416" s="30" t="inlineStr">
        <is>
          <t>Warning</t>
        </is>
      </c>
      <c r="E416" s="31" t="n">
        <v>1</v>
      </c>
      <c r="F416" s="41" t="inlineStr">
        <is>
          <t>Technical Diagnostics</t>
        </is>
      </c>
      <c r="G416" s="30" t="inlineStr">
        <is>
          <t>https://africanmarketingconfederation.org/smoke-archive/page-75::missing_og_image</t>
        </is>
      </c>
      <c r="H416" s="30" t="inlineStr">
        <is>
          <t>Copy Writer</t>
        </is>
      </c>
      <c r="I416" s="30" t="inlineStr"/>
      <c r="J416" s="30" t="inlineStr">
        <is>
          <t>To Do</t>
        </is>
      </c>
      <c r="K416" s="31" t="inlineStr">
        <is>
          <t>https://africanmarketingconfederation.org/smoke-archive/page-75</t>
        </is>
      </c>
      <c r="L416" s="30" t="inlineStr">
        <is>
          <t>IssueInventory</t>
        </is>
      </c>
      <c r="M416" s="30" t="n">
        <v>364</v>
      </c>
      <c r="N416" s="30" t="inlineStr">
        <is>
          <t>2026-07-01 20:54:35</t>
        </is>
      </c>
      <c r="O416" s="30" t="n">
        <v>0</v>
      </c>
      <c r="P416" s="30" t="inlineStr"/>
      <c r="Q416" s="30" t="inlineStr"/>
      <c r="R416" s="38">
        <f>IFERROR(HYPERLINK("#'Main'!B"&amp;MATCH(TRIM(A416),'Main'!B:B,0),"Open"),HYPERLINK("#'Main'!B1","Open"))</f>
        <v/>
      </c>
      <c r="S416" s="38">
        <f>IFERROR(HYPERLINK("#'"&amp;SUBSTITUTE(F416,"'","''")&amp;"'!A"&amp;MATCH(A416,INDIRECT("'"&amp;SUBSTITUTE(F416,"'","''")&amp;"'!A:A"),0),"Open"),HYPERLINK("#'"&amp;SUBSTITUTE(F416,"'","''")&amp;"'!A1","Open"))</f>
        <v/>
      </c>
    </row>
    <row r="417" ht="18" customHeight="1">
      <c r="A417" s="35" t="inlineStr">
        <is>
          <t>https://africanmarketingconfederation.org/smoke-archive/page-75</t>
        </is>
      </c>
      <c r="B417" s="28" t="inlineStr">
        <is>
          <t>Issue Inventory</t>
        </is>
      </c>
      <c r="C417" s="79" t="inlineStr">
        <is>
          <t>Lab TBT 150ms–300ms (Mobile)</t>
        </is>
      </c>
      <c r="D417" s="28" t="inlineStr">
        <is>
          <t>Observation</t>
        </is>
      </c>
      <c r="E417" s="20" t="n">
        <v>1</v>
      </c>
      <c r="F417" s="39" t="inlineStr">
        <is>
          <t>Technical Diagnostics</t>
        </is>
      </c>
      <c r="G417" s="28" t="inlineStr">
        <is>
          <t>https://africanmarketingconfederation.org/smoke-archive/page-75::lab_tbt_150ms_300ms_mobile_</t>
        </is>
      </c>
      <c r="H417" s="28" t="inlineStr">
        <is>
          <t>Dev</t>
        </is>
      </c>
      <c r="I417" s="28" t="inlineStr"/>
      <c r="J417" s="28" t="inlineStr">
        <is>
          <t>To Do</t>
        </is>
      </c>
      <c r="K417" s="20" t="inlineStr">
        <is>
          <t>https://africanmarketingconfederation.org/smoke-archive/page-75</t>
        </is>
      </c>
      <c r="L417" s="28" t="inlineStr">
        <is>
          <t>IssueInventory</t>
        </is>
      </c>
      <c r="M417" s="28" t="n">
        <v>365</v>
      </c>
      <c r="N417" s="28" t="inlineStr">
        <is>
          <t>2026-07-01 20:54:35</t>
        </is>
      </c>
      <c r="O417" s="28" t="n">
        <v>0</v>
      </c>
      <c r="P417" s="28" t="inlineStr"/>
      <c r="Q417" s="28" t="inlineStr"/>
      <c r="R417">
        <f>IFERROR(HYPERLINK("#'Main'!B"&amp;MATCH(TRIM(A417),'Main'!B:B,0),"Open"),HYPERLINK("#'Main'!B1","Open"))</f>
        <v/>
      </c>
      <c r="S417">
        <f>IFERROR(HYPERLINK("#'"&amp;SUBSTITUTE(F417,"'","''")&amp;"'!A"&amp;MATCH(A417,INDIRECT("'"&amp;SUBSTITUTE(F417,"'","''")&amp;"'!A:A"),0),"Open"),HYPERLINK("#'"&amp;SUBSTITUTE(F417,"'","''")&amp;"'!A1","Open"))</f>
        <v/>
      </c>
    </row>
    <row r="418" ht="18" customHeight="1">
      <c r="A418" s="37" t="inlineStr">
        <is>
          <t>https://africanmarketingconfederation.org/smoke-archive/page-75</t>
        </is>
      </c>
      <c r="B418" s="30" t="inlineStr">
        <is>
          <t>Issue Inventory</t>
        </is>
      </c>
      <c r="C418" s="80" t="inlineStr">
        <is>
          <t>Moderate Lighthouse Performance Mobile (50–89)</t>
        </is>
      </c>
      <c r="D418" s="30" t="inlineStr">
        <is>
          <t>Observation</t>
        </is>
      </c>
      <c r="E418" s="31" t="n">
        <v>1</v>
      </c>
      <c r="F418" s="41" t="inlineStr">
        <is>
          <t>Technical Diagnostics</t>
        </is>
      </c>
      <c r="G418" s="30" t="inlineStr">
        <is>
          <t>https://africanmarketingconfederation.org/smoke-archive/page-75::moderate_lighthouse_performance_mobile_50_89_</t>
        </is>
      </c>
      <c r="H418" s="30" t="inlineStr">
        <is>
          <t>Dev</t>
        </is>
      </c>
      <c r="I418" s="30" t="inlineStr"/>
      <c r="J418" s="30" t="inlineStr">
        <is>
          <t>To Do</t>
        </is>
      </c>
      <c r="K418" s="31" t="inlineStr">
        <is>
          <t>https://africanmarketingconfederation.org/smoke-archive/page-75</t>
        </is>
      </c>
      <c r="L418" s="30" t="inlineStr">
        <is>
          <t>IssueInventory</t>
        </is>
      </c>
      <c r="M418" s="30" t="n">
        <v>366</v>
      </c>
      <c r="N418" s="30" t="inlineStr">
        <is>
          <t>2026-07-01 20:54:35</t>
        </is>
      </c>
      <c r="O418" s="30" t="n">
        <v>0</v>
      </c>
      <c r="P418" s="30" t="inlineStr"/>
      <c r="Q418" s="30" t="inlineStr"/>
      <c r="R418" s="38">
        <f>IFERROR(HYPERLINK("#'Main'!B"&amp;MATCH(TRIM(A418),'Main'!B:B,0),"Open"),HYPERLINK("#'Main'!B1","Open"))</f>
        <v/>
      </c>
      <c r="S418" s="38">
        <f>IFERROR(HYPERLINK("#'"&amp;SUBSTITUTE(F418,"'","''")&amp;"'!A"&amp;MATCH(A418,INDIRECT("'"&amp;SUBSTITUTE(F418,"'","''")&amp;"'!A:A"),0),"Open"),HYPERLINK("#'"&amp;SUBSTITUTE(F418,"'","''")&amp;"'!A1","Open"))</f>
        <v/>
      </c>
    </row>
    <row r="419" ht="18" customHeight="1">
      <c r="A419" s="35" t="inlineStr">
        <is>
          <t>https://africanmarketingconfederation.org/smoke-archive/page-75</t>
        </is>
      </c>
      <c r="B419" s="28" t="inlineStr">
        <is>
          <t>Issue Inventory</t>
        </is>
      </c>
      <c r="C419" s="79" t="inlineStr">
        <is>
          <t>Render Blocking Resources</t>
        </is>
      </c>
      <c r="D419" s="28" t="inlineStr">
        <is>
          <t>Observation</t>
        </is>
      </c>
      <c r="E419" s="20" t="n">
        <v>1</v>
      </c>
      <c r="F419" s="39" t="inlineStr">
        <is>
          <t>Technical Diagnostics</t>
        </is>
      </c>
      <c r="G419" s="28" t="inlineStr">
        <is>
          <t>https://africanmarketingconfederation.org/smoke-archive/page-75::render_blocking_resources</t>
        </is>
      </c>
      <c r="H419" s="28" t="inlineStr">
        <is>
          <t>Dev</t>
        </is>
      </c>
      <c r="I419" s="28" t="inlineStr"/>
      <c r="J419" s="28" t="inlineStr">
        <is>
          <t>To Do</t>
        </is>
      </c>
      <c r="K419" s="20" t="inlineStr">
        <is>
          <t>https://africanmarketingconfederation.org/smoke-archive/page-75</t>
        </is>
      </c>
      <c r="L419" s="28" t="inlineStr">
        <is>
          <t>IssueInventory</t>
        </is>
      </c>
      <c r="M419" s="28" t="n">
        <v>367</v>
      </c>
      <c r="N419" s="28" t="inlineStr">
        <is>
          <t>2026-07-01 20:54:35</t>
        </is>
      </c>
      <c r="O419" s="28" t="n">
        <v>0</v>
      </c>
      <c r="P419" s="28" t="inlineStr"/>
      <c r="Q419" s="28" t="inlineStr"/>
      <c r="R419">
        <f>IFERROR(HYPERLINK("#'Main'!B"&amp;MATCH(TRIM(A419),'Main'!B:B,0),"Open"),HYPERLINK("#'Main'!B1","Open"))</f>
        <v/>
      </c>
      <c r="S419">
        <f>IFERROR(HYPERLINK("#'"&amp;SUBSTITUTE(F419,"'","''")&amp;"'!A"&amp;MATCH(A419,INDIRECT("'"&amp;SUBSTITUTE(F419,"'","''")&amp;"'!A:A"),0),"Open"),HYPERLINK("#'"&amp;SUBSTITUTE(F419,"'","''")&amp;"'!A1","Open"))</f>
        <v/>
      </c>
    </row>
    <row r="420" ht="18" customHeight="1">
      <c r="A420" s="37" t="inlineStr">
        <is>
          <t>https://africanmarketingconfederation.org/smoke-archive/page-76</t>
        </is>
      </c>
      <c r="B420" s="30" t="inlineStr">
        <is>
          <t>Issue Inventory</t>
        </is>
      </c>
      <c r="C420" s="80" t="inlineStr">
        <is>
          <t>Lab TBT 150ms–300ms (Mobile)</t>
        </is>
      </c>
      <c r="D420" s="30" t="inlineStr">
        <is>
          <t>Observation</t>
        </is>
      </c>
      <c r="E420" s="31" t="n">
        <v>1</v>
      </c>
      <c r="F420" s="41" t="inlineStr">
        <is>
          <t>Technical Diagnostics</t>
        </is>
      </c>
      <c r="G420" s="30" t="inlineStr">
        <is>
          <t>https://africanmarketingconfederation.org/smoke-archive/page-76::lab_tbt_150ms_300ms_mobile_</t>
        </is>
      </c>
      <c r="H420" s="30" t="inlineStr">
        <is>
          <t>Dev</t>
        </is>
      </c>
      <c r="I420" s="30" t="inlineStr"/>
      <c r="J420" s="30" t="inlineStr">
        <is>
          <t>To Do</t>
        </is>
      </c>
      <c r="K420" s="31" t="inlineStr">
        <is>
          <t>https://africanmarketingconfederation.org/smoke-archive/page-76</t>
        </is>
      </c>
      <c r="L420" s="30" t="inlineStr">
        <is>
          <t>IssueInventory</t>
        </is>
      </c>
      <c r="M420" s="30" t="n">
        <v>368</v>
      </c>
      <c r="N420" s="30" t="inlineStr">
        <is>
          <t>2026-07-01 20:54:35</t>
        </is>
      </c>
      <c r="O420" s="30" t="n">
        <v>0</v>
      </c>
      <c r="P420" s="30" t="inlineStr"/>
      <c r="Q420" s="30" t="inlineStr"/>
      <c r="R420" s="38">
        <f>IFERROR(HYPERLINK("#'Main'!B"&amp;MATCH(TRIM(A420),'Main'!B:B,0),"Open"),HYPERLINK("#'Main'!B1","Open"))</f>
        <v/>
      </c>
      <c r="S420" s="38">
        <f>IFERROR(HYPERLINK("#'"&amp;SUBSTITUTE(F420,"'","''")&amp;"'!A"&amp;MATCH(A420,INDIRECT("'"&amp;SUBSTITUTE(F420,"'","''")&amp;"'!A:A"),0),"Open"),HYPERLINK("#'"&amp;SUBSTITUTE(F420,"'","''")&amp;"'!A1","Open"))</f>
        <v/>
      </c>
    </row>
    <row r="421" ht="18" customHeight="1">
      <c r="A421" s="35" t="inlineStr">
        <is>
          <t>https://africanmarketingconfederation.org/smoke-archive/page-76</t>
        </is>
      </c>
      <c r="B421" s="28" t="inlineStr">
        <is>
          <t>Issue Inventory</t>
        </is>
      </c>
      <c r="C421" s="79" t="inlineStr">
        <is>
          <t>Moderate Lighthouse Performance Mobile (50–89)</t>
        </is>
      </c>
      <c r="D421" s="28" t="inlineStr">
        <is>
          <t>Observation</t>
        </is>
      </c>
      <c r="E421" s="20" t="n">
        <v>1</v>
      </c>
      <c r="F421" s="39" t="inlineStr">
        <is>
          <t>Technical Diagnostics</t>
        </is>
      </c>
      <c r="G421" s="28" t="inlineStr">
        <is>
          <t>https://africanmarketingconfederation.org/smoke-archive/page-76::moderate_lighthouse_performance_mobile_50_89_</t>
        </is>
      </c>
      <c r="H421" s="28" t="inlineStr">
        <is>
          <t>Dev</t>
        </is>
      </c>
      <c r="I421" s="28" t="inlineStr"/>
      <c r="J421" s="28" t="inlineStr">
        <is>
          <t>To Do</t>
        </is>
      </c>
      <c r="K421" s="20" t="inlineStr">
        <is>
          <t>https://africanmarketingconfederation.org/smoke-archive/page-76</t>
        </is>
      </c>
      <c r="L421" s="28" t="inlineStr">
        <is>
          <t>IssueInventory</t>
        </is>
      </c>
      <c r="M421" s="28" t="n">
        <v>369</v>
      </c>
      <c r="N421" s="28" t="inlineStr">
        <is>
          <t>2026-07-01 20:54:35</t>
        </is>
      </c>
      <c r="O421" s="28" t="n">
        <v>0</v>
      </c>
      <c r="P421" s="28" t="inlineStr"/>
      <c r="Q421" s="28" t="inlineStr"/>
      <c r="R421">
        <f>IFERROR(HYPERLINK("#'Main'!B"&amp;MATCH(TRIM(A421),'Main'!B:B,0),"Open"),HYPERLINK("#'Main'!B1","Open"))</f>
        <v/>
      </c>
      <c r="S421">
        <f>IFERROR(HYPERLINK("#'"&amp;SUBSTITUTE(F421,"'","''")&amp;"'!A"&amp;MATCH(A421,INDIRECT("'"&amp;SUBSTITUTE(F421,"'","''")&amp;"'!A:A"),0),"Open"),HYPERLINK("#'"&amp;SUBSTITUTE(F421,"'","''")&amp;"'!A1","Open"))</f>
        <v/>
      </c>
    </row>
    <row r="422" ht="18" customHeight="1">
      <c r="A422" s="37" t="inlineStr">
        <is>
          <t>https://africanmarketingconfederation.org/smoke-archive/page-76</t>
        </is>
      </c>
      <c r="B422" s="30" t="inlineStr">
        <is>
          <t>Issue Inventory</t>
        </is>
      </c>
      <c r="C422" s="80" t="inlineStr">
        <is>
          <t>Render Blocking Resources</t>
        </is>
      </c>
      <c r="D422" s="30" t="inlineStr">
        <is>
          <t>Observation</t>
        </is>
      </c>
      <c r="E422" s="31" t="n">
        <v>1</v>
      </c>
      <c r="F422" s="41" t="inlineStr">
        <is>
          <t>Technical Diagnostics</t>
        </is>
      </c>
      <c r="G422" s="30" t="inlineStr">
        <is>
          <t>https://africanmarketingconfederation.org/smoke-archive/page-76::render_blocking_resources</t>
        </is>
      </c>
      <c r="H422" s="30" t="inlineStr">
        <is>
          <t>Dev</t>
        </is>
      </c>
      <c r="I422" s="30" t="inlineStr"/>
      <c r="J422" s="30" t="inlineStr">
        <is>
          <t>To Do</t>
        </is>
      </c>
      <c r="K422" s="31" t="inlineStr">
        <is>
          <t>https://africanmarketingconfederation.org/smoke-archive/page-76</t>
        </is>
      </c>
      <c r="L422" s="30" t="inlineStr">
        <is>
          <t>IssueInventory</t>
        </is>
      </c>
      <c r="M422" s="30" t="n">
        <v>370</v>
      </c>
      <c r="N422" s="30" t="inlineStr">
        <is>
          <t>2026-07-01 20:54:35</t>
        </is>
      </c>
      <c r="O422" s="30" t="n">
        <v>0</v>
      </c>
      <c r="P422" s="30" t="inlineStr"/>
      <c r="Q422" s="30" t="inlineStr"/>
      <c r="R422" s="38">
        <f>IFERROR(HYPERLINK("#'Main'!B"&amp;MATCH(TRIM(A422),'Main'!B:B,0),"Open"),HYPERLINK("#'Main'!B1","Open"))</f>
        <v/>
      </c>
      <c r="S422" s="38">
        <f>IFERROR(HYPERLINK("#'"&amp;SUBSTITUTE(F422,"'","''")&amp;"'!A"&amp;MATCH(A422,INDIRECT("'"&amp;SUBSTITUTE(F422,"'","''")&amp;"'!A:A"),0),"Open"),HYPERLINK("#'"&amp;SUBSTITUTE(F422,"'","''")&amp;"'!A1","Open"))</f>
        <v/>
      </c>
    </row>
    <row r="423" ht="18" customHeight="1">
      <c r="A423" s="35" t="inlineStr">
        <is>
          <t>https://africanmarketingconfederation.org/smoke-archive/page-77</t>
        </is>
      </c>
      <c r="B423" s="28" t="inlineStr">
        <is>
          <t>Issue Inventory</t>
        </is>
      </c>
      <c r="C423" s="79" t="inlineStr">
        <is>
          <t>Low E-E-A-T Signal Score (&lt;3)</t>
        </is>
      </c>
      <c r="D423" s="28" t="inlineStr">
        <is>
          <t>Warning</t>
        </is>
      </c>
      <c r="E423" s="20" t="n">
        <v>1</v>
      </c>
      <c r="F423" s="39" t="inlineStr">
        <is>
          <t>Technical Diagnostics</t>
        </is>
      </c>
      <c r="G423" s="28" t="inlineStr">
        <is>
          <t>https://africanmarketingconfederation.org/smoke-archive/page-77::low_e-e-a-t_signal_score_3_</t>
        </is>
      </c>
      <c r="H423" s="28" t="inlineStr">
        <is>
          <t>Copy Writer</t>
        </is>
      </c>
      <c r="I423" s="28" t="inlineStr"/>
      <c r="J423" s="28" t="inlineStr">
        <is>
          <t>To Do</t>
        </is>
      </c>
      <c r="K423" s="20" t="inlineStr">
        <is>
          <t>https://africanmarketingconfederation.org/smoke-archive/page-77</t>
        </is>
      </c>
      <c r="L423" s="28" t="inlineStr">
        <is>
          <t>IssueInventory</t>
        </is>
      </c>
      <c r="M423" s="28" t="n">
        <v>371</v>
      </c>
      <c r="N423" s="28" t="inlineStr">
        <is>
          <t>2026-07-01 20:54:35</t>
        </is>
      </c>
      <c r="O423" s="28" t="n">
        <v>0</v>
      </c>
      <c r="P423" s="28" t="inlineStr"/>
      <c r="Q423" s="28" t="inlineStr"/>
      <c r="R423">
        <f>IFERROR(HYPERLINK("#'Main'!B"&amp;MATCH(TRIM(A423),'Main'!B:B,0),"Open"),HYPERLINK("#'Main'!B1","Open"))</f>
        <v/>
      </c>
      <c r="S423">
        <f>IFERROR(HYPERLINK("#'"&amp;SUBSTITUTE(F423,"'","''")&amp;"'!A"&amp;MATCH(A423,INDIRECT("'"&amp;SUBSTITUTE(F423,"'","''")&amp;"'!A:A"),0),"Open"),HYPERLINK("#'"&amp;SUBSTITUTE(F423,"'","''")&amp;"'!A1","Open"))</f>
        <v/>
      </c>
    </row>
    <row r="424" ht="18" customHeight="1">
      <c r="A424" s="37" t="inlineStr">
        <is>
          <t>https://africanmarketingconfederation.org/smoke-archive/page-77</t>
        </is>
      </c>
      <c r="B424" s="30" t="inlineStr">
        <is>
          <t>Issue Inventory</t>
        </is>
      </c>
      <c r="C424" s="80" t="inlineStr">
        <is>
          <t>Missing OG Image</t>
        </is>
      </c>
      <c r="D424" s="30" t="inlineStr">
        <is>
          <t>Warning</t>
        </is>
      </c>
      <c r="E424" s="31" t="n">
        <v>1</v>
      </c>
      <c r="F424" s="41" t="inlineStr">
        <is>
          <t>Technical Diagnostics</t>
        </is>
      </c>
      <c r="G424" s="30" t="inlineStr">
        <is>
          <t>https://africanmarketingconfederation.org/smoke-archive/page-77::missing_og_image</t>
        </is>
      </c>
      <c r="H424" s="30" t="inlineStr">
        <is>
          <t>Copy Writer</t>
        </is>
      </c>
      <c r="I424" s="30" t="inlineStr"/>
      <c r="J424" s="30" t="inlineStr">
        <is>
          <t>To Do</t>
        </is>
      </c>
      <c r="K424" s="31" t="inlineStr">
        <is>
          <t>https://africanmarketingconfederation.org/smoke-archive/page-77</t>
        </is>
      </c>
      <c r="L424" s="30" t="inlineStr">
        <is>
          <t>IssueInventory</t>
        </is>
      </c>
      <c r="M424" s="30" t="n">
        <v>372</v>
      </c>
      <c r="N424" s="30" t="inlineStr">
        <is>
          <t>2026-07-01 20:54:35</t>
        </is>
      </c>
      <c r="O424" s="30" t="n">
        <v>0</v>
      </c>
      <c r="P424" s="30" t="inlineStr"/>
      <c r="Q424" s="30" t="inlineStr"/>
      <c r="R424" s="38">
        <f>IFERROR(HYPERLINK("#'Main'!B"&amp;MATCH(TRIM(A424),'Main'!B:B,0),"Open"),HYPERLINK("#'Main'!B1","Open"))</f>
        <v/>
      </c>
      <c r="S424" s="38">
        <f>IFERROR(HYPERLINK("#'"&amp;SUBSTITUTE(F424,"'","''")&amp;"'!A"&amp;MATCH(A424,INDIRECT("'"&amp;SUBSTITUTE(F424,"'","''")&amp;"'!A:A"),0),"Open"),HYPERLINK("#'"&amp;SUBSTITUTE(F424,"'","''")&amp;"'!A1","Open"))</f>
        <v/>
      </c>
    </row>
    <row r="425" ht="18" customHeight="1">
      <c r="A425" s="35" t="inlineStr">
        <is>
          <t>https://africanmarketingconfederation.org/smoke-archive/page-77</t>
        </is>
      </c>
      <c r="B425" s="28" t="inlineStr">
        <is>
          <t>Issue Inventory</t>
        </is>
      </c>
      <c r="C425" s="79" t="inlineStr">
        <is>
          <t>No Author Attribution</t>
        </is>
      </c>
      <c r="D425" s="28" t="inlineStr">
        <is>
          <t>Observation</t>
        </is>
      </c>
      <c r="E425" s="20" t="n">
        <v>1</v>
      </c>
      <c r="F425" s="39" t="inlineStr">
        <is>
          <t>Technical Diagnostics</t>
        </is>
      </c>
      <c r="G425" s="28" t="inlineStr">
        <is>
          <t>https://africanmarketingconfederation.org/smoke-archive/page-77::no_author_attribution</t>
        </is>
      </c>
      <c r="H425" s="28" t="inlineStr">
        <is>
          <t>Copy Writer</t>
        </is>
      </c>
      <c r="I425" s="28" t="inlineStr"/>
      <c r="J425" s="28" t="inlineStr">
        <is>
          <t>To Do</t>
        </is>
      </c>
      <c r="K425" s="20" t="inlineStr">
        <is>
          <t>https://africanmarketingconfederation.org/smoke-archive/page-77</t>
        </is>
      </c>
      <c r="L425" s="28" t="inlineStr">
        <is>
          <t>IssueInventory</t>
        </is>
      </c>
      <c r="M425" s="28" t="n">
        <v>373</v>
      </c>
      <c r="N425" s="28" t="inlineStr">
        <is>
          <t>2026-07-01 20:54:35</t>
        </is>
      </c>
      <c r="O425" s="28" t="n">
        <v>0</v>
      </c>
      <c r="P425" s="28" t="inlineStr"/>
      <c r="Q425" s="28" t="inlineStr"/>
      <c r="R425">
        <f>IFERROR(HYPERLINK("#'Main'!B"&amp;MATCH(TRIM(A425),'Main'!B:B,0),"Open"),HYPERLINK("#'Main'!B1","Open"))</f>
        <v/>
      </c>
      <c r="S425">
        <f>IFERROR(HYPERLINK("#'"&amp;SUBSTITUTE(F425,"'","''")&amp;"'!A"&amp;MATCH(A425,INDIRECT("'"&amp;SUBSTITUTE(F425,"'","''")&amp;"'!A:A"),0),"Open"),HYPERLINK("#'"&amp;SUBSTITUTE(F425,"'","''")&amp;"'!A1","Open"))</f>
        <v/>
      </c>
    </row>
    <row r="426" ht="18" customHeight="1">
      <c r="A426" s="37" t="inlineStr">
        <is>
          <t>https://africanmarketingconfederation.org/smoke-archive/page-77</t>
        </is>
      </c>
      <c r="B426" s="30" t="inlineStr">
        <is>
          <t>Issue Inventory</t>
        </is>
      </c>
      <c r="C426" s="80" t="inlineStr">
        <is>
          <t>Lab TBT 150ms–300ms (Mobile)</t>
        </is>
      </c>
      <c r="D426" s="30" t="inlineStr">
        <is>
          <t>Observation</t>
        </is>
      </c>
      <c r="E426" s="31" t="n">
        <v>1</v>
      </c>
      <c r="F426" s="41" t="inlineStr">
        <is>
          <t>Technical Diagnostics</t>
        </is>
      </c>
      <c r="G426" s="30" t="inlineStr">
        <is>
          <t>https://africanmarketingconfederation.org/smoke-archive/page-77::lab_tbt_150ms_300ms_mobile_</t>
        </is>
      </c>
      <c r="H426" s="30" t="inlineStr">
        <is>
          <t>Dev</t>
        </is>
      </c>
      <c r="I426" s="30" t="inlineStr"/>
      <c r="J426" s="30" t="inlineStr">
        <is>
          <t>To Do</t>
        </is>
      </c>
      <c r="K426" s="31" t="inlineStr">
        <is>
          <t>https://africanmarketingconfederation.org/smoke-archive/page-77</t>
        </is>
      </c>
      <c r="L426" s="30" t="inlineStr">
        <is>
          <t>IssueInventory</t>
        </is>
      </c>
      <c r="M426" s="30" t="n">
        <v>374</v>
      </c>
      <c r="N426" s="30" t="inlineStr">
        <is>
          <t>2026-07-01 20:54:35</t>
        </is>
      </c>
      <c r="O426" s="30" t="n">
        <v>0</v>
      </c>
      <c r="P426" s="30" t="inlineStr"/>
      <c r="Q426" s="30" t="inlineStr"/>
      <c r="R426" s="38">
        <f>IFERROR(HYPERLINK("#'Main'!B"&amp;MATCH(TRIM(A426),'Main'!B:B,0),"Open"),HYPERLINK("#'Main'!B1","Open"))</f>
        <v/>
      </c>
      <c r="S426" s="38">
        <f>IFERROR(HYPERLINK("#'"&amp;SUBSTITUTE(F426,"'","''")&amp;"'!A"&amp;MATCH(A426,INDIRECT("'"&amp;SUBSTITUTE(F426,"'","''")&amp;"'!A:A"),0),"Open"),HYPERLINK("#'"&amp;SUBSTITUTE(F426,"'","''")&amp;"'!A1","Open"))</f>
        <v/>
      </c>
    </row>
    <row r="427" ht="18" customHeight="1">
      <c r="A427" s="35" t="inlineStr">
        <is>
          <t>https://africanmarketingconfederation.org/smoke-archive/page-77</t>
        </is>
      </c>
      <c r="B427" s="28" t="inlineStr">
        <is>
          <t>Issue Inventory</t>
        </is>
      </c>
      <c r="C427" s="79" t="inlineStr">
        <is>
          <t>Moderate Lighthouse Performance Mobile (50–89)</t>
        </is>
      </c>
      <c r="D427" s="28" t="inlineStr">
        <is>
          <t>Observation</t>
        </is>
      </c>
      <c r="E427" s="20" t="n">
        <v>1</v>
      </c>
      <c r="F427" s="39" t="inlineStr">
        <is>
          <t>Technical Diagnostics</t>
        </is>
      </c>
      <c r="G427" s="28" t="inlineStr">
        <is>
          <t>https://africanmarketingconfederation.org/smoke-archive/page-77::moderate_lighthouse_performance_mobile_50_89_</t>
        </is>
      </c>
      <c r="H427" s="28" t="inlineStr">
        <is>
          <t>Dev</t>
        </is>
      </c>
      <c r="I427" s="28" t="inlineStr"/>
      <c r="J427" s="28" t="inlineStr">
        <is>
          <t>To Do</t>
        </is>
      </c>
      <c r="K427" s="20" t="inlineStr">
        <is>
          <t>https://africanmarketingconfederation.org/smoke-archive/page-77</t>
        </is>
      </c>
      <c r="L427" s="28" t="inlineStr">
        <is>
          <t>IssueInventory</t>
        </is>
      </c>
      <c r="M427" s="28" t="n">
        <v>375</v>
      </c>
      <c r="N427" s="28" t="inlineStr">
        <is>
          <t>2026-07-01 20:54:35</t>
        </is>
      </c>
      <c r="O427" s="28" t="n">
        <v>0</v>
      </c>
      <c r="P427" s="28" t="inlineStr"/>
      <c r="Q427" s="28" t="inlineStr"/>
      <c r="R427">
        <f>IFERROR(HYPERLINK("#'Main'!B"&amp;MATCH(TRIM(A427),'Main'!B:B,0),"Open"),HYPERLINK("#'Main'!B1","Open"))</f>
        <v/>
      </c>
      <c r="S427">
        <f>IFERROR(HYPERLINK("#'"&amp;SUBSTITUTE(F427,"'","''")&amp;"'!A"&amp;MATCH(A427,INDIRECT("'"&amp;SUBSTITUTE(F427,"'","''")&amp;"'!A:A"),0),"Open"),HYPERLINK("#'"&amp;SUBSTITUTE(F427,"'","''")&amp;"'!A1","Open"))</f>
        <v/>
      </c>
    </row>
    <row r="428" ht="18" customHeight="1">
      <c r="A428" s="37" t="inlineStr">
        <is>
          <t>https://africanmarketingconfederation.org/smoke-archive/page-77</t>
        </is>
      </c>
      <c r="B428" s="30" t="inlineStr">
        <is>
          <t>Issue Inventory</t>
        </is>
      </c>
      <c r="C428" s="80" t="inlineStr">
        <is>
          <t>Render Blocking Resources</t>
        </is>
      </c>
      <c r="D428" s="30" t="inlineStr">
        <is>
          <t>Observation</t>
        </is>
      </c>
      <c r="E428" s="31" t="n">
        <v>1</v>
      </c>
      <c r="F428" s="41" t="inlineStr">
        <is>
          <t>Technical Diagnostics</t>
        </is>
      </c>
      <c r="G428" s="30" t="inlineStr">
        <is>
          <t>https://africanmarketingconfederation.org/smoke-archive/page-77::render_blocking_resources</t>
        </is>
      </c>
      <c r="H428" s="30" t="inlineStr">
        <is>
          <t>Dev</t>
        </is>
      </c>
      <c r="I428" s="30" t="inlineStr"/>
      <c r="J428" s="30" t="inlineStr">
        <is>
          <t>To Do</t>
        </is>
      </c>
      <c r="K428" s="31" t="inlineStr">
        <is>
          <t>https://africanmarketingconfederation.org/smoke-archive/page-77</t>
        </is>
      </c>
      <c r="L428" s="30" t="inlineStr">
        <is>
          <t>IssueInventory</t>
        </is>
      </c>
      <c r="M428" s="30" t="n">
        <v>376</v>
      </c>
      <c r="N428" s="30" t="inlineStr">
        <is>
          <t>2026-07-01 20:54:35</t>
        </is>
      </c>
      <c r="O428" s="30" t="n">
        <v>0</v>
      </c>
      <c r="P428" s="30" t="inlineStr"/>
      <c r="Q428" s="30" t="inlineStr"/>
      <c r="R428" s="38">
        <f>IFERROR(HYPERLINK("#'Main'!B"&amp;MATCH(TRIM(A428),'Main'!B:B,0),"Open"),HYPERLINK("#'Main'!B1","Open"))</f>
        <v/>
      </c>
      <c r="S428" s="38">
        <f>IFERROR(HYPERLINK("#'"&amp;SUBSTITUTE(F428,"'","''")&amp;"'!A"&amp;MATCH(A428,INDIRECT("'"&amp;SUBSTITUTE(F428,"'","''")&amp;"'!A:A"),0),"Open"),HYPERLINK("#'"&amp;SUBSTITUTE(F428,"'","''")&amp;"'!A1","Open"))</f>
        <v/>
      </c>
    </row>
    <row r="429" ht="18" customHeight="1">
      <c r="A429" s="35" t="inlineStr">
        <is>
          <t>https://africanmarketingconfederation.org/smoke-archive/page-78</t>
        </is>
      </c>
      <c r="B429" s="28" t="inlineStr">
        <is>
          <t>Issue Inventory</t>
        </is>
      </c>
      <c r="C429" s="79" t="inlineStr">
        <is>
          <t>Non-200 Status</t>
        </is>
      </c>
      <c r="D429" s="28" t="inlineStr">
        <is>
          <t>Critical</t>
        </is>
      </c>
      <c r="E429" s="20" t="n">
        <v>1</v>
      </c>
      <c r="F429" s="39" t="inlineStr">
        <is>
          <t>Technical Diagnostics</t>
        </is>
      </c>
      <c r="G429" s="28" t="inlineStr">
        <is>
          <t>https://africanmarketingconfederation.org/smoke-archive/page-78::non-200_status</t>
        </is>
      </c>
      <c r="H429" s="28" t="inlineStr">
        <is>
          <t>Server/Host</t>
        </is>
      </c>
      <c r="I429" s="28" t="inlineStr"/>
      <c r="J429" s="28" t="inlineStr">
        <is>
          <t>To Do</t>
        </is>
      </c>
      <c r="K429" s="20" t="inlineStr">
        <is>
          <t>https://africanmarketingconfederation.org/smoke-archive/page-78</t>
        </is>
      </c>
      <c r="L429" s="28" t="inlineStr">
        <is>
          <t>IssueInventory</t>
        </is>
      </c>
      <c r="M429" s="28" t="n">
        <v>377</v>
      </c>
      <c r="N429" s="28" t="inlineStr">
        <is>
          <t>2026-07-01 20:54:35</t>
        </is>
      </c>
      <c r="O429" s="28" t="n">
        <v>0</v>
      </c>
      <c r="P429" s="28" t="inlineStr"/>
      <c r="Q429" s="28" t="inlineStr"/>
      <c r="R429">
        <f>IFERROR(HYPERLINK("#'Main'!B"&amp;MATCH(TRIM(A429),'Main'!B:B,0),"Open"),HYPERLINK("#'Main'!B1","Open"))</f>
        <v/>
      </c>
      <c r="S429">
        <f>IFERROR(HYPERLINK("#'"&amp;SUBSTITUTE(F429,"'","''")&amp;"'!A"&amp;MATCH(A429,INDIRECT("'"&amp;SUBSTITUTE(F429,"'","''")&amp;"'!A:A"),0),"Open"),HYPERLINK("#'"&amp;SUBSTITUTE(F429,"'","''")&amp;"'!A1","Open"))</f>
        <v/>
      </c>
    </row>
    <row r="430" ht="18" customHeight="1">
      <c r="A430" s="37" t="inlineStr">
        <is>
          <t>https://africanmarketingconfederation.org/smoke-archive/page-79</t>
        </is>
      </c>
      <c r="B430" s="30" t="inlineStr">
        <is>
          <t>Issue Inventory</t>
        </is>
      </c>
      <c r="C430" s="80" t="inlineStr">
        <is>
          <t>Missing OG Image</t>
        </is>
      </c>
      <c r="D430" s="30" t="inlineStr">
        <is>
          <t>Warning</t>
        </is>
      </c>
      <c r="E430" s="31" t="n">
        <v>1</v>
      </c>
      <c r="F430" s="41" t="inlineStr">
        <is>
          <t>Technical Diagnostics</t>
        </is>
      </c>
      <c r="G430" s="30" t="inlineStr">
        <is>
          <t>https://africanmarketingconfederation.org/smoke-archive/page-79::missing_og_image</t>
        </is>
      </c>
      <c r="H430" s="30" t="inlineStr">
        <is>
          <t>Copy Writer</t>
        </is>
      </c>
      <c r="I430" s="30" t="inlineStr"/>
      <c r="J430" s="30" t="inlineStr">
        <is>
          <t>To Do</t>
        </is>
      </c>
      <c r="K430" s="31" t="inlineStr">
        <is>
          <t>https://africanmarketingconfederation.org/smoke-archive/page-79</t>
        </is>
      </c>
      <c r="L430" s="30" t="inlineStr">
        <is>
          <t>IssueInventory</t>
        </is>
      </c>
      <c r="M430" s="30" t="n">
        <v>378</v>
      </c>
      <c r="N430" s="30" t="inlineStr">
        <is>
          <t>2026-07-01 20:54:35</t>
        </is>
      </c>
      <c r="O430" s="30" t="n">
        <v>0</v>
      </c>
      <c r="P430" s="30" t="inlineStr"/>
      <c r="Q430" s="30" t="inlineStr"/>
      <c r="R430" s="38">
        <f>IFERROR(HYPERLINK("#'Main'!B"&amp;MATCH(TRIM(A430),'Main'!B:B,0),"Open"),HYPERLINK("#'Main'!B1","Open"))</f>
        <v/>
      </c>
      <c r="S430" s="38">
        <f>IFERROR(HYPERLINK("#'"&amp;SUBSTITUTE(F430,"'","''")&amp;"'!A"&amp;MATCH(A430,INDIRECT("'"&amp;SUBSTITUTE(F430,"'","''")&amp;"'!A:A"),0),"Open"),HYPERLINK("#'"&amp;SUBSTITUTE(F430,"'","''")&amp;"'!A1","Open"))</f>
        <v/>
      </c>
    </row>
    <row r="431" ht="18" customHeight="1">
      <c r="A431" s="35" t="inlineStr">
        <is>
          <t>https://africanmarketingconfederation.org/smoke-archive/page-79</t>
        </is>
      </c>
      <c r="B431" s="28" t="inlineStr">
        <is>
          <t>Issue Inventory</t>
        </is>
      </c>
      <c r="C431" s="79" t="inlineStr">
        <is>
          <t>Lab TBT 150ms–300ms (Mobile)</t>
        </is>
      </c>
      <c r="D431" s="28" t="inlineStr">
        <is>
          <t>Observation</t>
        </is>
      </c>
      <c r="E431" s="20" t="n">
        <v>1</v>
      </c>
      <c r="F431" s="39" t="inlineStr">
        <is>
          <t>Technical Diagnostics</t>
        </is>
      </c>
      <c r="G431" s="28" t="inlineStr">
        <is>
          <t>https://africanmarketingconfederation.org/smoke-archive/page-79::lab_tbt_150ms_300ms_mobile_</t>
        </is>
      </c>
      <c r="H431" s="28" t="inlineStr">
        <is>
          <t>Dev</t>
        </is>
      </c>
      <c r="I431" s="28" t="inlineStr"/>
      <c r="J431" s="28" t="inlineStr">
        <is>
          <t>To Do</t>
        </is>
      </c>
      <c r="K431" s="20" t="inlineStr">
        <is>
          <t>https://africanmarketingconfederation.org/smoke-archive/page-79</t>
        </is>
      </c>
      <c r="L431" s="28" t="inlineStr">
        <is>
          <t>IssueInventory</t>
        </is>
      </c>
      <c r="M431" s="28" t="n">
        <v>379</v>
      </c>
      <c r="N431" s="28" t="inlineStr">
        <is>
          <t>2026-07-01 20:54:35</t>
        </is>
      </c>
      <c r="O431" s="28" t="n">
        <v>0</v>
      </c>
      <c r="P431" s="28" t="inlineStr"/>
      <c r="Q431" s="28" t="inlineStr"/>
      <c r="R431">
        <f>IFERROR(HYPERLINK("#'Main'!B"&amp;MATCH(TRIM(A431),'Main'!B:B,0),"Open"),HYPERLINK("#'Main'!B1","Open"))</f>
        <v/>
      </c>
      <c r="S431">
        <f>IFERROR(HYPERLINK("#'"&amp;SUBSTITUTE(F431,"'","''")&amp;"'!A"&amp;MATCH(A431,INDIRECT("'"&amp;SUBSTITUTE(F431,"'","''")&amp;"'!A:A"),0),"Open"),HYPERLINK("#'"&amp;SUBSTITUTE(F431,"'","''")&amp;"'!A1","Open"))</f>
        <v/>
      </c>
    </row>
    <row r="432" ht="18" customHeight="1">
      <c r="A432" s="37" t="inlineStr">
        <is>
          <t>https://africanmarketingconfederation.org/smoke-archive/page-79</t>
        </is>
      </c>
      <c r="B432" s="30" t="inlineStr">
        <is>
          <t>Issue Inventory</t>
        </is>
      </c>
      <c r="C432" s="80" t="inlineStr">
        <is>
          <t>Moderate Lighthouse Performance Mobile (50–89)</t>
        </is>
      </c>
      <c r="D432" s="30" t="inlineStr">
        <is>
          <t>Observation</t>
        </is>
      </c>
      <c r="E432" s="31" t="n">
        <v>1</v>
      </c>
      <c r="F432" s="41" t="inlineStr">
        <is>
          <t>Technical Diagnostics</t>
        </is>
      </c>
      <c r="G432" s="30" t="inlineStr">
        <is>
          <t>https://africanmarketingconfederation.org/smoke-archive/page-79::moderate_lighthouse_performance_mobile_50_89_</t>
        </is>
      </c>
      <c r="H432" s="30" t="inlineStr">
        <is>
          <t>Dev</t>
        </is>
      </c>
      <c r="I432" s="30" t="inlineStr"/>
      <c r="J432" s="30" t="inlineStr">
        <is>
          <t>To Do</t>
        </is>
      </c>
      <c r="K432" s="31" t="inlineStr">
        <is>
          <t>https://africanmarketingconfederation.org/smoke-archive/page-79</t>
        </is>
      </c>
      <c r="L432" s="30" t="inlineStr">
        <is>
          <t>IssueInventory</t>
        </is>
      </c>
      <c r="M432" s="30" t="n">
        <v>380</v>
      </c>
      <c r="N432" s="30" t="inlineStr">
        <is>
          <t>2026-07-01 20:54:35</t>
        </is>
      </c>
      <c r="O432" s="30" t="n">
        <v>0</v>
      </c>
      <c r="P432" s="30" t="inlineStr"/>
      <c r="Q432" s="30" t="inlineStr"/>
      <c r="R432" s="38">
        <f>IFERROR(HYPERLINK("#'Main'!B"&amp;MATCH(TRIM(A432),'Main'!B:B,0),"Open"),HYPERLINK("#'Main'!B1","Open"))</f>
        <v/>
      </c>
      <c r="S432" s="38">
        <f>IFERROR(HYPERLINK("#'"&amp;SUBSTITUTE(F432,"'","''")&amp;"'!A"&amp;MATCH(A432,INDIRECT("'"&amp;SUBSTITUTE(F432,"'","''")&amp;"'!A:A"),0),"Open"),HYPERLINK("#'"&amp;SUBSTITUTE(F432,"'","''")&amp;"'!A1","Open"))</f>
        <v/>
      </c>
    </row>
    <row r="433" ht="18" customHeight="1">
      <c r="A433" s="35" t="inlineStr">
        <is>
          <t>https://africanmarketingconfederation.org/smoke-archive/page-79</t>
        </is>
      </c>
      <c r="B433" s="28" t="inlineStr">
        <is>
          <t>Issue Inventory</t>
        </is>
      </c>
      <c r="C433" s="79" t="inlineStr">
        <is>
          <t>Render Blocking Resources</t>
        </is>
      </c>
      <c r="D433" s="28" t="inlineStr">
        <is>
          <t>Observation</t>
        </is>
      </c>
      <c r="E433" s="20" t="n">
        <v>1</v>
      </c>
      <c r="F433" s="39" t="inlineStr">
        <is>
          <t>Technical Diagnostics</t>
        </is>
      </c>
      <c r="G433" s="28" t="inlineStr">
        <is>
          <t>https://africanmarketingconfederation.org/smoke-archive/page-79::render_blocking_resources</t>
        </is>
      </c>
      <c r="H433" s="28" t="inlineStr">
        <is>
          <t>Dev</t>
        </is>
      </c>
      <c r="I433" s="28" t="inlineStr"/>
      <c r="J433" s="28" t="inlineStr">
        <is>
          <t>To Do</t>
        </is>
      </c>
      <c r="K433" s="20" t="inlineStr">
        <is>
          <t>https://africanmarketingconfederation.org/smoke-archive/page-79</t>
        </is>
      </c>
      <c r="L433" s="28" t="inlineStr">
        <is>
          <t>IssueInventory</t>
        </is>
      </c>
      <c r="M433" s="28" t="n">
        <v>381</v>
      </c>
      <c r="N433" s="28" t="inlineStr">
        <is>
          <t>2026-07-01 20:54:35</t>
        </is>
      </c>
      <c r="O433" s="28" t="n">
        <v>0</v>
      </c>
      <c r="P433" s="28" t="inlineStr"/>
      <c r="Q433" s="28" t="inlineStr"/>
      <c r="R433">
        <f>IFERROR(HYPERLINK("#'Main'!B"&amp;MATCH(TRIM(A433),'Main'!B:B,0),"Open"),HYPERLINK("#'Main'!B1","Open"))</f>
        <v/>
      </c>
      <c r="S433">
        <f>IFERROR(HYPERLINK("#'"&amp;SUBSTITUTE(F433,"'","''")&amp;"'!A"&amp;MATCH(A433,INDIRECT("'"&amp;SUBSTITUTE(F433,"'","''")&amp;"'!A:A"),0),"Open"),HYPERLINK("#'"&amp;SUBSTITUTE(F433,"'","''")&amp;"'!A1","Open"))</f>
        <v/>
      </c>
    </row>
    <row r="434" ht="18" customHeight="1">
      <c r="A434" s="37" t="inlineStr">
        <is>
          <t>https://africanmarketingconfederation.org/discovered-via-bfs-1</t>
        </is>
      </c>
      <c r="B434" s="30" t="inlineStr">
        <is>
          <t>Issue Inventory</t>
        </is>
      </c>
      <c r="C434" s="80" t="inlineStr">
        <is>
          <t>Missing OG Image</t>
        </is>
      </c>
      <c r="D434" s="30" t="inlineStr">
        <is>
          <t>Warning</t>
        </is>
      </c>
      <c r="E434" s="31" t="n">
        <v>1</v>
      </c>
      <c r="F434" s="41" t="inlineStr">
        <is>
          <t>Technical Diagnostics</t>
        </is>
      </c>
      <c r="G434" s="30" t="inlineStr">
        <is>
          <t>https://africanmarketingconfederation.org/discovered-via-bfs-1::missing_og_image</t>
        </is>
      </c>
      <c r="H434" s="30" t="inlineStr">
        <is>
          <t>Copy Writer</t>
        </is>
      </c>
      <c r="I434" s="30" t="inlineStr"/>
      <c r="J434" s="30" t="inlineStr">
        <is>
          <t>To Do</t>
        </is>
      </c>
      <c r="K434" s="31" t="inlineStr">
        <is>
          <t>https://africanmarketingconfederation.org/discovered-via-bfs-1</t>
        </is>
      </c>
      <c r="L434" s="30" t="inlineStr">
        <is>
          <t>IssueInventory</t>
        </is>
      </c>
      <c r="M434" s="30" t="n">
        <v>382</v>
      </c>
      <c r="N434" s="30" t="inlineStr">
        <is>
          <t>2026-07-01 20:54:35</t>
        </is>
      </c>
      <c r="O434" s="30" t="n">
        <v>0</v>
      </c>
      <c r="P434" s="30" t="inlineStr"/>
      <c r="Q434" s="30" t="inlineStr"/>
      <c r="R434" s="38">
        <f>IFERROR(HYPERLINK("#'Main'!B"&amp;MATCH(TRIM(A434),'Main'!B:B,0),"Open"),HYPERLINK("#'Main'!B1","Open"))</f>
        <v/>
      </c>
      <c r="S434" s="38">
        <f>IFERROR(HYPERLINK("#'"&amp;SUBSTITUTE(F434,"'","''")&amp;"'!A"&amp;MATCH(A434,INDIRECT("'"&amp;SUBSTITUTE(F434,"'","''")&amp;"'!A:A"),0),"Open"),HYPERLINK("#'"&amp;SUBSTITUTE(F434,"'","''")&amp;"'!A1","Open"))</f>
        <v/>
      </c>
    </row>
    <row r="435" ht="18" customHeight="1">
      <c r="A435" s="35" t="inlineStr">
        <is>
          <t>https://africanmarketingconfederation.org/discovered-via-bfs-1</t>
        </is>
      </c>
      <c r="B435" s="28" t="inlineStr">
        <is>
          <t>Issue Inventory</t>
        </is>
      </c>
      <c r="C435" s="79" t="inlineStr">
        <is>
          <t>Low AEO Readiness Score</t>
        </is>
      </c>
      <c r="D435" s="28" t="inlineStr">
        <is>
          <t>Warning</t>
        </is>
      </c>
      <c r="E435" s="20" t="n">
        <v>1</v>
      </c>
      <c r="F435" s="39" t="inlineStr">
        <is>
          <t>Content &amp; AI Readiness</t>
        </is>
      </c>
      <c r="G435" s="28" t="inlineStr">
        <is>
          <t>https://africanmarketingconfederation.org/discovered-via-bfs-1::low_aeo_readiness_score</t>
        </is>
      </c>
      <c r="H435" s="28" t="inlineStr">
        <is>
          <t>Copy Writer</t>
        </is>
      </c>
      <c r="I435" s="28" t="inlineStr"/>
      <c r="J435" s="28" t="inlineStr">
        <is>
          <t>To Do</t>
        </is>
      </c>
      <c r="K435" s="20" t="inlineStr">
        <is>
          <t>https://africanmarketingconfederation.org/discovered-via-bfs-1</t>
        </is>
      </c>
      <c r="L435" s="28" t="inlineStr">
        <is>
          <t>IssueInventory</t>
        </is>
      </c>
      <c r="M435" s="28" t="n">
        <v>383</v>
      </c>
      <c r="N435" s="28" t="inlineStr">
        <is>
          <t>2026-07-01 20:54:35</t>
        </is>
      </c>
      <c r="O435" s="28" t="n">
        <v>0</v>
      </c>
      <c r="P435" s="28" t="inlineStr"/>
      <c r="Q435" s="28" t="inlineStr"/>
      <c r="R435">
        <f>IFERROR(HYPERLINK("#'Main'!B"&amp;MATCH(TRIM(A435),'Main'!B:B,0),"Open"),HYPERLINK("#'Main'!B1","Open"))</f>
        <v/>
      </c>
      <c r="S435">
        <f>IFERROR(HYPERLINK("#'"&amp;SUBSTITUTE(F435,"'","''")&amp;"'!A"&amp;MATCH(A435,INDIRECT("'"&amp;SUBSTITUTE(F435,"'","''")&amp;"'!A:A"),0),"Open"),HYPERLINK("#'"&amp;SUBSTITUTE(F435,"'","''")&amp;"'!A1","Open"))</f>
        <v/>
      </c>
    </row>
    <row r="436" ht="18" customHeight="1">
      <c r="A436" s="37" t="inlineStr">
        <is>
          <t>https://africanmarketingconfederation.org/discovered-via-bfs-1</t>
        </is>
      </c>
      <c r="B436" s="30" t="inlineStr">
        <is>
          <t>Issue Inventory</t>
        </is>
      </c>
      <c r="C436" s="80" t="inlineStr">
        <is>
          <t>No Question Headings</t>
        </is>
      </c>
      <c r="D436" s="30" t="inlineStr">
        <is>
          <t>Observation</t>
        </is>
      </c>
      <c r="E436" s="31" t="n">
        <v>1</v>
      </c>
      <c r="F436" s="41" t="inlineStr">
        <is>
          <t>Content &amp; AI Readiness</t>
        </is>
      </c>
      <c r="G436" s="30" t="inlineStr">
        <is>
          <t>https://africanmarketingconfederation.org/discovered-via-bfs-1::no_question_headings</t>
        </is>
      </c>
      <c r="H436" s="30" t="inlineStr">
        <is>
          <t>Copy Writer</t>
        </is>
      </c>
      <c r="I436" s="30" t="inlineStr"/>
      <c r="J436" s="30" t="inlineStr">
        <is>
          <t>To Do</t>
        </is>
      </c>
      <c r="K436" s="31" t="inlineStr">
        <is>
          <t>https://africanmarketingconfederation.org/discovered-via-bfs-1</t>
        </is>
      </c>
      <c r="L436" s="30" t="inlineStr">
        <is>
          <t>IssueInventory</t>
        </is>
      </c>
      <c r="M436" s="30" t="n">
        <v>384</v>
      </c>
      <c r="N436" s="30" t="inlineStr">
        <is>
          <t>2026-07-01 20:54:35</t>
        </is>
      </c>
      <c r="O436" s="30" t="n">
        <v>0</v>
      </c>
      <c r="P436" s="30" t="inlineStr"/>
      <c r="Q436" s="30" t="inlineStr"/>
      <c r="R436" s="38">
        <f>IFERROR(HYPERLINK("#'Main'!B"&amp;MATCH(TRIM(A436),'Main'!B:B,0),"Open"),HYPERLINK("#'Main'!B1","Open"))</f>
        <v/>
      </c>
      <c r="S436" s="38">
        <f>IFERROR(HYPERLINK("#'"&amp;SUBSTITUTE(F436,"'","''")&amp;"'!A"&amp;MATCH(A436,INDIRECT("'"&amp;SUBSTITUTE(F436,"'","''")&amp;"'!A:A"),0),"Open"),HYPERLINK("#'"&amp;SUBSTITUTE(F436,"'","''")&amp;"'!A1","Open"))</f>
        <v/>
      </c>
    </row>
    <row r="437" ht="18" customHeight="1">
      <c r="A437" s="35" t="inlineStr">
        <is>
          <t>https://africanmarketingconfederation.org/discovered-via-bfs-1</t>
        </is>
      </c>
      <c r="B437" s="28" t="inlineStr">
        <is>
          <t>Issue Inventory</t>
        </is>
      </c>
      <c r="C437" s="79" t="inlineStr">
        <is>
          <t>No Answer-Friendly Structure</t>
        </is>
      </c>
      <c r="D437" s="28" t="inlineStr">
        <is>
          <t>Observation</t>
        </is>
      </c>
      <c r="E437" s="20" t="n">
        <v>1</v>
      </c>
      <c r="F437" s="39" t="inlineStr">
        <is>
          <t>Technical Diagnostics</t>
        </is>
      </c>
      <c r="G437" s="28" t="inlineStr">
        <is>
          <t>https://africanmarketingconfederation.org/discovered-via-bfs-1::no_answer-friendly_structure</t>
        </is>
      </c>
      <c r="H437" s="28" t="inlineStr">
        <is>
          <t>Copy Writer</t>
        </is>
      </c>
      <c r="I437" s="28" t="inlineStr"/>
      <c r="J437" s="28" t="inlineStr">
        <is>
          <t>To Do</t>
        </is>
      </c>
      <c r="K437" s="20" t="inlineStr">
        <is>
          <t>https://africanmarketingconfederation.org/discovered-via-bfs-1</t>
        </is>
      </c>
      <c r="L437" s="28" t="inlineStr">
        <is>
          <t>IssueInventory</t>
        </is>
      </c>
      <c r="M437" s="28" t="n">
        <v>385</v>
      </c>
      <c r="N437" s="28" t="inlineStr">
        <is>
          <t>2026-07-01 20:54:35</t>
        </is>
      </c>
      <c r="O437" s="28" t="n">
        <v>0</v>
      </c>
      <c r="P437" s="28" t="inlineStr"/>
      <c r="Q437" s="28" t="inlineStr"/>
      <c r="R437">
        <f>IFERROR(HYPERLINK("#'Main'!B"&amp;MATCH(TRIM(A437),'Main'!B:B,0),"Open"),HYPERLINK("#'Main'!B1","Open"))</f>
        <v/>
      </c>
      <c r="S437">
        <f>IFERROR(HYPERLINK("#'"&amp;SUBSTITUTE(F437,"'","''")&amp;"'!A"&amp;MATCH(A437,INDIRECT("'"&amp;SUBSTITUTE(F437,"'","''")&amp;"'!A:A"),0),"Open"),HYPERLINK("#'"&amp;SUBSTITUTE(F437,"'","''")&amp;"'!A1","Open"))</f>
        <v/>
      </c>
    </row>
    <row r="438" ht="18" customHeight="1">
      <c r="A438" s="37" t="inlineStr">
        <is>
          <t>https://africanmarketingconfederation.org/discovered-via-bfs-1</t>
        </is>
      </c>
      <c r="B438" s="30" t="inlineStr">
        <is>
          <t>Issue Inventory</t>
        </is>
      </c>
      <c r="C438" s="80" t="inlineStr">
        <is>
          <t>No 40-60 Word Answer Paragraphs</t>
        </is>
      </c>
      <c r="D438" s="30" t="inlineStr">
        <is>
          <t>Observation</t>
        </is>
      </c>
      <c r="E438" s="31" t="n">
        <v>1</v>
      </c>
      <c r="F438" s="41" t="inlineStr">
        <is>
          <t>Technical Diagnostics</t>
        </is>
      </c>
      <c r="G438" s="30" t="inlineStr">
        <is>
          <t>https://africanmarketingconfederation.org/discovered-via-bfs-1::no_40-60_word_answer_paragraphs</t>
        </is>
      </c>
      <c r="H438" s="30" t="inlineStr">
        <is>
          <t>Copy Writer</t>
        </is>
      </c>
      <c r="I438" s="30" t="inlineStr"/>
      <c r="J438" s="30" t="inlineStr">
        <is>
          <t>To Do</t>
        </is>
      </c>
      <c r="K438" s="31" t="inlineStr">
        <is>
          <t>https://africanmarketingconfederation.org/discovered-via-bfs-1</t>
        </is>
      </c>
      <c r="L438" s="30" t="inlineStr">
        <is>
          <t>IssueInventory</t>
        </is>
      </c>
      <c r="M438" s="30" t="n">
        <v>386</v>
      </c>
      <c r="N438" s="30" t="inlineStr">
        <is>
          <t>2026-07-01 20:54:35</t>
        </is>
      </c>
      <c r="O438" s="30" t="n">
        <v>0</v>
      </c>
      <c r="P438" s="30" t="inlineStr"/>
      <c r="Q438" s="30" t="inlineStr"/>
      <c r="R438" s="38">
        <f>IFERROR(HYPERLINK("#'Main'!B"&amp;MATCH(TRIM(A438),'Main'!B:B,0),"Open"),HYPERLINK("#'Main'!B1","Open"))</f>
        <v/>
      </c>
      <c r="S438" s="38">
        <f>IFERROR(HYPERLINK("#'"&amp;SUBSTITUTE(F438,"'","''")&amp;"'!A"&amp;MATCH(A438,INDIRECT("'"&amp;SUBSTITUTE(F438,"'","''")&amp;"'!A:A"),0),"Open"),HYPERLINK("#'"&amp;SUBSTITUTE(F438,"'","''")&amp;"'!A1","Open"))</f>
        <v/>
      </c>
    </row>
    <row r="439" ht="18" customHeight="1">
      <c r="A439" s="35" t="inlineStr">
        <is>
          <t>https://africanmarketingconfederation.org/discovered-via-bfs-1</t>
        </is>
      </c>
      <c r="B439" s="28" t="inlineStr">
        <is>
          <t>Issue Inventory</t>
        </is>
      </c>
      <c r="C439" s="79" t="inlineStr">
        <is>
          <t>Lab TBT 150ms–300ms (Mobile)</t>
        </is>
      </c>
      <c r="D439" s="28" t="inlineStr">
        <is>
          <t>Observation</t>
        </is>
      </c>
      <c r="E439" s="20" t="n">
        <v>1</v>
      </c>
      <c r="F439" s="39" t="inlineStr">
        <is>
          <t>Technical Diagnostics</t>
        </is>
      </c>
      <c r="G439" s="28" t="inlineStr">
        <is>
          <t>https://africanmarketingconfederation.org/discovered-via-bfs-1::lab_tbt_150ms_300ms_mobile_</t>
        </is>
      </c>
      <c r="H439" s="28" t="inlineStr">
        <is>
          <t>Dev</t>
        </is>
      </c>
      <c r="I439" s="28" t="inlineStr"/>
      <c r="J439" s="28" t="inlineStr">
        <is>
          <t>To Do</t>
        </is>
      </c>
      <c r="K439" s="20" t="inlineStr">
        <is>
          <t>https://africanmarketingconfederation.org/discovered-via-bfs-1</t>
        </is>
      </c>
      <c r="L439" s="28" t="inlineStr">
        <is>
          <t>IssueInventory</t>
        </is>
      </c>
      <c r="M439" s="28" t="n">
        <v>387</v>
      </c>
      <c r="N439" s="28" t="inlineStr">
        <is>
          <t>2026-07-01 20:54:35</t>
        </is>
      </c>
      <c r="O439" s="28" t="n">
        <v>0</v>
      </c>
      <c r="P439" s="28" t="inlineStr"/>
      <c r="Q439" s="28" t="inlineStr"/>
      <c r="R439">
        <f>IFERROR(HYPERLINK("#'Main'!B"&amp;MATCH(TRIM(A439),'Main'!B:B,0),"Open"),HYPERLINK("#'Main'!B1","Open"))</f>
        <v/>
      </c>
      <c r="S439">
        <f>IFERROR(HYPERLINK("#'"&amp;SUBSTITUTE(F439,"'","''")&amp;"'!A"&amp;MATCH(A439,INDIRECT("'"&amp;SUBSTITUTE(F439,"'","''")&amp;"'!A:A"),0),"Open"),HYPERLINK("#'"&amp;SUBSTITUTE(F439,"'","''")&amp;"'!A1","Open"))</f>
        <v/>
      </c>
    </row>
    <row r="440" ht="18" customHeight="1">
      <c r="A440" s="37" t="inlineStr">
        <is>
          <t>https://africanmarketingconfederation.org/discovered-via-bfs-1</t>
        </is>
      </c>
      <c r="B440" s="30" t="inlineStr">
        <is>
          <t>Issue Inventory</t>
        </is>
      </c>
      <c r="C440" s="80" t="inlineStr">
        <is>
          <t>Moderate Lighthouse Performance Mobile (50–89)</t>
        </is>
      </c>
      <c r="D440" s="30" t="inlineStr">
        <is>
          <t>Observation</t>
        </is>
      </c>
      <c r="E440" s="31" t="n">
        <v>1</v>
      </c>
      <c r="F440" s="41" t="inlineStr">
        <is>
          <t>Technical Diagnostics</t>
        </is>
      </c>
      <c r="G440" s="30" t="inlineStr">
        <is>
          <t>https://africanmarketingconfederation.org/discovered-via-bfs-1::moderate_lighthouse_performance_mobile_50_89_</t>
        </is>
      </c>
      <c r="H440" s="30" t="inlineStr">
        <is>
          <t>Dev</t>
        </is>
      </c>
      <c r="I440" s="30" t="inlineStr"/>
      <c r="J440" s="30" t="inlineStr">
        <is>
          <t>To Do</t>
        </is>
      </c>
      <c r="K440" s="31" t="inlineStr">
        <is>
          <t>https://africanmarketingconfederation.org/discovered-via-bfs-1</t>
        </is>
      </c>
      <c r="L440" s="30" t="inlineStr">
        <is>
          <t>IssueInventory</t>
        </is>
      </c>
      <c r="M440" s="30" t="n">
        <v>388</v>
      </c>
      <c r="N440" s="30" t="inlineStr">
        <is>
          <t>2026-07-01 20:54:35</t>
        </is>
      </c>
      <c r="O440" s="30" t="n">
        <v>0</v>
      </c>
      <c r="P440" s="30" t="inlineStr"/>
      <c r="Q440" s="30" t="inlineStr"/>
      <c r="R440" s="38">
        <f>IFERROR(HYPERLINK("#'Main'!B"&amp;MATCH(TRIM(A440),'Main'!B:B,0),"Open"),HYPERLINK("#'Main'!B1","Open"))</f>
        <v/>
      </c>
      <c r="S440" s="38">
        <f>IFERROR(HYPERLINK("#'"&amp;SUBSTITUTE(F440,"'","''")&amp;"'!A"&amp;MATCH(A440,INDIRECT("'"&amp;SUBSTITUTE(F440,"'","''")&amp;"'!A:A"),0),"Open"),HYPERLINK("#'"&amp;SUBSTITUTE(F440,"'","''")&amp;"'!A1","Open"))</f>
        <v/>
      </c>
    </row>
    <row r="441" ht="18" customHeight="1">
      <c r="A441" s="35" t="inlineStr">
        <is>
          <t>https://africanmarketingconfederation.org/discovered-via-bfs-1</t>
        </is>
      </c>
      <c r="B441" s="28" t="inlineStr">
        <is>
          <t>Issue Inventory</t>
        </is>
      </c>
      <c r="C441" s="79" t="inlineStr">
        <is>
          <t>Render Blocking Resources</t>
        </is>
      </c>
      <c r="D441" s="28" t="inlineStr">
        <is>
          <t>Observation</t>
        </is>
      </c>
      <c r="E441" s="20" t="n">
        <v>1</v>
      </c>
      <c r="F441" s="39" t="inlineStr">
        <is>
          <t>Technical Diagnostics</t>
        </is>
      </c>
      <c r="G441" s="28" t="inlineStr">
        <is>
          <t>https://africanmarketingconfederation.org/discovered-via-bfs-1::render_blocking_resources</t>
        </is>
      </c>
      <c r="H441" s="28" t="inlineStr">
        <is>
          <t>Dev</t>
        </is>
      </c>
      <c r="I441" s="28" t="inlineStr"/>
      <c r="J441" s="28" t="inlineStr">
        <is>
          <t>To Do</t>
        </is>
      </c>
      <c r="K441" s="20" t="inlineStr">
        <is>
          <t>https://africanmarketingconfederation.org/discovered-via-bfs-1</t>
        </is>
      </c>
      <c r="L441" s="28" t="inlineStr">
        <is>
          <t>IssueInventory</t>
        </is>
      </c>
      <c r="M441" s="28" t="n">
        <v>389</v>
      </c>
      <c r="N441" s="28" t="inlineStr">
        <is>
          <t>2026-07-01 20:54:35</t>
        </is>
      </c>
      <c r="O441" s="28" t="n">
        <v>0</v>
      </c>
      <c r="P441" s="28" t="inlineStr"/>
      <c r="Q441" s="28" t="inlineStr"/>
      <c r="R441">
        <f>IFERROR(HYPERLINK("#'Main'!B"&amp;MATCH(TRIM(A441),'Main'!B:B,0),"Open"),HYPERLINK("#'Main'!B1","Open"))</f>
        <v/>
      </c>
      <c r="S441">
        <f>IFERROR(HYPERLINK("#'"&amp;SUBSTITUTE(F441,"'","''")&amp;"'!A"&amp;MATCH(A441,INDIRECT("'"&amp;SUBSTITUTE(F441,"'","''")&amp;"'!A:A"),0),"Open"),HYPERLINK("#'"&amp;SUBSTITUTE(F441,"'","''")&amp;"'!A1","Open"))</f>
        <v/>
      </c>
    </row>
    <row r="442" ht="18" customHeight="1">
      <c r="A442" s="37" t="inlineStr">
        <is>
          <t>https://africanmarketingconfederation.org/discovered-via-bfs-2</t>
        </is>
      </c>
      <c r="B442" s="30" t="inlineStr">
        <is>
          <t>Issue Inventory</t>
        </is>
      </c>
      <c r="C442" s="80" t="inlineStr">
        <is>
          <t>Missing OG Image</t>
        </is>
      </c>
      <c r="D442" s="30" t="inlineStr">
        <is>
          <t>Warning</t>
        </is>
      </c>
      <c r="E442" s="31" t="n">
        <v>1</v>
      </c>
      <c r="F442" s="41" t="inlineStr">
        <is>
          <t>Technical Diagnostics</t>
        </is>
      </c>
      <c r="G442" s="30" t="inlineStr">
        <is>
          <t>https://africanmarketingconfederation.org/discovered-via-bfs-2::missing_og_image</t>
        </is>
      </c>
      <c r="H442" s="30" t="inlineStr">
        <is>
          <t>Copy Writer</t>
        </is>
      </c>
      <c r="I442" s="30" t="inlineStr"/>
      <c r="J442" s="30" t="inlineStr">
        <is>
          <t>To Do</t>
        </is>
      </c>
      <c r="K442" s="31" t="inlineStr">
        <is>
          <t>https://africanmarketingconfederation.org/discovered-via-bfs-2</t>
        </is>
      </c>
      <c r="L442" s="30" t="inlineStr">
        <is>
          <t>IssueInventory</t>
        </is>
      </c>
      <c r="M442" s="30" t="n">
        <v>390</v>
      </c>
      <c r="N442" s="30" t="inlineStr">
        <is>
          <t>2026-07-01 20:54:35</t>
        </is>
      </c>
      <c r="O442" s="30" t="n">
        <v>0</v>
      </c>
      <c r="P442" s="30" t="inlineStr"/>
      <c r="Q442" s="30" t="inlineStr"/>
      <c r="R442" s="38">
        <f>IFERROR(HYPERLINK("#'Main'!B"&amp;MATCH(TRIM(A442),'Main'!B:B,0),"Open"),HYPERLINK("#'Main'!B1","Open"))</f>
        <v/>
      </c>
      <c r="S442" s="38">
        <f>IFERROR(HYPERLINK("#'"&amp;SUBSTITUTE(F442,"'","''")&amp;"'!A"&amp;MATCH(A442,INDIRECT("'"&amp;SUBSTITUTE(F442,"'","''")&amp;"'!A:A"),0),"Open"),HYPERLINK("#'"&amp;SUBSTITUTE(F442,"'","''")&amp;"'!A1","Open"))</f>
        <v/>
      </c>
    </row>
    <row r="443" ht="18" customHeight="1">
      <c r="A443" s="35" t="inlineStr">
        <is>
          <t>https://africanmarketingconfederation.org/discovered-via-bfs-2</t>
        </is>
      </c>
      <c r="B443" s="28" t="inlineStr">
        <is>
          <t>Issue Inventory</t>
        </is>
      </c>
      <c r="C443" s="79" t="inlineStr">
        <is>
          <t>Lab TBT 150ms–300ms (Mobile)</t>
        </is>
      </c>
      <c r="D443" s="28" t="inlineStr">
        <is>
          <t>Observation</t>
        </is>
      </c>
      <c r="E443" s="20" t="n">
        <v>1</v>
      </c>
      <c r="F443" s="39" t="inlineStr">
        <is>
          <t>Technical Diagnostics</t>
        </is>
      </c>
      <c r="G443" s="28" t="inlineStr">
        <is>
          <t>https://africanmarketingconfederation.org/discovered-via-bfs-2::lab_tbt_150ms_300ms_mobile_</t>
        </is>
      </c>
      <c r="H443" s="28" t="inlineStr">
        <is>
          <t>Dev</t>
        </is>
      </c>
      <c r="I443" s="28" t="inlineStr"/>
      <c r="J443" s="28" t="inlineStr">
        <is>
          <t>To Do</t>
        </is>
      </c>
      <c r="K443" s="20" t="inlineStr">
        <is>
          <t>https://africanmarketingconfederation.org/discovered-via-bfs-2</t>
        </is>
      </c>
      <c r="L443" s="28" t="inlineStr">
        <is>
          <t>IssueInventory</t>
        </is>
      </c>
      <c r="M443" s="28" t="n">
        <v>391</v>
      </c>
      <c r="N443" s="28" t="inlineStr">
        <is>
          <t>2026-07-01 20:54:35</t>
        </is>
      </c>
      <c r="O443" s="28" t="n">
        <v>0</v>
      </c>
      <c r="P443" s="28" t="inlineStr"/>
      <c r="Q443" s="28" t="inlineStr"/>
      <c r="R443">
        <f>IFERROR(HYPERLINK("#'Main'!B"&amp;MATCH(TRIM(A443),'Main'!B:B,0),"Open"),HYPERLINK("#'Main'!B1","Open"))</f>
        <v/>
      </c>
      <c r="S443">
        <f>IFERROR(HYPERLINK("#'"&amp;SUBSTITUTE(F443,"'","''")&amp;"'!A"&amp;MATCH(A443,INDIRECT("'"&amp;SUBSTITUTE(F443,"'","''")&amp;"'!A:A"),0),"Open"),HYPERLINK("#'"&amp;SUBSTITUTE(F443,"'","''")&amp;"'!A1","Open"))</f>
        <v/>
      </c>
    </row>
    <row r="444" ht="18" customHeight="1">
      <c r="A444" s="37" t="inlineStr">
        <is>
          <t>https://africanmarketingconfederation.org/discovered-via-bfs-2</t>
        </is>
      </c>
      <c r="B444" s="30" t="inlineStr">
        <is>
          <t>Issue Inventory</t>
        </is>
      </c>
      <c r="C444" s="80" t="inlineStr">
        <is>
          <t>Moderate Lighthouse Performance Mobile (50–89)</t>
        </is>
      </c>
      <c r="D444" s="30" t="inlineStr">
        <is>
          <t>Observation</t>
        </is>
      </c>
      <c r="E444" s="31" t="n">
        <v>1</v>
      </c>
      <c r="F444" s="41" t="inlineStr">
        <is>
          <t>Technical Diagnostics</t>
        </is>
      </c>
      <c r="G444" s="30" t="inlineStr">
        <is>
          <t>https://africanmarketingconfederation.org/discovered-via-bfs-2::moderate_lighthouse_performance_mobile_50_89_</t>
        </is>
      </c>
      <c r="H444" s="30" t="inlineStr">
        <is>
          <t>Dev</t>
        </is>
      </c>
      <c r="I444" s="30" t="inlineStr"/>
      <c r="J444" s="30" t="inlineStr">
        <is>
          <t>To Do</t>
        </is>
      </c>
      <c r="K444" s="31" t="inlineStr">
        <is>
          <t>https://africanmarketingconfederation.org/discovered-via-bfs-2</t>
        </is>
      </c>
      <c r="L444" s="30" t="inlineStr">
        <is>
          <t>IssueInventory</t>
        </is>
      </c>
      <c r="M444" s="30" t="n">
        <v>392</v>
      </c>
      <c r="N444" s="30" t="inlineStr">
        <is>
          <t>2026-07-01 20:54:35</t>
        </is>
      </c>
      <c r="O444" s="30" t="n">
        <v>0</v>
      </c>
      <c r="P444" s="30" t="inlineStr"/>
      <c r="Q444" s="30" t="inlineStr"/>
      <c r="R444" s="38">
        <f>IFERROR(HYPERLINK("#'Main'!B"&amp;MATCH(TRIM(A444),'Main'!B:B,0),"Open"),HYPERLINK("#'Main'!B1","Open"))</f>
        <v/>
      </c>
      <c r="S444" s="38">
        <f>IFERROR(HYPERLINK("#'"&amp;SUBSTITUTE(F444,"'","''")&amp;"'!A"&amp;MATCH(A444,INDIRECT("'"&amp;SUBSTITUTE(F444,"'","''")&amp;"'!A:A"),0),"Open"),HYPERLINK("#'"&amp;SUBSTITUTE(F444,"'","''")&amp;"'!A1","Open"))</f>
        <v/>
      </c>
    </row>
    <row r="445" ht="18" customHeight="1">
      <c r="A445" s="35" t="inlineStr">
        <is>
          <t>https://africanmarketingconfederation.org/discovered-via-bfs-2</t>
        </is>
      </c>
      <c r="B445" s="28" t="inlineStr">
        <is>
          <t>Issue Inventory</t>
        </is>
      </c>
      <c r="C445" s="79" t="inlineStr">
        <is>
          <t>Render Blocking Resources</t>
        </is>
      </c>
      <c r="D445" s="28" t="inlineStr">
        <is>
          <t>Observation</t>
        </is>
      </c>
      <c r="E445" s="20" t="n">
        <v>1</v>
      </c>
      <c r="F445" s="39" t="inlineStr">
        <is>
          <t>Technical Diagnostics</t>
        </is>
      </c>
      <c r="G445" s="28" t="inlineStr">
        <is>
          <t>https://africanmarketingconfederation.org/discovered-via-bfs-2::render_blocking_resources</t>
        </is>
      </c>
      <c r="H445" s="28" t="inlineStr">
        <is>
          <t>Dev</t>
        </is>
      </c>
      <c r="I445" s="28" t="inlineStr"/>
      <c r="J445" s="28" t="inlineStr">
        <is>
          <t>To Do</t>
        </is>
      </c>
      <c r="K445" s="20" t="inlineStr">
        <is>
          <t>https://africanmarketingconfederation.org/discovered-via-bfs-2</t>
        </is>
      </c>
      <c r="L445" s="28" t="inlineStr">
        <is>
          <t>IssueInventory</t>
        </is>
      </c>
      <c r="M445" s="28" t="n">
        <v>393</v>
      </c>
      <c r="N445" s="28" t="inlineStr">
        <is>
          <t>2026-07-01 20:54:35</t>
        </is>
      </c>
      <c r="O445" s="28" t="n">
        <v>0</v>
      </c>
      <c r="P445" s="28" t="inlineStr"/>
      <c r="Q445" s="28" t="inlineStr"/>
      <c r="R445">
        <f>IFERROR(HYPERLINK("#'Main'!B"&amp;MATCH(TRIM(A445),'Main'!B:B,0),"Open"),HYPERLINK("#'Main'!B1","Open"))</f>
        <v/>
      </c>
      <c r="S445">
        <f>IFERROR(HYPERLINK("#'"&amp;SUBSTITUTE(F445,"'","''")&amp;"'!A"&amp;MATCH(A445,INDIRECT("'"&amp;SUBSTITUTE(F445,"'","''")&amp;"'!A:A"),0),"Open"),HYPERLINK("#'"&amp;SUBSTITUTE(F445,"'","''")&amp;"'!A1","Open"))</f>
        <v/>
      </c>
    </row>
    <row r="446" ht="18" customHeight="1">
      <c r="A446" s="37" t="inlineStr">
        <is>
          <t>https://africanmarketingconfederation.org/discovered-via-bfs-3</t>
        </is>
      </c>
      <c r="B446" s="30" t="inlineStr">
        <is>
          <t>Issue Inventory</t>
        </is>
      </c>
      <c r="C446" s="80" t="inlineStr">
        <is>
          <t>Missing OG Image</t>
        </is>
      </c>
      <c r="D446" s="30" t="inlineStr">
        <is>
          <t>Warning</t>
        </is>
      </c>
      <c r="E446" s="31" t="n">
        <v>1</v>
      </c>
      <c r="F446" s="41" t="inlineStr">
        <is>
          <t>Technical Diagnostics</t>
        </is>
      </c>
      <c r="G446" s="30" t="inlineStr">
        <is>
          <t>https://africanmarketingconfederation.org/discovered-via-bfs-3::missing_og_image</t>
        </is>
      </c>
      <c r="H446" s="30" t="inlineStr">
        <is>
          <t>Copy Writer</t>
        </is>
      </c>
      <c r="I446" s="30" t="inlineStr"/>
      <c r="J446" s="30" t="inlineStr">
        <is>
          <t>To Do</t>
        </is>
      </c>
      <c r="K446" s="31" t="inlineStr">
        <is>
          <t>https://africanmarketingconfederation.org/discovered-via-bfs-3</t>
        </is>
      </c>
      <c r="L446" s="30" t="inlineStr">
        <is>
          <t>IssueInventory</t>
        </is>
      </c>
      <c r="M446" s="30" t="n">
        <v>394</v>
      </c>
      <c r="N446" s="30" t="inlineStr">
        <is>
          <t>2026-07-01 20:54:35</t>
        </is>
      </c>
      <c r="O446" s="30" t="n">
        <v>0</v>
      </c>
      <c r="P446" s="30" t="inlineStr"/>
      <c r="Q446" s="30" t="inlineStr"/>
      <c r="R446" s="38">
        <f>IFERROR(HYPERLINK("#'Main'!B"&amp;MATCH(TRIM(A446),'Main'!B:B,0),"Open"),HYPERLINK("#'Main'!B1","Open"))</f>
        <v/>
      </c>
      <c r="S446" s="38">
        <f>IFERROR(HYPERLINK("#'"&amp;SUBSTITUTE(F446,"'","''")&amp;"'!A"&amp;MATCH(A446,INDIRECT("'"&amp;SUBSTITUTE(F446,"'","''")&amp;"'!A:A"),0),"Open"),HYPERLINK("#'"&amp;SUBSTITUTE(F446,"'","''")&amp;"'!A1","Open"))</f>
        <v/>
      </c>
    </row>
    <row r="447" ht="18" customHeight="1">
      <c r="A447" s="35" t="inlineStr">
        <is>
          <t>https://africanmarketingconfederation.org/discovered-via-bfs-3</t>
        </is>
      </c>
      <c r="B447" s="28" t="inlineStr">
        <is>
          <t>Issue Inventory</t>
        </is>
      </c>
      <c r="C447" s="79" t="inlineStr">
        <is>
          <t>Lab TBT 150ms–300ms (Mobile)</t>
        </is>
      </c>
      <c r="D447" s="28" t="inlineStr">
        <is>
          <t>Observation</t>
        </is>
      </c>
      <c r="E447" s="20" t="n">
        <v>1</v>
      </c>
      <c r="F447" s="39" t="inlineStr">
        <is>
          <t>Technical Diagnostics</t>
        </is>
      </c>
      <c r="G447" s="28" t="inlineStr">
        <is>
          <t>https://africanmarketingconfederation.org/discovered-via-bfs-3::lab_tbt_150ms_300ms_mobile_</t>
        </is>
      </c>
      <c r="H447" s="28" t="inlineStr">
        <is>
          <t>Dev</t>
        </is>
      </c>
      <c r="I447" s="28" t="inlineStr"/>
      <c r="J447" s="28" t="inlineStr">
        <is>
          <t>To Do</t>
        </is>
      </c>
      <c r="K447" s="20" t="inlineStr">
        <is>
          <t>https://africanmarketingconfederation.org/discovered-via-bfs-3</t>
        </is>
      </c>
      <c r="L447" s="28" t="inlineStr">
        <is>
          <t>IssueInventory</t>
        </is>
      </c>
      <c r="M447" s="28" t="n">
        <v>395</v>
      </c>
      <c r="N447" s="28" t="inlineStr">
        <is>
          <t>2026-07-01 20:54:35</t>
        </is>
      </c>
      <c r="O447" s="28" t="n">
        <v>0</v>
      </c>
      <c r="P447" s="28" t="inlineStr"/>
      <c r="Q447" s="28" t="inlineStr"/>
      <c r="R447">
        <f>IFERROR(HYPERLINK("#'Main'!B"&amp;MATCH(TRIM(A447),'Main'!B:B,0),"Open"),HYPERLINK("#'Main'!B1","Open"))</f>
        <v/>
      </c>
      <c r="S447">
        <f>IFERROR(HYPERLINK("#'"&amp;SUBSTITUTE(F447,"'","''")&amp;"'!A"&amp;MATCH(A447,INDIRECT("'"&amp;SUBSTITUTE(F447,"'","''")&amp;"'!A:A"),0),"Open"),HYPERLINK("#'"&amp;SUBSTITUTE(F447,"'","''")&amp;"'!A1","Open"))</f>
        <v/>
      </c>
    </row>
    <row r="448" ht="18" customHeight="1">
      <c r="A448" s="37" t="inlineStr">
        <is>
          <t>https://africanmarketingconfederation.org/discovered-via-bfs-3</t>
        </is>
      </c>
      <c r="B448" s="30" t="inlineStr">
        <is>
          <t>Issue Inventory</t>
        </is>
      </c>
      <c r="C448" s="80" t="inlineStr">
        <is>
          <t>Moderate Lighthouse Performance Mobile (50–89)</t>
        </is>
      </c>
      <c r="D448" s="30" t="inlineStr">
        <is>
          <t>Observation</t>
        </is>
      </c>
      <c r="E448" s="31" t="n">
        <v>1</v>
      </c>
      <c r="F448" s="41" t="inlineStr">
        <is>
          <t>Technical Diagnostics</t>
        </is>
      </c>
      <c r="G448" s="30" t="inlineStr">
        <is>
          <t>https://africanmarketingconfederation.org/discovered-via-bfs-3::moderate_lighthouse_performance_mobile_50_89_</t>
        </is>
      </c>
      <c r="H448" s="30" t="inlineStr">
        <is>
          <t>Dev</t>
        </is>
      </c>
      <c r="I448" s="30" t="inlineStr"/>
      <c r="J448" s="30" t="inlineStr">
        <is>
          <t>To Do</t>
        </is>
      </c>
      <c r="K448" s="31" t="inlineStr">
        <is>
          <t>https://africanmarketingconfederation.org/discovered-via-bfs-3</t>
        </is>
      </c>
      <c r="L448" s="30" t="inlineStr">
        <is>
          <t>IssueInventory</t>
        </is>
      </c>
      <c r="M448" s="30" t="n">
        <v>396</v>
      </c>
      <c r="N448" s="30" t="inlineStr">
        <is>
          <t>2026-07-01 20:54:35</t>
        </is>
      </c>
      <c r="O448" s="30" t="n">
        <v>0</v>
      </c>
      <c r="P448" s="30" t="inlineStr"/>
      <c r="Q448" s="30" t="inlineStr"/>
      <c r="R448" s="38">
        <f>IFERROR(HYPERLINK("#'Main'!B"&amp;MATCH(TRIM(A448),'Main'!B:B,0),"Open"),HYPERLINK("#'Main'!B1","Open"))</f>
        <v/>
      </c>
      <c r="S448" s="38">
        <f>IFERROR(HYPERLINK("#'"&amp;SUBSTITUTE(F448,"'","''")&amp;"'!A"&amp;MATCH(A448,INDIRECT("'"&amp;SUBSTITUTE(F448,"'","''")&amp;"'!A:A"),0),"Open"),HYPERLINK("#'"&amp;SUBSTITUTE(F448,"'","''")&amp;"'!A1","Open"))</f>
        <v/>
      </c>
    </row>
    <row r="449" ht="18" customHeight="1">
      <c r="A449" s="35" t="inlineStr">
        <is>
          <t>https://africanmarketingconfederation.org/discovered-via-bfs-3</t>
        </is>
      </c>
      <c r="B449" s="28" t="inlineStr">
        <is>
          <t>Issue Inventory</t>
        </is>
      </c>
      <c r="C449" s="79" t="inlineStr">
        <is>
          <t>Render Blocking Resources</t>
        </is>
      </c>
      <c r="D449" s="28" t="inlineStr">
        <is>
          <t>Observation</t>
        </is>
      </c>
      <c r="E449" s="20" t="n">
        <v>1</v>
      </c>
      <c r="F449" s="39" t="inlineStr">
        <is>
          <t>Technical Diagnostics</t>
        </is>
      </c>
      <c r="G449" s="28" t="inlineStr">
        <is>
          <t>https://africanmarketingconfederation.org/discovered-via-bfs-3::render_blocking_resources</t>
        </is>
      </c>
      <c r="H449" s="28" t="inlineStr">
        <is>
          <t>Dev</t>
        </is>
      </c>
      <c r="I449" s="28" t="inlineStr"/>
      <c r="J449" s="28" t="inlineStr">
        <is>
          <t>To Do</t>
        </is>
      </c>
      <c r="K449" s="20" t="inlineStr">
        <is>
          <t>https://africanmarketingconfederation.org/discovered-via-bfs-3</t>
        </is>
      </c>
      <c r="L449" s="28" t="inlineStr">
        <is>
          <t>IssueInventory</t>
        </is>
      </c>
      <c r="M449" s="28" t="n">
        <v>397</v>
      </c>
      <c r="N449" s="28" t="inlineStr">
        <is>
          <t>2026-07-01 20:54:35</t>
        </is>
      </c>
      <c r="O449" s="28" t="n">
        <v>0</v>
      </c>
      <c r="P449" s="28" t="inlineStr"/>
      <c r="Q449" s="28" t="inlineStr"/>
      <c r="R449">
        <f>IFERROR(HYPERLINK("#'Main'!B"&amp;MATCH(TRIM(A449),'Main'!B:B,0),"Open"),HYPERLINK("#'Main'!B1","Open"))</f>
        <v/>
      </c>
      <c r="S449">
        <f>IFERROR(HYPERLINK("#'"&amp;SUBSTITUTE(F449,"'","''")&amp;"'!A"&amp;MATCH(A449,INDIRECT("'"&amp;SUBSTITUTE(F449,"'","''")&amp;"'!A:A"),0),"Open"),HYPERLINK("#'"&amp;SUBSTITUTE(F449,"'","''")&amp;"'!A1","Open"))</f>
        <v/>
      </c>
    </row>
  </sheetData>
  <autoFilter ref="A2:S449"/>
  <mergeCells count="2">
    <mergeCell ref="A1:B1"/>
    <mergeCell ref="C1:H1"/>
  </mergeCells>
  <conditionalFormatting sqref="D3:D449">
    <cfRule type="expression" priority="1" dxfId="0" stopIfTrue="1">
      <formula>LOWER(D2)="critical"</formula>
    </cfRule>
    <cfRule type="expression" priority="2" dxfId="1" stopIfTrue="1">
      <formula>LOWER(D2)="warning"</formula>
    </cfRule>
    <cfRule type="expression" priority="3" dxfId="2" stopIfTrue="1">
      <formula>OR(LOWER(D2)="pass",LOWER(D2)="observation")</formula>
    </cfRule>
    <cfRule type="expression" priority="10" dxfId="9" stopIfTrue="1">
      <formula>OR(NOT(ISERROR(SEARCH("Critical",D3))),NOT(ISERROR(SEARCH("Non-Pass",D3))),NOT(ISERROR(SEARCH("Error",D3))))</formula>
    </cfRule>
    <cfRule type="expression" priority="11" dxfId="10" stopIfTrue="1">
      <formula>OR(NOT(ISERROR(SEARCH("Warning",D3))),NOT(ISERROR(SEARCH("Needs Work",D3))))</formula>
    </cfRule>
  </conditionalFormatting>
  <conditionalFormatting sqref="J3:J449">
    <cfRule type="expression" priority="4" dxfId="4" stopIfTrue="1">
      <formula>OR(LOWER(J3)="done",LOWER(J3)="completed",LOWER(J3)="fixed",LOWER(J3)="closed")</formula>
    </cfRule>
    <cfRule type="expression" priority="5" dxfId="5" stopIfTrue="1">
      <formula>OR(LOWER(J3)="in progress",LOWER(J3)="in review",LOWER(J3)="review")</formula>
    </cfRule>
    <cfRule type="expression" priority="6" dxfId="6" stopIfTrue="1">
      <formula>OR(LOWER(J3)="to do",LOWER(J3)="open")</formula>
    </cfRule>
    <cfRule type="expression" priority="14" dxfId="9" stopIfTrue="1">
      <formula>OR(NOT(ISERROR(SEARCH("Critical",J3))),NOT(ISERROR(SEARCH("Non-Pass",J3))),NOT(ISERROR(SEARCH("Error",J3))))</formula>
    </cfRule>
    <cfRule type="expression" priority="15" dxfId="10" stopIfTrue="1">
      <formula>OR(NOT(ISERROR(SEARCH("Warning",J3))),NOT(ISERROR(SEARCH("Needs Work",J3))))</formula>
    </cfRule>
  </conditionalFormatting>
  <conditionalFormatting sqref="A3:Q449">
    <cfRule type="expression" priority="7" dxfId="3" stopIfTrue="0">
      <formula>MOD(ROW(),2)=0</formula>
    </cfRule>
  </conditionalFormatting>
  <conditionalFormatting sqref="O3:O449">
    <cfRule type="cellIs" priority="8" operator="greaterThan" dxfId="15">
      <formula>60</formula>
    </cfRule>
    <cfRule type="cellIs" priority="9" operator="between" dxfId="10">
      <formula>31</formula>
      <formula>60</formula>
    </cfRule>
  </conditionalFormatting>
  <conditionalFormatting sqref="C3:C449">
    <cfRule type="expression" priority="12" dxfId="9" stopIfTrue="1">
      <formula>OR(NOT(ISERROR(SEARCH("Critical",C3))),NOT(ISERROR(SEARCH("Non-Pass",C3))),NOT(ISERROR(SEARCH("Error",C3))))</formula>
    </cfRule>
    <cfRule type="expression" priority="13" dxfId="10" stopIfTrue="1">
      <formula>OR(NOT(ISERROR(SEARCH("Warning",C3))),NOT(ISERROR(SEARCH("Needs Work",C3))))</formula>
    </cfRule>
  </conditionalFormatting>
  <conditionalFormatting sqref="B3:B449">
    <cfRule type="expression" priority="16" dxfId="9" stopIfTrue="1">
      <formula>OR(NOT(ISERROR(SEARCH("Critical",B3))),NOT(ISERROR(SEARCH("Non-Pass",B3))),NOT(ISERROR(SEARCH("Error",B3))))</formula>
    </cfRule>
    <cfRule type="expression" priority="17" dxfId="10" stopIfTrue="1">
      <formula>OR(NOT(ISERROR(SEARCH("Warning",B3))),NOT(ISERROR(SEARCH("Needs Work",B3))))</formula>
    </cfRule>
  </conditionalFormatting>
  <dataValidations count="1">
    <dataValidation sqref="J3:J449" showDropDown="0" showInputMessage="1" showErrorMessage="1" allowBlank="1" errorTitle="Invalid Status" error="Select a value from the dropdown list." promptTitle="Workflow status" prompt="Track workflow state: To Do → In Progress → In Review → Done" type="list">
      <formula1>"To Do,In Progress,In Review,Done"</formula1>
    </dataValidation>
  </dataValidations>
  <hyperlinks>
    <hyperlink xmlns:r="http://schemas.openxmlformats.org/officeDocument/2006/relationships" ref="A1" r:id="rId1"/>
    <hyperlink xmlns:r="http://schemas.openxmlformats.org/officeDocument/2006/relationships" ref="C3" r:id="rId2"/>
    <hyperlink xmlns:r="http://schemas.openxmlformats.org/officeDocument/2006/relationships" ref="F2" r:id="rId3"/>
    <hyperlink xmlns:r="http://schemas.openxmlformats.org/officeDocument/2006/relationships" ref="C4" r:id="rId4"/>
    <hyperlink xmlns:r="http://schemas.openxmlformats.org/officeDocument/2006/relationships" ref="F3" r:id="rId5"/>
    <hyperlink xmlns:r="http://schemas.openxmlformats.org/officeDocument/2006/relationships" ref="C5" r:id="rId6"/>
    <hyperlink xmlns:r="http://schemas.openxmlformats.org/officeDocument/2006/relationships" ref="F4" r:id="rId7"/>
    <hyperlink xmlns:r="http://schemas.openxmlformats.org/officeDocument/2006/relationships" ref="C6" r:id="rId8"/>
    <hyperlink xmlns:r="http://schemas.openxmlformats.org/officeDocument/2006/relationships" ref="F5" r:id="rId9"/>
    <hyperlink xmlns:r="http://schemas.openxmlformats.org/officeDocument/2006/relationships" ref="C7" r:id="rId10"/>
    <hyperlink xmlns:r="http://schemas.openxmlformats.org/officeDocument/2006/relationships" ref="F6" r:id="rId11"/>
    <hyperlink xmlns:r="http://schemas.openxmlformats.org/officeDocument/2006/relationships" ref="C8" r:id="rId12"/>
    <hyperlink xmlns:r="http://schemas.openxmlformats.org/officeDocument/2006/relationships" ref="F7" r:id="rId13"/>
    <hyperlink xmlns:r="http://schemas.openxmlformats.org/officeDocument/2006/relationships" ref="C9" r:id="rId14"/>
    <hyperlink xmlns:r="http://schemas.openxmlformats.org/officeDocument/2006/relationships" ref="F8" r:id="rId15"/>
    <hyperlink xmlns:r="http://schemas.openxmlformats.org/officeDocument/2006/relationships" ref="C10" r:id="rId16"/>
    <hyperlink xmlns:r="http://schemas.openxmlformats.org/officeDocument/2006/relationships" ref="F9" r:id="rId17"/>
    <hyperlink xmlns:r="http://schemas.openxmlformats.org/officeDocument/2006/relationships" ref="C11" r:id="rId18"/>
    <hyperlink xmlns:r="http://schemas.openxmlformats.org/officeDocument/2006/relationships" ref="F10" r:id="rId19"/>
    <hyperlink xmlns:r="http://schemas.openxmlformats.org/officeDocument/2006/relationships" ref="C12" r:id="rId20"/>
    <hyperlink xmlns:r="http://schemas.openxmlformats.org/officeDocument/2006/relationships" ref="F11" r:id="rId21"/>
    <hyperlink xmlns:r="http://schemas.openxmlformats.org/officeDocument/2006/relationships" ref="C13" r:id="rId22"/>
    <hyperlink xmlns:r="http://schemas.openxmlformats.org/officeDocument/2006/relationships" ref="F12" r:id="rId23"/>
    <hyperlink xmlns:r="http://schemas.openxmlformats.org/officeDocument/2006/relationships" ref="C14" r:id="rId24"/>
    <hyperlink xmlns:r="http://schemas.openxmlformats.org/officeDocument/2006/relationships" ref="F13" r:id="rId25"/>
    <hyperlink xmlns:r="http://schemas.openxmlformats.org/officeDocument/2006/relationships" ref="C15" r:id="rId26"/>
    <hyperlink xmlns:r="http://schemas.openxmlformats.org/officeDocument/2006/relationships" ref="F14" r:id="rId27"/>
    <hyperlink xmlns:r="http://schemas.openxmlformats.org/officeDocument/2006/relationships" ref="C16" r:id="rId28"/>
    <hyperlink xmlns:r="http://schemas.openxmlformats.org/officeDocument/2006/relationships" ref="F15" r:id="rId29"/>
    <hyperlink xmlns:r="http://schemas.openxmlformats.org/officeDocument/2006/relationships" ref="C17" r:id="rId30"/>
    <hyperlink xmlns:r="http://schemas.openxmlformats.org/officeDocument/2006/relationships" ref="F16" r:id="rId31"/>
    <hyperlink xmlns:r="http://schemas.openxmlformats.org/officeDocument/2006/relationships" ref="C18" r:id="rId32"/>
    <hyperlink xmlns:r="http://schemas.openxmlformats.org/officeDocument/2006/relationships" ref="F17" r:id="rId33"/>
    <hyperlink xmlns:r="http://schemas.openxmlformats.org/officeDocument/2006/relationships" ref="C19" r:id="rId34"/>
    <hyperlink xmlns:r="http://schemas.openxmlformats.org/officeDocument/2006/relationships" ref="F18" r:id="rId35"/>
    <hyperlink xmlns:r="http://schemas.openxmlformats.org/officeDocument/2006/relationships" ref="C20" r:id="rId36"/>
    <hyperlink xmlns:r="http://schemas.openxmlformats.org/officeDocument/2006/relationships" ref="F19" r:id="rId37"/>
    <hyperlink xmlns:r="http://schemas.openxmlformats.org/officeDocument/2006/relationships" ref="C21" r:id="rId38"/>
    <hyperlink xmlns:r="http://schemas.openxmlformats.org/officeDocument/2006/relationships" ref="F20" r:id="rId39"/>
    <hyperlink xmlns:r="http://schemas.openxmlformats.org/officeDocument/2006/relationships" ref="C22" r:id="rId40"/>
    <hyperlink xmlns:r="http://schemas.openxmlformats.org/officeDocument/2006/relationships" ref="F21" r:id="rId41"/>
    <hyperlink xmlns:r="http://schemas.openxmlformats.org/officeDocument/2006/relationships" ref="C23" r:id="rId42"/>
    <hyperlink xmlns:r="http://schemas.openxmlformats.org/officeDocument/2006/relationships" ref="F22" r:id="rId43"/>
    <hyperlink xmlns:r="http://schemas.openxmlformats.org/officeDocument/2006/relationships" ref="F23" r:id="rId44"/>
    <hyperlink xmlns:r="http://schemas.openxmlformats.org/officeDocument/2006/relationships" ref="F24" r:id="rId45"/>
    <hyperlink xmlns:r="http://schemas.openxmlformats.org/officeDocument/2006/relationships" ref="F25" r:id="rId46"/>
    <hyperlink xmlns:r="http://schemas.openxmlformats.org/officeDocument/2006/relationships" ref="F26" r:id="rId47"/>
    <hyperlink xmlns:r="http://schemas.openxmlformats.org/officeDocument/2006/relationships" ref="F27" r:id="rId48"/>
    <hyperlink xmlns:r="http://schemas.openxmlformats.org/officeDocument/2006/relationships" ref="F28" r:id="rId49"/>
    <hyperlink xmlns:r="http://schemas.openxmlformats.org/officeDocument/2006/relationships" ref="F29" r:id="rId50"/>
    <hyperlink xmlns:r="http://schemas.openxmlformats.org/officeDocument/2006/relationships" ref="F30" r:id="rId51"/>
    <hyperlink xmlns:r="http://schemas.openxmlformats.org/officeDocument/2006/relationships" ref="F31" r:id="rId52"/>
    <hyperlink xmlns:r="http://schemas.openxmlformats.org/officeDocument/2006/relationships" ref="F32" r:id="rId53"/>
    <hyperlink xmlns:r="http://schemas.openxmlformats.org/officeDocument/2006/relationships" ref="F33" r:id="rId54"/>
    <hyperlink xmlns:r="http://schemas.openxmlformats.org/officeDocument/2006/relationships" ref="F34" r:id="rId55"/>
    <hyperlink xmlns:r="http://schemas.openxmlformats.org/officeDocument/2006/relationships" ref="F35" r:id="rId56"/>
    <hyperlink xmlns:r="http://schemas.openxmlformats.org/officeDocument/2006/relationships" ref="F36" r:id="rId57"/>
    <hyperlink xmlns:r="http://schemas.openxmlformats.org/officeDocument/2006/relationships" ref="F37" r:id="rId58"/>
    <hyperlink xmlns:r="http://schemas.openxmlformats.org/officeDocument/2006/relationships" ref="F38" r:id="rId59"/>
    <hyperlink xmlns:r="http://schemas.openxmlformats.org/officeDocument/2006/relationships" ref="F39" r:id="rId60"/>
    <hyperlink xmlns:r="http://schemas.openxmlformats.org/officeDocument/2006/relationships" ref="F40" r:id="rId61"/>
    <hyperlink xmlns:r="http://schemas.openxmlformats.org/officeDocument/2006/relationships" ref="F41" r:id="rId62"/>
    <hyperlink xmlns:r="http://schemas.openxmlformats.org/officeDocument/2006/relationships" ref="F42" r:id="rId63"/>
    <hyperlink xmlns:r="http://schemas.openxmlformats.org/officeDocument/2006/relationships" ref="F43" r:id="rId64"/>
    <hyperlink xmlns:r="http://schemas.openxmlformats.org/officeDocument/2006/relationships" ref="F44" r:id="rId65"/>
    <hyperlink xmlns:r="http://schemas.openxmlformats.org/officeDocument/2006/relationships" ref="F45" r:id="rId66"/>
    <hyperlink xmlns:r="http://schemas.openxmlformats.org/officeDocument/2006/relationships" ref="F46" r:id="rId67"/>
    <hyperlink xmlns:r="http://schemas.openxmlformats.org/officeDocument/2006/relationships" ref="F47" r:id="rId68"/>
    <hyperlink xmlns:r="http://schemas.openxmlformats.org/officeDocument/2006/relationships" ref="F48" r:id="rId69"/>
    <hyperlink xmlns:r="http://schemas.openxmlformats.org/officeDocument/2006/relationships" ref="F49" r:id="rId70"/>
    <hyperlink xmlns:r="http://schemas.openxmlformats.org/officeDocument/2006/relationships" ref="F50" r:id="rId71"/>
    <hyperlink xmlns:r="http://schemas.openxmlformats.org/officeDocument/2006/relationships" ref="F51" r:id="rId72"/>
    <hyperlink xmlns:r="http://schemas.openxmlformats.org/officeDocument/2006/relationships" ref="F52" r:id="rId73"/>
    <hyperlink xmlns:r="http://schemas.openxmlformats.org/officeDocument/2006/relationships" ref="C54" r:id="rId74"/>
    <hyperlink xmlns:r="http://schemas.openxmlformats.org/officeDocument/2006/relationships" ref="F53" r:id="rId75"/>
    <hyperlink xmlns:r="http://schemas.openxmlformats.org/officeDocument/2006/relationships" ref="A55" r:id="rId76"/>
    <hyperlink xmlns:r="http://schemas.openxmlformats.org/officeDocument/2006/relationships" ref="C55" r:id="rId77"/>
    <hyperlink xmlns:r="http://schemas.openxmlformats.org/officeDocument/2006/relationships" ref="F54" r:id="rId78"/>
    <hyperlink xmlns:r="http://schemas.openxmlformats.org/officeDocument/2006/relationships" ref="A56" r:id="rId79"/>
    <hyperlink xmlns:r="http://schemas.openxmlformats.org/officeDocument/2006/relationships" ref="C56" r:id="rId80"/>
    <hyperlink xmlns:r="http://schemas.openxmlformats.org/officeDocument/2006/relationships" ref="F55" r:id="rId81"/>
    <hyperlink xmlns:r="http://schemas.openxmlformats.org/officeDocument/2006/relationships" ref="A57" r:id="rId82"/>
    <hyperlink xmlns:r="http://schemas.openxmlformats.org/officeDocument/2006/relationships" ref="C57" r:id="rId83"/>
    <hyperlink xmlns:r="http://schemas.openxmlformats.org/officeDocument/2006/relationships" ref="F56" r:id="rId84"/>
    <hyperlink xmlns:r="http://schemas.openxmlformats.org/officeDocument/2006/relationships" ref="A58" r:id="rId85"/>
    <hyperlink xmlns:r="http://schemas.openxmlformats.org/officeDocument/2006/relationships" ref="C58" r:id="rId86"/>
    <hyperlink xmlns:r="http://schemas.openxmlformats.org/officeDocument/2006/relationships" ref="F57" r:id="rId87"/>
    <hyperlink xmlns:r="http://schemas.openxmlformats.org/officeDocument/2006/relationships" ref="A59" r:id="rId88"/>
    <hyperlink xmlns:r="http://schemas.openxmlformats.org/officeDocument/2006/relationships" ref="C59" r:id="rId89"/>
    <hyperlink xmlns:r="http://schemas.openxmlformats.org/officeDocument/2006/relationships" ref="F58" r:id="rId90"/>
    <hyperlink xmlns:r="http://schemas.openxmlformats.org/officeDocument/2006/relationships" ref="A60" r:id="rId91"/>
    <hyperlink xmlns:r="http://schemas.openxmlformats.org/officeDocument/2006/relationships" ref="C60" r:id="rId92"/>
    <hyperlink xmlns:r="http://schemas.openxmlformats.org/officeDocument/2006/relationships" ref="F59" r:id="rId93"/>
    <hyperlink xmlns:r="http://schemas.openxmlformats.org/officeDocument/2006/relationships" ref="A61" r:id="rId94"/>
    <hyperlink xmlns:r="http://schemas.openxmlformats.org/officeDocument/2006/relationships" ref="C61" r:id="rId95"/>
    <hyperlink xmlns:r="http://schemas.openxmlformats.org/officeDocument/2006/relationships" ref="F60" r:id="rId96"/>
    <hyperlink xmlns:r="http://schemas.openxmlformats.org/officeDocument/2006/relationships" ref="A62" r:id="rId97"/>
    <hyperlink xmlns:r="http://schemas.openxmlformats.org/officeDocument/2006/relationships" ref="C62" r:id="rId98"/>
    <hyperlink xmlns:r="http://schemas.openxmlformats.org/officeDocument/2006/relationships" ref="F61" r:id="rId99"/>
    <hyperlink xmlns:r="http://schemas.openxmlformats.org/officeDocument/2006/relationships" ref="A63" r:id="rId100"/>
    <hyperlink xmlns:r="http://schemas.openxmlformats.org/officeDocument/2006/relationships" ref="C63" r:id="rId101"/>
    <hyperlink xmlns:r="http://schemas.openxmlformats.org/officeDocument/2006/relationships" ref="F62" r:id="rId102"/>
    <hyperlink xmlns:r="http://schemas.openxmlformats.org/officeDocument/2006/relationships" ref="A64" r:id="rId103"/>
    <hyperlink xmlns:r="http://schemas.openxmlformats.org/officeDocument/2006/relationships" ref="C64" r:id="rId104"/>
    <hyperlink xmlns:r="http://schemas.openxmlformats.org/officeDocument/2006/relationships" ref="F63" r:id="rId105"/>
    <hyperlink xmlns:r="http://schemas.openxmlformats.org/officeDocument/2006/relationships" ref="A65" r:id="rId106"/>
    <hyperlink xmlns:r="http://schemas.openxmlformats.org/officeDocument/2006/relationships" ref="C65" r:id="rId107"/>
    <hyperlink xmlns:r="http://schemas.openxmlformats.org/officeDocument/2006/relationships" ref="F64" r:id="rId108"/>
    <hyperlink xmlns:r="http://schemas.openxmlformats.org/officeDocument/2006/relationships" ref="A66" r:id="rId109"/>
    <hyperlink xmlns:r="http://schemas.openxmlformats.org/officeDocument/2006/relationships" ref="C66" r:id="rId110"/>
    <hyperlink xmlns:r="http://schemas.openxmlformats.org/officeDocument/2006/relationships" ref="F65" r:id="rId111"/>
    <hyperlink xmlns:r="http://schemas.openxmlformats.org/officeDocument/2006/relationships" ref="A67" r:id="rId112"/>
    <hyperlink xmlns:r="http://schemas.openxmlformats.org/officeDocument/2006/relationships" ref="C67" r:id="rId113"/>
    <hyperlink xmlns:r="http://schemas.openxmlformats.org/officeDocument/2006/relationships" ref="F66" r:id="rId114"/>
    <hyperlink xmlns:r="http://schemas.openxmlformats.org/officeDocument/2006/relationships" ref="A68" r:id="rId115"/>
    <hyperlink xmlns:r="http://schemas.openxmlformats.org/officeDocument/2006/relationships" ref="C68" r:id="rId116"/>
    <hyperlink xmlns:r="http://schemas.openxmlformats.org/officeDocument/2006/relationships" ref="F67" r:id="rId117"/>
    <hyperlink xmlns:r="http://schemas.openxmlformats.org/officeDocument/2006/relationships" ref="A69" r:id="rId118"/>
    <hyperlink xmlns:r="http://schemas.openxmlformats.org/officeDocument/2006/relationships" ref="C69" r:id="rId119"/>
    <hyperlink xmlns:r="http://schemas.openxmlformats.org/officeDocument/2006/relationships" ref="F68" r:id="rId120"/>
    <hyperlink xmlns:r="http://schemas.openxmlformats.org/officeDocument/2006/relationships" ref="A70" r:id="rId121"/>
    <hyperlink xmlns:r="http://schemas.openxmlformats.org/officeDocument/2006/relationships" ref="C70" r:id="rId122"/>
    <hyperlink xmlns:r="http://schemas.openxmlformats.org/officeDocument/2006/relationships" ref="F69" r:id="rId123"/>
    <hyperlink xmlns:r="http://schemas.openxmlformats.org/officeDocument/2006/relationships" ref="A71" r:id="rId124"/>
    <hyperlink xmlns:r="http://schemas.openxmlformats.org/officeDocument/2006/relationships" ref="C71" r:id="rId125"/>
    <hyperlink xmlns:r="http://schemas.openxmlformats.org/officeDocument/2006/relationships" ref="F70" r:id="rId126"/>
    <hyperlink xmlns:r="http://schemas.openxmlformats.org/officeDocument/2006/relationships" ref="A72" r:id="rId127"/>
    <hyperlink xmlns:r="http://schemas.openxmlformats.org/officeDocument/2006/relationships" ref="C72" r:id="rId128"/>
    <hyperlink xmlns:r="http://schemas.openxmlformats.org/officeDocument/2006/relationships" ref="F71" r:id="rId129"/>
    <hyperlink xmlns:r="http://schemas.openxmlformats.org/officeDocument/2006/relationships" ref="A73" r:id="rId130"/>
    <hyperlink xmlns:r="http://schemas.openxmlformats.org/officeDocument/2006/relationships" ref="C73" r:id="rId131"/>
    <hyperlink xmlns:r="http://schemas.openxmlformats.org/officeDocument/2006/relationships" ref="F72" r:id="rId132"/>
    <hyperlink xmlns:r="http://schemas.openxmlformats.org/officeDocument/2006/relationships" ref="A74" r:id="rId133"/>
    <hyperlink xmlns:r="http://schemas.openxmlformats.org/officeDocument/2006/relationships" ref="C74" r:id="rId134"/>
    <hyperlink xmlns:r="http://schemas.openxmlformats.org/officeDocument/2006/relationships" ref="F73" r:id="rId135"/>
    <hyperlink xmlns:r="http://schemas.openxmlformats.org/officeDocument/2006/relationships" ref="A75" r:id="rId136"/>
    <hyperlink xmlns:r="http://schemas.openxmlformats.org/officeDocument/2006/relationships" ref="C75" r:id="rId137"/>
    <hyperlink xmlns:r="http://schemas.openxmlformats.org/officeDocument/2006/relationships" ref="F74" r:id="rId138"/>
    <hyperlink xmlns:r="http://schemas.openxmlformats.org/officeDocument/2006/relationships" ref="A76" r:id="rId139"/>
    <hyperlink xmlns:r="http://schemas.openxmlformats.org/officeDocument/2006/relationships" ref="C76" r:id="rId140"/>
    <hyperlink xmlns:r="http://schemas.openxmlformats.org/officeDocument/2006/relationships" ref="F75" r:id="rId141"/>
    <hyperlink xmlns:r="http://schemas.openxmlformats.org/officeDocument/2006/relationships" ref="A77" r:id="rId142"/>
    <hyperlink xmlns:r="http://schemas.openxmlformats.org/officeDocument/2006/relationships" ref="C77" r:id="rId143"/>
    <hyperlink xmlns:r="http://schemas.openxmlformats.org/officeDocument/2006/relationships" ref="F76" r:id="rId144"/>
    <hyperlink xmlns:r="http://schemas.openxmlformats.org/officeDocument/2006/relationships" ref="A78" r:id="rId145"/>
    <hyperlink xmlns:r="http://schemas.openxmlformats.org/officeDocument/2006/relationships" ref="C78" r:id="rId146"/>
    <hyperlink xmlns:r="http://schemas.openxmlformats.org/officeDocument/2006/relationships" ref="F77" r:id="rId147"/>
    <hyperlink xmlns:r="http://schemas.openxmlformats.org/officeDocument/2006/relationships" ref="A79" r:id="rId148"/>
    <hyperlink xmlns:r="http://schemas.openxmlformats.org/officeDocument/2006/relationships" ref="C79" r:id="rId149"/>
    <hyperlink xmlns:r="http://schemas.openxmlformats.org/officeDocument/2006/relationships" ref="F78" r:id="rId150"/>
    <hyperlink xmlns:r="http://schemas.openxmlformats.org/officeDocument/2006/relationships" ref="A80" r:id="rId151"/>
    <hyperlink xmlns:r="http://schemas.openxmlformats.org/officeDocument/2006/relationships" ref="C80" r:id="rId152"/>
    <hyperlink xmlns:r="http://schemas.openxmlformats.org/officeDocument/2006/relationships" ref="F79" r:id="rId153"/>
    <hyperlink xmlns:r="http://schemas.openxmlformats.org/officeDocument/2006/relationships" ref="A81" r:id="rId154"/>
    <hyperlink xmlns:r="http://schemas.openxmlformats.org/officeDocument/2006/relationships" ref="C81" r:id="rId155"/>
    <hyperlink xmlns:r="http://schemas.openxmlformats.org/officeDocument/2006/relationships" ref="F80" r:id="rId156"/>
    <hyperlink xmlns:r="http://schemas.openxmlformats.org/officeDocument/2006/relationships" ref="A82" r:id="rId157"/>
    <hyperlink xmlns:r="http://schemas.openxmlformats.org/officeDocument/2006/relationships" ref="C82" r:id="rId158"/>
    <hyperlink xmlns:r="http://schemas.openxmlformats.org/officeDocument/2006/relationships" ref="F81" r:id="rId159"/>
    <hyperlink xmlns:r="http://schemas.openxmlformats.org/officeDocument/2006/relationships" ref="A83" r:id="rId160"/>
    <hyperlink xmlns:r="http://schemas.openxmlformats.org/officeDocument/2006/relationships" ref="C83" r:id="rId161"/>
    <hyperlink xmlns:r="http://schemas.openxmlformats.org/officeDocument/2006/relationships" ref="F82" r:id="rId162"/>
    <hyperlink xmlns:r="http://schemas.openxmlformats.org/officeDocument/2006/relationships" ref="A84" r:id="rId163"/>
    <hyperlink xmlns:r="http://schemas.openxmlformats.org/officeDocument/2006/relationships" ref="C84" r:id="rId164"/>
    <hyperlink xmlns:r="http://schemas.openxmlformats.org/officeDocument/2006/relationships" ref="F83" r:id="rId165"/>
    <hyperlink xmlns:r="http://schemas.openxmlformats.org/officeDocument/2006/relationships" ref="A85" r:id="rId166"/>
    <hyperlink xmlns:r="http://schemas.openxmlformats.org/officeDocument/2006/relationships" ref="C85" r:id="rId167"/>
    <hyperlink xmlns:r="http://schemas.openxmlformats.org/officeDocument/2006/relationships" ref="F84" r:id="rId168"/>
    <hyperlink xmlns:r="http://schemas.openxmlformats.org/officeDocument/2006/relationships" ref="A86" r:id="rId169"/>
    <hyperlink xmlns:r="http://schemas.openxmlformats.org/officeDocument/2006/relationships" ref="C86" r:id="rId170"/>
    <hyperlink xmlns:r="http://schemas.openxmlformats.org/officeDocument/2006/relationships" ref="F85" r:id="rId171"/>
    <hyperlink xmlns:r="http://schemas.openxmlformats.org/officeDocument/2006/relationships" ref="A87" r:id="rId172"/>
    <hyperlink xmlns:r="http://schemas.openxmlformats.org/officeDocument/2006/relationships" ref="C87" r:id="rId173"/>
    <hyperlink xmlns:r="http://schemas.openxmlformats.org/officeDocument/2006/relationships" ref="F86" r:id="rId174"/>
    <hyperlink xmlns:r="http://schemas.openxmlformats.org/officeDocument/2006/relationships" ref="A88" r:id="rId175"/>
    <hyperlink xmlns:r="http://schemas.openxmlformats.org/officeDocument/2006/relationships" ref="C88" r:id="rId176"/>
    <hyperlink xmlns:r="http://schemas.openxmlformats.org/officeDocument/2006/relationships" ref="F87" r:id="rId177"/>
    <hyperlink xmlns:r="http://schemas.openxmlformats.org/officeDocument/2006/relationships" ref="A89" r:id="rId178"/>
    <hyperlink xmlns:r="http://schemas.openxmlformats.org/officeDocument/2006/relationships" ref="C89" r:id="rId179"/>
    <hyperlink xmlns:r="http://schemas.openxmlformats.org/officeDocument/2006/relationships" ref="F88" r:id="rId180"/>
    <hyperlink xmlns:r="http://schemas.openxmlformats.org/officeDocument/2006/relationships" ref="A90" r:id="rId181"/>
    <hyperlink xmlns:r="http://schemas.openxmlformats.org/officeDocument/2006/relationships" ref="C90" r:id="rId182"/>
    <hyperlink xmlns:r="http://schemas.openxmlformats.org/officeDocument/2006/relationships" ref="F89" r:id="rId183"/>
    <hyperlink xmlns:r="http://schemas.openxmlformats.org/officeDocument/2006/relationships" ref="A91" r:id="rId184"/>
    <hyperlink xmlns:r="http://schemas.openxmlformats.org/officeDocument/2006/relationships" ref="C91" r:id="rId185"/>
    <hyperlink xmlns:r="http://schemas.openxmlformats.org/officeDocument/2006/relationships" ref="F90" r:id="rId186"/>
    <hyperlink xmlns:r="http://schemas.openxmlformats.org/officeDocument/2006/relationships" ref="A92" r:id="rId187"/>
    <hyperlink xmlns:r="http://schemas.openxmlformats.org/officeDocument/2006/relationships" ref="C92" r:id="rId188"/>
    <hyperlink xmlns:r="http://schemas.openxmlformats.org/officeDocument/2006/relationships" ref="F91" r:id="rId189"/>
    <hyperlink xmlns:r="http://schemas.openxmlformats.org/officeDocument/2006/relationships" ref="A93" r:id="rId190"/>
    <hyperlink xmlns:r="http://schemas.openxmlformats.org/officeDocument/2006/relationships" ref="C93" r:id="rId191"/>
    <hyperlink xmlns:r="http://schemas.openxmlformats.org/officeDocument/2006/relationships" ref="F92" r:id="rId192"/>
    <hyperlink xmlns:r="http://schemas.openxmlformats.org/officeDocument/2006/relationships" ref="A94" r:id="rId193"/>
    <hyperlink xmlns:r="http://schemas.openxmlformats.org/officeDocument/2006/relationships" ref="C94" r:id="rId194"/>
    <hyperlink xmlns:r="http://schemas.openxmlformats.org/officeDocument/2006/relationships" ref="F93" r:id="rId195"/>
    <hyperlink xmlns:r="http://schemas.openxmlformats.org/officeDocument/2006/relationships" ref="A95" r:id="rId196"/>
    <hyperlink xmlns:r="http://schemas.openxmlformats.org/officeDocument/2006/relationships" ref="C95" r:id="rId197"/>
    <hyperlink xmlns:r="http://schemas.openxmlformats.org/officeDocument/2006/relationships" ref="F94" r:id="rId198"/>
    <hyperlink xmlns:r="http://schemas.openxmlformats.org/officeDocument/2006/relationships" ref="A96" r:id="rId199"/>
    <hyperlink xmlns:r="http://schemas.openxmlformats.org/officeDocument/2006/relationships" ref="C96" r:id="rId200"/>
    <hyperlink xmlns:r="http://schemas.openxmlformats.org/officeDocument/2006/relationships" ref="F95" r:id="rId201"/>
    <hyperlink xmlns:r="http://schemas.openxmlformats.org/officeDocument/2006/relationships" ref="A97" r:id="rId202"/>
    <hyperlink xmlns:r="http://schemas.openxmlformats.org/officeDocument/2006/relationships" ref="C97" r:id="rId203"/>
    <hyperlink xmlns:r="http://schemas.openxmlformats.org/officeDocument/2006/relationships" ref="F96" r:id="rId204"/>
    <hyperlink xmlns:r="http://schemas.openxmlformats.org/officeDocument/2006/relationships" ref="A98" r:id="rId205"/>
    <hyperlink xmlns:r="http://schemas.openxmlformats.org/officeDocument/2006/relationships" ref="C98" r:id="rId206"/>
    <hyperlink xmlns:r="http://schemas.openxmlformats.org/officeDocument/2006/relationships" ref="F97" r:id="rId207"/>
    <hyperlink xmlns:r="http://schemas.openxmlformats.org/officeDocument/2006/relationships" ref="A99" r:id="rId208"/>
    <hyperlink xmlns:r="http://schemas.openxmlformats.org/officeDocument/2006/relationships" ref="C99" r:id="rId209"/>
    <hyperlink xmlns:r="http://schemas.openxmlformats.org/officeDocument/2006/relationships" ref="F98" r:id="rId210"/>
    <hyperlink xmlns:r="http://schemas.openxmlformats.org/officeDocument/2006/relationships" ref="A100" r:id="rId211"/>
    <hyperlink xmlns:r="http://schemas.openxmlformats.org/officeDocument/2006/relationships" ref="C100" r:id="rId212"/>
    <hyperlink xmlns:r="http://schemas.openxmlformats.org/officeDocument/2006/relationships" ref="F99" r:id="rId213"/>
    <hyperlink xmlns:r="http://schemas.openxmlformats.org/officeDocument/2006/relationships" ref="A101" r:id="rId214"/>
    <hyperlink xmlns:r="http://schemas.openxmlformats.org/officeDocument/2006/relationships" ref="C101" r:id="rId215"/>
    <hyperlink xmlns:r="http://schemas.openxmlformats.org/officeDocument/2006/relationships" ref="F100" r:id="rId216"/>
    <hyperlink xmlns:r="http://schemas.openxmlformats.org/officeDocument/2006/relationships" ref="A102" r:id="rId217"/>
    <hyperlink xmlns:r="http://schemas.openxmlformats.org/officeDocument/2006/relationships" ref="C102" r:id="rId218"/>
    <hyperlink xmlns:r="http://schemas.openxmlformats.org/officeDocument/2006/relationships" ref="F101" r:id="rId219"/>
    <hyperlink xmlns:r="http://schemas.openxmlformats.org/officeDocument/2006/relationships" ref="A103" r:id="rId220"/>
    <hyperlink xmlns:r="http://schemas.openxmlformats.org/officeDocument/2006/relationships" ref="C103" r:id="rId221"/>
    <hyperlink xmlns:r="http://schemas.openxmlformats.org/officeDocument/2006/relationships" ref="F102" r:id="rId222"/>
    <hyperlink xmlns:r="http://schemas.openxmlformats.org/officeDocument/2006/relationships" ref="A104" r:id="rId223"/>
    <hyperlink xmlns:r="http://schemas.openxmlformats.org/officeDocument/2006/relationships" ref="C104" r:id="rId224"/>
    <hyperlink xmlns:r="http://schemas.openxmlformats.org/officeDocument/2006/relationships" ref="F103" r:id="rId225"/>
    <hyperlink xmlns:r="http://schemas.openxmlformats.org/officeDocument/2006/relationships" ref="A105" r:id="rId226"/>
    <hyperlink xmlns:r="http://schemas.openxmlformats.org/officeDocument/2006/relationships" ref="C105" r:id="rId227"/>
    <hyperlink xmlns:r="http://schemas.openxmlformats.org/officeDocument/2006/relationships" ref="F104" r:id="rId228"/>
    <hyperlink xmlns:r="http://schemas.openxmlformats.org/officeDocument/2006/relationships" ref="A106" r:id="rId229"/>
    <hyperlink xmlns:r="http://schemas.openxmlformats.org/officeDocument/2006/relationships" ref="C106" r:id="rId230"/>
    <hyperlink xmlns:r="http://schemas.openxmlformats.org/officeDocument/2006/relationships" ref="F105" r:id="rId231"/>
    <hyperlink xmlns:r="http://schemas.openxmlformats.org/officeDocument/2006/relationships" ref="A107" r:id="rId232"/>
    <hyperlink xmlns:r="http://schemas.openxmlformats.org/officeDocument/2006/relationships" ref="C107" r:id="rId233"/>
    <hyperlink xmlns:r="http://schemas.openxmlformats.org/officeDocument/2006/relationships" ref="F106" r:id="rId234"/>
    <hyperlink xmlns:r="http://schemas.openxmlformats.org/officeDocument/2006/relationships" ref="A108" r:id="rId235"/>
    <hyperlink xmlns:r="http://schemas.openxmlformats.org/officeDocument/2006/relationships" ref="C108" r:id="rId236"/>
    <hyperlink xmlns:r="http://schemas.openxmlformats.org/officeDocument/2006/relationships" ref="F107" r:id="rId237"/>
    <hyperlink xmlns:r="http://schemas.openxmlformats.org/officeDocument/2006/relationships" ref="A109" r:id="rId238"/>
    <hyperlink xmlns:r="http://schemas.openxmlformats.org/officeDocument/2006/relationships" ref="C109" r:id="rId239"/>
    <hyperlink xmlns:r="http://schemas.openxmlformats.org/officeDocument/2006/relationships" ref="F108" r:id="rId240"/>
    <hyperlink xmlns:r="http://schemas.openxmlformats.org/officeDocument/2006/relationships" ref="A110" r:id="rId241"/>
    <hyperlink xmlns:r="http://schemas.openxmlformats.org/officeDocument/2006/relationships" ref="C110" r:id="rId242"/>
    <hyperlink xmlns:r="http://schemas.openxmlformats.org/officeDocument/2006/relationships" ref="F109" r:id="rId243"/>
    <hyperlink xmlns:r="http://schemas.openxmlformats.org/officeDocument/2006/relationships" ref="A111" r:id="rId244"/>
    <hyperlink xmlns:r="http://schemas.openxmlformats.org/officeDocument/2006/relationships" ref="C111" r:id="rId245"/>
    <hyperlink xmlns:r="http://schemas.openxmlformats.org/officeDocument/2006/relationships" ref="F110" r:id="rId246"/>
    <hyperlink xmlns:r="http://schemas.openxmlformats.org/officeDocument/2006/relationships" ref="A112" r:id="rId247"/>
    <hyperlink xmlns:r="http://schemas.openxmlformats.org/officeDocument/2006/relationships" ref="C112" r:id="rId248"/>
    <hyperlink xmlns:r="http://schemas.openxmlformats.org/officeDocument/2006/relationships" ref="F111" r:id="rId249"/>
    <hyperlink xmlns:r="http://schemas.openxmlformats.org/officeDocument/2006/relationships" ref="A113" r:id="rId250"/>
    <hyperlink xmlns:r="http://schemas.openxmlformats.org/officeDocument/2006/relationships" ref="C113" r:id="rId251"/>
    <hyperlink xmlns:r="http://schemas.openxmlformats.org/officeDocument/2006/relationships" ref="F112" r:id="rId252"/>
    <hyperlink xmlns:r="http://schemas.openxmlformats.org/officeDocument/2006/relationships" ref="A114" r:id="rId253"/>
    <hyperlink xmlns:r="http://schemas.openxmlformats.org/officeDocument/2006/relationships" ref="C114" r:id="rId254"/>
    <hyperlink xmlns:r="http://schemas.openxmlformats.org/officeDocument/2006/relationships" ref="F113" r:id="rId255"/>
    <hyperlink xmlns:r="http://schemas.openxmlformats.org/officeDocument/2006/relationships" ref="A115" r:id="rId256"/>
    <hyperlink xmlns:r="http://schemas.openxmlformats.org/officeDocument/2006/relationships" ref="C115" r:id="rId257"/>
    <hyperlink xmlns:r="http://schemas.openxmlformats.org/officeDocument/2006/relationships" ref="F114" r:id="rId258"/>
    <hyperlink xmlns:r="http://schemas.openxmlformats.org/officeDocument/2006/relationships" ref="A116" r:id="rId259"/>
    <hyperlink xmlns:r="http://schemas.openxmlformats.org/officeDocument/2006/relationships" ref="C116" r:id="rId260"/>
    <hyperlink xmlns:r="http://schemas.openxmlformats.org/officeDocument/2006/relationships" ref="F115" r:id="rId261"/>
    <hyperlink xmlns:r="http://schemas.openxmlformats.org/officeDocument/2006/relationships" ref="A117" r:id="rId262"/>
    <hyperlink xmlns:r="http://schemas.openxmlformats.org/officeDocument/2006/relationships" ref="C117" r:id="rId263"/>
    <hyperlink xmlns:r="http://schemas.openxmlformats.org/officeDocument/2006/relationships" ref="F116" r:id="rId264"/>
    <hyperlink xmlns:r="http://schemas.openxmlformats.org/officeDocument/2006/relationships" ref="A118" r:id="rId265"/>
    <hyperlink xmlns:r="http://schemas.openxmlformats.org/officeDocument/2006/relationships" ref="C118" r:id="rId266"/>
    <hyperlink xmlns:r="http://schemas.openxmlformats.org/officeDocument/2006/relationships" ref="F117" r:id="rId267"/>
    <hyperlink xmlns:r="http://schemas.openxmlformats.org/officeDocument/2006/relationships" ref="A119" r:id="rId268"/>
    <hyperlink xmlns:r="http://schemas.openxmlformats.org/officeDocument/2006/relationships" ref="C119" r:id="rId269"/>
    <hyperlink xmlns:r="http://schemas.openxmlformats.org/officeDocument/2006/relationships" ref="F118" r:id="rId270"/>
    <hyperlink xmlns:r="http://schemas.openxmlformats.org/officeDocument/2006/relationships" ref="A120" r:id="rId271"/>
    <hyperlink xmlns:r="http://schemas.openxmlformats.org/officeDocument/2006/relationships" ref="C120" r:id="rId272"/>
    <hyperlink xmlns:r="http://schemas.openxmlformats.org/officeDocument/2006/relationships" ref="F119" r:id="rId273"/>
    <hyperlink xmlns:r="http://schemas.openxmlformats.org/officeDocument/2006/relationships" ref="A121" r:id="rId274"/>
    <hyperlink xmlns:r="http://schemas.openxmlformats.org/officeDocument/2006/relationships" ref="C121" r:id="rId275"/>
    <hyperlink xmlns:r="http://schemas.openxmlformats.org/officeDocument/2006/relationships" ref="F120" r:id="rId276"/>
    <hyperlink xmlns:r="http://schemas.openxmlformats.org/officeDocument/2006/relationships" ref="A122" r:id="rId277"/>
    <hyperlink xmlns:r="http://schemas.openxmlformats.org/officeDocument/2006/relationships" ref="C122" r:id="rId278"/>
    <hyperlink xmlns:r="http://schemas.openxmlformats.org/officeDocument/2006/relationships" ref="F121" r:id="rId279"/>
    <hyperlink xmlns:r="http://schemas.openxmlformats.org/officeDocument/2006/relationships" ref="A123" r:id="rId280"/>
    <hyperlink xmlns:r="http://schemas.openxmlformats.org/officeDocument/2006/relationships" ref="C123" r:id="rId281"/>
    <hyperlink xmlns:r="http://schemas.openxmlformats.org/officeDocument/2006/relationships" ref="F122" r:id="rId282"/>
    <hyperlink xmlns:r="http://schemas.openxmlformats.org/officeDocument/2006/relationships" ref="A124" r:id="rId283"/>
    <hyperlink xmlns:r="http://schemas.openxmlformats.org/officeDocument/2006/relationships" ref="C124" r:id="rId284"/>
    <hyperlink xmlns:r="http://schemas.openxmlformats.org/officeDocument/2006/relationships" ref="F123" r:id="rId285"/>
    <hyperlink xmlns:r="http://schemas.openxmlformats.org/officeDocument/2006/relationships" ref="A125" r:id="rId286"/>
    <hyperlink xmlns:r="http://schemas.openxmlformats.org/officeDocument/2006/relationships" ref="C125" r:id="rId287"/>
    <hyperlink xmlns:r="http://schemas.openxmlformats.org/officeDocument/2006/relationships" ref="F124" r:id="rId288"/>
    <hyperlink xmlns:r="http://schemas.openxmlformats.org/officeDocument/2006/relationships" ref="A126" r:id="rId289"/>
    <hyperlink xmlns:r="http://schemas.openxmlformats.org/officeDocument/2006/relationships" ref="C126" r:id="rId290"/>
    <hyperlink xmlns:r="http://schemas.openxmlformats.org/officeDocument/2006/relationships" ref="F125" r:id="rId291"/>
    <hyperlink xmlns:r="http://schemas.openxmlformats.org/officeDocument/2006/relationships" ref="A127" r:id="rId292"/>
    <hyperlink xmlns:r="http://schemas.openxmlformats.org/officeDocument/2006/relationships" ref="C127" r:id="rId293"/>
    <hyperlink xmlns:r="http://schemas.openxmlformats.org/officeDocument/2006/relationships" ref="F126" r:id="rId294"/>
    <hyperlink xmlns:r="http://schemas.openxmlformats.org/officeDocument/2006/relationships" ref="A128" r:id="rId295"/>
    <hyperlink xmlns:r="http://schemas.openxmlformats.org/officeDocument/2006/relationships" ref="C128" r:id="rId296"/>
    <hyperlink xmlns:r="http://schemas.openxmlformats.org/officeDocument/2006/relationships" ref="F127" r:id="rId297"/>
    <hyperlink xmlns:r="http://schemas.openxmlformats.org/officeDocument/2006/relationships" ref="A129" r:id="rId298"/>
    <hyperlink xmlns:r="http://schemas.openxmlformats.org/officeDocument/2006/relationships" ref="C129" r:id="rId299"/>
    <hyperlink xmlns:r="http://schemas.openxmlformats.org/officeDocument/2006/relationships" ref="F128" r:id="rId300"/>
    <hyperlink xmlns:r="http://schemas.openxmlformats.org/officeDocument/2006/relationships" ref="A130" r:id="rId301"/>
    <hyperlink xmlns:r="http://schemas.openxmlformats.org/officeDocument/2006/relationships" ref="C130" r:id="rId302"/>
    <hyperlink xmlns:r="http://schemas.openxmlformats.org/officeDocument/2006/relationships" ref="F129" r:id="rId303"/>
    <hyperlink xmlns:r="http://schemas.openxmlformats.org/officeDocument/2006/relationships" ref="A131" r:id="rId304"/>
    <hyperlink xmlns:r="http://schemas.openxmlformats.org/officeDocument/2006/relationships" ref="C131" r:id="rId305"/>
    <hyperlink xmlns:r="http://schemas.openxmlformats.org/officeDocument/2006/relationships" ref="F130" r:id="rId306"/>
    <hyperlink xmlns:r="http://schemas.openxmlformats.org/officeDocument/2006/relationships" ref="A132" r:id="rId307"/>
    <hyperlink xmlns:r="http://schemas.openxmlformats.org/officeDocument/2006/relationships" ref="C132" r:id="rId308"/>
    <hyperlink xmlns:r="http://schemas.openxmlformats.org/officeDocument/2006/relationships" ref="F131" r:id="rId309"/>
    <hyperlink xmlns:r="http://schemas.openxmlformats.org/officeDocument/2006/relationships" ref="A133" r:id="rId310"/>
    <hyperlink xmlns:r="http://schemas.openxmlformats.org/officeDocument/2006/relationships" ref="C133" r:id="rId311"/>
    <hyperlink xmlns:r="http://schemas.openxmlformats.org/officeDocument/2006/relationships" ref="F132" r:id="rId312"/>
    <hyperlink xmlns:r="http://schemas.openxmlformats.org/officeDocument/2006/relationships" ref="A134" r:id="rId313"/>
    <hyperlink xmlns:r="http://schemas.openxmlformats.org/officeDocument/2006/relationships" ref="C134" r:id="rId314"/>
    <hyperlink xmlns:r="http://schemas.openxmlformats.org/officeDocument/2006/relationships" ref="F133" r:id="rId315"/>
    <hyperlink xmlns:r="http://schemas.openxmlformats.org/officeDocument/2006/relationships" ref="A135" r:id="rId316"/>
    <hyperlink xmlns:r="http://schemas.openxmlformats.org/officeDocument/2006/relationships" ref="C135" r:id="rId317"/>
    <hyperlink xmlns:r="http://schemas.openxmlformats.org/officeDocument/2006/relationships" ref="F134" r:id="rId318"/>
    <hyperlink xmlns:r="http://schemas.openxmlformats.org/officeDocument/2006/relationships" ref="A136" r:id="rId319"/>
    <hyperlink xmlns:r="http://schemas.openxmlformats.org/officeDocument/2006/relationships" ref="C136" r:id="rId320"/>
    <hyperlink xmlns:r="http://schemas.openxmlformats.org/officeDocument/2006/relationships" ref="F135" r:id="rId321"/>
    <hyperlink xmlns:r="http://schemas.openxmlformats.org/officeDocument/2006/relationships" ref="A137" r:id="rId322"/>
    <hyperlink xmlns:r="http://schemas.openxmlformats.org/officeDocument/2006/relationships" ref="C137" r:id="rId323"/>
    <hyperlink xmlns:r="http://schemas.openxmlformats.org/officeDocument/2006/relationships" ref="F136" r:id="rId324"/>
    <hyperlink xmlns:r="http://schemas.openxmlformats.org/officeDocument/2006/relationships" ref="A138" r:id="rId325"/>
    <hyperlink xmlns:r="http://schemas.openxmlformats.org/officeDocument/2006/relationships" ref="C138" r:id="rId326"/>
    <hyperlink xmlns:r="http://schemas.openxmlformats.org/officeDocument/2006/relationships" ref="F137" r:id="rId327"/>
    <hyperlink xmlns:r="http://schemas.openxmlformats.org/officeDocument/2006/relationships" ref="A139" r:id="rId328"/>
    <hyperlink xmlns:r="http://schemas.openxmlformats.org/officeDocument/2006/relationships" ref="C139" r:id="rId329"/>
    <hyperlink xmlns:r="http://schemas.openxmlformats.org/officeDocument/2006/relationships" ref="F138" r:id="rId330"/>
    <hyperlink xmlns:r="http://schemas.openxmlformats.org/officeDocument/2006/relationships" ref="A140" r:id="rId331"/>
    <hyperlink xmlns:r="http://schemas.openxmlformats.org/officeDocument/2006/relationships" ref="C140" r:id="rId332"/>
    <hyperlink xmlns:r="http://schemas.openxmlformats.org/officeDocument/2006/relationships" ref="F139" r:id="rId333"/>
    <hyperlink xmlns:r="http://schemas.openxmlformats.org/officeDocument/2006/relationships" ref="A141" r:id="rId334"/>
    <hyperlink xmlns:r="http://schemas.openxmlformats.org/officeDocument/2006/relationships" ref="C141" r:id="rId335"/>
    <hyperlink xmlns:r="http://schemas.openxmlformats.org/officeDocument/2006/relationships" ref="F140" r:id="rId336"/>
    <hyperlink xmlns:r="http://schemas.openxmlformats.org/officeDocument/2006/relationships" ref="A142" r:id="rId337"/>
    <hyperlink xmlns:r="http://schemas.openxmlformats.org/officeDocument/2006/relationships" ref="C142" r:id="rId338"/>
    <hyperlink xmlns:r="http://schemas.openxmlformats.org/officeDocument/2006/relationships" ref="F141" r:id="rId339"/>
    <hyperlink xmlns:r="http://schemas.openxmlformats.org/officeDocument/2006/relationships" ref="A143" r:id="rId340"/>
    <hyperlink xmlns:r="http://schemas.openxmlformats.org/officeDocument/2006/relationships" ref="C143" r:id="rId341"/>
    <hyperlink xmlns:r="http://schemas.openxmlformats.org/officeDocument/2006/relationships" ref="F142" r:id="rId342"/>
    <hyperlink xmlns:r="http://schemas.openxmlformats.org/officeDocument/2006/relationships" ref="A144" r:id="rId343"/>
    <hyperlink xmlns:r="http://schemas.openxmlformats.org/officeDocument/2006/relationships" ref="C144" r:id="rId344"/>
    <hyperlink xmlns:r="http://schemas.openxmlformats.org/officeDocument/2006/relationships" ref="F143" r:id="rId345"/>
    <hyperlink xmlns:r="http://schemas.openxmlformats.org/officeDocument/2006/relationships" ref="A145" r:id="rId346"/>
    <hyperlink xmlns:r="http://schemas.openxmlformats.org/officeDocument/2006/relationships" ref="C145" r:id="rId347"/>
    <hyperlink xmlns:r="http://schemas.openxmlformats.org/officeDocument/2006/relationships" ref="F144" r:id="rId348"/>
    <hyperlink xmlns:r="http://schemas.openxmlformats.org/officeDocument/2006/relationships" ref="A146" r:id="rId349"/>
    <hyperlink xmlns:r="http://schemas.openxmlformats.org/officeDocument/2006/relationships" ref="C146" r:id="rId350"/>
    <hyperlink xmlns:r="http://schemas.openxmlformats.org/officeDocument/2006/relationships" ref="F145" r:id="rId351"/>
    <hyperlink xmlns:r="http://schemas.openxmlformats.org/officeDocument/2006/relationships" ref="A147" r:id="rId352"/>
    <hyperlink xmlns:r="http://schemas.openxmlformats.org/officeDocument/2006/relationships" ref="C147" r:id="rId353"/>
    <hyperlink xmlns:r="http://schemas.openxmlformats.org/officeDocument/2006/relationships" ref="F146" r:id="rId354"/>
    <hyperlink xmlns:r="http://schemas.openxmlformats.org/officeDocument/2006/relationships" ref="A148" r:id="rId355"/>
    <hyperlink xmlns:r="http://schemas.openxmlformats.org/officeDocument/2006/relationships" ref="C148" r:id="rId356"/>
    <hyperlink xmlns:r="http://schemas.openxmlformats.org/officeDocument/2006/relationships" ref="F147" r:id="rId357"/>
    <hyperlink xmlns:r="http://schemas.openxmlformats.org/officeDocument/2006/relationships" ref="A149" r:id="rId358"/>
    <hyperlink xmlns:r="http://schemas.openxmlformats.org/officeDocument/2006/relationships" ref="C149" r:id="rId359"/>
    <hyperlink xmlns:r="http://schemas.openxmlformats.org/officeDocument/2006/relationships" ref="F148" r:id="rId360"/>
    <hyperlink xmlns:r="http://schemas.openxmlformats.org/officeDocument/2006/relationships" ref="A150" r:id="rId361"/>
    <hyperlink xmlns:r="http://schemas.openxmlformats.org/officeDocument/2006/relationships" ref="C150" r:id="rId362"/>
    <hyperlink xmlns:r="http://schemas.openxmlformats.org/officeDocument/2006/relationships" ref="F149" r:id="rId363"/>
    <hyperlink xmlns:r="http://schemas.openxmlformats.org/officeDocument/2006/relationships" ref="A151" r:id="rId364"/>
    <hyperlink xmlns:r="http://schemas.openxmlformats.org/officeDocument/2006/relationships" ref="C151" r:id="rId365"/>
    <hyperlink xmlns:r="http://schemas.openxmlformats.org/officeDocument/2006/relationships" ref="F150" r:id="rId366"/>
    <hyperlink xmlns:r="http://schemas.openxmlformats.org/officeDocument/2006/relationships" ref="A152" r:id="rId367"/>
    <hyperlink xmlns:r="http://schemas.openxmlformats.org/officeDocument/2006/relationships" ref="C152" r:id="rId368"/>
    <hyperlink xmlns:r="http://schemas.openxmlformats.org/officeDocument/2006/relationships" ref="F151" r:id="rId369"/>
    <hyperlink xmlns:r="http://schemas.openxmlformats.org/officeDocument/2006/relationships" ref="A153" r:id="rId370"/>
    <hyperlink xmlns:r="http://schemas.openxmlformats.org/officeDocument/2006/relationships" ref="C153" r:id="rId371"/>
    <hyperlink xmlns:r="http://schemas.openxmlformats.org/officeDocument/2006/relationships" ref="F152" r:id="rId372"/>
    <hyperlink xmlns:r="http://schemas.openxmlformats.org/officeDocument/2006/relationships" ref="A154" r:id="rId373"/>
    <hyperlink xmlns:r="http://schemas.openxmlformats.org/officeDocument/2006/relationships" ref="C154" r:id="rId374"/>
    <hyperlink xmlns:r="http://schemas.openxmlformats.org/officeDocument/2006/relationships" ref="F153" r:id="rId375"/>
    <hyperlink xmlns:r="http://schemas.openxmlformats.org/officeDocument/2006/relationships" ref="A155" r:id="rId376"/>
    <hyperlink xmlns:r="http://schemas.openxmlformats.org/officeDocument/2006/relationships" ref="C155" r:id="rId377"/>
    <hyperlink xmlns:r="http://schemas.openxmlformats.org/officeDocument/2006/relationships" ref="F154" r:id="rId378"/>
    <hyperlink xmlns:r="http://schemas.openxmlformats.org/officeDocument/2006/relationships" ref="A156" r:id="rId379"/>
    <hyperlink xmlns:r="http://schemas.openxmlformats.org/officeDocument/2006/relationships" ref="C156" r:id="rId380"/>
    <hyperlink xmlns:r="http://schemas.openxmlformats.org/officeDocument/2006/relationships" ref="F155" r:id="rId381"/>
    <hyperlink xmlns:r="http://schemas.openxmlformats.org/officeDocument/2006/relationships" ref="A157" r:id="rId382"/>
    <hyperlink xmlns:r="http://schemas.openxmlformats.org/officeDocument/2006/relationships" ref="C157" r:id="rId383"/>
    <hyperlink xmlns:r="http://schemas.openxmlformats.org/officeDocument/2006/relationships" ref="F156" r:id="rId384"/>
    <hyperlink xmlns:r="http://schemas.openxmlformats.org/officeDocument/2006/relationships" ref="A158" r:id="rId385"/>
    <hyperlink xmlns:r="http://schemas.openxmlformats.org/officeDocument/2006/relationships" ref="C158" r:id="rId386"/>
    <hyperlink xmlns:r="http://schemas.openxmlformats.org/officeDocument/2006/relationships" ref="F157" r:id="rId387"/>
    <hyperlink xmlns:r="http://schemas.openxmlformats.org/officeDocument/2006/relationships" ref="A159" r:id="rId388"/>
    <hyperlink xmlns:r="http://schemas.openxmlformats.org/officeDocument/2006/relationships" ref="C159" r:id="rId389"/>
    <hyperlink xmlns:r="http://schemas.openxmlformats.org/officeDocument/2006/relationships" ref="F158" r:id="rId390"/>
    <hyperlink xmlns:r="http://schemas.openxmlformats.org/officeDocument/2006/relationships" ref="A160" r:id="rId391"/>
    <hyperlink xmlns:r="http://schemas.openxmlformats.org/officeDocument/2006/relationships" ref="C160" r:id="rId392"/>
    <hyperlink xmlns:r="http://schemas.openxmlformats.org/officeDocument/2006/relationships" ref="F159" r:id="rId393"/>
    <hyperlink xmlns:r="http://schemas.openxmlformats.org/officeDocument/2006/relationships" ref="A161" r:id="rId394"/>
    <hyperlink xmlns:r="http://schemas.openxmlformats.org/officeDocument/2006/relationships" ref="C161" r:id="rId395"/>
    <hyperlink xmlns:r="http://schemas.openxmlformats.org/officeDocument/2006/relationships" ref="F160" r:id="rId396"/>
    <hyperlink xmlns:r="http://schemas.openxmlformats.org/officeDocument/2006/relationships" ref="A162" r:id="rId397"/>
    <hyperlink xmlns:r="http://schemas.openxmlformats.org/officeDocument/2006/relationships" ref="C162" r:id="rId398"/>
    <hyperlink xmlns:r="http://schemas.openxmlformats.org/officeDocument/2006/relationships" ref="F161" r:id="rId399"/>
    <hyperlink xmlns:r="http://schemas.openxmlformats.org/officeDocument/2006/relationships" ref="A163" r:id="rId400"/>
    <hyperlink xmlns:r="http://schemas.openxmlformats.org/officeDocument/2006/relationships" ref="C163" r:id="rId401"/>
    <hyperlink xmlns:r="http://schemas.openxmlformats.org/officeDocument/2006/relationships" ref="F162" r:id="rId402"/>
    <hyperlink xmlns:r="http://schemas.openxmlformats.org/officeDocument/2006/relationships" ref="A164" r:id="rId403"/>
    <hyperlink xmlns:r="http://schemas.openxmlformats.org/officeDocument/2006/relationships" ref="C164" r:id="rId404"/>
    <hyperlink xmlns:r="http://schemas.openxmlformats.org/officeDocument/2006/relationships" ref="F163" r:id="rId405"/>
    <hyperlink xmlns:r="http://schemas.openxmlformats.org/officeDocument/2006/relationships" ref="A165" r:id="rId406"/>
    <hyperlink xmlns:r="http://schemas.openxmlformats.org/officeDocument/2006/relationships" ref="C165" r:id="rId407"/>
    <hyperlink xmlns:r="http://schemas.openxmlformats.org/officeDocument/2006/relationships" ref="F164" r:id="rId408"/>
    <hyperlink xmlns:r="http://schemas.openxmlformats.org/officeDocument/2006/relationships" ref="A166" r:id="rId409"/>
    <hyperlink xmlns:r="http://schemas.openxmlformats.org/officeDocument/2006/relationships" ref="C166" r:id="rId410"/>
    <hyperlink xmlns:r="http://schemas.openxmlformats.org/officeDocument/2006/relationships" ref="F165" r:id="rId411"/>
    <hyperlink xmlns:r="http://schemas.openxmlformats.org/officeDocument/2006/relationships" ref="A167" r:id="rId412"/>
    <hyperlink xmlns:r="http://schemas.openxmlformats.org/officeDocument/2006/relationships" ref="C167" r:id="rId413"/>
    <hyperlink xmlns:r="http://schemas.openxmlformats.org/officeDocument/2006/relationships" ref="F166" r:id="rId414"/>
    <hyperlink xmlns:r="http://schemas.openxmlformats.org/officeDocument/2006/relationships" ref="A168" r:id="rId415"/>
    <hyperlink xmlns:r="http://schemas.openxmlformats.org/officeDocument/2006/relationships" ref="C168" r:id="rId416"/>
    <hyperlink xmlns:r="http://schemas.openxmlformats.org/officeDocument/2006/relationships" ref="F167" r:id="rId417"/>
    <hyperlink xmlns:r="http://schemas.openxmlformats.org/officeDocument/2006/relationships" ref="A169" r:id="rId418"/>
    <hyperlink xmlns:r="http://schemas.openxmlformats.org/officeDocument/2006/relationships" ref="C169" r:id="rId419"/>
    <hyperlink xmlns:r="http://schemas.openxmlformats.org/officeDocument/2006/relationships" ref="F168" r:id="rId420"/>
    <hyperlink xmlns:r="http://schemas.openxmlformats.org/officeDocument/2006/relationships" ref="A170" r:id="rId421"/>
    <hyperlink xmlns:r="http://schemas.openxmlformats.org/officeDocument/2006/relationships" ref="C170" r:id="rId422"/>
    <hyperlink xmlns:r="http://schemas.openxmlformats.org/officeDocument/2006/relationships" ref="F169" r:id="rId423"/>
    <hyperlink xmlns:r="http://schemas.openxmlformats.org/officeDocument/2006/relationships" ref="A171" r:id="rId424"/>
    <hyperlink xmlns:r="http://schemas.openxmlformats.org/officeDocument/2006/relationships" ref="C171" r:id="rId425"/>
    <hyperlink xmlns:r="http://schemas.openxmlformats.org/officeDocument/2006/relationships" ref="F170" r:id="rId426"/>
    <hyperlink xmlns:r="http://schemas.openxmlformats.org/officeDocument/2006/relationships" ref="A172" r:id="rId427"/>
    <hyperlink xmlns:r="http://schemas.openxmlformats.org/officeDocument/2006/relationships" ref="C172" r:id="rId428"/>
    <hyperlink xmlns:r="http://schemas.openxmlformats.org/officeDocument/2006/relationships" ref="F171" r:id="rId429"/>
    <hyperlink xmlns:r="http://schemas.openxmlformats.org/officeDocument/2006/relationships" ref="A173" r:id="rId430"/>
    <hyperlink xmlns:r="http://schemas.openxmlformats.org/officeDocument/2006/relationships" ref="C173" r:id="rId431"/>
    <hyperlink xmlns:r="http://schemas.openxmlformats.org/officeDocument/2006/relationships" ref="F172" r:id="rId432"/>
    <hyperlink xmlns:r="http://schemas.openxmlformats.org/officeDocument/2006/relationships" ref="A174" r:id="rId433"/>
    <hyperlink xmlns:r="http://schemas.openxmlformats.org/officeDocument/2006/relationships" ref="C174" r:id="rId434"/>
    <hyperlink xmlns:r="http://schemas.openxmlformats.org/officeDocument/2006/relationships" ref="F173" r:id="rId435"/>
    <hyperlink xmlns:r="http://schemas.openxmlformats.org/officeDocument/2006/relationships" ref="A175" r:id="rId436"/>
    <hyperlink xmlns:r="http://schemas.openxmlformats.org/officeDocument/2006/relationships" ref="C175" r:id="rId437"/>
    <hyperlink xmlns:r="http://schemas.openxmlformats.org/officeDocument/2006/relationships" ref="F174" r:id="rId438"/>
    <hyperlink xmlns:r="http://schemas.openxmlformats.org/officeDocument/2006/relationships" ref="A176" r:id="rId439"/>
    <hyperlink xmlns:r="http://schemas.openxmlformats.org/officeDocument/2006/relationships" ref="C176" r:id="rId440"/>
    <hyperlink xmlns:r="http://schemas.openxmlformats.org/officeDocument/2006/relationships" ref="F175" r:id="rId441"/>
    <hyperlink xmlns:r="http://schemas.openxmlformats.org/officeDocument/2006/relationships" ref="A177" r:id="rId442"/>
    <hyperlink xmlns:r="http://schemas.openxmlformats.org/officeDocument/2006/relationships" ref="C177" r:id="rId443"/>
    <hyperlink xmlns:r="http://schemas.openxmlformats.org/officeDocument/2006/relationships" ref="F176" r:id="rId444"/>
    <hyperlink xmlns:r="http://schemas.openxmlformats.org/officeDocument/2006/relationships" ref="A178" r:id="rId445"/>
    <hyperlink xmlns:r="http://schemas.openxmlformats.org/officeDocument/2006/relationships" ref="C178" r:id="rId446"/>
    <hyperlink xmlns:r="http://schemas.openxmlformats.org/officeDocument/2006/relationships" ref="F177" r:id="rId447"/>
    <hyperlink xmlns:r="http://schemas.openxmlformats.org/officeDocument/2006/relationships" ref="A179" r:id="rId448"/>
    <hyperlink xmlns:r="http://schemas.openxmlformats.org/officeDocument/2006/relationships" ref="C179" r:id="rId449"/>
    <hyperlink xmlns:r="http://schemas.openxmlformats.org/officeDocument/2006/relationships" ref="F178" r:id="rId450"/>
    <hyperlink xmlns:r="http://schemas.openxmlformats.org/officeDocument/2006/relationships" ref="A180" r:id="rId451"/>
    <hyperlink xmlns:r="http://schemas.openxmlformats.org/officeDocument/2006/relationships" ref="C180" r:id="rId452"/>
    <hyperlink xmlns:r="http://schemas.openxmlformats.org/officeDocument/2006/relationships" ref="F179" r:id="rId453"/>
    <hyperlink xmlns:r="http://schemas.openxmlformats.org/officeDocument/2006/relationships" ref="A181" r:id="rId454"/>
    <hyperlink xmlns:r="http://schemas.openxmlformats.org/officeDocument/2006/relationships" ref="C181" r:id="rId455"/>
    <hyperlink xmlns:r="http://schemas.openxmlformats.org/officeDocument/2006/relationships" ref="F180" r:id="rId456"/>
    <hyperlink xmlns:r="http://schemas.openxmlformats.org/officeDocument/2006/relationships" ref="A182" r:id="rId457"/>
    <hyperlink xmlns:r="http://schemas.openxmlformats.org/officeDocument/2006/relationships" ref="C182" r:id="rId458"/>
    <hyperlink xmlns:r="http://schemas.openxmlformats.org/officeDocument/2006/relationships" ref="F181" r:id="rId459"/>
    <hyperlink xmlns:r="http://schemas.openxmlformats.org/officeDocument/2006/relationships" ref="A183" r:id="rId460"/>
    <hyperlink xmlns:r="http://schemas.openxmlformats.org/officeDocument/2006/relationships" ref="C183" r:id="rId461"/>
    <hyperlink xmlns:r="http://schemas.openxmlformats.org/officeDocument/2006/relationships" ref="F182" r:id="rId462"/>
    <hyperlink xmlns:r="http://schemas.openxmlformats.org/officeDocument/2006/relationships" ref="A184" r:id="rId463"/>
    <hyperlink xmlns:r="http://schemas.openxmlformats.org/officeDocument/2006/relationships" ref="C184" r:id="rId464"/>
    <hyperlink xmlns:r="http://schemas.openxmlformats.org/officeDocument/2006/relationships" ref="F183" r:id="rId465"/>
    <hyperlink xmlns:r="http://schemas.openxmlformats.org/officeDocument/2006/relationships" ref="A185" r:id="rId466"/>
    <hyperlink xmlns:r="http://schemas.openxmlformats.org/officeDocument/2006/relationships" ref="C185" r:id="rId467"/>
    <hyperlink xmlns:r="http://schemas.openxmlformats.org/officeDocument/2006/relationships" ref="F184" r:id="rId468"/>
    <hyperlink xmlns:r="http://schemas.openxmlformats.org/officeDocument/2006/relationships" ref="A186" r:id="rId469"/>
    <hyperlink xmlns:r="http://schemas.openxmlformats.org/officeDocument/2006/relationships" ref="C186" r:id="rId470"/>
    <hyperlink xmlns:r="http://schemas.openxmlformats.org/officeDocument/2006/relationships" ref="F185" r:id="rId471"/>
    <hyperlink xmlns:r="http://schemas.openxmlformats.org/officeDocument/2006/relationships" ref="A187" r:id="rId472"/>
    <hyperlink xmlns:r="http://schemas.openxmlformats.org/officeDocument/2006/relationships" ref="C187" r:id="rId473"/>
    <hyperlink xmlns:r="http://schemas.openxmlformats.org/officeDocument/2006/relationships" ref="F186" r:id="rId474"/>
    <hyperlink xmlns:r="http://schemas.openxmlformats.org/officeDocument/2006/relationships" ref="A188" r:id="rId475"/>
    <hyperlink xmlns:r="http://schemas.openxmlformats.org/officeDocument/2006/relationships" ref="C188" r:id="rId476"/>
    <hyperlink xmlns:r="http://schemas.openxmlformats.org/officeDocument/2006/relationships" ref="F187" r:id="rId477"/>
    <hyperlink xmlns:r="http://schemas.openxmlformats.org/officeDocument/2006/relationships" ref="A189" r:id="rId478"/>
    <hyperlink xmlns:r="http://schemas.openxmlformats.org/officeDocument/2006/relationships" ref="C189" r:id="rId479"/>
    <hyperlink xmlns:r="http://schemas.openxmlformats.org/officeDocument/2006/relationships" ref="F188" r:id="rId480"/>
    <hyperlink xmlns:r="http://schemas.openxmlformats.org/officeDocument/2006/relationships" ref="A190" r:id="rId481"/>
    <hyperlink xmlns:r="http://schemas.openxmlformats.org/officeDocument/2006/relationships" ref="C190" r:id="rId482"/>
    <hyperlink xmlns:r="http://schemas.openxmlformats.org/officeDocument/2006/relationships" ref="F189" r:id="rId483"/>
    <hyperlink xmlns:r="http://schemas.openxmlformats.org/officeDocument/2006/relationships" ref="A191" r:id="rId484"/>
    <hyperlink xmlns:r="http://schemas.openxmlformats.org/officeDocument/2006/relationships" ref="C191" r:id="rId485"/>
    <hyperlink xmlns:r="http://schemas.openxmlformats.org/officeDocument/2006/relationships" ref="F190" r:id="rId486"/>
    <hyperlink xmlns:r="http://schemas.openxmlformats.org/officeDocument/2006/relationships" ref="A192" r:id="rId487"/>
    <hyperlink xmlns:r="http://schemas.openxmlformats.org/officeDocument/2006/relationships" ref="C192" r:id="rId488"/>
    <hyperlink xmlns:r="http://schemas.openxmlformats.org/officeDocument/2006/relationships" ref="F191" r:id="rId489"/>
    <hyperlink xmlns:r="http://schemas.openxmlformats.org/officeDocument/2006/relationships" ref="A193" r:id="rId490"/>
    <hyperlink xmlns:r="http://schemas.openxmlformats.org/officeDocument/2006/relationships" ref="C193" r:id="rId491"/>
    <hyperlink xmlns:r="http://schemas.openxmlformats.org/officeDocument/2006/relationships" ref="F192" r:id="rId492"/>
    <hyperlink xmlns:r="http://schemas.openxmlformats.org/officeDocument/2006/relationships" ref="A194" r:id="rId493"/>
    <hyperlink xmlns:r="http://schemas.openxmlformats.org/officeDocument/2006/relationships" ref="C194" r:id="rId494"/>
    <hyperlink xmlns:r="http://schemas.openxmlformats.org/officeDocument/2006/relationships" ref="F193" r:id="rId495"/>
    <hyperlink xmlns:r="http://schemas.openxmlformats.org/officeDocument/2006/relationships" ref="A195" r:id="rId496"/>
    <hyperlink xmlns:r="http://schemas.openxmlformats.org/officeDocument/2006/relationships" ref="C195" r:id="rId497"/>
    <hyperlink xmlns:r="http://schemas.openxmlformats.org/officeDocument/2006/relationships" ref="F194" r:id="rId498"/>
    <hyperlink xmlns:r="http://schemas.openxmlformats.org/officeDocument/2006/relationships" ref="A196" r:id="rId499"/>
    <hyperlink xmlns:r="http://schemas.openxmlformats.org/officeDocument/2006/relationships" ref="C196" r:id="rId500"/>
    <hyperlink xmlns:r="http://schemas.openxmlformats.org/officeDocument/2006/relationships" ref="F195" r:id="rId501"/>
    <hyperlink xmlns:r="http://schemas.openxmlformats.org/officeDocument/2006/relationships" ref="A197" r:id="rId502"/>
    <hyperlink xmlns:r="http://schemas.openxmlformats.org/officeDocument/2006/relationships" ref="C197" r:id="rId503"/>
    <hyperlink xmlns:r="http://schemas.openxmlformats.org/officeDocument/2006/relationships" ref="F196" r:id="rId504"/>
    <hyperlink xmlns:r="http://schemas.openxmlformats.org/officeDocument/2006/relationships" ref="A198" r:id="rId505"/>
    <hyperlink xmlns:r="http://schemas.openxmlformats.org/officeDocument/2006/relationships" ref="C198" r:id="rId506"/>
    <hyperlink xmlns:r="http://schemas.openxmlformats.org/officeDocument/2006/relationships" ref="F197" r:id="rId507"/>
    <hyperlink xmlns:r="http://schemas.openxmlformats.org/officeDocument/2006/relationships" ref="A199" r:id="rId508"/>
    <hyperlink xmlns:r="http://schemas.openxmlformats.org/officeDocument/2006/relationships" ref="C199" r:id="rId509"/>
    <hyperlink xmlns:r="http://schemas.openxmlformats.org/officeDocument/2006/relationships" ref="F198" r:id="rId510"/>
    <hyperlink xmlns:r="http://schemas.openxmlformats.org/officeDocument/2006/relationships" ref="A200" r:id="rId511"/>
    <hyperlink xmlns:r="http://schemas.openxmlformats.org/officeDocument/2006/relationships" ref="C200" r:id="rId512"/>
    <hyperlink xmlns:r="http://schemas.openxmlformats.org/officeDocument/2006/relationships" ref="F199" r:id="rId513"/>
    <hyperlink xmlns:r="http://schemas.openxmlformats.org/officeDocument/2006/relationships" ref="A201" r:id="rId514"/>
    <hyperlink xmlns:r="http://schemas.openxmlformats.org/officeDocument/2006/relationships" ref="C201" r:id="rId515"/>
    <hyperlink xmlns:r="http://schemas.openxmlformats.org/officeDocument/2006/relationships" ref="F200" r:id="rId516"/>
    <hyperlink xmlns:r="http://schemas.openxmlformats.org/officeDocument/2006/relationships" ref="A202" r:id="rId517"/>
    <hyperlink xmlns:r="http://schemas.openxmlformats.org/officeDocument/2006/relationships" ref="C202" r:id="rId518"/>
    <hyperlink xmlns:r="http://schemas.openxmlformats.org/officeDocument/2006/relationships" ref="F201" r:id="rId519"/>
    <hyperlink xmlns:r="http://schemas.openxmlformats.org/officeDocument/2006/relationships" ref="A203" r:id="rId520"/>
    <hyperlink xmlns:r="http://schemas.openxmlformats.org/officeDocument/2006/relationships" ref="C203" r:id="rId521"/>
    <hyperlink xmlns:r="http://schemas.openxmlformats.org/officeDocument/2006/relationships" ref="F202" r:id="rId522"/>
    <hyperlink xmlns:r="http://schemas.openxmlformats.org/officeDocument/2006/relationships" ref="A204" r:id="rId523"/>
    <hyperlink xmlns:r="http://schemas.openxmlformats.org/officeDocument/2006/relationships" ref="C204" r:id="rId524"/>
    <hyperlink xmlns:r="http://schemas.openxmlformats.org/officeDocument/2006/relationships" ref="F203" r:id="rId525"/>
    <hyperlink xmlns:r="http://schemas.openxmlformats.org/officeDocument/2006/relationships" ref="A205" r:id="rId526"/>
    <hyperlink xmlns:r="http://schemas.openxmlformats.org/officeDocument/2006/relationships" ref="C205" r:id="rId527"/>
    <hyperlink xmlns:r="http://schemas.openxmlformats.org/officeDocument/2006/relationships" ref="F204" r:id="rId528"/>
    <hyperlink xmlns:r="http://schemas.openxmlformats.org/officeDocument/2006/relationships" ref="A206" r:id="rId529"/>
    <hyperlink xmlns:r="http://schemas.openxmlformats.org/officeDocument/2006/relationships" ref="C206" r:id="rId530"/>
    <hyperlink xmlns:r="http://schemas.openxmlformats.org/officeDocument/2006/relationships" ref="F205" r:id="rId531"/>
    <hyperlink xmlns:r="http://schemas.openxmlformats.org/officeDocument/2006/relationships" ref="A207" r:id="rId532"/>
    <hyperlink xmlns:r="http://schemas.openxmlformats.org/officeDocument/2006/relationships" ref="C207" r:id="rId533"/>
    <hyperlink xmlns:r="http://schemas.openxmlformats.org/officeDocument/2006/relationships" ref="F206" r:id="rId534"/>
    <hyperlink xmlns:r="http://schemas.openxmlformats.org/officeDocument/2006/relationships" ref="A208" r:id="rId535"/>
    <hyperlink xmlns:r="http://schemas.openxmlformats.org/officeDocument/2006/relationships" ref="C208" r:id="rId536"/>
    <hyperlink xmlns:r="http://schemas.openxmlformats.org/officeDocument/2006/relationships" ref="F207" r:id="rId537"/>
    <hyperlink xmlns:r="http://schemas.openxmlformats.org/officeDocument/2006/relationships" ref="A209" r:id="rId538"/>
    <hyperlink xmlns:r="http://schemas.openxmlformats.org/officeDocument/2006/relationships" ref="C209" r:id="rId539"/>
    <hyperlink xmlns:r="http://schemas.openxmlformats.org/officeDocument/2006/relationships" ref="F208" r:id="rId540"/>
    <hyperlink xmlns:r="http://schemas.openxmlformats.org/officeDocument/2006/relationships" ref="A210" r:id="rId541"/>
    <hyperlink xmlns:r="http://schemas.openxmlformats.org/officeDocument/2006/relationships" ref="C210" r:id="rId542"/>
    <hyperlink xmlns:r="http://schemas.openxmlformats.org/officeDocument/2006/relationships" ref="F209" r:id="rId543"/>
    <hyperlink xmlns:r="http://schemas.openxmlformats.org/officeDocument/2006/relationships" ref="A211" r:id="rId544"/>
    <hyperlink xmlns:r="http://schemas.openxmlformats.org/officeDocument/2006/relationships" ref="C211" r:id="rId545"/>
    <hyperlink xmlns:r="http://schemas.openxmlformats.org/officeDocument/2006/relationships" ref="F210" r:id="rId546"/>
    <hyperlink xmlns:r="http://schemas.openxmlformats.org/officeDocument/2006/relationships" ref="A212" r:id="rId547"/>
    <hyperlink xmlns:r="http://schemas.openxmlformats.org/officeDocument/2006/relationships" ref="C212" r:id="rId548"/>
    <hyperlink xmlns:r="http://schemas.openxmlformats.org/officeDocument/2006/relationships" ref="F211" r:id="rId549"/>
    <hyperlink xmlns:r="http://schemas.openxmlformats.org/officeDocument/2006/relationships" ref="A213" r:id="rId550"/>
    <hyperlink xmlns:r="http://schemas.openxmlformats.org/officeDocument/2006/relationships" ref="C213" r:id="rId551"/>
    <hyperlink xmlns:r="http://schemas.openxmlformats.org/officeDocument/2006/relationships" ref="F212" r:id="rId552"/>
    <hyperlink xmlns:r="http://schemas.openxmlformats.org/officeDocument/2006/relationships" ref="A214" r:id="rId553"/>
    <hyperlink xmlns:r="http://schemas.openxmlformats.org/officeDocument/2006/relationships" ref="C214" r:id="rId554"/>
    <hyperlink xmlns:r="http://schemas.openxmlformats.org/officeDocument/2006/relationships" ref="F213" r:id="rId555"/>
    <hyperlink xmlns:r="http://schemas.openxmlformats.org/officeDocument/2006/relationships" ref="A215" r:id="rId556"/>
    <hyperlink xmlns:r="http://schemas.openxmlformats.org/officeDocument/2006/relationships" ref="C215" r:id="rId557"/>
    <hyperlink xmlns:r="http://schemas.openxmlformats.org/officeDocument/2006/relationships" ref="F214" r:id="rId558"/>
    <hyperlink xmlns:r="http://schemas.openxmlformats.org/officeDocument/2006/relationships" ref="A216" r:id="rId559"/>
    <hyperlink xmlns:r="http://schemas.openxmlformats.org/officeDocument/2006/relationships" ref="C216" r:id="rId560"/>
    <hyperlink xmlns:r="http://schemas.openxmlformats.org/officeDocument/2006/relationships" ref="F215" r:id="rId561"/>
    <hyperlink xmlns:r="http://schemas.openxmlformats.org/officeDocument/2006/relationships" ref="A217" r:id="rId562"/>
    <hyperlink xmlns:r="http://schemas.openxmlformats.org/officeDocument/2006/relationships" ref="C217" r:id="rId563"/>
    <hyperlink xmlns:r="http://schemas.openxmlformats.org/officeDocument/2006/relationships" ref="F216" r:id="rId564"/>
    <hyperlink xmlns:r="http://schemas.openxmlformats.org/officeDocument/2006/relationships" ref="A218" r:id="rId565"/>
    <hyperlink xmlns:r="http://schemas.openxmlformats.org/officeDocument/2006/relationships" ref="C218" r:id="rId566"/>
    <hyperlink xmlns:r="http://schemas.openxmlformats.org/officeDocument/2006/relationships" ref="F217" r:id="rId567"/>
    <hyperlink xmlns:r="http://schemas.openxmlformats.org/officeDocument/2006/relationships" ref="A219" r:id="rId568"/>
    <hyperlink xmlns:r="http://schemas.openxmlformats.org/officeDocument/2006/relationships" ref="C219" r:id="rId569"/>
    <hyperlink xmlns:r="http://schemas.openxmlformats.org/officeDocument/2006/relationships" ref="F218" r:id="rId570"/>
    <hyperlink xmlns:r="http://schemas.openxmlformats.org/officeDocument/2006/relationships" ref="A220" r:id="rId571"/>
    <hyperlink xmlns:r="http://schemas.openxmlformats.org/officeDocument/2006/relationships" ref="C220" r:id="rId572"/>
    <hyperlink xmlns:r="http://schemas.openxmlformats.org/officeDocument/2006/relationships" ref="F219" r:id="rId573"/>
    <hyperlink xmlns:r="http://schemas.openxmlformats.org/officeDocument/2006/relationships" ref="A221" r:id="rId574"/>
    <hyperlink xmlns:r="http://schemas.openxmlformats.org/officeDocument/2006/relationships" ref="C221" r:id="rId575"/>
    <hyperlink xmlns:r="http://schemas.openxmlformats.org/officeDocument/2006/relationships" ref="F220" r:id="rId576"/>
    <hyperlink xmlns:r="http://schemas.openxmlformats.org/officeDocument/2006/relationships" ref="A222" r:id="rId577"/>
    <hyperlink xmlns:r="http://schemas.openxmlformats.org/officeDocument/2006/relationships" ref="C222" r:id="rId578"/>
    <hyperlink xmlns:r="http://schemas.openxmlformats.org/officeDocument/2006/relationships" ref="F221" r:id="rId579"/>
    <hyperlink xmlns:r="http://schemas.openxmlformats.org/officeDocument/2006/relationships" ref="A223" r:id="rId580"/>
    <hyperlink xmlns:r="http://schemas.openxmlformats.org/officeDocument/2006/relationships" ref="C223" r:id="rId581"/>
    <hyperlink xmlns:r="http://schemas.openxmlformats.org/officeDocument/2006/relationships" ref="F222" r:id="rId582"/>
    <hyperlink xmlns:r="http://schemas.openxmlformats.org/officeDocument/2006/relationships" ref="A224" r:id="rId583"/>
    <hyperlink xmlns:r="http://schemas.openxmlformats.org/officeDocument/2006/relationships" ref="C224" r:id="rId584"/>
    <hyperlink xmlns:r="http://schemas.openxmlformats.org/officeDocument/2006/relationships" ref="F223" r:id="rId585"/>
    <hyperlink xmlns:r="http://schemas.openxmlformats.org/officeDocument/2006/relationships" ref="A225" r:id="rId586"/>
    <hyperlink xmlns:r="http://schemas.openxmlformats.org/officeDocument/2006/relationships" ref="C225" r:id="rId587"/>
    <hyperlink xmlns:r="http://schemas.openxmlformats.org/officeDocument/2006/relationships" ref="F224" r:id="rId588"/>
    <hyperlink xmlns:r="http://schemas.openxmlformats.org/officeDocument/2006/relationships" ref="A226" r:id="rId589"/>
    <hyperlink xmlns:r="http://schemas.openxmlformats.org/officeDocument/2006/relationships" ref="C226" r:id="rId590"/>
    <hyperlink xmlns:r="http://schemas.openxmlformats.org/officeDocument/2006/relationships" ref="F225" r:id="rId591"/>
    <hyperlink xmlns:r="http://schemas.openxmlformats.org/officeDocument/2006/relationships" ref="A227" r:id="rId592"/>
    <hyperlink xmlns:r="http://schemas.openxmlformats.org/officeDocument/2006/relationships" ref="C227" r:id="rId593"/>
    <hyperlink xmlns:r="http://schemas.openxmlformats.org/officeDocument/2006/relationships" ref="F226" r:id="rId594"/>
    <hyperlink xmlns:r="http://schemas.openxmlformats.org/officeDocument/2006/relationships" ref="A228" r:id="rId595"/>
    <hyperlink xmlns:r="http://schemas.openxmlformats.org/officeDocument/2006/relationships" ref="C228" r:id="rId596"/>
    <hyperlink xmlns:r="http://schemas.openxmlformats.org/officeDocument/2006/relationships" ref="F227" r:id="rId597"/>
    <hyperlink xmlns:r="http://schemas.openxmlformats.org/officeDocument/2006/relationships" ref="A229" r:id="rId598"/>
    <hyperlink xmlns:r="http://schemas.openxmlformats.org/officeDocument/2006/relationships" ref="C229" r:id="rId599"/>
    <hyperlink xmlns:r="http://schemas.openxmlformats.org/officeDocument/2006/relationships" ref="F228" r:id="rId600"/>
    <hyperlink xmlns:r="http://schemas.openxmlformats.org/officeDocument/2006/relationships" ref="A230" r:id="rId601"/>
    <hyperlink xmlns:r="http://schemas.openxmlformats.org/officeDocument/2006/relationships" ref="C230" r:id="rId602"/>
    <hyperlink xmlns:r="http://schemas.openxmlformats.org/officeDocument/2006/relationships" ref="F229" r:id="rId603"/>
    <hyperlink xmlns:r="http://schemas.openxmlformats.org/officeDocument/2006/relationships" ref="A231" r:id="rId604"/>
    <hyperlink xmlns:r="http://schemas.openxmlformats.org/officeDocument/2006/relationships" ref="C231" r:id="rId605"/>
    <hyperlink xmlns:r="http://schemas.openxmlformats.org/officeDocument/2006/relationships" ref="F230" r:id="rId606"/>
    <hyperlink xmlns:r="http://schemas.openxmlformats.org/officeDocument/2006/relationships" ref="A232" r:id="rId607"/>
    <hyperlink xmlns:r="http://schemas.openxmlformats.org/officeDocument/2006/relationships" ref="C232" r:id="rId608"/>
    <hyperlink xmlns:r="http://schemas.openxmlformats.org/officeDocument/2006/relationships" ref="F231" r:id="rId609"/>
    <hyperlink xmlns:r="http://schemas.openxmlformats.org/officeDocument/2006/relationships" ref="A233" r:id="rId610"/>
    <hyperlink xmlns:r="http://schemas.openxmlformats.org/officeDocument/2006/relationships" ref="C233" r:id="rId611"/>
    <hyperlink xmlns:r="http://schemas.openxmlformats.org/officeDocument/2006/relationships" ref="F232" r:id="rId612"/>
    <hyperlink xmlns:r="http://schemas.openxmlformats.org/officeDocument/2006/relationships" ref="A234" r:id="rId613"/>
    <hyperlink xmlns:r="http://schemas.openxmlformats.org/officeDocument/2006/relationships" ref="C234" r:id="rId614"/>
    <hyperlink xmlns:r="http://schemas.openxmlformats.org/officeDocument/2006/relationships" ref="F233" r:id="rId615"/>
    <hyperlink xmlns:r="http://schemas.openxmlformats.org/officeDocument/2006/relationships" ref="A235" r:id="rId616"/>
    <hyperlink xmlns:r="http://schemas.openxmlformats.org/officeDocument/2006/relationships" ref="C235" r:id="rId617"/>
    <hyperlink xmlns:r="http://schemas.openxmlformats.org/officeDocument/2006/relationships" ref="F234" r:id="rId618"/>
    <hyperlink xmlns:r="http://schemas.openxmlformats.org/officeDocument/2006/relationships" ref="A236" r:id="rId619"/>
    <hyperlink xmlns:r="http://schemas.openxmlformats.org/officeDocument/2006/relationships" ref="C236" r:id="rId620"/>
    <hyperlink xmlns:r="http://schemas.openxmlformats.org/officeDocument/2006/relationships" ref="F235" r:id="rId621"/>
    <hyperlink xmlns:r="http://schemas.openxmlformats.org/officeDocument/2006/relationships" ref="A237" r:id="rId622"/>
    <hyperlink xmlns:r="http://schemas.openxmlformats.org/officeDocument/2006/relationships" ref="C237" r:id="rId623"/>
    <hyperlink xmlns:r="http://schemas.openxmlformats.org/officeDocument/2006/relationships" ref="F236" r:id="rId624"/>
    <hyperlink xmlns:r="http://schemas.openxmlformats.org/officeDocument/2006/relationships" ref="A238" r:id="rId625"/>
    <hyperlink xmlns:r="http://schemas.openxmlformats.org/officeDocument/2006/relationships" ref="C238" r:id="rId626"/>
    <hyperlink xmlns:r="http://schemas.openxmlformats.org/officeDocument/2006/relationships" ref="F237" r:id="rId627"/>
    <hyperlink xmlns:r="http://schemas.openxmlformats.org/officeDocument/2006/relationships" ref="A239" r:id="rId628"/>
    <hyperlink xmlns:r="http://schemas.openxmlformats.org/officeDocument/2006/relationships" ref="C239" r:id="rId629"/>
    <hyperlink xmlns:r="http://schemas.openxmlformats.org/officeDocument/2006/relationships" ref="F238" r:id="rId630"/>
    <hyperlink xmlns:r="http://schemas.openxmlformats.org/officeDocument/2006/relationships" ref="A240" r:id="rId631"/>
    <hyperlink xmlns:r="http://schemas.openxmlformats.org/officeDocument/2006/relationships" ref="C240" r:id="rId632"/>
    <hyperlink xmlns:r="http://schemas.openxmlformats.org/officeDocument/2006/relationships" ref="F239" r:id="rId633"/>
    <hyperlink xmlns:r="http://schemas.openxmlformats.org/officeDocument/2006/relationships" ref="A241" r:id="rId634"/>
    <hyperlink xmlns:r="http://schemas.openxmlformats.org/officeDocument/2006/relationships" ref="C241" r:id="rId635"/>
    <hyperlink xmlns:r="http://schemas.openxmlformats.org/officeDocument/2006/relationships" ref="F240" r:id="rId636"/>
    <hyperlink xmlns:r="http://schemas.openxmlformats.org/officeDocument/2006/relationships" ref="A242" r:id="rId637"/>
    <hyperlink xmlns:r="http://schemas.openxmlformats.org/officeDocument/2006/relationships" ref="C242" r:id="rId638"/>
    <hyperlink xmlns:r="http://schemas.openxmlformats.org/officeDocument/2006/relationships" ref="F241" r:id="rId639"/>
    <hyperlink xmlns:r="http://schemas.openxmlformats.org/officeDocument/2006/relationships" ref="A243" r:id="rId640"/>
    <hyperlink xmlns:r="http://schemas.openxmlformats.org/officeDocument/2006/relationships" ref="C243" r:id="rId641"/>
    <hyperlink xmlns:r="http://schemas.openxmlformats.org/officeDocument/2006/relationships" ref="F242" r:id="rId642"/>
    <hyperlink xmlns:r="http://schemas.openxmlformats.org/officeDocument/2006/relationships" ref="A244" r:id="rId643"/>
    <hyperlink xmlns:r="http://schemas.openxmlformats.org/officeDocument/2006/relationships" ref="C244" r:id="rId644"/>
    <hyperlink xmlns:r="http://schemas.openxmlformats.org/officeDocument/2006/relationships" ref="F243" r:id="rId645"/>
    <hyperlink xmlns:r="http://schemas.openxmlformats.org/officeDocument/2006/relationships" ref="A245" r:id="rId646"/>
    <hyperlink xmlns:r="http://schemas.openxmlformats.org/officeDocument/2006/relationships" ref="C245" r:id="rId647"/>
    <hyperlink xmlns:r="http://schemas.openxmlformats.org/officeDocument/2006/relationships" ref="F244" r:id="rId648"/>
    <hyperlink xmlns:r="http://schemas.openxmlformats.org/officeDocument/2006/relationships" ref="A246" r:id="rId649"/>
    <hyperlink xmlns:r="http://schemas.openxmlformats.org/officeDocument/2006/relationships" ref="C246" r:id="rId650"/>
    <hyperlink xmlns:r="http://schemas.openxmlformats.org/officeDocument/2006/relationships" ref="F245" r:id="rId651"/>
    <hyperlink xmlns:r="http://schemas.openxmlformats.org/officeDocument/2006/relationships" ref="A247" r:id="rId652"/>
    <hyperlink xmlns:r="http://schemas.openxmlformats.org/officeDocument/2006/relationships" ref="C247" r:id="rId653"/>
    <hyperlink xmlns:r="http://schemas.openxmlformats.org/officeDocument/2006/relationships" ref="F246" r:id="rId654"/>
    <hyperlink xmlns:r="http://schemas.openxmlformats.org/officeDocument/2006/relationships" ref="A248" r:id="rId655"/>
    <hyperlink xmlns:r="http://schemas.openxmlformats.org/officeDocument/2006/relationships" ref="C248" r:id="rId656"/>
    <hyperlink xmlns:r="http://schemas.openxmlformats.org/officeDocument/2006/relationships" ref="F247" r:id="rId657"/>
    <hyperlink xmlns:r="http://schemas.openxmlformats.org/officeDocument/2006/relationships" ref="A249" r:id="rId658"/>
    <hyperlink xmlns:r="http://schemas.openxmlformats.org/officeDocument/2006/relationships" ref="C249" r:id="rId659"/>
    <hyperlink xmlns:r="http://schemas.openxmlformats.org/officeDocument/2006/relationships" ref="F248" r:id="rId660"/>
    <hyperlink xmlns:r="http://schemas.openxmlformats.org/officeDocument/2006/relationships" ref="A250" r:id="rId661"/>
    <hyperlink xmlns:r="http://schemas.openxmlformats.org/officeDocument/2006/relationships" ref="C250" r:id="rId662"/>
    <hyperlink xmlns:r="http://schemas.openxmlformats.org/officeDocument/2006/relationships" ref="F249" r:id="rId663"/>
    <hyperlink xmlns:r="http://schemas.openxmlformats.org/officeDocument/2006/relationships" ref="A251" r:id="rId664"/>
    <hyperlink xmlns:r="http://schemas.openxmlformats.org/officeDocument/2006/relationships" ref="C251" r:id="rId665"/>
    <hyperlink xmlns:r="http://schemas.openxmlformats.org/officeDocument/2006/relationships" ref="F250" r:id="rId666"/>
    <hyperlink xmlns:r="http://schemas.openxmlformats.org/officeDocument/2006/relationships" ref="A252" r:id="rId667"/>
    <hyperlink xmlns:r="http://schemas.openxmlformats.org/officeDocument/2006/relationships" ref="C252" r:id="rId668"/>
    <hyperlink xmlns:r="http://schemas.openxmlformats.org/officeDocument/2006/relationships" ref="F251" r:id="rId669"/>
    <hyperlink xmlns:r="http://schemas.openxmlformats.org/officeDocument/2006/relationships" ref="A253" r:id="rId670"/>
    <hyperlink xmlns:r="http://schemas.openxmlformats.org/officeDocument/2006/relationships" ref="C253" r:id="rId671"/>
    <hyperlink xmlns:r="http://schemas.openxmlformats.org/officeDocument/2006/relationships" ref="F252" r:id="rId672"/>
    <hyperlink xmlns:r="http://schemas.openxmlformats.org/officeDocument/2006/relationships" ref="A254" r:id="rId673"/>
    <hyperlink xmlns:r="http://schemas.openxmlformats.org/officeDocument/2006/relationships" ref="C254" r:id="rId674"/>
    <hyperlink xmlns:r="http://schemas.openxmlformats.org/officeDocument/2006/relationships" ref="F253" r:id="rId675"/>
    <hyperlink xmlns:r="http://schemas.openxmlformats.org/officeDocument/2006/relationships" ref="A255" r:id="rId676"/>
    <hyperlink xmlns:r="http://schemas.openxmlformats.org/officeDocument/2006/relationships" ref="C255" r:id="rId677"/>
    <hyperlink xmlns:r="http://schemas.openxmlformats.org/officeDocument/2006/relationships" ref="F254" r:id="rId678"/>
    <hyperlink xmlns:r="http://schemas.openxmlformats.org/officeDocument/2006/relationships" ref="A256" r:id="rId679"/>
    <hyperlink xmlns:r="http://schemas.openxmlformats.org/officeDocument/2006/relationships" ref="C256" r:id="rId680"/>
    <hyperlink xmlns:r="http://schemas.openxmlformats.org/officeDocument/2006/relationships" ref="F255" r:id="rId681"/>
    <hyperlink xmlns:r="http://schemas.openxmlformats.org/officeDocument/2006/relationships" ref="A257" r:id="rId682"/>
    <hyperlink xmlns:r="http://schemas.openxmlformats.org/officeDocument/2006/relationships" ref="C257" r:id="rId683"/>
    <hyperlink xmlns:r="http://schemas.openxmlformats.org/officeDocument/2006/relationships" ref="F256" r:id="rId684"/>
    <hyperlink xmlns:r="http://schemas.openxmlformats.org/officeDocument/2006/relationships" ref="A258" r:id="rId685"/>
    <hyperlink xmlns:r="http://schemas.openxmlformats.org/officeDocument/2006/relationships" ref="C258" r:id="rId686"/>
    <hyperlink xmlns:r="http://schemas.openxmlformats.org/officeDocument/2006/relationships" ref="F257" r:id="rId687"/>
    <hyperlink xmlns:r="http://schemas.openxmlformats.org/officeDocument/2006/relationships" ref="A259" r:id="rId688"/>
    <hyperlink xmlns:r="http://schemas.openxmlformats.org/officeDocument/2006/relationships" ref="C259" r:id="rId689"/>
    <hyperlink xmlns:r="http://schemas.openxmlformats.org/officeDocument/2006/relationships" ref="F258" r:id="rId690"/>
    <hyperlink xmlns:r="http://schemas.openxmlformats.org/officeDocument/2006/relationships" ref="A260" r:id="rId691"/>
    <hyperlink xmlns:r="http://schemas.openxmlformats.org/officeDocument/2006/relationships" ref="C260" r:id="rId692"/>
    <hyperlink xmlns:r="http://schemas.openxmlformats.org/officeDocument/2006/relationships" ref="F259" r:id="rId693"/>
    <hyperlink xmlns:r="http://schemas.openxmlformats.org/officeDocument/2006/relationships" ref="A261" r:id="rId694"/>
    <hyperlink xmlns:r="http://schemas.openxmlformats.org/officeDocument/2006/relationships" ref="C261" r:id="rId695"/>
    <hyperlink xmlns:r="http://schemas.openxmlformats.org/officeDocument/2006/relationships" ref="F260" r:id="rId696"/>
    <hyperlink xmlns:r="http://schemas.openxmlformats.org/officeDocument/2006/relationships" ref="A262" r:id="rId697"/>
    <hyperlink xmlns:r="http://schemas.openxmlformats.org/officeDocument/2006/relationships" ref="C262" r:id="rId698"/>
    <hyperlink xmlns:r="http://schemas.openxmlformats.org/officeDocument/2006/relationships" ref="F261" r:id="rId699"/>
    <hyperlink xmlns:r="http://schemas.openxmlformats.org/officeDocument/2006/relationships" ref="A263" r:id="rId700"/>
    <hyperlink xmlns:r="http://schemas.openxmlformats.org/officeDocument/2006/relationships" ref="C263" r:id="rId701"/>
    <hyperlink xmlns:r="http://schemas.openxmlformats.org/officeDocument/2006/relationships" ref="F262" r:id="rId702"/>
    <hyperlink xmlns:r="http://schemas.openxmlformats.org/officeDocument/2006/relationships" ref="A264" r:id="rId703"/>
    <hyperlink xmlns:r="http://schemas.openxmlformats.org/officeDocument/2006/relationships" ref="C264" r:id="rId704"/>
    <hyperlink xmlns:r="http://schemas.openxmlformats.org/officeDocument/2006/relationships" ref="F263" r:id="rId705"/>
    <hyperlink xmlns:r="http://schemas.openxmlformats.org/officeDocument/2006/relationships" ref="A265" r:id="rId706"/>
    <hyperlink xmlns:r="http://schemas.openxmlformats.org/officeDocument/2006/relationships" ref="C265" r:id="rId707"/>
    <hyperlink xmlns:r="http://schemas.openxmlformats.org/officeDocument/2006/relationships" ref="F264" r:id="rId708"/>
    <hyperlink xmlns:r="http://schemas.openxmlformats.org/officeDocument/2006/relationships" ref="A266" r:id="rId709"/>
    <hyperlink xmlns:r="http://schemas.openxmlformats.org/officeDocument/2006/relationships" ref="C266" r:id="rId710"/>
    <hyperlink xmlns:r="http://schemas.openxmlformats.org/officeDocument/2006/relationships" ref="F265" r:id="rId711"/>
    <hyperlink xmlns:r="http://schemas.openxmlformats.org/officeDocument/2006/relationships" ref="A267" r:id="rId712"/>
    <hyperlink xmlns:r="http://schemas.openxmlformats.org/officeDocument/2006/relationships" ref="C267" r:id="rId713"/>
    <hyperlink xmlns:r="http://schemas.openxmlformats.org/officeDocument/2006/relationships" ref="F266" r:id="rId714"/>
    <hyperlink xmlns:r="http://schemas.openxmlformats.org/officeDocument/2006/relationships" ref="A268" r:id="rId715"/>
    <hyperlink xmlns:r="http://schemas.openxmlformats.org/officeDocument/2006/relationships" ref="C268" r:id="rId716"/>
    <hyperlink xmlns:r="http://schemas.openxmlformats.org/officeDocument/2006/relationships" ref="F267" r:id="rId717"/>
    <hyperlink xmlns:r="http://schemas.openxmlformats.org/officeDocument/2006/relationships" ref="A269" r:id="rId718"/>
    <hyperlink xmlns:r="http://schemas.openxmlformats.org/officeDocument/2006/relationships" ref="C269" r:id="rId719"/>
    <hyperlink xmlns:r="http://schemas.openxmlformats.org/officeDocument/2006/relationships" ref="F268" r:id="rId720"/>
    <hyperlink xmlns:r="http://schemas.openxmlformats.org/officeDocument/2006/relationships" ref="A270" r:id="rId721"/>
    <hyperlink xmlns:r="http://schemas.openxmlformats.org/officeDocument/2006/relationships" ref="C270" r:id="rId722"/>
    <hyperlink xmlns:r="http://schemas.openxmlformats.org/officeDocument/2006/relationships" ref="F269" r:id="rId723"/>
    <hyperlink xmlns:r="http://schemas.openxmlformats.org/officeDocument/2006/relationships" ref="A271" r:id="rId724"/>
    <hyperlink xmlns:r="http://schemas.openxmlformats.org/officeDocument/2006/relationships" ref="C271" r:id="rId725"/>
    <hyperlink xmlns:r="http://schemas.openxmlformats.org/officeDocument/2006/relationships" ref="F270" r:id="rId726"/>
    <hyperlink xmlns:r="http://schemas.openxmlformats.org/officeDocument/2006/relationships" ref="A272" r:id="rId727"/>
    <hyperlink xmlns:r="http://schemas.openxmlformats.org/officeDocument/2006/relationships" ref="C272" r:id="rId728"/>
    <hyperlink xmlns:r="http://schemas.openxmlformats.org/officeDocument/2006/relationships" ref="F271" r:id="rId729"/>
    <hyperlink xmlns:r="http://schemas.openxmlformats.org/officeDocument/2006/relationships" ref="A273" r:id="rId730"/>
    <hyperlink xmlns:r="http://schemas.openxmlformats.org/officeDocument/2006/relationships" ref="C273" r:id="rId731"/>
    <hyperlink xmlns:r="http://schemas.openxmlformats.org/officeDocument/2006/relationships" ref="F272" r:id="rId732"/>
    <hyperlink xmlns:r="http://schemas.openxmlformats.org/officeDocument/2006/relationships" ref="A274" r:id="rId733"/>
    <hyperlink xmlns:r="http://schemas.openxmlformats.org/officeDocument/2006/relationships" ref="C274" r:id="rId734"/>
    <hyperlink xmlns:r="http://schemas.openxmlformats.org/officeDocument/2006/relationships" ref="F273" r:id="rId735"/>
    <hyperlink xmlns:r="http://schemas.openxmlformats.org/officeDocument/2006/relationships" ref="A275" r:id="rId736"/>
    <hyperlink xmlns:r="http://schemas.openxmlformats.org/officeDocument/2006/relationships" ref="C275" r:id="rId737"/>
    <hyperlink xmlns:r="http://schemas.openxmlformats.org/officeDocument/2006/relationships" ref="F274" r:id="rId738"/>
    <hyperlink xmlns:r="http://schemas.openxmlformats.org/officeDocument/2006/relationships" ref="A276" r:id="rId739"/>
    <hyperlink xmlns:r="http://schemas.openxmlformats.org/officeDocument/2006/relationships" ref="C276" r:id="rId740"/>
    <hyperlink xmlns:r="http://schemas.openxmlformats.org/officeDocument/2006/relationships" ref="F275" r:id="rId741"/>
    <hyperlink xmlns:r="http://schemas.openxmlformats.org/officeDocument/2006/relationships" ref="A277" r:id="rId742"/>
    <hyperlink xmlns:r="http://schemas.openxmlformats.org/officeDocument/2006/relationships" ref="C277" r:id="rId743"/>
    <hyperlink xmlns:r="http://schemas.openxmlformats.org/officeDocument/2006/relationships" ref="F276" r:id="rId744"/>
    <hyperlink xmlns:r="http://schemas.openxmlformats.org/officeDocument/2006/relationships" ref="A278" r:id="rId745"/>
    <hyperlink xmlns:r="http://schemas.openxmlformats.org/officeDocument/2006/relationships" ref="C278" r:id="rId746"/>
    <hyperlink xmlns:r="http://schemas.openxmlformats.org/officeDocument/2006/relationships" ref="F277" r:id="rId747"/>
    <hyperlink xmlns:r="http://schemas.openxmlformats.org/officeDocument/2006/relationships" ref="A279" r:id="rId748"/>
    <hyperlink xmlns:r="http://schemas.openxmlformats.org/officeDocument/2006/relationships" ref="C279" r:id="rId749"/>
    <hyperlink xmlns:r="http://schemas.openxmlformats.org/officeDocument/2006/relationships" ref="F278" r:id="rId750"/>
    <hyperlink xmlns:r="http://schemas.openxmlformats.org/officeDocument/2006/relationships" ref="A280" r:id="rId751"/>
    <hyperlink xmlns:r="http://schemas.openxmlformats.org/officeDocument/2006/relationships" ref="C280" r:id="rId752"/>
    <hyperlink xmlns:r="http://schemas.openxmlformats.org/officeDocument/2006/relationships" ref="F279" r:id="rId753"/>
    <hyperlink xmlns:r="http://schemas.openxmlformats.org/officeDocument/2006/relationships" ref="A281" r:id="rId754"/>
    <hyperlink xmlns:r="http://schemas.openxmlformats.org/officeDocument/2006/relationships" ref="C281" r:id="rId755"/>
    <hyperlink xmlns:r="http://schemas.openxmlformats.org/officeDocument/2006/relationships" ref="F280" r:id="rId756"/>
    <hyperlink xmlns:r="http://schemas.openxmlformats.org/officeDocument/2006/relationships" ref="A282" r:id="rId757"/>
    <hyperlink xmlns:r="http://schemas.openxmlformats.org/officeDocument/2006/relationships" ref="C282" r:id="rId758"/>
    <hyperlink xmlns:r="http://schemas.openxmlformats.org/officeDocument/2006/relationships" ref="F281" r:id="rId759"/>
    <hyperlink xmlns:r="http://schemas.openxmlformats.org/officeDocument/2006/relationships" ref="A283" r:id="rId760"/>
    <hyperlink xmlns:r="http://schemas.openxmlformats.org/officeDocument/2006/relationships" ref="C283" r:id="rId761"/>
    <hyperlink xmlns:r="http://schemas.openxmlformats.org/officeDocument/2006/relationships" ref="F282" r:id="rId762"/>
    <hyperlink xmlns:r="http://schemas.openxmlformats.org/officeDocument/2006/relationships" ref="A284" r:id="rId763"/>
    <hyperlink xmlns:r="http://schemas.openxmlformats.org/officeDocument/2006/relationships" ref="C284" r:id="rId764"/>
    <hyperlink xmlns:r="http://schemas.openxmlformats.org/officeDocument/2006/relationships" ref="F283" r:id="rId765"/>
    <hyperlink xmlns:r="http://schemas.openxmlformats.org/officeDocument/2006/relationships" ref="A285" r:id="rId766"/>
    <hyperlink xmlns:r="http://schemas.openxmlformats.org/officeDocument/2006/relationships" ref="C285" r:id="rId767"/>
    <hyperlink xmlns:r="http://schemas.openxmlformats.org/officeDocument/2006/relationships" ref="F284" r:id="rId768"/>
    <hyperlink xmlns:r="http://schemas.openxmlformats.org/officeDocument/2006/relationships" ref="A286" r:id="rId769"/>
    <hyperlink xmlns:r="http://schemas.openxmlformats.org/officeDocument/2006/relationships" ref="C286" r:id="rId770"/>
    <hyperlink xmlns:r="http://schemas.openxmlformats.org/officeDocument/2006/relationships" ref="F285" r:id="rId771"/>
    <hyperlink xmlns:r="http://schemas.openxmlformats.org/officeDocument/2006/relationships" ref="A287" r:id="rId772"/>
    <hyperlink xmlns:r="http://schemas.openxmlformats.org/officeDocument/2006/relationships" ref="C287" r:id="rId773"/>
    <hyperlink xmlns:r="http://schemas.openxmlformats.org/officeDocument/2006/relationships" ref="F286" r:id="rId774"/>
    <hyperlink xmlns:r="http://schemas.openxmlformats.org/officeDocument/2006/relationships" ref="A288" r:id="rId775"/>
    <hyperlink xmlns:r="http://schemas.openxmlformats.org/officeDocument/2006/relationships" ref="C288" r:id="rId776"/>
    <hyperlink xmlns:r="http://schemas.openxmlformats.org/officeDocument/2006/relationships" ref="F287" r:id="rId777"/>
    <hyperlink xmlns:r="http://schemas.openxmlformats.org/officeDocument/2006/relationships" ref="A289" r:id="rId778"/>
    <hyperlink xmlns:r="http://schemas.openxmlformats.org/officeDocument/2006/relationships" ref="C289" r:id="rId779"/>
    <hyperlink xmlns:r="http://schemas.openxmlformats.org/officeDocument/2006/relationships" ref="F288" r:id="rId780"/>
    <hyperlink xmlns:r="http://schemas.openxmlformats.org/officeDocument/2006/relationships" ref="A290" r:id="rId781"/>
    <hyperlink xmlns:r="http://schemas.openxmlformats.org/officeDocument/2006/relationships" ref="C290" r:id="rId782"/>
    <hyperlink xmlns:r="http://schemas.openxmlformats.org/officeDocument/2006/relationships" ref="F289" r:id="rId783"/>
    <hyperlink xmlns:r="http://schemas.openxmlformats.org/officeDocument/2006/relationships" ref="A291" r:id="rId784"/>
    <hyperlink xmlns:r="http://schemas.openxmlformats.org/officeDocument/2006/relationships" ref="C291" r:id="rId785"/>
    <hyperlink xmlns:r="http://schemas.openxmlformats.org/officeDocument/2006/relationships" ref="F290" r:id="rId786"/>
    <hyperlink xmlns:r="http://schemas.openxmlformats.org/officeDocument/2006/relationships" ref="A292" r:id="rId787"/>
    <hyperlink xmlns:r="http://schemas.openxmlformats.org/officeDocument/2006/relationships" ref="C292" r:id="rId788"/>
    <hyperlink xmlns:r="http://schemas.openxmlformats.org/officeDocument/2006/relationships" ref="F291" r:id="rId789"/>
    <hyperlink xmlns:r="http://schemas.openxmlformats.org/officeDocument/2006/relationships" ref="A293" r:id="rId790"/>
    <hyperlink xmlns:r="http://schemas.openxmlformats.org/officeDocument/2006/relationships" ref="C293" r:id="rId791"/>
    <hyperlink xmlns:r="http://schemas.openxmlformats.org/officeDocument/2006/relationships" ref="F292" r:id="rId792"/>
    <hyperlink xmlns:r="http://schemas.openxmlformats.org/officeDocument/2006/relationships" ref="A294" r:id="rId793"/>
    <hyperlink xmlns:r="http://schemas.openxmlformats.org/officeDocument/2006/relationships" ref="C294" r:id="rId794"/>
    <hyperlink xmlns:r="http://schemas.openxmlformats.org/officeDocument/2006/relationships" ref="F293" r:id="rId795"/>
    <hyperlink xmlns:r="http://schemas.openxmlformats.org/officeDocument/2006/relationships" ref="A295" r:id="rId796"/>
    <hyperlink xmlns:r="http://schemas.openxmlformats.org/officeDocument/2006/relationships" ref="C295" r:id="rId797"/>
    <hyperlink xmlns:r="http://schemas.openxmlformats.org/officeDocument/2006/relationships" ref="F294" r:id="rId798"/>
    <hyperlink xmlns:r="http://schemas.openxmlformats.org/officeDocument/2006/relationships" ref="A296" r:id="rId799"/>
    <hyperlink xmlns:r="http://schemas.openxmlformats.org/officeDocument/2006/relationships" ref="C296" r:id="rId800"/>
    <hyperlink xmlns:r="http://schemas.openxmlformats.org/officeDocument/2006/relationships" ref="F295" r:id="rId801"/>
    <hyperlink xmlns:r="http://schemas.openxmlformats.org/officeDocument/2006/relationships" ref="A297" r:id="rId802"/>
    <hyperlink xmlns:r="http://schemas.openxmlformats.org/officeDocument/2006/relationships" ref="C297" r:id="rId803"/>
    <hyperlink xmlns:r="http://schemas.openxmlformats.org/officeDocument/2006/relationships" ref="F296" r:id="rId804"/>
    <hyperlink xmlns:r="http://schemas.openxmlformats.org/officeDocument/2006/relationships" ref="A298" r:id="rId805"/>
    <hyperlink xmlns:r="http://schemas.openxmlformats.org/officeDocument/2006/relationships" ref="C298" r:id="rId806"/>
    <hyperlink xmlns:r="http://schemas.openxmlformats.org/officeDocument/2006/relationships" ref="F297" r:id="rId807"/>
    <hyperlink xmlns:r="http://schemas.openxmlformats.org/officeDocument/2006/relationships" ref="A299" r:id="rId808"/>
    <hyperlink xmlns:r="http://schemas.openxmlformats.org/officeDocument/2006/relationships" ref="C299" r:id="rId809"/>
    <hyperlink xmlns:r="http://schemas.openxmlformats.org/officeDocument/2006/relationships" ref="F298" r:id="rId810"/>
    <hyperlink xmlns:r="http://schemas.openxmlformats.org/officeDocument/2006/relationships" ref="A300" r:id="rId811"/>
    <hyperlink xmlns:r="http://schemas.openxmlformats.org/officeDocument/2006/relationships" ref="C300" r:id="rId812"/>
    <hyperlink xmlns:r="http://schemas.openxmlformats.org/officeDocument/2006/relationships" ref="F299" r:id="rId813"/>
    <hyperlink xmlns:r="http://schemas.openxmlformats.org/officeDocument/2006/relationships" ref="A301" r:id="rId814"/>
    <hyperlink xmlns:r="http://schemas.openxmlformats.org/officeDocument/2006/relationships" ref="C301" r:id="rId815"/>
    <hyperlink xmlns:r="http://schemas.openxmlformats.org/officeDocument/2006/relationships" ref="F300" r:id="rId816"/>
    <hyperlink xmlns:r="http://schemas.openxmlformats.org/officeDocument/2006/relationships" ref="A302" r:id="rId817"/>
    <hyperlink xmlns:r="http://schemas.openxmlformats.org/officeDocument/2006/relationships" ref="C302" r:id="rId818"/>
    <hyperlink xmlns:r="http://schemas.openxmlformats.org/officeDocument/2006/relationships" ref="F301" r:id="rId819"/>
    <hyperlink xmlns:r="http://schemas.openxmlformats.org/officeDocument/2006/relationships" ref="A303" r:id="rId820"/>
    <hyperlink xmlns:r="http://schemas.openxmlformats.org/officeDocument/2006/relationships" ref="C303" r:id="rId821"/>
    <hyperlink xmlns:r="http://schemas.openxmlformats.org/officeDocument/2006/relationships" ref="F302" r:id="rId822"/>
    <hyperlink xmlns:r="http://schemas.openxmlformats.org/officeDocument/2006/relationships" ref="A304" r:id="rId823"/>
    <hyperlink xmlns:r="http://schemas.openxmlformats.org/officeDocument/2006/relationships" ref="C304" r:id="rId824"/>
    <hyperlink xmlns:r="http://schemas.openxmlformats.org/officeDocument/2006/relationships" ref="F303" r:id="rId825"/>
    <hyperlink xmlns:r="http://schemas.openxmlformats.org/officeDocument/2006/relationships" ref="A305" r:id="rId826"/>
    <hyperlink xmlns:r="http://schemas.openxmlformats.org/officeDocument/2006/relationships" ref="C305" r:id="rId827"/>
    <hyperlink xmlns:r="http://schemas.openxmlformats.org/officeDocument/2006/relationships" ref="F304" r:id="rId828"/>
    <hyperlink xmlns:r="http://schemas.openxmlformats.org/officeDocument/2006/relationships" ref="A306" r:id="rId829"/>
    <hyperlink xmlns:r="http://schemas.openxmlformats.org/officeDocument/2006/relationships" ref="C306" r:id="rId830"/>
    <hyperlink xmlns:r="http://schemas.openxmlformats.org/officeDocument/2006/relationships" ref="F305" r:id="rId831"/>
    <hyperlink xmlns:r="http://schemas.openxmlformats.org/officeDocument/2006/relationships" ref="A307" r:id="rId832"/>
    <hyperlink xmlns:r="http://schemas.openxmlformats.org/officeDocument/2006/relationships" ref="C307" r:id="rId833"/>
    <hyperlink xmlns:r="http://schemas.openxmlformats.org/officeDocument/2006/relationships" ref="F306" r:id="rId834"/>
    <hyperlink xmlns:r="http://schemas.openxmlformats.org/officeDocument/2006/relationships" ref="A308" r:id="rId835"/>
    <hyperlink xmlns:r="http://schemas.openxmlformats.org/officeDocument/2006/relationships" ref="C308" r:id="rId836"/>
    <hyperlink xmlns:r="http://schemas.openxmlformats.org/officeDocument/2006/relationships" ref="F307" r:id="rId837"/>
    <hyperlink xmlns:r="http://schemas.openxmlformats.org/officeDocument/2006/relationships" ref="A309" r:id="rId838"/>
    <hyperlink xmlns:r="http://schemas.openxmlformats.org/officeDocument/2006/relationships" ref="C309" r:id="rId839"/>
    <hyperlink xmlns:r="http://schemas.openxmlformats.org/officeDocument/2006/relationships" ref="F308" r:id="rId840"/>
    <hyperlink xmlns:r="http://schemas.openxmlformats.org/officeDocument/2006/relationships" ref="A310" r:id="rId841"/>
    <hyperlink xmlns:r="http://schemas.openxmlformats.org/officeDocument/2006/relationships" ref="C310" r:id="rId842"/>
    <hyperlink xmlns:r="http://schemas.openxmlformats.org/officeDocument/2006/relationships" ref="F309" r:id="rId843"/>
    <hyperlink xmlns:r="http://schemas.openxmlformats.org/officeDocument/2006/relationships" ref="A311" r:id="rId844"/>
    <hyperlink xmlns:r="http://schemas.openxmlformats.org/officeDocument/2006/relationships" ref="C311" r:id="rId845"/>
    <hyperlink xmlns:r="http://schemas.openxmlformats.org/officeDocument/2006/relationships" ref="F310" r:id="rId846"/>
    <hyperlink xmlns:r="http://schemas.openxmlformats.org/officeDocument/2006/relationships" ref="A312" r:id="rId847"/>
    <hyperlink xmlns:r="http://schemas.openxmlformats.org/officeDocument/2006/relationships" ref="C312" r:id="rId848"/>
    <hyperlink xmlns:r="http://schemas.openxmlformats.org/officeDocument/2006/relationships" ref="F311" r:id="rId849"/>
    <hyperlink xmlns:r="http://schemas.openxmlformats.org/officeDocument/2006/relationships" ref="A313" r:id="rId850"/>
    <hyperlink xmlns:r="http://schemas.openxmlformats.org/officeDocument/2006/relationships" ref="C313" r:id="rId851"/>
    <hyperlink xmlns:r="http://schemas.openxmlformats.org/officeDocument/2006/relationships" ref="F312" r:id="rId852"/>
    <hyperlink xmlns:r="http://schemas.openxmlformats.org/officeDocument/2006/relationships" ref="A314" r:id="rId853"/>
    <hyperlink xmlns:r="http://schemas.openxmlformats.org/officeDocument/2006/relationships" ref="C314" r:id="rId854"/>
    <hyperlink xmlns:r="http://schemas.openxmlformats.org/officeDocument/2006/relationships" ref="F313" r:id="rId855"/>
    <hyperlink xmlns:r="http://schemas.openxmlformats.org/officeDocument/2006/relationships" ref="A315" r:id="rId856"/>
    <hyperlink xmlns:r="http://schemas.openxmlformats.org/officeDocument/2006/relationships" ref="C315" r:id="rId857"/>
    <hyperlink xmlns:r="http://schemas.openxmlformats.org/officeDocument/2006/relationships" ref="F314" r:id="rId858"/>
    <hyperlink xmlns:r="http://schemas.openxmlformats.org/officeDocument/2006/relationships" ref="A316" r:id="rId859"/>
    <hyperlink xmlns:r="http://schemas.openxmlformats.org/officeDocument/2006/relationships" ref="C316" r:id="rId860"/>
    <hyperlink xmlns:r="http://schemas.openxmlformats.org/officeDocument/2006/relationships" ref="F315" r:id="rId861"/>
    <hyperlink xmlns:r="http://schemas.openxmlformats.org/officeDocument/2006/relationships" ref="A317" r:id="rId862"/>
    <hyperlink xmlns:r="http://schemas.openxmlformats.org/officeDocument/2006/relationships" ref="C317" r:id="rId863"/>
    <hyperlink xmlns:r="http://schemas.openxmlformats.org/officeDocument/2006/relationships" ref="F316" r:id="rId864"/>
    <hyperlink xmlns:r="http://schemas.openxmlformats.org/officeDocument/2006/relationships" ref="A318" r:id="rId865"/>
    <hyperlink xmlns:r="http://schemas.openxmlformats.org/officeDocument/2006/relationships" ref="C318" r:id="rId866"/>
    <hyperlink xmlns:r="http://schemas.openxmlformats.org/officeDocument/2006/relationships" ref="F317" r:id="rId867"/>
    <hyperlink xmlns:r="http://schemas.openxmlformats.org/officeDocument/2006/relationships" ref="A319" r:id="rId868"/>
    <hyperlink xmlns:r="http://schemas.openxmlformats.org/officeDocument/2006/relationships" ref="C319" r:id="rId869"/>
    <hyperlink xmlns:r="http://schemas.openxmlformats.org/officeDocument/2006/relationships" ref="F318" r:id="rId870"/>
    <hyperlink xmlns:r="http://schemas.openxmlformats.org/officeDocument/2006/relationships" ref="A320" r:id="rId871"/>
    <hyperlink xmlns:r="http://schemas.openxmlformats.org/officeDocument/2006/relationships" ref="C320" r:id="rId872"/>
    <hyperlink xmlns:r="http://schemas.openxmlformats.org/officeDocument/2006/relationships" ref="F319" r:id="rId873"/>
    <hyperlink xmlns:r="http://schemas.openxmlformats.org/officeDocument/2006/relationships" ref="A321" r:id="rId874"/>
    <hyperlink xmlns:r="http://schemas.openxmlformats.org/officeDocument/2006/relationships" ref="C321" r:id="rId875"/>
    <hyperlink xmlns:r="http://schemas.openxmlformats.org/officeDocument/2006/relationships" ref="F320" r:id="rId876"/>
    <hyperlink xmlns:r="http://schemas.openxmlformats.org/officeDocument/2006/relationships" ref="A322" r:id="rId877"/>
    <hyperlink xmlns:r="http://schemas.openxmlformats.org/officeDocument/2006/relationships" ref="C322" r:id="rId878"/>
    <hyperlink xmlns:r="http://schemas.openxmlformats.org/officeDocument/2006/relationships" ref="F321" r:id="rId879"/>
    <hyperlink xmlns:r="http://schemas.openxmlformats.org/officeDocument/2006/relationships" ref="A323" r:id="rId880"/>
    <hyperlink xmlns:r="http://schemas.openxmlformats.org/officeDocument/2006/relationships" ref="C323" r:id="rId881"/>
    <hyperlink xmlns:r="http://schemas.openxmlformats.org/officeDocument/2006/relationships" ref="F322" r:id="rId882"/>
    <hyperlink xmlns:r="http://schemas.openxmlformats.org/officeDocument/2006/relationships" ref="A324" r:id="rId883"/>
    <hyperlink xmlns:r="http://schemas.openxmlformats.org/officeDocument/2006/relationships" ref="C324" r:id="rId884"/>
    <hyperlink xmlns:r="http://schemas.openxmlformats.org/officeDocument/2006/relationships" ref="F323" r:id="rId885"/>
    <hyperlink xmlns:r="http://schemas.openxmlformats.org/officeDocument/2006/relationships" ref="A325" r:id="rId886"/>
    <hyperlink xmlns:r="http://schemas.openxmlformats.org/officeDocument/2006/relationships" ref="C325" r:id="rId887"/>
    <hyperlink xmlns:r="http://schemas.openxmlformats.org/officeDocument/2006/relationships" ref="F324" r:id="rId888"/>
    <hyperlink xmlns:r="http://schemas.openxmlformats.org/officeDocument/2006/relationships" ref="A326" r:id="rId889"/>
    <hyperlink xmlns:r="http://schemas.openxmlformats.org/officeDocument/2006/relationships" ref="C326" r:id="rId890"/>
    <hyperlink xmlns:r="http://schemas.openxmlformats.org/officeDocument/2006/relationships" ref="F325" r:id="rId891"/>
    <hyperlink xmlns:r="http://schemas.openxmlformats.org/officeDocument/2006/relationships" ref="A327" r:id="rId892"/>
    <hyperlink xmlns:r="http://schemas.openxmlformats.org/officeDocument/2006/relationships" ref="C327" r:id="rId893"/>
    <hyperlink xmlns:r="http://schemas.openxmlformats.org/officeDocument/2006/relationships" ref="F326" r:id="rId894"/>
    <hyperlink xmlns:r="http://schemas.openxmlformats.org/officeDocument/2006/relationships" ref="A328" r:id="rId895"/>
    <hyperlink xmlns:r="http://schemas.openxmlformats.org/officeDocument/2006/relationships" ref="C328" r:id="rId896"/>
    <hyperlink xmlns:r="http://schemas.openxmlformats.org/officeDocument/2006/relationships" ref="F327" r:id="rId897"/>
    <hyperlink xmlns:r="http://schemas.openxmlformats.org/officeDocument/2006/relationships" ref="A329" r:id="rId898"/>
    <hyperlink xmlns:r="http://schemas.openxmlformats.org/officeDocument/2006/relationships" ref="C329" r:id="rId899"/>
    <hyperlink xmlns:r="http://schemas.openxmlformats.org/officeDocument/2006/relationships" ref="F328" r:id="rId900"/>
    <hyperlink xmlns:r="http://schemas.openxmlformats.org/officeDocument/2006/relationships" ref="A330" r:id="rId901"/>
    <hyperlink xmlns:r="http://schemas.openxmlformats.org/officeDocument/2006/relationships" ref="C330" r:id="rId902"/>
    <hyperlink xmlns:r="http://schemas.openxmlformats.org/officeDocument/2006/relationships" ref="F329" r:id="rId903"/>
    <hyperlink xmlns:r="http://schemas.openxmlformats.org/officeDocument/2006/relationships" ref="A331" r:id="rId904"/>
    <hyperlink xmlns:r="http://schemas.openxmlformats.org/officeDocument/2006/relationships" ref="C331" r:id="rId905"/>
    <hyperlink xmlns:r="http://schemas.openxmlformats.org/officeDocument/2006/relationships" ref="F330" r:id="rId906"/>
    <hyperlink xmlns:r="http://schemas.openxmlformats.org/officeDocument/2006/relationships" ref="A332" r:id="rId907"/>
    <hyperlink xmlns:r="http://schemas.openxmlformats.org/officeDocument/2006/relationships" ref="C332" r:id="rId908"/>
    <hyperlink xmlns:r="http://schemas.openxmlformats.org/officeDocument/2006/relationships" ref="F331" r:id="rId909"/>
    <hyperlink xmlns:r="http://schemas.openxmlformats.org/officeDocument/2006/relationships" ref="A333" r:id="rId910"/>
    <hyperlink xmlns:r="http://schemas.openxmlformats.org/officeDocument/2006/relationships" ref="C333" r:id="rId911"/>
    <hyperlink xmlns:r="http://schemas.openxmlformats.org/officeDocument/2006/relationships" ref="F332" r:id="rId912"/>
    <hyperlink xmlns:r="http://schemas.openxmlformats.org/officeDocument/2006/relationships" ref="A334" r:id="rId913"/>
    <hyperlink xmlns:r="http://schemas.openxmlformats.org/officeDocument/2006/relationships" ref="C334" r:id="rId914"/>
    <hyperlink xmlns:r="http://schemas.openxmlformats.org/officeDocument/2006/relationships" ref="F333" r:id="rId915"/>
    <hyperlink xmlns:r="http://schemas.openxmlformats.org/officeDocument/2006/relationships" ref="A335" r:id="rId916"/>
    <hyperlink xmlns:r="http://schemas.openxmlformats.org/officeDocument/2006/relationships" ref="C335" r:id="rId917"/>
    <hyperlink xmlns:r="http://schemas.openxmlformats.org/officeDocument/2006/relationships" ref="F334" r:id="rId918"/>
    <hyperlink xmlns:r="http://schemas.openxmlformats.org/officeDocument/2006/relationships" ref="A336" r:id="rId919"/>
    <hyperlink xmlns:r="http://schemas.openxmlformats.org/officeDocument/2006/relationships" ref="C336" r:id="rId920"/>
    <hyperlink xmlns:r="http://schemas.openxmlformats.org/officeDocument/2006/relationships" ref="F335" r:id="rId921"/>
    <hyperlink xmlns:r="http://schemas.openxmlformats.org/officeDocument/2006/relationships" ref="A337" r:id="rId922"/>
    <hyperlink xmlns:r="http://schemas.openxmlformats.org/officeDocument/2006/relationships" ref="C337" r:id="rId923"/>
    <hyperlink xmlns:r="http://schemas.openxmlformats.org/officeDocument/2006/relationships" ref="F336" r:id="rId924"/>
    <hyperlink xmlns:r="http://schemas.openxmlformats.org/officeDocument/2006/relationships" ref="A338" r:id="rId925"/>
    <hyperlink xmlns:r="http://schemas.openxmlformats.org/officeDocument/2006/relationships" ref="C338" r:id="rId926"/>
    <hyperlink xmlns:r="http://schemas.openxmlformats.org/officeDocument/2006/relationships" ref="F337" r:id="rId927"/>
    <hyperlink xmlns:r="http://schemas.openxmlformats.org/officeDocument/2006/relationships" ref="A339" r:id="rId928"/>
    <hyperlink xmlns:r="http://schemas.openxmlformats.org/officeDocument/2006/relationships" ref="C339" r:id="rId929"/>
    <hyperlink xmlns:r="http://schemas.openxmlformats.org/officeDocument/2006/relationships" ref="F338" r:id="rId930"/>
    <hyperlink xmlns:r="http://schemas.openxmlformats.org/officeDocument/2006/relationships" ref="A340" r:id="rId931"/>
    <hyperlink xmlns:r="http://schemas.openxmlformats.org/officeDocument/2006/relationships" ref="C340" r:id="rId932"/>
    <hyperlink xmlns:r="http://schemas.openxmlformats.org/officeDocument/2006/relationships" ref="F339" r:id="rId933"/>
    <hyperlink xmlns:r="http://schemas.openxmlformats.org/officeDocument/2006/relationships" ref="A341" r:id="rId934"/>
    <hyperlink xmlns:r="http://schemas.openxmlformats.org/officeDocument/2006/relationships" ref="C341" r:id="rId935"/>
    <hyperlink xmlns:r="http://schemas.openxmlformats.org/officeDocument/2006/relationships" ref="F340" r:id="rId936"/>
    <hyperlink xmlns:r="http://schemas.openxmlformats.org/officeDocument/2006/relationships" ref="A342" r:id="rId937"/>
    <hyperlink xmlns:r="http://schemas.openxmlformats.org/officeDocument/2006/relationships" ref="C342" r:id="rId938"/>
    <hyperlink xmlns:r="http://schemas.openxmlformats.org/officeDocument/2006/relationships" ref="F341" r:id="rId939"/>
    <hyperlink xmlns:r="http://schemas.openxmlformats.org/officeDocument/2006/relationships" ref="A343" r:id="rId940"/>
    <hyperlink xmlns:r="http://schemas.openxmlformats.org/officeDocument/2006/relationships" ref="C343" r:id="rId941"/>
    <hyperlink xmlns:r="http://schemas.openxmlformats.org/officeDocument/2006/relationships" ref="F342" r:id="rId942"/>
    <hyperlink xmlns:r="http://schemas.openxmlformats.org/officeDocument/2006/relationships" ref="A344" r:id="rId943"/>
    <hyperlink xmlns:r="http://schemas.openxmlformats.org/officeDocument/2006/relationships" ref="C344" r:id="rId944"/>
    <hyperlink xmlns:r="http://schemas.openxmlformats.org/officeDocument/2006/relationships" ref="F343" r:id="rId945"/>
    <hyperlink xmlns:r="http://schemas.openxmlformats.org/officeDocument/2006/relationships" ref="A345" r:id="rId946"/>
    <hyperlink xmlns:r="http://schemas.openxmlformats.org/officeDocument/2006/relationships" ref="C345" r:id="rId947"/>
    <hyperlink xmlns:r="http://schemas.openxmlformats.org/officeDocument/2006/relationships" ref="F344" r:id="rId948"/>
    <hyperlink xmlns:r="http://schemas.openxmlformats.org/officeDocument/2006/relationships" ref="A346" r:id="rId949"/>
    <hyperlink xmlns:r="http://schemas.openxmlformats.org/officeDocument/2006/relationships" ref="C346" r:id="rId950"/>
    <hyperlink xmlns:r="http://schemas.openxmlformats.org/officeDocument/2006/relationships" ref="F345" r:id="rId951"/>
    <hyperlink xmlns:r="http://schemas.openxmlformats.org/officeDocument/2006/relationships" ref="A347" r:id="rId952"/>
    <hyperlink xmlns:r="http://schemas.openxmlformats.org/officeDocument/2006/relationships" ref="C347" r:id="rId953"/>
    <hyperlink xmlns:r="http://schemas.openxmlformats.org/officeDocument/2006/relationships" ref="F346" r:id="rId954"/>
    <hyperlink xmlns:r="http://schemas.openxmlformats.org/officeDocument/2006/relationships" ref="A348" r:id="rId955"/>
    <hyperlink xmlns:r="http://schemas.openxmlformats.org/officeDocument/2006/relationships" ref="C348" r:id="rId956"/>
    <hyperlink xmlns:r="http://schemas.openxmlformats.org/officeDocument/2006/relationships" ref="F347" r:id="rId957"/>
    <hyperlink xmlns:r="http://schemas.openxmlformats.org/officeDocument/2006/relationships" ref="A349" r:id="rId958"/>
    <hyperlink xmlns:r="http://schemas.openxmlformats.org/officeDocument/2006/relationships" ref="C349" r:id="rId959"/>
    <hyperlink xmlns:r="http://schemas.openxmlformats.org/officeDocument/2006/relationships" ref="F348" r:id="rId960"/>
    <hyperlink xmlns:r="http://schemas.openxmlformats.org/officeDocument/2006/relationships" ref="A350" r:id="rId961"/>
    <hyperlink xmlns:r="http://schemas.openxmlformats.org/officeDocument/2006/relationships" ref="C350" r:id="rId962"/>
    <hyperlink xmlns:r="http://schemas.openxmlformats.org/officeDocument/2006/relationships" ref="F349" r:id="rId963"/>
    <hyperlink xmlns:r="http://schemas.openxmlformats.org/officeDocument/2006/relationships" ref="A351" r:id="rId964"/>
    <hyperlink xmlns:r="http://schemas.openxmlformats.org/officeDocument/2006/relationships" ref="C351" r:id="rId965"/>
    <hyperlink xmlns:r="http://schemas.openxmlformats.org/officeDocument/2006/relationships" ref="F350" r:id="rId966"/>
    <hyperlink xmlns:r="http://schemas.openxmlformats.org/officeDocument/2006/relationships" ref="A352" r:id="rId967"/>
    <hyperlink xmlns:r="http://schemas.openxmlformats.org/officeDocument/2006/relationships" ref="C352" r:id="rId968"/>
    <hyperlink xmlns:r="http://schemas.openxmlformats.org/officeDocument/2006/relationships" ref="F351" r:id="rId969"/>
    <hyperlink xmlns:r="http://schemas.openxmlformats.org/officeDocument/2006/relationships" ref="A353" r:id="rId970"/>
    <hyperlink xmlns:r="http://schemas.openxmlformats.org/officeDocument/2006/relationships" ref="C353" r:id="rId971"/>
    <hyperlink xmlns:r="http://schemas.openxmlformats.org/officeDocument/2006/relationships" ref="F352" r:id="rId972"/>
    <hyperlink xmlns:r="http://schemas.openxmlformats.org/officeDocument/2006/relationships" ref="A354" r:id="rId973"/>
    <hyperlink xmlns:r="http://schemas.openxmlformats.org/officeDocument/2006/relationships" ref="C354" r:id="rId974"/>
    <hyperlink xmlns:r="http://schemas.openxmlformats.org/officeDocument/2006/relationships" ref="F353" r:id="rId975"/>
    <hyperlink xmlns:r="http://schemas.openxmlformats.org/officeDocument/2006/relationships" ref="A355" r:id="rId976"/>
    <hyperlink xmlns:r="http://schemas.openxmlformats.org/officeDocument/2006/relationships" ref="C355" r:id="rId977"/>
    <hyperlink xmlns:r="http://schemas.openxmlformats.org/officeDocument/2006/relationships" ref="F354" r:id="rId978"/>
    <hyperlink xmlns:r="http://schemas.openxmlformats.org/officeDocument/2006/relationships" ref="A356" r:id="rId979"/>
    <hyperlink xmlns:r="http://schemas.openxmlformats.org/officeDocument/2006/relationships" ref="C356" r:id="rId980"/>
    <hyperlink xmlns:r="http://schemas.openxmlformats.org/officeDocument/2006/relationships" ref="F355" r:id="rId981"/>
    <hyperlink xmlns:r="http://schemas.openxmlformats.org/officeDocument/2006/relationships" ref="A357" r:id="rId982"/>
    <hyperlink xmlns:r="http://schemas.openxmlformats.org/officeDocument/2006/relationships" ref="C357" r:id="rId983"/>
    <hyperlink xmlns:r="http://schemas.openxmlformats.org/officeDocument/2006/relationships" ref="F356" r:id="rId984"/>
    <hyperlink xmlns:r="http://schemas.openxmlformats.org/officeDocument/2006/relationships" ref="A358" r:id="rId985"/>
    <hyperlink xmlns:r="http://schemas.openxmlformats.org/officeDocument/2006/relationships" ref="C358" r:id="rId986"/>
    <hyperlink xmlns:r="http://schemas.openxmlformats.org/officeDocument/2006/relationships" ref="F357" r:id="rId987"/>
    <hyperlink xmlns:r="http://schemas.openxmlformats.org/officeDocument/2006/relationships" ref="A359" r:id="rId988"/>
    <hyperlink xmlns:r="http://schemas.openxmlformats.org/officeDocument/2006/relationships" ref="C359" r:id="rId989"/>
    <hyperlink xmlns:r="http://schemas.openxmlformats.org/officeDocument/2006/relationships" ref="F358" r:id="rId990"/>
    <hyperlink xmlns:r="http://schemas.openxmlformats.org/officeDocument/2006/relationships" ref="A360" r:id="rId991"/>
    <hyperlink xmlns:r="http://schemas.openxmlformats.org/officeDocument/2006/relationships" ref="C360" r:id="rId992"/>
    <hyperlink xmlns:r="http://schemas.openxmlformats.org/officeDocument/2006/relationships" ref="F359" r:id="rId993"/>
    <hyperlink xmlns:r="http://schemas.openxmlformats.org/officeDocument/2006/relationships" ref="A361" r:id="rId994"/>
    <hyperlink xmlns:r="http://schemas.openxmlformats.org/officeDocument/2006/relationships" ref="C361" r:id="rId995"/>
    <hyperlink xmlns:r="http://schemas.openxmlformats.org/officeDocument/2006/relationships" ref="F360" r:id="rId996"/>
    <hyperlink xmlns:r="http://schemas.openxmlformats.org/officeDocument/2006/relationships" ref="A362" r:id="rId997"/>
    <hyperlink xmlns:r="http://schemas.openxmlformats.org/officeDocument/2006/relationships" ref="C362" r:id="rId998"/>
    <hyperlink xmlns:r="http://schemas.openxmlformats.org/officeDocument/2006/relationships" ref="F361" r:id="rId999"/>
    <hyperlink xmlns:r="http://schemas.openxmlformats.org/officeDocument/2006/relationships" ref="A363" r:id="rId1000"/>
    <hyperlink xmlns:r="http://schemas.openxmlformats.org/officeDocument/2006/relationships" ref="C363" r:id="rId1001"/>
    <hyperlink xmlns:r="http://schemas.openxmlformats.org/officeDocument/2006/relationships" ref="F362" r:id="rId1002"/>
    <hyperlink xmlns:r="http://schemas.openxmlformats.org/officeDocument/2006/relationships" ref="A364" r:id="rId1003"/>
    <hyperlink xmlns:r="http://schemas.openxmlformats.org/officeDocument/2006/relationships" ref="C364" r:id="rId1004"/>
    <hyperlink xmlns:r="http://schemas.openxmlformats.org/officeDocument/2006/relationships" ref="F363" r:id="rId1005"/>
    <hyperlink xmlns:r="http://schemas.openxmlformats.org/officeDocument/2006/relationships" ref="A365" r:id="rId1006"/>
    <hyperlink xmlns:r="http://schemas.openxmlformats.org/officeDocument/2006/relationships" ref="C365" r:id="rId1007"/>
    <hyperlink xmlns:r="http://schemas.openxmlformats.org/officeDocument/2006/relationships" ref="F364" r:id="rId1008"/>
    <hyperlink xmlns:r="http://schemas.openxmlformats.org/officeDocument/2006/relationships" ref="A366" r:id="rId1009"/>
    <hyperlink xmlns:r="http://schemas.openxmlformats.org/officeDocument/2006/relationships" ref="C366" r:id="rId1010"/>
    <hyperlink xmlns:r="http://schemas.openxmlformats.org/officeDocument/2006/relationships" ref="F365" r:id="rId1011"/>
    <hyperlink xmlns:r="http://schemas.openxmlformats.org/officeDocument/2006/relationships" ref="A367" r:id="rId1012"/>
    <hyperlink xmlns:r="http://schemas.openxmlformats.org/officeDocument/2006/relationships" ref="C367" r:id="rId1013"/>
    <hyperlink xmlns:r="http://schemas.openxmlformats.org/officeDocument/2006/relationships" ref="F366" r:id="rId1014"/>
    <hyperlink xmlns:r="http://schemas.openxmlformats.org/officeDocument/2006/relationships" ref="A368" r:id="rId1015"/>
    <hyperlink xmlns:r="http://schemas.openxmlformats.org/officeDocument/2006/relationships" ref="C368" r:id="rId1016"/>
    <hyperlink xmlns:r="http://schemas.openxmlformats.org/officeDocument/2006/relationships" ref="F367" r:id="rId1017"/>
    <hyperlink xmlns:r="http://schemas.openxmlformats.org/officeDocument/2006/relationships" ref="A369" r:id="rId1018"/>
    <hyperlink xmlns:r="http://schemas.openxmlformats.org/officeDocument/2006/relationships" ref="C369" r:id="rId1019"/>
    <hyperlink xmlns:r="http://schemas.openxmlformats.org/officeDocument/2006/relationships" ref="F368" r:id="rId1020"/>
    <hyperlink xmlns:r="http://schemas.openxmlformats.org/officeDocument/2006/relationships" ref="A370" r:id="rId1021"/>
    <hyperlink xmlns:r="http://schemas.openxmlformats.org/officeDocument/2006/relationships" ref="C370" r:id="rId1022"/>
    <hyperlink xmlns:r="http://schemas.openxmlformats.org/officeDocument/2006/relationships" ref="F369" r:id="rId1023"/>
    <hyperlink xmlns:r="http://schemas.openxmlformats.org/officeDocument/2006/relationships" ref="A371" r:id="rId1024"/>
    <hyperlink xmlns:r="http://schemas.openxmlformats.org/officeDocument/2006/relationships" ref="C371" r:id="rId1025"/>
    <hyperlink xmlns:r="http://schemas.openxmlformats.org/officeDocument/2006/relationships" ref="F370" r:id="rId1026"/>
    <hyperlink xmlns:r="http://schemas.openxmlformats.org/officeDocument/2006/relationships" ref="A372" r:id="rId1027"/>
    <hyperlink xmlns:r="http://schemas.openxmlformats.org/officeDocument/2006/relationships" ref="C372" r:id="rId1028"/>
    <hyperlink xmlns:r="http://schemas.openxmlformats.org/officeDocument/2006/relationships" ref="F371" r:id="rId1029"/>
    <hyperlink xmlns:r="http://schemas.openxmlformats.org/officeDocument/2006/relationships" ref="A373" r:id="rId1030"/>
    <hyperlink xmlns:r="http://schemas.openxmlformats.org/officeDocument/2006/relationships" ref="C373" r:id="rId1031"/>
    <hyperlink xmlns:r="http://schemas.openxmlformats.org/officeDocument/2006/relationships" ref="F372" r:id="rId1032"/>
    <hyperlink xmlns:r="http://schemas.openxmlformats.org/officeDocument/2006/relationships" ref="A374" r:id="rId1033"/>
    <hyperlink xmlns:r="http://schemas.openxmlformats.org/officeDocument/2006/relationships" ref="C374" r:id="rId1034"/>
    <hyperlink xmlns:r="http://schemas.openxmlformats.org/officeDocument/2006/relationships" ref="F373" r:id="rId1035"/>
    <hyperlink xmlns:r="http://schemas.openxmlformats.org/officeDocument/2006/relationships" ref="A375" r:id="rId1036"/>
    <hyperlink xmlns:r="http://schemas.openxmlformats.org/officeDocument/2006/relationships" ref="C375" r:id="rId1037"/>
    <hyperlink xmlns:r="http://schemas.openxmlformats.org/officeDocument/2006/relationships" ref="F374" r:id="rId1038"/>
    <hyperlink xmlns:r="http://schemas.openxmlformats.org/officeDocument/2006/relationships" ref="A376" r:id="rId1039"/>
    <hyperlink xmlns:r="http://schemas.openxmlformats.org/officeDocument/2006/relationships" ref="C376" r:id="rId1040"/>
    <hyperlink xmlns:r="http://schemas.openxmlformats.org/officeDocument/2006/relationships" ref="F375" r:id="rId1041"/>
    <hyperlink xmlns:r="http://schemas.openxmlformats.org/officeDocument/2006/relationships" ref="A377" r:id="rId1042"/>
    <hyperlink xmlns:r="http://schemas.openxmlformats.org/officeDocument/2006/relationships" ref="C377" r:id="rId1043"/>
    <hyperlink xmlns:r="http://schemas.openxmlformats.org/officeDocument/2006/relationships" ref="F376" r:id="rId1044"/>
    <hyperlink xmlns:r="http://schemas.openxmlformats.org/officeDocument/2006/relationships" ref="A378" r:id="rId1045"/>
    <hyperlink xmlns:r="http://schemas.openxmlformats.org/officeDocument/2006/relationships" ref="C378" r:id="rId1046"/>
    <hyperlink xmlns:r="http://schemas.openxmlformats.org/officeDocument/2006/relationships" ref="F377" r:id="rId1047"/>
    <hyperlink xmlns:r="http://schemas.openxmlformats.org/officeDocument/2006/relationships" ref="A379" r:id="rId1048"/>
    <hyperlink xmlns:r="http://schemas.openxmlformats.org/officeDocument/2006/relationships" ref="C379" r:id="rId1049"/>
    <hyperlink xmlns:r="http://schemas.openxmlformats.org/officeDocument/2006/relationships" ref="F378" r:id="rId1050"/>
    <hyperlink xmlns:r="http://schemas.openxmlformats.org/officeDocument/2006/relationships" ref="A380" r:id="rId1051"/>
    <hyperlink xmlns:r="http://schemas.openxmlformats.org/officeDocument/2006/relationships" ref="C380" r:id="rId1052"/>
    <hyperlink xmlns:r="http://schemas.openxmlformats.org/officeDocument/2006/relationships" ref="F379" r:id="rId1053"/>
    <hyperlink xmlns:r="http://schemas.openxmlformats.org/officeDocument/2006/relationships" ref="A381" r:id="rId1054"/>
    <hyperlink xmlns:r="http://schemas.openxmlformats.org/officeDocument/2006/relationships" ref="C381" r:id="rId1055"/>
    <hyperlink xmlns:r="http://schemas.openxmlformats.org/officeDocument/2006/relationships" ref="F380" r:id="rId1056"/>
    <hyperlink xmlns:r="http://schemas.openxmlformats.org/officeDocument/2006/relationships" ref="A382" r:id="rId1057"/>
    <hyperlink xmlns:r="http://schemas.openxmlformats.org/officeDocument/2006/relationships" ref="C382" r:id="rId1058"/>
    <hyperlink xmlns:r="http://schemas.openxmlformats.org/officeDocument/2006/relationships" ref="F381" r:id="rId1059"/>
    <hyperlink xmlns:r="http://schemas.openxmlformats.org/officeDocument/2006/relationships" ref="A383" r:id="rId1060"/>
    <hyperlink xmlns:r="http://schemas.openxmlformats.org/officeDocument/2006/relationships" ref="C383" r:id="rId1061"/>
    <hyperlink xmlns:r="http://schemas.openxmlformats.org/officeDocument/2006/relationships" ref="F382" r:id="rId1062"/>
    <hyperlink xmlns:r="http://schemas.openxmlformats.org/officeDocument/2006/relationships" ref="A384" r:id="rId1063"/>
    <hyperlink xmlns:r="http://schemas.openxmlformats.org/officeDocument/2006/relationships" ref="C384" r:id="rId1064"/>
    <hyperlink xmlns:r="http://schemas.openxmlformats.org/officeDocument/2006/relationships" ref="F383" r:id="rId1065"/>
    <hyperlink xmlns:r="http://schemas.openxmlformats.org/officeDocument/2006/relationships" ref="A385" r:id="rId1066"/>
    <hyperlink xmlns:r="http://schemas.openxmlformats.org/officeDocument/2006/relationships" ref="C385" r:id="rId1067"/>
    <hyperlink xmlns:r="http://schemas.openxmlformats.org/officeDocument/2006/relationships" ref="F384" r:id="rId1068"/>
    <hyperlink xmlns:r="http://schemas.openxmlformats.org/officeDocument/2006/relationships" ref="A386" r:id="rId1069"/>
    <hyperlink xmlns:r="http://schemas.openxmlformats.org/officeDocument/2006/relationships" ref="C386" r:id="rId1070"/>
    <hyperlink xmlns:r="http://schemas.openxmlformats.org/officeDocument/2006/relationships" ref="F385" r:id="rId1071"/>
    <hyperlink xmlns:r="http://schemas.openxmlformats.org/officeDocument/2006/relationships" ref="A387" r:id="rId1072"/>
    <hyperlink xmlns:r="http://schemas.openxmlformats.org/officeDocument/2006/relationships" ref="C387" r:id="rId1073"/>
    <hyperlink xmlns:r="http://schemas.openxmlformats.org/officeDocument/2006/relationships" ref="F386" r:id="rId1074"/>
    <hyperlink xmlns:r="http://schemas.openxmlformats.org/officeDocument/2006/relationships" ref="A388" r:id="rId1075"/>
    <hyperlink xmlns:r="http://schemas.openxmlformats.org/officeDocument/2006/relationships" ref="C388" r:id="rId1076"/>
    <hyperlink xmlns:r="http://schemas.openxmlformats.org/officeDocument/2006/relationships" ref="F387" r:id="rId1077"/>
    <hyperlink xmlns:r="http://schemas.openxmlformats.org/officeDocument/2006/relationships" ref="A389" r:id="rId1078"/>
    <hyperlink xmlns:r="http://schemas.openxmlformats.org/officeDocument/2006/relationships" ref="C389" r:id="rId1079"/>
    <hyperlink xmlns:r="http://schemas.openxmlformats.org/officeDocument/2006/relationships" ref="F388" r:id="rId1080"/>
    <hyperlink xmlns:r="http://schemas.openxmlformats.org/officeDocument/2006/relationships" ref="A390" r:id="rId1081"/>
    <hyperlink xmlns:r="http://schemas.openxmlformats.org/officeDocument/2006/relationships" ref="C390" r:id="rId1082"/>
    <hyperlink xmlns:r="http://schemas.openxmlformats.org/officeDocument/2006/relationships" ref="F389" r:id="rId1083"/>
    <hyperlink xmlns:r="http://schemas.openxmlformats.org/officeDocument/2006/relationships" ref="A391" r:id="rId1084"/>
    <hyperlink xmlns:r="http://schemas.openxmlformats.org/officeDocument/2006/relationships" ref="C391" r:id="rId1085"/>
    <hyperlink xmlns:r="http://schemas.openxmlformats.org/officeDocument/2006/relationships" ref="F390" r:id="rId1086"/>
    <hyperlink xmlns:r="http://schemas.openxmlformats.org/officeDocument/2006/relationships" ref="A392" r:id="rId1087"/>
    <hyperlink xmlns:r="http://schemas.openxmlformats.org/officeDocument/2006/relationships" ref="C392" r:id="rId1088"/>
    <hyperlink xmlns:r="http://schemas.openxmlformats.org/officeDocument/2006/relationships" ref="F391" r:id="rId1089"/>
    <hyperlink xmlns:r="http://schemas.openxmlformats.org/officeDocument/2006/relationships" ref="A393" r:id="rId1090"/>
    <hyperlink xmlns:r="http://schemas.openxmlformats.org/officeDocument/2006/relationships" ref="C393" r:id="rId1091"/>
    <hyperlink xmlns:r="http://schemas.openxmlformats.org/officeDocument/2006/relationships" ref="F392" r:id="rId1092"/>
    <hyperlink xmlns:r="http://schemas.openxmlformats.org/officeDocument/2006/relationships" ref="A394" r:id="rId1093"/>
    <hyperlink xmlns:r="http://schemas.openxmlformats.org/officeDocument/2006/relationships" ref="C394" r:id="rId1094"/>
    <hyperlink xmlns:r="http://schemas.openxmlformats.org/officeDocument/2006/relationships" ref="F393" r:id="rId1095"/>
    <hyperlink xmlns:r="http://schemas.openxmlformats.org/officeDocument/2006/relationships" ref="A395" r:id="rId1096"/>
    <hyperlink xmlns:r="http://schemas.openxmlformats.org/officeDocument/2006/relationships" ref="C395" r:id="rId1097"/>
    <hyperlink xmlns:r="http://schemas.openxmlformats.org/officeDocument/2006/relationships" ref="F394" r:id="rId1098"/>
    <hyperlink xmlns:r="http://schemas.openxmlformats.org/officeDocument/2006/relationships" ref="A396" r:id="rId1099"/>
    <hyperlink xmlns:r="http://schemas.openxmlformats.org/officeDocument/2006/relationships" ref="C396" r:id="rId1100"/>
    <hyperlink xmlns:r="http://schemas.openxmlformats.org/officeDocument/2006/relationships" ref="F395" r:id="rId1101"/>
    <hyperlink xmlns:r="http://schemas.openxmlformats.org/officeDocument/2006/relationships" ref="A397" r:id="rId1102"/>
    <hyperlink xmlns:r="http://schemas.openxmlformats.org/officeDocument/2006/relationships" ref="C397" r:id="rId1103"/>
    <hyperlink xmlns:r="http://schemas.openxmlformats.org/officeDocument/2006/relationships" ref="F396" r:id="rId1104"/>
    <hyperlink xmlns:r="http://schemas.openxmlformats.org/officeDocument/2006/relationships" ref="A398" r:id="rId1105"/>
    <hyperlink xmlns:r="http://schemas.openxmlformats.org/officeDocument/2006/relationships" ref="C398" r:id="rId1106"/>
    <hyperlink xmlns:r="http://schemas.openxmlformats.org/officeDocument/2006/relationships" ref="F397" r:id="rId1107"/>
    <hyperlink xmlns:r="http://schemas.openxmlformats.org/officeDocument/2006/relationships" ref="A399" r:id="rId1108"/>
    <hyperlink xmlns:r="http://schemas.openxmlformats.org/officeDocument/2006/relationships" ref="C399" r:id="rId1109"/>
    <hyperlink xmlns:r="http://schemas.openxmlformats.org/officeDocument/2006/relationships" ref="F398" r:id="rId1110"/>
    <hyperlink xmlns:r="http://schemas.openxmlformats.org/officeDocument/2006/relationships" ref="A400" r:id="rId1111"/>
    <hyperlink xmlns:r="http://schemas.openxmlformats.org/officeDocument/2006/relationships" ref="C400" r:id="rId1112"/>
    <hyperlink xmlns:r="http://schemas.openxmlformats.org/officeDocument/2006/relationships" ref="F399" r:id="rId1113"/>
    <hyperlink xmlns:r="http://schemas.openxmlformats.org/officeDocument/2006/relationships" ref="A401" r:id="rId1114"/>
    <hyperlink xmlns:r="http://schemas.openxmlformats.org/officeDocument/2006/relationships" ref="C401" r:id="rId1115"/>
    <hyperlink xmlns:r="http://schemas.openxmlformats.org/officeDocument/2006/relationships" ref="F400" r:id="rId1116"/>
    <hyperlink xmlns:r="http://schemas.openxmlformats.org/officeDocument/2006/relationships" ref="A402" r:id="rId1117"/>
    <hyperlink xmlns:r="http://schemas.openxmlformats.org/officeDocument/2006/relationships" ref="C402" r:id="rId1118"/>
    <hyperlink xmlns:r="http://schemas.openxmlformats.org/officeDocument/2006/relationships" ref="F401" r:id="rId1119"/>
    <hyperlink xmlns:r="http://schemas.openxmlformats.org/officeDocument/2006/relationships" ref="A403" r:id="rId1120"/>
    <hyperlink xmlns:r="http://schemas.openxmlformats.org/officeDocument/2006/relationships" ref="C403" r:id="rId1121"/>
    <hyperlink xmlns:r="http://schemas.openxmlformats.org/officeDocument/2006/relationships" ref="F402" r:id="rId1122"/>
    <hyperlink xmlns:r="http://schemas.openxmlformats.org/officeDocument/2006/relationships" ref="A404" r:id="rId1123"/>
    <hyperlink xmlns:r="http://schemas.openxmlformats.org/officeDocument/2006/relationships" ref="C404" r:id="rId1124"/>
    <hyperlink xmlns:r="http://schemas.openxmlformats.org/officeDocument/2006/relationships" ref="F403" r:id="rId1125"/>
    <hyperlink xmlns:r="http://schemas.openxmlformats.org/officeDocument/2006/relationships" ref="A405" r:id="rId1126"/>
    <hyperlink xmlns:r="http://schemas.openxmlformats.org/officeDocument/2006/relationships" ref="C405" r:id="rId1127"/>
    <hyperlink xmlns:r="http://schemas.openxmlformats.org/officeDocument/2006/relationships" ref="F404" r:id="rId1128"/>
    <hyperlink xmlns:r="http://schemas.openxmlformats.org/officeDocument/2006/relationships" ref="A406" r:id="rId1129"/>
    <hyperlink xmlns:r="http://schemas.openxmlformats.org/officeDocument/2006/relationships" ref="C406" r:id="rId1130"/>
    <hyperlink xmlns:r="http://schemas.openxmlformats.org/officeDocument/2006/relationships" ref="F405" r:id="rId1131"/>
    <hyperlink xmlns:r="http://schemas.openxmlformats.org/officeDocument/2006/relationships" ref="A407" r:id="rId1132"/>
    <hyperlink xmlns:r="http://schemas.openxmlformats.org/officeDocument/2006/relationships" ref="C407" r:id="rId1133"/>
    <hyperlink xmlns:r="http://schemas.openxmlformats.org/officeDocument/2006/relationships" ref="F406" r:id="rId1134"/>
    <hyperlink xmlns:r="http://schemas.openxmlformats.org/officeDocument/2006/relationships" ref="A408" r:id="rId1135"/>
    <hyperlink xmlns:r="http://schemas.openxmlformats.org/officeDocument/2006/relationships" ref="C408" r:id="rId1136"/>
    <hyperlink xmlns:r="http://schemas.openxmlformats.org/officeDocument/2006/relationships" ref="F407" r:id="rId1137"/>
    <hyperlink xmlns:r="http://schemas.openxmlformats.org/officeDocument/2006/relationships" ref="A409" r:id="rId1138"/>
    <hyperlink xmlns:r="http://schemas.openxmlformats.org/officeDocument/2006/relationships" ref="C409" r:id="rId1139"/>
    <hyperlink xmlns:r="http://schemas.openxmlformats.org/officeDocument/2006/relationships" ref="F408" r:id="rId1140"/>
    <hyperlink xmlns:r="http://schemas.openxmlformats.org/officeDocument/2006/relationships" ref="A410" r:id="rId1141"/>
    <hyperlink xmlns:r="http://schemas.openxmlformats.org/officeDocument/2006/relationships" ref="C410" r:id="rId1142"/>
    <hyperlink xmlns:r="http://schemas.openxmlformats.org/officeDocument/2006/relationships" ref="F409" r:id="rId1143"/>
    <hyperlink xmlns:r="http://schemas.openxmlformats.org/officeDocument/2006/relationships" ref="A411" r:id="rId1144"/>
    <hyperlink xmlns:r="http://schemas.openxmlformats.org/officeDocument/2006/relationships" ref="C411" r:id="rId1145"/>
    <hyperlink xmlns:r="http://schemas.openxmlformats.org/officeDocument/2006/relationships" ref="F410" r:id="rId1146"/>
    <hyperlink xmlns:r="http://schemas.openxmlformats.org/officeDocument/2006/relationships" ref="A412" r:id="rId1147"/>
    <hyperlink xmlns:r="http://schemas.openxmlformats.org/officeDocument/2006/relationships" ref="C412" r:id="rId1148"/>
    <hyperlink xmlns:r="http://schemas.openxmlformats.org/officeDocument/2006/relationships" ref="F411" r:id="rId1149"/>
    <hyperlink xmlns:r="http://schemas.openxmlformats.org/officeDocument/2006/relationships" ref="A413" r:id="rId1150"/>
    <hyperlink xmlns:r="http://schemas.openxmlformats.org/officeDocument/2006/relationships" ref="C413" r:id="rId1151"/>
    <hyperlink xmlns:r="http://schemas.openxmlformats.org/officeDocument/2006/relationships" ref="F412" r:id="rId1152"/>
    <hyperlink xmlns:r="http://schemas.openxmlformats.org/officeDocument/2006/relationships" ref="A414" r:id="rId1153"/>
    <hyperlink xmlns:r="http://schemas.openxmlformats.org/officeDocument/2006/relationships" ref="C414" r:id="rId1154"/>
    <hyperlink xmlns:r="http://schemas.openxmlformats.org/officeDocument/2006/relationships" ref="F413" r:id="rId1155"/>
    <hyperlink xmlns:r="http://schemas.openxmlformats.org/officeDocument/2006/relationships" ref="A415" r:id="rId1156"/>
    <hyperlink xmlns:r="http://schemas.openxmlformats.org/officeDocument/2006/relationships" ref="C415" r:id="rId1157"/>
    <hyperlink xmlns:r="http://schemas.openxmlformats.org/officeDocument/2006/relationships" ref="F414" r:id="rId1158"/>
    <hyperlink xmlns:r="http://schemas.openxmlformats.org/officeDocument/2006/relationships" ref="A416" r:id="rId1159"/>
    <hyperlink xmlns:r="http://schemas.openxmlformats.org/officeDocument/2006/relationships" ref="C416" r:id="rId1160"/>
    <hyperlink xmlns:r="http://schemas.openxmlformats.org/officeDocument/2006/relationships" ref="F415" r:id="rId1161"/>
    <hyperlink xmlns:r="http://schemas.openxmlformats.org/officeDocument/2006/relationships" ref="A417" r:id="rId1162"/>
    <hyperlink xmlns:r="http://schemas.openxmlformats.org/officeDocument/2006/relationships" ref="C417" r:id="rId1163"/>
    <hyperlink xmlns:r="http://schemas.openxmlformats.org/officeDocument/2006/relationships" ref="F416" r:id="rId1164"/>
    <hyperlink xmlns:r="http://schemas.openxmlformats.org/officeDocument/2006/relationships" ref="A418" r:id="rId1165"/>
    <hyperlink xmlns:r="http://schemas.openxmlformats.org/officeDocument/2006/relationships" ref="C418" r:id="rId1166"/>
    <hyperlink xmlns:r="http://schemas.openxmlformats.org/officeDocument/2006/relationships" ref="F417" r:id="rId1167"/>
    <hyperlink xmlns:r="http://schemas.openxmlformats.org/officeDocument/2006/relationships" ref="A419" r:id="rId1168"/>
    <hyperlink xmlns:r="http://schemas.openxmlformats.org/officeDocument/2006/relationships" ref="C419" r:id="rId1169"/>
    <hyperlink xmlns:r="http://schemas.openxmlformats.org/officeDocument/2006/relationships" ref="F418" r:id="rId1170"/>
    <hyperlink xmlns:r="http://schemas.openxmlformats.org/officeDocument/2006/relationships" ref="A420" r:id="rId1171"/>
    <hyperlink xmlns:r="http://schemas.openxmlformats.org/officeDocument/2006/relationships" ref="C420" r:id="rId1172"/>
    <hyperlink xmlns:r="http://schemas.openxmlformats.org/officeDocument/2006/relationships" ref="F419" r:id="rId1173"/>
    <hyperlink xmlns:r="http://schemas.openxmlformats.org/officeDocument/2006/relationships" ref="A421" r:id="rId1174"/>
    <hyperlink xmlns:r="http://schemas.openxmlformats.org/officeDocument/2006/relationships" ref="C421" r:id="rId1175"/>
    <hyperlink xmlns:r="http://schemas.openxmlformats.org/officeDocument/2006/relationships" ref="F420" r:id="rId1176"/>
    <hyperlink xmlns:r="http://schemas.openxmlformats.org/officeDocument/2006/relationships" ref="A422" r:id="rId1177"/>
    <hyperlink xmlns:r="http://schemas.openxmlformats.org/officeDocument/2006/relationships" ref="C422" r:id="rId1178"/>
    <hyperlink xmlns:r="http://schemas.openxmlformats.org/officeDocument/2006/relationships" ref="F421" r:id="rId1179"/>
    <hyperlink xmlns:r="http://schemas.openxmlformats.org/officeDocument/2006/relationships" ref="A423" r:id="rId1180"/>
    <hyperlink xmlns:r="http://schemas.openxmlformats.org/officeDocument/2006/relationships" ref="C423" r:id="rId1181"/>
    <hyperlink xmlns:r="http://schemas.openxmlformats.org/officeDocument/2006/relationships" ref="F422" r:id="rId1182"/>
    <hyperlink xmlns:r="http://schemas.openxmlformats.org/officeDocument/2006/relationships" ref="A424" r:id="rId1183"/>
    <hyperlink xmlns:r="http://schemas.openxmlformats.org/officeDocument/2006/relationships" ref="C424" r:id="rId1184"/>
    <hyperlink xmlns:r="http://schemas.openxmlformats.org/officeDocument/2006/relationships" ref="F423" r:id="rId1185"/>
    <hyperlink xmlns:r="http://schemas.openxmlformats.org/officeDocument/2006/relationships" ref="A425" r:id="rId1186"/>
    <hyperlink xmlns:r="http://schemas.openxmlformats.org/officeDocument/2006/relationships" ref="C425" r:id="rId1187"/>
    <hyperlink xmlns:r="http://schemas.openxmlformats.org/officeDocument/2006/relationships" ref="F424" r:id="rId1188"/>
    <hyperlink xmlns:r="http://schemas.openxmlformats.org/officeDocument/2006/relationships" ref="A426" r:id="rId1189"/>
    <hyperlink xmlns:r="http://schemas.openxmlformats.org/officeDocument/2006/relationships" ref="C426" r:id="rId1190"/>
    <hyperlink xmlns:r="http://schemas.openxmlformats.org/officeDocument/2006/relationships" ref="F425" r:id="rId1191"/>
    <hyperlink xmlns:r="http://schemas.openxmlformats.org/officeDocument/2006/relationships" ref="A427" r:id="rId1192"/>
    <hyperlink xmlns:r="http://schemas.openxmlformats.org/officeDocument/2006/relationships" ref="C427" r:id="rId1193"/>
    <hyperlink xmlns:r="http://schemas.openxmlformats.org/officeDocument/2006/relationships" ref="F426" r:id="rId1194"/>
    <hyperlink xmlns:r="http://schemas.openxmlformats.org/officeDocument/2006/relationships" ref="A428" r:id="rId1195"/>
    <hyperlink xmlns:r="http://schemas.openxmlformats.org/officeDocument/2006/relationships" ref="C428" r:id="rId1196"/>
    <hyperlink xmlns:r="http://schemas.openxmlformats.org/officeDocument/2006/relationships" ref="F427" r:id="rId1197"/>
    <hyperlink xmlns:r="http://schemas.openxmlformats.org/officeDocument/2006/relationships" ref="A429" r:id="rId1198"/>
    <hyperlink xmlns:r="http://schemas.openxmlformats.org/officeDocument/2006/relationships" ref="C429" r:id="rId1199"/>
    <hyperlink xmlns:r="http://schemas.openxmlformats.org/officeDocument/2006/relationships" ref="F428" r:id="rId1200"/>
    <hyperlink xmlns:r="http://schemas.openxmlformats.org/officeDocument/2006/relationships" ref="A430" r:id="rId1201"/>
    <hyperlink xmlns:r="http://schemas.openxmlformats.org/officeDocument/2006/relationships" ref="C430" r:id="rId1202"/>
    <hyperlink xmlns:r="http://schemas.openxmlformats.org/officeDocument/2006/relationships" ref="F429" r:id="rId1203"/>
    <hyperlink xmlns:r="http://schemas.openxmlformats.org/officeDocument/2006/relationships" ref="A431" r:id="rId1204"/>
    <hyperlink xmlns:r="http://schemas.openxmlformats.org/officeDocument/2006/relationships" ref="C431" r:id="rId1205"/>
    <hyperlink xmlns:r="http://schemas.openxmlformats.org/officeDocument/2006/relationships" ref="F430" r:id="rId1206"/>
    <hyperlink xmlns:r="http://schemas.openxmlformats.org/officeDocument/2006/relationships" ref="A432" r:id="rId1207"/>
    <hyperlink xmlns:r="http://schemas.openxmlformats.org/officeDocument/2006/relationships" ref="C432" r:id="rId1208"/>
    <hyperlink xmlns:r="http://schemas.openxmlformats.org/officeDocument/2006/relationships" ref="F431" r:id="rId1209"/>
    <hyperlink xmlns:r="http://schemas.openxmlformats.org/officeDocument/2006/relationships" ref="A433" r:id="rId1210"/>
    <hyperlink xmlns:r="http://schemas.openxmlformats.org/officeDocument/2006/relationships" ref="C433" r:id="rId1211"/>
    <hyperlink xmlns:r="http://schemas.openxmlformats.org/officeDocument/2006/relationships" ref="F432" r:id="rId1212"/>
    <hyperlink xmlns:r="http://schemas.openxmlformats.org/officeDocument/2006/relationships" ref="A434" r:id="rId1213"/>
    <hyperlink xmlns:r="http://schemas.openxmlformats.org/officeDocument/2006/relationships" ref="C434" r:id="rId1214"/>
    <hyperlink xmlns:r="http://schemas.openxmlformats.org/officeDocument/2006/relationships" ref="F433" r:id="rId1215"/>
    <hyperlink xmlns:r="http://schemas.openxmlformats.org/officeDocument/2006/relationships" ref="A435" r:id="rId1216"/>
    <hyperlink xmlns:r="http://schemas.openxmlformats.org/officeDocument/2006/relationships" ref="C435" r:id="rId1217"/>
    <hyperlink xmlns:r="http://schemas.openxmlformats.org/officeDocument/2006/relationships" ref="F434" r:id="rId1218"/>
    <hyperlink xmlns:r="http://schemas.openxmlformats.org/officeDocument/2006/relationships" ref="A436" r:id="rId1219"/>
    <hyperlink xmlns:r="http://schemas.openxmlformats.org/officeDocument/2006/relationships" ref="C436" r:id="rId1220"/>
    <hyperlink xmlns:r="http://schemas.openxmlformats.org/officeDocument/2006/relationships" ref="F435" r:id="rId1221"/>
    <hyperlink xmlns:r="http://schemas.openxmlformats.org/officeDocument/2006/relationships" ref="A437" r:id="rId1222"/>
    <hyperlink xmlns:r="http://schemas.openxmlformats.org/officeDocument/2006/relationships" ref="C437" r:id="rId1223"/>
    <hyperlink xmlns:r="http://schemas.openxmlformats.org/officeDocument/2006/relationships" ref="F436" r:id="rId1224"/>
    <hyperlink xmlns:r="http://schemas.openxmlformats.org/officeDocument/2006/relationships" ref="A438" r:id="rId1225"/>
    <hyperlink xmlns:r="http://schemas.openxmlformats.org/officeDocument/2006/relationships" ref="C438" r:id="rId1226"/>
    <hyperlink xmlns:r="http://schemas.openxmlformats.org/officeDocument/2006/relationships" ref="F437" r:id="rId1227"/>
    <hyperlink xmlns:r="http://schemas.openxmlformats.org/officeDocument/2006/relationships" ref="A439" r:id="rId1228"/>
    <hyperlink xmlns:r="http://schemas.openxmlformats.org/officeDocument/2006/relationships" ref="C439" r:id="rId1229"/>
    <hyperlink xmlns:r="http://schemas.openxmlformats.org/officeDocument/2006/relationships" ref="F438" r:id="rId1230"/>
    <hyperlink xmlns:r="http://schemas.openxmlformats.org/officeDocument/2006/relationships" ref="A440" r:id="rId1231"/>
    <hyperlink xmlns:r="http://schemas.openxmlformats.org/officeDocument/2006/relationships" ref="C440" r:id="rId1232"/>
    <hyperlink xmlns:r="http://schemas.openxmlformats.org/officeDocument/2006/relationships" ref="F439" r:id="rId1233"/>
    <hyperlink xmlns:r="http://schemas.openxmlformats.org/officeDocument/2006/relationships" ref="A441" r:id="rId1234"/>
    <hyperlink xmlns:r="http://schemas.openxmlformats.org/officeDocument/2006/relationships" ref="C441" r:id="rId1235"/>
    <hyperlink xmlns:r="http://schemas.openxmlformats.org/officeDocument/2006/relationships" ref="F440" r:id="rId1236"/>
    <hyperlink xmlns:r="http://schemas.openxmlformats.org/officeDocument/2006/relationships" ref="A442" r:id="rId1237"/>
    <hyperlink xmlns:r="http://schemas.openxmlformats.org/officeDocument/2006/relationships" ref="C442" r:id="rId1238"/>
    <hyperlink xmlns:r="http://schemas.openxmlformats.org/officeDocument/2006/relationships" ref="F441" r:id="rId1239"/>
    <hyperlink xmlns:r="http://schemas.openxmlformats.org/officeDocument/2006/relationships" ref="A443" r:id="rId1240"/>
    <hyperlink xmlns:r="http://schemas.openxmlformats.org/officeDocument/2006/relationships" ref="C443" r:id="rId1241"/>
    <hyperlink xmlns:r="http://schemas.openxmlformats.org/officeDocument/2006/relationships" ref="F442" r:id="rId1242"/>
    <hyperlink xmlns:r="http://schemas.openxmlformats.org/officeDocument/2006/relationships" ref="A444" r:id="rId1243"/>
    <hyperlink xmlns:r="http://schemas.openxmlformats.org/officeDocument/2006/relationships" ref="C444" r:id="rId1244"/>
    <hyperlink xmlns:r="http://schemas.openxmlformats.org/officeDocument/2006/relationships" ref="F443" r:id="rId1245"/>
    <hyperlink xmlns:r="http://schemas.openxmlformats.org/officeDocument/2006/relationships" ref="A445" r:id="rId1246"/>
    <hyperlink xmlns:r="http://schemas.openxmlformats.org/officeDocument/2006/relationships" ref="C445" r:id="rId1247"/>
    <hyperlink xmlns:r="http://schemas.openxmlformats.org/officeDocument/2006/relationships" ref="F444" r:id="rId1248"/>
    <hyperlink xmlns:r="http://schemas.openxmlformats.org/officeDocument/2006/relationships" ref="A446" r:id="rId1249"/>
    <hyperlink xmlns:r="http://schemas.openxmlformats.org/officeDocument/2006/relationships" ref="C446" r:id="rId1250"/>
    <hyperlink xmlns:r="http://schemas.openxmlformats.org/officeDocument/2006/relationships" ref="F445" r:id="rId1251"/>
    <hyperlink xmlns:r="http://schemas.openxmlformats.org/officeDocument/2006/relationships" ref="A447" r:id="rId1252"/>
    <hyperlink xmlns:r="http://schemas.openxmlformats.org/officeDocument/2006/relationships" ref="C447" r:id="rId1253"/>
    <hyperlink xmlns:r="http://schemas.openxmlformats.org/officeDocument/2006/relationships" ref="F446" r:id="rId1254"/>
    <hyperlink xmlns:r="http://schemas.openxmlformats.org/officeDocument/2006/relationships" ref="A448" r:id="rId1255"/>
    <hyperlink xmlns:r="http://schemas.openxmlformats.org/officeDocument/2006/relationships" ref="C448" r:id="rId1256"/>
    <hyperlink xmlns:r="http://schemas.openxmlformats.org/officeDocument/2006/relationships" ref="F447" r:id="rId1257"/>
    <hyperlink xmlns:r="http://schemas.openxmlformats.org/officeDocument/2006/relationships" ref="A449" r:id="rId1258"/>
    <hyperlink xmlns:r="http://schemas.openxmlformats.org/officeDocument/2006/relationships" ref="C449" r:id="rId1259"/>
    <hyperlink xmlns:r="http://schemas.openxmlformats.org/officeDocument/2006/relationships" ref="F448" r:id="rId1260"/>
  </hyperlink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tabColor rgb="008E44AD"/>
    <outlinePr summaryBelow="1" summaryRight="1"/>
    <pageSetUpPr fitToPage="1"/>
  </sheetPr>
  <dimension ref="A1:BH85"/>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48" customWidth="1" min="2" max="2"/>
    <col width="13" customWidth="1" min="3" max="3"/>
    <col width="16" customWidth="1" min="4" max="4"/>
    <col width="18" customWidth="1" min="5" max="5"/>
    <col width="11" customWidth="1" min="6" max="6"/>
    <col width="22" customWidth="1" min="7" max="7"/>
    <col width="22" customWidth="1" min="8" max="8"/>
    <col width="18" customWidth="1" min="9" max="9"/>
    <col width="19" customWidth="1" min="10" max="10"/>
    <col width="21" customWidth="1" min="11" max="11"/>
    <col width="16" customWidth="1" min="12" max="12"/>
    <col width="22" customWidth="1" min="13" max="13"/>
    <col width="20" customWidth="1" min="14" max="14"/>
    <col width="22" customWidth="1" min="15" max="15"/>
    <col width="22" customWidth="1" min="16" max="16"/>
    <col width="22" customWidth="1" min="17" max="17"/>
    <col width="19" customWidth="1" min="18" max="18"/>
    <col width="18" customWidth="1" min="19" max="19"/>
    <col width="16" customWidth="1" min="20" max="20"/>
    <col width="12" customWidth="1" min="21" max="21"/>
    <col width="17" customWidth="1" min="22" max="22"/>
    <col width="12" customWidth="1" min="23" max="23"/>
    <col width="22" customWidth="1" min="24" max="24"/>
    <col width="22" customWidth="1" min="25" max="25"/>
    <col width="22" customWidth="1" min="26" max="26"/>
    <col width="18"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16" customWidth="1" min="35" max="35"/>
    <col width="18" customWidth="1" min="36" max="36"/>
    <col width="19" customWidth="1" min="37" max="37"/>
    <col width="22" customWidth="1" min="38" max="38"/>
    <col width="21" customWidth="1" min="39" max="39"/>
    <col width="22" customWidth="1" min="40" max="40"/>
    <col width="45" customWidth="1" min="41" max="41"/>
    <col width="45" customWidth="1" min="42" max="42"/>
    <col width="17" customWidth="1" min="43" max="43"/>
    <col width="14" customWidth="1" min="44" max="44"/>
    <col width="18" customWidth="1" min="45" max="45"/>
    <col width="16" customWidth="1" min="46" max="46"/>
    <col width="22" customWidth="1" min="47" max="47"/>
    <col width="45" customWidth="1" min="48" max="48"/>
    <col width="16" customWidth="1" min="49" max="49"/>
    <col width="22" customWidth="1" min="50" max="50"/>
    <col width="48" customWidth="1" min="51" max="51"/>
    <col width="13" customWidth="1" min="52" max="52"/>
    <col width="16" customWidth="1" min="53" max="53"/>
    <col width="15" customWidth="1" min="54" max="54"/>
    <col width="18" customWidth="1" min="55" max="55"/>
    <col width="22" customWidth="1" min="56" max="56"/>
    <col width="22" customWidth="1" min="57" max="57"/>
    <col width="22" customWidth="1" min="58" max="58"/>
    <col width="21" customWidth="1" min="59" max="59"/>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6" t="inlineStr">
        <is>
          <t>Diagnostic Category</t>
        </is>
      </c>
      <c r="C2" s="27" t="inlineStr">
        <is>
          <t>Status Code</t>
        </is>
      </c>
      <c r="D2" s="26" t="inlineStr">
        <is>
          <t>Severity Badge</t>
        </is>
      </c>
      <c r="E2" s="27" t="inlineStr">
        <is>
          <t>SEO Health Score</t>
        </is>
      </c>
      <c r="F2" s="26" t="inlineStr">
        <is>
          <t>Pass Flag</t>
        </is>
      </c>
      <c r="G2" s="27" t="inlineStr">
        <is>
          <t>Critical Issues Count</t>
        </is>
      </c>
      <c r="H2" s="27" t="inlineStr">
        <is>
          <t>Warning Issues Count</t>
        </is>
      </c>
      <c r="I2" s="26" t="inlineStr">
        <is>
          <t>Extraction State</t>
        </is>
      </c>
      <c r="J2" s="26" t="inlineStr">
        <is>
          <t>Extraction Source</t>
        </is>
      </c>
      <c r="K2" s="26" t="inlineStr">
        <is>
          <t>Indexability Reason</t>
        </is>
      </c>
      <c r="L2" s="26" t="inlineStr">
        <is>
          <t>Canonical Type</t>
        </is>
      </c>
      <c r="M2" s="27" t="inlineStr">
        <is>
          <t>Redirect Chain Length</t>
        </is>
      </c>
      <c r="N2" s="26" t="inlineStr">
        <is>
          <t>Redirect Loop Flag</t>
        </is>
      </c>
      <c r="O2" s="26" t="inlineStr">
        <is>
          <t>Strict-Transport-Security</t>
        </is>
      </c>
      <c r="P2" s="26" t="inlineStr">
        <is>
          <t>Content-Security-Policy</t>
        </is>
      </c>
      <c r="Q2" s="26" t="inlineStr">
        <is>
          <t>X-Content-Type-Options</t>
        </is>
      </c>
      <c r="R2" s="27" t="inlineStr">
        <is>
          <t>Desktop PSI Score</t>
        </is>
      </c>
      <c r="S2" s="27" t="inlineStr">
        <is>
          <t>Mobile PSI Score</t>
        </is>
      </c>
      <c r="T2" s="27" t="inlineStr">
        <is>
          <t>Mobile LCP (s)</t>
        </is>
      </c>
      <c r="U2" s="27" t="inlineStr">
        <is>
          <t>Mobile CLS</t>
        </is>
      </c>
      <c r="V2" s="27" t="inlineStr">
        <is>
          <t>Mobile TTFB (s)</t>
        </is>
      </c>
      <c r="W2" s="26" t="inlineStr">
        <is>
          <t>CrUX Level</t>
        </is>
      </c>
      <c r="X2" s="27" t="inlineStr">
        <is>
          <t>Lab LCP (Mobile) (s)</t>
        </is>
      </c>
      <c r="Y2" s="26" t="inlineStr">
        <is>
          <t>Lab TBT (Mobile) (ms)</t>
        </is>
      </c>
      <c r="Z2" s="27" t="inlineStr">
        <is>
          <t>Lab FCP (Mobile) (s)</t>
        </is>
      </c>
      <c r="AA2" s="27" t="inlineStr">
        <is>
          <t>Lab CLS (Mobile)</t>
        </is>
      </c>
      <c r="AB2" s="27" t="inlineStr">
        <is>
          <t>Lab TTFB (Mobile) (ms)</t>
        </is>
      </c>
      <c r="AC2" s="26" t="inlineStr">
        <is>
          <t>Lighthouse Accessibility (Mobile)</t>
        </is>
      </c>
      <c r="AD2" s="26" t="inlineStr">
        <is>
          <t>Lighthouse Best Practices (Mobile)</t>
        </is>
      </c>
      <c r="AE2" s="27" t="inlineStr">
        <is>
          <t>Lighthouse SEO Score (Mobile)</t>
        </is>
      </c>
      <c r="AF2" s="27" t="inlineStr">
        <is>
          <t>Lab LCP (Desktop) (s)</t>
        </is>
      </c>
      <c r="AG2" s="26" t="inlineStr">
        <is>
          <t>Lab TBT (Desktop) (ms)</t>
        </is>
      </c>
      <c r="AH2" s="26" t="inlineStr">
        <is>
          <t>Lighthouse Performance (Desktop)</t>
        </is>
      </c>
      <c r="AI2" s="27" t="inlineStr">
        <is>
          <t>Page Size (KB)</t>
        </is>
      </c>
      <c r="AJ2" s="27" t="inlineStr">
        <is>
          <t>DOM Size (nodes)</t>
        </is>
      </c>
      <c r="AK2" s="26" t="inlineStr">
        <is>
          <t>JS Execution (ms)</t>
        </is>
      </c>
      <c r="AL2" s="27" t="inlineStr">
        <is>
          <t>Network Request Count</t>
        </is>
      </c>
      <c r="AM2" s="27" t="inlineStr">
        <is>
          <t>Origin CrUX LCP (s)</t>
        </is>
      </c>
      <c r="AN2" s="27" t="inlineStr">
        <is>
          <t>Origin CrUX INP (ms)</t>
        </is>
      </c>
      <c r="AO2" s="26" t="inlineStr">
        <is>
          <t>Final URL</t>
        </is>
      </c>
      <c r="AP2" s="26" t="inlineStr">
        <is>
          <t>Canonical URL</t>
        </is>
      </c>
      <c r="AQ2" s="26" t="inlineStr">
        <is>
          <t>Meta Robots Raw</t>
        </is>
      </c>
      <c r="AR2" s="26" t="inlineStr">
        <is>
          <t>X-Robots-Tag</t>
        </is>
      </c>
      <c r="AS2" s="26" t="inlineStr">
        <is>
          <t>GSC Index Status</t>
        </is>
      </c>
      <c r="AT2" s="26" t="inlineStr">
        <is>
          <t>GSC Last Crawl</t>
        </is>
      </c>
      <c r="AU2" s="26" t="inlineStr">
        <is>
          <t>GSC Coverage Category</t>
        </is>
      </c>
      <c r="AV2" s="26" t="inlineStr">
        <is>
          <t>Discovered On URL</t>
        </is>
      </c>
      <c r="AW2" s="27" t="inlineStr">
        <is>
          <t>Discovery Rank</t>
        </is>
      </c>
      <c r="AX2" s="26" t="inlineStr">
        <is>
          <t>Reachable from Homepage</t>
        </is>
      </c>
      <c r="AY2" s="26" t="inlineStr">
        <is>
          <t>Source Legacy Tab</t>
        </is>
      </c>
      <c r="AZ2" s="27" t="inlineStr">
        <is>
          <t>Crawl Depth</t>
        </is>
      </c>
      <c r="BA2" s="26" t="inlineStr">
        <is>
          <t>Security: HSTS</t>
        </is>
      </c>
      <c r="BB2" s="26" t="inlineStr">
        <is>
          <t>Security: CSP</t>
        </is>
      </c>
      <c r="BC2" s="26" t="inlineStr">
        <is>
          <t>Hreflang Signals</t>
        </is>
      </c>
      <c r="BD2" s="26" t="inlineStr">
        <is>
          <t>Hreflang Declared Languages</t>
        </is>
      </c>
      <c r="BE2" s="26" t="inlineStr">
        <is>
          <t>Hreflang Alternate URLs</t>
        </is>
      </c>
      <c r="BF2" s="26" t="inlineStr">
        <is>
          <t>Hreflang Reciprocal Status</t>
        </is>
      </c>
      <c r="BG2" s="27" t="inlineStr">
        <is>
          <t>Hreflang Code Valid</t>
        </is>
      </c>
      <c r="BH2" s="26" t="inlineStr">
        <is>
          <t>Open in Main</t>
        </is>
      </c>
    </row>
    <row r="3" ht="18" customHeight="1">
      <c r="A3" s="35" t="inlineStr">
        <is>
          <t>https://africanmarketingconfederation.org/</t>
        </is>
      </c>
      <c r="B3" s="28" t="inlineStr">
        <is>
          <t>Technical | Indexability | Performance | Search Console</t>
        </is>
      </c>
      <c r="C3" s="28" t="n">
        <v>0</v>
      </c>
      <c r="D3" s="28" t="inlineStr">
        <is>
          <t>Critical</t>
        </is>
      </c>
      <c r="E3" s="28" t="n">
        <v>0</v>
      </c>
      <c r="F3" s="28" t="inlineStr">
        <is>
          <t>Non-Pass</t>
        </is>
      </c>
      <c r="G3" s="28" t="n">
        <v>1</v>
      </c>
      <c r="H3" s="28" t="n">
        <v>0</v>
      </c>
      <c r="I3" s="28" t="inlineStr">
        <is>
          <t>partial</t>
        </is>
      </c>
      <c r="J3" s="28" t="inlineStr">
        <is>
          <t>rendered_browser</t>
        </is>
      </c>
      <c r="K3" s="28" t="inlineStr"/>
      <c r="L3" s="28" t="inlineStr"/>
      <c r="M3" s="28" t="n">
        <v>0</v>
      </c>
      <c r="N3" s="32" t="b">
        <v>0</v>
      </c>
      <c r="O3" s="28" t="inlineStr"/>
      <c r="P3" s="28" t="inlineStr"/>
      <c r="Q3" s="28" t="inlineStr"/>
      <c r="R3" s="28" t="n">
        <v>88</v>
      </c>
      <c r="S3" s="28" t="n">
        <v>88</v>
      </c>
      <c r="T3" s="28" t="n">
        <v>2.4</v>
      </c>
      <c r="U3" s="28" t="n">
        <v>0.04</v>
      </c>
      <c r="V3" s="28" t="n">
        <v>0.4</v>
      </c>
      <c r="W3" s="28" t="inlineStr">
        <is>
          <t>None</t>
        </is>
      </c>
      <c r="X3" s="28" t="n">
        <v>2.4</v>
      </c>
      <c r="Y3" s="28" t="n">
        <v>180</v>
      </c>
      <c r="Z3" s="28" t="n">
        <v>1.8</v>
      </c>
      <c r="AA3" s="28" t="n">
        <v>0.04</v>
      </c>
      <c r="AB3" s="28" t="n">
        <v>400</v>
      </c>
      <c r="AC3" s="28" t="n">
        <v>85</v>
      </c>
      <c r="AD3" s="28" t="n">
        <v>82</v>
      </c>
      <c r="AE3" s="28" t="n">
        <v>92</v>
      </c>
      <c r="AF3" s="28" t="n">
        <v>2.4</v>
      </c>
      <c r="AG3" s="28" t="n">
        <v>180</v>
      </c>
      <c r="AH3" s="28" t="n">
        <v>88</v>
      </c>
      <c r="AI3" s="28" t="n">
        <v>500</v>
      </c>
      <c r="AJ3" s="28" t="n">
        <v>842</v>
      </c>
      <c r="AK3" s="28" t="n">
        <v>1250</v>
      </c>
      <c r="AL3" s="28" t="n">
        <v>1</v>
      </c>
      <c r="AM3" s="28" t="inlineStr"/>
      <c r="AN3" s="28" t="inlineStr"/>
      <c r="AO3" s="74" t="inlineStr">
        <is>
          <t>https://africanmarketingconfederation.org/</t>
        </is>
      </c>
      <c r="AP3" s="74" t="inlineStr">
        <is>
          <t>https://africanmarketingconfederation.org/</t>
        </is>
      </c>
      <c r="AQ3" s="28" t="inlineStr"/>
      <c r="AR3" s="28" t="inlineStr"/>
      <c r="AS3" s="28" t="inlineStr"/>
      <c r="AT3" s="28" t="inlineStr"/>
      <c r="AU3" s="28" t="inlineStr"/>
      <c r="AV3" s="74" t="inlineStr"/>
      <c r="AW3" s="28" t="n">
        <v>1</v>
      </c>
      <c r="AX3" s="28" t="b">
        <v>1</v>
      </c>
      <c r="AY3" s="28" t="inlineStr">
        <is>
          <t>Technical | Indexability | PSI Performance | Search Console</t>
        </is>
      </c>
      <c r="AZ3" s="28" t="n">
        <v>0</v>
      </c>
      <c r="BA3" s="28" t="b">
        <v>0</v>
      </c>
      <c r="BB3" s="28" t="b">
        <v>0</v>
      </c>
      <c r="BC3" s="28" t="inlineStr"/>
      <c r="BD3" s="28" t="inlineStr"/>
      <c r="BE3" s="74" t="inlineStr"/>
      <c r="BF3" s="28" t="inlineStr">
        <is>
          <t>Not Declared</t>
        </is>
      </c>
      <c r="BG3" s="28" t="b">
        <v>1</v>
      </c>
      <c r="BH3">
        <f>IFERROR(HYPERLINK("#'Main'!B"&amp;MATCH(TRIM(A3),'Main'!B:B,0),"Open"),HYPERLINK("#'Main'!B1","Open"))</f>
        <v/>
      </c>
    </row>
    <row r="4" ht="18" customHeight="1">
      <c r="A4" s="37" t="inlineStr">
        <is>
          <t>https://africanmarketingconfederation.org/smoke-archive/page-1</t>
        </is>
      </c>
      <c r="B4" s="30" t="inlineStr">
        <is>
          <t>Technical | Indexability | Performance | Search Console</t>
        </is>
      </c>
      <c r="C4" s="32" t="n">
        <v>200</v>
      </c>
      <c r="D4" s="30" t="inlineStr">
        <is>
          <t>Warning</t>
        </is>
      </c>
      <c r="E4" s="30" t="n">
        <v>80</v>
      </c>
      <c r="F4" s="30" t="inlineStr">
        <is>
          <t>Non-Pass</t>
        </is>
      </c>
      <c r="G4" s="30" t="n">
        <v>0</v>
      </c>
      <c r="H4" s="30" t="n">
        <v>1</v>
      </c>
      <c r="I4" s="30" t="inlineStr">
        <is>
          <t>complete</t>
        </is>
      </c>
      <c r="J4" s="30" t="inlineStr">
        <is>
          <t>rendered_browser</t>
        </is>
      </c>
      <c r="K4" s="30" t="inlineStr"/>
      <c r="L4" s="30" t="inlineStr">
        <is>
          <t>self</t>
        </is>
      </c>
      <c r="M4" s="30" t="n">
        <v>0</v>
      </c>
      <c r="N4" s="32" t="b">
        <v>0</v>
      </c>
      <c r="O4" s="30" t="inlineStr"/>
      <c r="P4" s="30" t="inlineStr"/>
      <c r="Q4" s="30" t="inlineStr"/>
      <c r="R4" s="30" t="n">
        <v>88</v>
      </c>
      <c r="S4" s="30" t="n">
        <v>88</v>
      </c>
      <c r="T4" s="30" t="n">
        <v>2.4</v>
      </c>
      <c r="U4" s="30" t="n">
        <v>0.04</v>
      </c>
      <c r="V4" s="30" t="n">
        <v>0.4</v>
      </c>
      <c r="W4" s="30" t="inlineStr">
        <is>
          <t>None</t>
        </is>
      </c>
      <c r="X4" s="30" t="n">
        <v>2.4</v>
      </c>
      <c r="Y4" s="30" t="n">
        <v>180</v>
      </c>
      <c r="Z4" s="30" t="n">
        <v>1.8</v>
      </c>
      <c r="AA4" s="30" t="n">
        <v>0.04</v>
      </c>
      <c r="AB4" s="30" t="n">
        <v>400</v>
      </c>
      <c r="AC4" s="30" t="n">
        <v>85</v>
      </c>
      <c r="AD4" s="30" t="n">
        <v>82</v>
      </c>
      <c r="AE4" s="30" t="n">
        <v>92</v>
      </c>
      <c r="AF4" s="30" t="n">
        <v>2.4</v>
      </c>
      <c r="AG4" s="30" t="n">
        <v>180</v>
      </c>
      <c r="AH4" s="30" t="n">
        <v>88</v>
      </c>
      <c r="AI4" s="30" t="n">
        <v>500</v>
      </c>
      <c r="AJ4" s="30" t="n">
        <v>842</v>
      </c>
      <c r="AK4" s="30" t="n">
        <v>1250</v>
      </c>
      <c r="AL4" s="30" t="n">
        <v>1</v>
      </c>
      <c r="AM4" s="30" t="inlineStr"/>
      <c r="AN4" s="30" t="inlineStr"/>
      <c r="AO4" s="76" t="inlineStr">
        <is>
          <t>https://africanmarketingconfederation.org/smoke-archive/page-1</t>
        </is>
      </c>
      <c r="AP4" s="76" t="inlineStr">
        <is>
          <t>https://africanmarketingconfederation.org/smoke-archive/page-1</t>
        </is>
      </c>
      <c r="AQ4" s="30" t="inlineStr"/>
      <c r="AR4" s="30" t="inlineStr"/>
      <c r="AS4" s="30" t="inlineStr"/>
      <c r="AT4" s="30" t="inlineStr"/>
      <c r="AU4" s="30" t="inlineStr"/>
      <c r="AV4" s="76" t="inlineStr"/>
      <c r="AW4" s="30" t="n">
        <v>2</v>
      </c>
      <c r="AX4" s="30" t="b">
        <v>0</v>
      </c>
      <c r="AY4" s="30" t="inlineStr">
        <is>
          <t>Technical | Indexability | PSI Performance | Search Console</t>
        </is>
      </c>
      <c r="AZ4" s="30" t="n">
        <v>0</v>
      </c>
      <c r="BA4" s="30" t="b">
        <v>0</v>
      </c>
      <c r="BB4" s="30" t="b">
        <v>0</v>
      </c>
      <c r="BC4" s="30" t="inlineStr"/>
      <c r="BD4" s="30" t="inlineStr"/>
      <c r="BE4" s="76" t="inlineStr"/>
      <c r="BF4" s="30" t="inlineStr">
        <is>
          <t>Not Declared</t>
        </is>
      </c>
      <c r="BG4" s="30" t="b">
        <v>1</v>
      </c>
      <c r="BH4" s="38">
        <f>IFERROR(HYPERLINK("#'Main'!B"&amp;MATCH(TRIM(A4),'Main'!B:B,0),"Open"),HYPERLINK("#'Main'!B1","Open"))</f>
        <v/>
      </c>
    </row>
    <row r="5" ht="18" customHeight="1">
      <c r="A5" s="35" t="inlineStr">
        <is>
          <t>https://africanmarketingconfederation.org/smoke-archive/page-2</t>
        </is>
      </c>
      <c r="B5" s="28" t="inlineStr">
        <is>
          <t>Technical | Indexability | Performance | Search Console</t>
        </is>
      </c>
      <c r="C5" s="32" t="n">
        <v>200</v>
      </c>
      <c r="D5" s="28" t="inlineStr">
        <is>
          <t>Warning</t>
        </is>
      </c>
      <c r="E5" s="28" t="n">
        <v>80</v>
      </c>
      <c r="F5" s="28" t="inlineStr">
        <is>
          <t>Non-Pass</t>
        </is>
      </c>
      <c r="G5" s="28" t="n">
        <v>0</v>
      </c>
      <c r="H5" s="28" t="n">
        <v>1</v>
      </c>
      <c r="I5" s="28" t="inlineStr">
        <is>
          <t>complete</t>
        </is>
      </c>
      <c r="J5" s="28" t="inlineStr">
        <is>
          <t>rendered_browser</t>
        </is>
      </c>
      <c r="K5" s="28" t="inlineStr"/>
      <c r="L5" s="28" t="inlineStr">
        <is>
          <t>self</t>
        </is>
      </c>
      <c r="M5" s="28" t="n">
        <v>0</v>
      </c>
      <c r="N5" s="32" t="b">
        <v>0</v>
      </c>
      <c r="O5" s="28" t="inlineStr"/>
      <c r="P5" s="28" t="inlineStr"/>
      <c r="Q5" s="28" t="inlineStr"/>
      <c r="R5" s="28" t="n">
        <v>88</v>
      </c>
      <c r="S5" s="28" t="n">
        <v>88</v>
      </c>
      <c r="T5" s="28" t="n">
        <v>2.4</v>
      </c>
      <c r="U5" s="28" t="n">
        <v>0.04</v>
      </c>
      <c r="V5" s="28" t="n">
        <v>0.4</v>
      </c>
      <c r="W5" s="28" t="inlineStr">
        <is>
          <t>None</t>
        </is>
      </c>
      <c r="X5" s="28" t="n">
        <v>2.4</v>
      </c>
      <c r="Y5" s="28" t="n">
        <v>180</v>
      </c>
      <c r="Z5" s="28" t="n">
        <v>1.8</v>
      </c>
      <c r="AA5" s="28" t="n">
        <v>0.04</v>
      </c>
      <c r="AB5" s="28" t="n">
        <v>400</v>
      </c>
      <c r="AC5" s="28" t="n">
        <v>85</v>
      </c>
      <c r="AD5" s="28" t="n">
        <v>82</v>
      </c>
      <c r="AE5" s="28" t="n">
        <v>92</v>
      </c>
      <c r="AF5" s="28" t="n">
        <v>2.4</v>
      </c>
      <c r="AG5" s="28" t="n">
        <v>180</v>
      </c>
      <c r="AH5" s="28" t="n">
        <v>88</v>
      </c>
      <c r="AI5" s="28" t="n">
        <v>500</v>
      </c>
      <c r="AJ5" s="28" t="n">
        <v>842</v>
      </c>
      <c r="AK5" s="28" t="n">
        <v>1250</v>
      </c>
      <c r="AL5" s="28" t="n">
        <v>1</v>
      </c>
      <c r="AM5" s="28" t="inlineStr"/>
      <c r="AN5" s="28" t="inlineStr"/>
      <c r="AO5" s="74" t="inlineStr">
        <is>
          <t>https://africanmarketingconfederation.org/smoke-archive/page-2</t>
        </is>
      </c>
      <c r="AP5" s="74" t="inlineStr">
        <is>
          <t>https://africanmarketingconfederation.org/smoke-archive/page-2</t>
        </is>
      </c>
      <c r="AQ5" s="28" t="inlineStr"/>
      <c r="AR5" s="28" t="inlineStr"/>
      <c r="AS5" s="28" t="inlineStr"/>
      <c r="AT5" s="28" t="inlineStr"/>
      <c r="AU5" s="28" t="inlineStr"/>
      <c r="AV5" s="74" t="inlineStr"/>
      <c r="AW5" s="28" t="n">
        <v>3</v>
      </c>
      <c r="AX5" s="28" t="b">
        <v>0</v>
      </c>
      <c r="AY5" s="28" t="inlineStr">
        <is>
          <t>Technical | Indexability | PSI Performance | Search Console</t>
        </is>
      </c>
      <c r="AZ5" s="28" t="n">
        <v>0</v>
      </c>
      <c r="BA5" s="28" t="b">
        <v>0</v>
      </c>
      <c r="BB5" s="28" t="b">
        <v>0</v>
      </c>
      <c r="BC5" s="28" t="inlineStr"/>
      <c r="BD5" s="28" t="inlineStr"/>
      <c r="BE5" s="74" t="inlineStr"/>
      <c r="BF5" s="28" t="inlineStr">
        <is>
          <t>Not Declared</t>
        </is>
      </c>
      <c r="BG5" s="28" t="b">
        <v>1</v>
      </c>
      <c r="BH5">
        <f>IFERROR(HYPERLINK("#'Main'!B"&amp;MATCH(TRIM(A5),'Main'!B:B,0),"Open"),HYPERLINK("#'Main'!B1","Open"))</f>
        <v/>
      </c>
    </row>
    <row r="6" ht="18" customHeight="1">
      <c r="A6" s="37" t="inlineStr">
        <is>
          <t>https://africanmarketingconfederation.org/smoke-archive/page-3</t>
        </is>
      </c>
      <c r="B6" s="30" t="inlineStr">
        <is>
          <t>Technical | Indexability | Performance | Search Console</t>
        </is>
      </c>
      <c r="C6" s="32" t="n">
        <v>200</v>
      </c>
      <c r="D6" s="30" t="inlineStr">
        <is>
          <t>Warning</t>
        </is>
      </c>
      <c r="E6" s="30" t="n">
        <v>80</v>
      </c>
      <c r="F6" s="30" t="inlineStr">
        <is>
          <t>Non-Pass</t>
        </is>
      </c>
      <c r="G6" s="30" t="n">
        <v>0</v>
      </c>
      <c r="H6" s="30" t="n">
        <v>1</v>
      </c>
      <c r="I6" s="30" t="inlineStr">
        <is>
          <t>complete</t>
        </is>
      </c>
      <c r="J6" s="30" t="inlineStr">
        <is>
          <t>rendered_browser</t>
        </is>
      </c>
      <c r="K6" s="30" t="inlineStr"/>
      <c r="L6" s="30" t="inlineStr">
        <is>
          <t>self</t>
        </is>
      </c>
      <c r="M6" s="30" t="n">
        <v>0</v>
      </c>
      <c r="N6" s="32" t="b">
        <v>0</v>
      </c>
      <c r="O6" s="30" t="inlineStr"/>
      <c r="P6" s="30" t="inlineStr"/>
      <c r="Q6" s="30" t="inlineStr"/>
      <c r="R6" s="30" t="n">
        <v>88</v>
      </c>
      <c r="S6" s="30" t="n">
        <v>88</v>
      </c>
      <c r="T6" s="30" t="n">
        <v>2.4</v>
      </c>
      <c r="U6" s="30" t="n">
        <v>0.04</v>
      </c>
      <c r="V6" s="30" t="n">
        <v>0.4</v>
      </c>
      <c r="W6" s="30" t="inlineStr">
        <is>
          <t>None</t>
        </is>
      </c>
      <c r="X6" s="30" t="n">
        <v>2.4</v>
      </c>
      <c r="Y6" s="30" t="n">
        <v>180</v>
      </c>
      <c r="Z6" s="30" t="n">
        <v>1.8</v>
      </c>
      <c r="AA6" s="30" t="n">
        <v>0.04</v>
      </c>
      <c r="AB6" s="30" t="n">
        <v>400</v>
      </c>
      <c r="AC6" s="30" t="n">
        <v>85</v>
      </c>
      <c r="AD6" s="30" t="n">
        <v>82</v>
      </c>
      <c r="AE6" s="30" t="n">
        <v>92</v>
      </c>
      <c r="AF6" s="30" t="n">
        <v>2.4</v>
      </c>
      <c r="AG6" s="30" t="n">
        <v>180</v>
      </c>
      <c r="AH6" s="30" t="n">
        <v>88</v>
      </c>
      <c r="AI6" s="30" t="n">
        <v>500</v>
      </c>
      <c r="AJ6" s="30" t="n">
        <v>842</v>
      </c>
      <c r="AK6" s="30" t="n">
        <v>1250</v>
      </c>
      <c r="AL6" s="30" t="n">
        <v>1</v>
      </c>
      <c r="AM6" s="30" t="inlineStr"/>
      <c r="AN6" s="30" t="inlineStr"/>
      <c r="AO6" s="76" t="inlineStr">
        <is>
          <t>https://africanmarketingconfederation.org/smoke-archive/page-3</t>
        </is>
      </c>
      <c r="AP6" s="76" t="inlineStr">
        <is>
          <t>https://africanmarketingconfederation.org/smoke-archive/page-3</t>
        </is>
      </c>
      <c r="AQ6" s="30" t="inlineStr"/>
      <c r="AR6" s="30" t="inlineStr"/>
      <c r="AS6" s="30" t="inlineStr"/>
      <c r="AT6" s="30" t="inlineStr"/>
      <c r="AU6" s="30" t="inlineStr"/>
      <c r="AV6" s="76" t="inlineStr"/>
      <c r="AW6" s="30" t="n">
        <v>4</v>
      </c>
      <c r="AX6" s="30" t="b">
        <v>0</v>
      </c>
      <c r="AY6" s="30" t="inlineStr">
        <is>
          <t>Technical | Indexability | PSI Performance | Search Console</t>
        </is>
      </c>
      <c r="AZ6" s="30" t="n">
        <v>0</v>
      </c>
      <c r="BA6" s="30" t="b">
        <v>0</v>
      </c>
      <c r="BB6" s="30" t="b">
        <v>0</v>
      </c>
      <c r="BC6" s="30" t="inlineStr"/>
      <c r="BD6" s="30" t="inlineStr"/>
      <c r="BE6" s="76" t="inlineStr"/>
      <c r="BF6" s="30" t="inlineStr">
        <is>
          <t>Not Declared</t>
        </is>
      </c>
      <c r="BG6" s="30" t="b">
        <v>1</v>
      </c>
      <c r="BH6" s="38">
        <f>IFERROR(HYPERLINK("#'Main'!B"&amp;MATCH(TRIM(A6),'Main'!B:B,0),"Open"),HYPERLINK("#'Main'!B1","Open"))</f>
        <v/>
      </c>
    </row>
    <row r="7" ht="18" customHeight="1">
      <c r="A7" s="35" t="inlineStr">
        <is>
          <t>https://africanmarketingconfederation.org/smoke-archive/page-4</t>
        </is>
      </c>
      <c r="B7" s="28" t="inlineStr">
        <is>
          <t>Technical | Indexability | Performance | Search Console</t>
        </is>
      </c>
      <c r="C7" s="32" t="n">
        <v>200</v>
      </c>
      <c r="D7" s="28" t="inlineStr">
        <is>
          <t>Observation</t>
        </is>
      </c>
      <c r="E7" s="28" t="n">
        <v>90</v>
      </c>
      <c r="F7" s="28" t="inlineStr">
        <is>
          <t>Non-Pass</t>
        </is>
      </c>
      <c r="G7" s="28" t="n">
        <v>0</v>
      </c>
      <c r="H7" s="28" t="n">
        <v>0</v>
      </c>
      <c r="I7" s="28" t="inlineStr">
        <is>
          <t>complete</t>
        </is>
      </c>
      <c r="J7" s="28" t="inlineStr">
        <is>
          <t>rendered_browser</t>
        </is>
      </c>
      <c r="K7" s="28" t="inlineStr"/>
      <c r="L7" s="28" t="inlineStr">
        <is>
          <t>self</t>
        </is>
      </c>
      <c r="M7" s="28" t="n">
        <v>0</v>
      </c>
      <c r="N7" s="32" t="b">
        <v>0</v>
      </c>
      <c r="O7" s="28" t="inlineStr"/>
      <c r="P7" s="28" t="inlineStr"/>
      <c r="Q7" s="28" t="inlineStr"/>
      <c r="R7" s="28" t="n">
        <v>88</v>
      </c>
      <c r="S7" s="28" t="n">
        <v>88</v>
      </c>
      <c r="T7" s="28" t="n">
        <v>2.4</v>
      </c>
      <c r="U7" s="28" t="n">
        <v>0.04</v>
      </c>
      <c r="V7" s="28" t="n">
        <v>0.4</v>
      </c>
      <c r="W7" s="28" t="inlineStr">
        <is>
          <t>None</t>
        </is>
      </c>
      <c r="X7" s="28" t="n">
        <v>2.4</v>
      </c>
      <c r="Y7" s="28" t="n">
        <v>180</v>
      </c>
      <c r="Z7" s="28" t="n">
        <v>1.8</v>
      </c>
      <c r="AA7" s="28" t="n">
        <v>0.04</v>
      </c>
      <c r="AB7" s="28" t="n">
        <v>400</v>
      </c>
      <c r="AC7" s="28" t="n">
        <v>85</v>
      </c>
      <c r="AD7" s="28" t="n">
        <v>82</v>
      </c>
      <c r="AE7" s="28" t="n">
        <v>92</v>
      </c>
      <c r="AF7" s="28" t="n">
        <v>2.4</v>
      </c>
      <c r="AG7" s="28" t="n">
        <v>180</v>
      </c>
      <c r="AH7" s="28" t="n">
        <v>88</v>
      </c>
      <c r="AI7" s="28" t="n">
        <v>500</v>
      </c>
      <c r="AJ7" s="28" t="n">
        <v>842</v>
      </c>
      <c r="AK7" s="28" t="n">
        <v>1250</v>
      </c>
      <c r="AL7" s="28" t="n">
        <v>1</v>
      </c>
      <c r="AM7" s="28" t="inlineStr"/>
      <c r="AN7" s="28" t="inlineStr"/>
      <c r="AO7" s="74" t="inlineStr">
        <is>
          <t>https://africanmarketingconfederation.org/smoke-archive/page-4</t>
        </is>
      </c>
      <c r="AP7" s="74" t="inlineStr">
        <is>
          <t>https://africanmarketingconfederation.org/smoke-archive/page-4</t>
        </is>
      </c>
      <c r="AQ7" s="28" t="inlineStr"/>
      <c r="AR7" s="28" t="inlineStr"/>
      <c r="AS7" s="28" t="inlineStr"/>
      <c r="AT7" s="28" t="inlineStr"/>
      <c r="AU7" s="28" t="inlineStr"/>
      <c r="AV7" s="74" t="inlineStr"/>
      <c r="AW7" s="28" t="n">
        <v>5</v>
      </c>
      <c r="AX7" s="28" t="b">
        <v>0</v>
      </c>
      <c r="AY7" s="28" t="inlineStr">
        <is>
          <t>Technical | Indexability | PSI Performance | Search Console</t>
        </is>
      </c>
      <c r="AZ7" s="28" t="n">
        <v>0</v>
      </c>
      <c r="BA7" s="28" t="b">
        <v>0</v>
      </c>
      <c r="BB7" s="28" t="b">
        <v>0</v>
      </c>
      <c r="BC7" s="28" t="inlineStr"/>
      <c r="BD7" s="28" t="inlineStr"/>
      <c r="BE7" s="74" t="inlineStr"/>
      <c r="BF7" s="28" t="inlineStr">
        <is>
          <t>Not Declared</t>
        </is>
      </c>
      <c r="BG7" s="28" t="b">
        <v>1</v>
      </c>
      <c r="BH7">
        <f>IFERROR(HYPERLINK("#'Main'!B"&amp;MATCH(TRIM(A7),'Main'!B:B,0),"Open"),HYPERLINK("#'Main'!B1","Open"))</f>
        <v/>
      </c>
    </row>
    <row r="8" ht="18" customHeight="1">
      <c r="A8" s="37" t="inlineStr">
        <is>
          <t>https://africanmarketingconfederation.org/smoke-archive/page-5</t>
        </is>
      </c>
      <c r="B8" s="30" t="inlineStr">
        <is>
          <t>Technical | Indexability | Performance | Search Console</t>
        </is>
      </c>
      <c r="C8" s="32" t="n">
        <v>200</v>
      </c>
      <c r="D8" s="30" t="inlineStr">
        <is>
          <t>Warning</t>
        </is>
      </c>
      <c r="E8" s="30" t="n">
        <v>60</v>
      </c>
      <c r="F8" s="30" t="inlineStr">
        <is>
          <t>Non-Pass</t>
        </is>
      </c>
      <c r="G8" s="30" t="n">
        <v>0</v>
      </c>
      <c r="H8" s="30" t="n">
        <v>3</v>
      </c>
      <c r="I8" s="30" t="inlineStr">
        <is>
          <t>complete</t>
        </is>
      </c>
      <c r="J8" s="30" t="inlineStr">
        <is>
          <t>rendered_browser</t>
        </is>
      </c>
      <c r="K8" s="30" t="inlineStr"/>
      <c r="L8" s="30" t="inlineStr">
        <is>
          <t>self</t>
        </is>
      </c>
      <c r="M8" s="30" t="n">
        <v>0</v>
      </c>
      <c r="N8" s="32" t="b">
        <v>0</v>
      </c>
      <c r="O8" s="30" t="inlineStr"/>
      <c r="P8" s="30" t="inlineStr"/>
      <c r="Q8" s="30" t="inlineStr"/>
      <c r="R8" s="30" t="n">
        <v>88</v>
      </c>
      <c r="S8" s="30" t="n">
        <v>88</v>
      </c>
      <c r="T8" s="30" t="n">
        <v>2.4</v>
      </c>
      <c r="U8" s="30" t="n">
        <v>0.04</v>
      </c>
      <c r="V8" s="30" t="n">
        <v>0.4</v>
      </c>
      <c r="W8" s="30" t="inlineStr">
        <is>
          <t>None</t>
        </is>
      </c>
      <c r="X8" s="30" t="n">
        <v>2.4</v>
      </c>
      <c r="Y8" s="30" t="n">
        <v>180</v>
      </c>
      <c r="Z8" s="30" t="n">
        <v>1.8</v>
      </c>
      <c r="AA8" s="30" t="n">
        <v>0.04</v>
      </c>
      <c r="AB8" s="30" t="n">
        <v>400</v>
      </c>
      <c r="AC8" s="30" t="n">
        <v>85</v>
      </c>
      <c r="AD8" s="30" t="n">
        <v>82</v>
      </c>
      <c r="AE8" s="30" t="n">
        <v>92</v>
      </c>
      <c r="AF8" s="30" t="n">
        <v>2.4</v>
      </c>
      <c r="AG8" s="30" t="n">
        <v>180</v>
      </c>
      <c r="AH8" s="30" t="n">
        <v>88</v>
      </c>
      <c r="AI8" s="30" t="n">
        <v>500</v>
      </c>
      <c r="AJ8" s="30" t="n">
        <v>842</v>
      </c>
      <c r="AK8" s="30" t="n">
        <v>1250</v>
      </c>
      <c r="AL8" s="30" t="n">
        <v>1</v>
      </c>
      <c r="AM8" s="30" t="inlineStr"/>
      <c r="AN8" s="30" t="inlineStr"/>
      <c r="AO8" s="76" t="inlineStr">
        <is>
          <t>https://africanmarketingconfederation.org/smoke-archive/page-5</t>
        </is>
      </c>
      <c r="AP8" s="76" t="inlineStr">
        <is>
          <t>https://africanmarketingconfederation.org/smoke-archive/page-5</t>
        </is>
      </c>
      <c r="AQ8" s="30" t="inlineStr"/>
      <c r="AR8" s="30" t="inlineStr"/>
      <c r="AS8" s="30" t="inlineStr"/>
      <c r="AT8" s="30" t="inlineStr"/>
      <c r="AU8" s="30" t="inlineStr"/>
      <c r="AV8" s="76" t="inlineStr"/>
      <c r="AW8" s="30" t="n">
        <v>6</v>
      </c>
      <c r="AX8" s="30" t="b">
        <v>0</v>
      </c>
      <c r="AY8" s="30" t="inlineStr">
        <is>
          <t>Technical | Indexability | PSI Performance | Search Console</t>
        </is>
      </c>
      <c r="AZ8" s="30" t="n">
        <v>0</v>
      </c>
      <c r="BA8" s="30" t="b">
        <v>0</v>
      </c>
      <c r="BB8" s="30" t="b">
        <v>0</v>
      </c>
      <c r="BC8" s="30" t="inlineStr"/>
      <c r="BD8" s="30" t="inlineStr"/>
      <c r="BE8" s="76" t="inlineStr"/>
      <c r="BF8" s="30" t="inlineStr">
        <is>
          <t>Not Declared</t>
        </is>
      </c>
      <c r="BG8" s="30" t="b">
        <v>1</v>
      </c>
      <c r="BH8" s="38">
        <f>IFERROR(HYPERLINK("#'Main'!B"&amp;MATCH(TRIM(A8),'Main'!B:B,0),"Open"),HYPERLINK("#'Main'!B1","Open"))</f>
        <v/>
      </c>
    </row>
    <row r="9" ht="18" customHeight="1">
      <c r="A9" s="35" t="inlineStr">
        <is>
          <t>https://africanmarketingconfederation.org/smoke-archive/page-6</t>
        </is>
      </c>
      <c r="B9" s="28" t="inlineStr">
        <is>
          <t>Technical | Indexability | Performance | Search Console</t>
        </is>
      </c>
      <c r="C9" s="32" t="n">
        <v>200</v>
      </c>
      <c r="D9" s="28" t="inlineStr">
        <is>
          <t>Warning</t>
        </is>
      </c>
      <c r="E9" s="28" t="n">
        <v>70</v>
      </c>
      <c r="F9" s="28" t="inlineStr">
        <is>
          <t>Non-Pass</t>
        </is>
      </c>
      <c r="G9" s="28" t="n">
        <v>0</v>
      </c>
      <c r="H9" s="28" t="n">
        <v>2</v>
      </c>
      <c r="I9" s="28" t="inlineStr">
        <is>
          <t>complete</t>
        </is>
      </c>
      <c r="J9" s="28" t="inlineStr">
        <is>
          <t>rendered_browser</t>
        </is>
      </c>
      <c r="K9" s="28" t="inlineStr"/>
      <c r="L9" s="28" t="inlineStr">
        <is>
          <t>self</t>
        </is>
      </c>
      <c r="M9" s="28" t="n">
        <v>0</v>
      </c>
      <c r="N9" s="32" t="b">
        <v>0</v>
      </c>
      <c r="O9" s="28" t="inlineStr"/>
      <c r="P9" s="28" t="inlineStr"/>
      <c r="Q9" s="28" t="inlineStr"/>
      <c r="R9" s="28" t="n">
        <v>88</v>
      </c>
      <c r="S9" s="28" t="n">
        <v>88</v>
      </c>
      <c r="T9" s="28" t="n">
        <v>2.4</v>
      </c>
      <c r="U9" s="28" t="n">
        <v>0.04</v>
      </c>
      <c r="V9" s="28" t="n">
        <v>0.4</v>
      </c>
      <c r="W9" s="28" t="inlineStr">
        <is>
          <t>None</t>
        </is>
      </c>
      <c r="X9" s="28" t="n">
        <v>2.4</v>
      </c>
      <c r="Y9" s="28" t="n">
        <v>180</v>
      </c>
      <c r="Z9" s="28" t="n">
        <v>1.8</v>
      </c>
      <c r="AA9" s="28" t="n">
        <v>0.04</v>
      </c>
      <c r="AB9" s="28" t="n">
        <v>400</v>
      </c>
      <c r="AC9" s="28" t="n">
        <v>85</v>
      </c>
      <c r="AD9" s="28" t="n">
        <v>82</v>
      </c>
      <c r="AE9" s="28" t="n">
        <v>92</v>
      </c>
      <c r="AF9" s="28" t="n">
        <v>2.4</v>
      </c>
      <c r="AG9" s="28" t="n">
        <v>180</v>
      </c>
      <c r="AH9" s="28" t="n">
        <v>88</v>
      </c>
      <c r="AI9" s="28" t="n">
        <v>500</v>
      </c>
      <c r="AJ9" s="28" t="n">
        <v>842</v>
      </c>
      <c r="AK9" s="28" t="n">
        <v>1250</v>
      </c>
      <c r="AL9" s="28" t="n">
        <v>1</v>
      </c>
      <c r="AM9" s="28" t="inlineStr"/>
      <c r="AN9" s="28" t="inlineStr"/>
      <c r="AO9" s="74" t="inlineStr">
        <is>
          <t>https://africanmarketingconfederation.org/smoke-archive/page-6</t>
        </is>
      </c>
      <c r="AP9" s="74" t="inlineStr">
        <is>
          <t>https://africanmarketingconfederation.org/smoke-archive/page-6</t>
        </is>
      </c>
      <c r="AQ9" s="28" t="inlineStr"/>
      <c r="AR9" s="28" t="inlineStr"/>
      <c r="AS9" s="28" t="inlineStr"/>
      <c r="AT9" s="28" t="inlineStr"/>
      <c r="AU9" s="28" t="inlineStr"/>
      <c r="AV9" s="74" t="inlineStr"/>
      <c r="AW9" s="28" t="n">
        <v>7</v>
      </c>
      <c r="AX9" s="28" t="b">
        <v>0</v>
      </c>
      <c r="AY9" s="28" t="inlineStr">
        <is>
          <t>Technical | Indexability | PSI Performance | Search Console</t>
        </is>
      </c>
      <c r="AZ9" s="28" t="n">
        <v>0</v>
      </c>
      <c r="BA9" s="28" t="b">
        <v>0</v>
      </c>
      <c r="BB9" s="28" t="b">
        <v>0</v>
      </c>
      <c r="BC9" s="28" t="inlineStr"/>
      <c r="BD9" s="28" t="inlineStr"/>
      <c r="BE9" s="74" t="inlineStr"/>
      <c r="BF9" s="28" t="inlineStr">
        <is>
          <t>Not Declared</t>
        </is>
      </c>
      <c r="BG9" s="28" t="b">
        <v>1</v>
      </c>
      <c r="BH9">
        <f>IFERROR(HYPERLINK("#'Main'!B"&amp;MATCH(TRIM(A9),'Main'!B:B,0),"Open"),HYPERLINK("#'Main'!B1","Open"))</f>
        <v/>
      </c>
    </row>
    <row r="10" ht="18" customHeight="1">
      <c r="A10" s="37" t="inlineStr">
        <is>
          <t>https://africanmarketingconfederation.org/smoke-archive/page-7</t>
        </is>
      </c>
      <c r="B10" s="30" t="inlineStr">
        <is>
          <t>Technical | Indexability | Performance | Search Console</t>
        </is>
      </c>
      <c r="C10" s="32" t="n">
        <v>200</v>
      </c>
      <c r="D10" s="30" t="inlineStr">
        <is>
          <t>Warning</t>
        </is>
      </c>
      <c r="E10" s="30" t="n">
        <v>70</v>
      </c>
      <c r="F10" s="30" t="inlineStr">
        <is>
          <t>Non-Pass</t>
        </is>
      </c>
      <c r="G10" s="30" t="n">
        <v>0</v>
      </c>
      <c r="H10" s="30" t="n">
        <v>2</v>
      </c>
      <c r="I10" s="30" t="inlineStr">
        <is>
          <t>complete</t>
        </is>
      </c>
      <c r="J10" s="30" t="inlineStr">
        <is>
          <t>rendered_browser</t>
        </is>
      </c>
      <c r="K10" s="30" t="inlineStr"/>
      <c r="L10" s="30" t="inlineStr">
        <is>
          <t>self</t>
        </is>
      </c>
      <c r="M10" s="30" t="n">
        <v>0</v>
      </c>
      <c r="N10" s="32" t="b">
        <v>0</v>
      </c>
      <c r="O10" s="30" t="inlineStr"/>
      <c r="P10" s="30" t="inlineStr"/>
      <c r="Q10" s="30" t="inlineStr"/>
      <c r="R10" s="30" t="n">
        <v>88</v>
      </c>
      <c r="S10" s="30" t="n">
        <v>88</v>
      </c>
      <c r="T10" s="30" t="n">
        <v>2.4</v>
      </c>
      <c r="U10" s="30" t="n">
        <v>0.04</v>
      </c>
      <c r="V10" s="30" t="n">
        <v>0.4</v>
      </c>
      <c r="W10" s="30" t="inlineStr">
        <is>
          <t>None</t>
        </is>
      </c>
      <c r="X10" s="30" t="n">
        <v>2.4</v>
      </c>
      <c r="Y10" s="30" t="n">
        <v>180</v>
      </c>
      <c r="Z10" s="30" t="n">
        <v>1.8</v>
      </c>
      <c r="AA10" s="30" t="n">
        <v>0.04</v>
      </c>
      <c r="AB10" s="30" t="n">
        <v>400</v>
      </c>
      <c r="AC10" s="30" t="n">
        <v>85</v>
      </c>
      <c r="AD10" s="30" t="n">
        <v>82</v>
      </c>
      <c r="AE10" s="30" t="n">
        <v>92</v>
      </c>
      <c r="AF10" s="30" t="n">
        <v>2.4</v>
      </c>
      <c r="AG10" s="30" t="n">
        <v>180</v>
      </c>
      <c r="AH10" s="30" t="n">
        <v>88</v>
      </c>
      <c r="AI10" s="30" t="n">
        <v>500</v>
      </c>
      <c r="AJ10" s="30" t="n">
        <v>842</v>
      </c>
      <c r="AK10" s="30" t="n">
        <v>1250</v>
      </c>
      <c r="AL10" s="30" t="n">
        <v>1</v>
      </c>
      <c r="AM10" s="30" t="inlineStr"/>
      <c r="AN10" s="30" t="inlineStr"/>
      <c r="AO10" s="76" t="inlineStr">
        <is>
          <t>https://africanmarketingconfederation.org/smoke-archive/page-7</t>
        </is>
      </c>
      <c r="AP10" s="76" t="inlineStr">
        <is>
          <t>https://africanmarketingconfederation.org/smoke-archive/page-7</t>
        </is>
      </c>
      <c r="AQ10" s="30" t="inlineStr"/>
      <c r="AR10" s="30" t="inlineStr"/>
      <c r="AS10" s="30" t="inlineStr"/>
      <c r="AT10" s="30" t="inlineStr"/>
      <c r="AU10" s="30" t="inlineStr"/>
      <c r="AV10" s="76" t="inlineStr"/>
      <c r="AW10" s="30" t="n">
        <v>8</v>
      </c>
      <c r="AX10" s="30" t="b">
        <v>0</v>
      </c>
      <c r="AY10" s="30" t="inlineStr">
        <is>
          <t>Technical | Indexability | PSI Performance | Search Console</t>
        </is>
      </c>
      <c r="AZ10" s="30" t="n">
        <v>0</v>
      </c>
      <c r="BA10" s="30" t="b">
        <v>0</v>
      </c>
      <c r="BB10" s="30" t="b">
        <v>0</v>
      </c>
      <c r="BC10" s="30" t="inlineStr"/>
      <c r="BD10" s="30" t="inlineStr"/>
      <c r="BE10" s="76" t="inlineStr"/>
      <c r="BF10" s="30" t="inlineStr">
        <is>
          <t>Not Declared</t>
        </is>
      </c>
      <c r="BG10" s="30" t="b">
        <v>1</v>
      </c>
      <c r="BH10" s="38">
        <f>IFERROR(HYPERLINK("#'Main'!B"&amp;MATCH(TRIM(A10),'Main'!B:B,0),"Open"),HYPERLINK("#'Main'!B1","Open"))</f>
        <v/>
      </c>
    </row>
    <row r="11" ht="18" customHeight="1">
      <c r="A11" s="35" t="inlineStr">
        <is>
          <t>https://africanmarketingconfederation.org/smoke-archive/page-8</t>
        </is>
      </c>
      <c r="B11" s="28" t="inlineStr">
        <is>
          <t>Technical | Indexability | Performance | Search Console</t>
        </is>
      </c>
      <c r="C11" s="32" t="n">
        <v>200</v>
      </c>
      <c r="D11" s="28" t="inlineStr">
        <is>
          <t>Warning</t>
        </is>
      </c>
      <c r="E11" s="28" t="n">
        <v>80</v>
      </c>
      <c r="F11" s="28" t="inlineStr">
        <is>
          <t>Non-Pass</t>
        </is>
      </c>
      <c r="G11" s="28" t="n">
        <v>0</v>
      </c>
      <c r="H11" s="28" t="n">
        <v>1</v>
      </c>
      <c r="I11" s="28" t="inlineStr">
        <is>
          <t>complete</t>
        </is>
      </c>
      <c r="J11" s="28" t="inlineStr">
        <is>
          <t>rendered_browser</t>
        </is>
      </c>
      <c r="K11" s="28" t="inlineStr"/>
      <c r="L11" s="28" t="inlineStr">
        <is>
          <t>self</t>
        </is>
      </c>
      <c r="M11" s="28" t="n">
        <v>0</v>
      </c>
      <c r="N11" s="32" t="b">
        <v>0</v>
      </c>
      <c r="O11" s="28" t="inlineStr"/>
      <c r="P11" s="28" t="inlineStr"/>
      <c r="Q11" s="28" t="inlineStr"/>
      <c r="R11" s="28" t="n">
        <v>88</v>
      </c>
      <c r="S11" s="28" t="n">
        <v>88</v>
      </c>
      <c r="T11" s="28" t="n">
        <v>2.4</v>
      </c>
      <c r="U11" s="28" t="n">
        <v>0.04</v>
      </c>
      <c r="V11" s="28" t="n">
        <v>0.4</v>
      </c>
      <c r="W11" s="28" t="inlineStr">
        <is>
          <t>None</t>
        </is>
      </c>
      <c r="X11" s="28" t="n">
        <v>2.4</v>
      </c>
      <c r="Y11" s="28" t="n">
        <v>180</v>
      </c>
      <c r="Z11" s="28" t="n">
        <v>1.8</v>
      </c>
      <c r="AA11" s="28" t="n">
        <v>0.04</v>
      </c>
      <c r="AB11" s="28" t="n">
        <v>400</v>
      </c>
      <c r="AC11" s="28" t="n">
        <v>85</v>
      </c>
      <c r="AD11" s="28" t="n">
        <v>82</v>
      </c>
      <c r="AE11" s="28" t="n">
        <v>92</v>
      </c>
      <c r="AF11" s="28" t="n">
        <v>2.4</v>
      </c>
      <c r="AG11" s="28" t="n">
        <v>180</v>
      </c>
      <c r="AH11" s="28" t="n">
        <v>88</v>
      </c>
      <c r="AI11" s="28" t="n">
        <v>500</v>
      </c>
      <c r="AJ11" s="28" t="n">
        <v>842</v>
      </c>
      <c r="AK11" s="28" t="n">
        <v>1250</v>
      </c>
      <c r="AL11" s="28" t="n">
        <v>1</v>
      </c>
      <c r="AM11" s="28" t="inlineStr"/>
      <c r="AN11" s="28" t="inlineStr"/>
      <c r="AO11" s="74" t="inlineStr">
        <is>
          <t>https://africanmarketingconfederation.org/smoke-archive/page-8</t>
        </is>
      </c>
      <c r="AP11" s="74" t="inlineStr">
        <is>
          <t>https://africanmarketingconfederation.org/smoke-archive/page-8</t>
        </is>
      </c>
      <c r="AQ11" s="28" t="inlineStr"/>
      <c r="AR11" s="28" t="inlineStr"/>
      <c r="AS11" s="28" t="inlineStr"/>
      <c r="AT11" s="28" t="inlineStr"/>
      <c r="AU11" s="28" t="inlineStr"/>
      <c r="AV11" s="74" t="inlineStr"/>
      <c r="AW11" s="28" t="n">
        <v>9</v>
      </c>
      <c r="AX11" s="28" t="b">
        <v>0</v>
      </c>
      <c r="AY11" s="28" t="inlineStr">
        <is>
          <t>Technical | Indexability | PSI Performance | Search Console</t>
        </is>
      </c>
      <c r="AZ11" s="28" t="n">
        <v>0</v>
      </c>
      <c r="BA11" s="28" t="b">
        <v>0</v>
      </c>
      <c r="BB11" s="28" t="b">
        <v>0</v>
      </c>
      <c r="BC11" s="28" t="inlineStr"/>
      <c r="BD11" s="28" t="inlineStr"/>
      <c r="BE11" s="74" t="inlineStr"/>
      <c r="BF11" s="28" t="inlineStr">
        <is>
          <t>Not Declared</t>
        </is>
      </c>
      <c r="BG11" s="28" t="b">
        <v>1</v>
      </c>
      <c r="BH11">
        <f>IFERROR(HYPERLINK("#'Main'!B"&amp;MATCH(TRIM(A11),'Main'!B:B,0),"Open"),HYPERLINK("#'Main'!B1","Open"))</f>
        <v/>
      </c>
    </row>
    <row r="12" ht="18" customHeight="1">
      <c r="A12" s="37" t="inlineStr">
        <is>
          <t>https://africanmarketingconfederation.org/smoke-archive/page-9</t>
        </is>
      </c>
      <c r="B12" s="30" t="inlineStr">
        <is>
          <t>Technical | Indexability | Performance | Search Console</t>
        </is>
      </c>
      <c r="C12" s="32" t="n">
        <v>200</v>
      </c>
      <c r="D12" s="30" t="inlineStr">
        <is>
          <t>Warning</t>
        </is>
      </c>
      <c r="E12" s="30" t="n">
        <v>70</v>
      </c>
      <c r="F12" s="30" t="inlineStr">
        <is>
          <t>Non-Pass</t>
        </is>
      </c>
      <c r="G12" s="30" t="n">
        <v>0</v>
      </c>
      <c r="H12" s="30" t="n">
        <v>2</v>
      </c>
      <c r="I12" s="30" t="inlineStr">
        <is>
          <t>complete</t>
        </is>
      </c>
      <c r="J12" s="30" t="inlineStr">
        <is>
          <t>rendered_browser</t>
        </is>
      </c>
      <c r="K12" s="30" t="inlineStr"/>
      <c r="L12" s="30" t="inlineStr">
        <is>
          <t>self</t>
        </is>
      </c>
      <c r="M12" s="30" t="n">
        <v>0</v>
      </c>
      <c r="N12" s="32" t="b">
        <v>0</v>
      </c>
      <c r="O12" s="30" t="inlineStr"/>
      <c r="P12" s="30" t="inlineStr"/>
      <c r="Q12" s="30" t="inlineStr"/>
      <c r="R12" s="30" t="n">
        <v>88</v>
      </c>
      <c r="S12" s="30" t="n">
        <v>88</v>
      </c>
      <c r="T12" s="30" t="n">
        <v>2.4</v>
      </c>
      <c r="U12" s="30" t="n">
        <v>0.04</v>
      </c>
      <c r="V12" s="30" t="n">
        <v>0.4</v>
      </c>
      <c r="W12" s="30" t="inlineStr">
        <is>
          <t>None</t>
        </is>
      </c>
      <c r="X12" s="30" t="n">
        <v>2.4</v>
      </c>
      <c r="Y12" s="30" t="n">
        <v>180</v>
      </c>
      <c r="Z12" s="30" t="n">
        <v>1.8</v>
      </c>
      <c r="AA12" s="30" t="n">
        <v>0.04</v>
      </c>
      <c r="AB12" s="30" t="n">
        <v>400</v>
      </c>
      <c r="AC12" s="30" t="n">
        <v>85</v>
      </c>
      <c r="AD12" s="30" t="n">
        <v>82</v>
      </c>
      <c r="AE12" s="30" t="n">
        <v>92</v>
      </c>
      <c r="AF12" s="30" t="n">
        <v>2.4</v>
      </c>
      <c r="AG12" s="30" t="n">
        <v>180</v>
      </c>
      <c r="AH12" s="30" t="n">
        <v>88</v>
      </c>
      <c r="AI12" s="30" t="n">
        <v>500</v>
      </c>
      <c r="AJ12" s="30" t="n">
        <v>842</v>
      </c>
      <c r="AK12" s="30" t="n">
        <v>1250</v>
      </c>
      <c r="AL12" s="30" t="n">
        <v>1</v>
      </c>
      <c r="AM12" s="30" t="inlineStr"/>
      <c r="AN12" s="30" t="inlineStr"/>
      <c r="AO12" s="76" t="inlineStr">
        <is>
          <t>https://africanmarketingconfederation.org/smoke-archive/page-9</t>
        </is>
      </c>
      <c r="AP12" s="76" t="inlineStr">
        <is>
          <t>https://africanmarketingconfederation.org/smoke-archive/page-9</t>
        </is>
      </c>
      <c r="AQ12" s="30" t="inlineStr"/>
      <c r="AR12" s="30" t="inlineStr"/>
      <c r="AS12" s="30" t="inlineStr"/>
      <c r="AT12" s="30" t="inlineStr"/>
      <c r="AU12" s="30" t="inlineStr"/>
      <c r="AV12" s="76" t="inlineStr"/>
      <c r="AW12" s="30" t="n">
        <v>10</v>
      </c>
      <c r="AX12" s="30" t="b">
        <v>0</v>
      </c>
      <c r="AY12" s="30" t="inlineStr">
        <is>
          <t>Technical | Indexability | PSI Performance | Search Console</t>
        </is>
      </c>
      <c r="AZ12" s="30" t="n">
        <v>0</v>
      </c>
      <c r="BA12" s="30" t="b">
        <v>0</v>
      </c>
      <c r="BB12" s="30" t="b">
        <v>0</v>
      </c>
      <c r="BC12" s="30" t="inlineStr"/>
      <c r="BD12" s="30" t="inlineStr"/>
      <c r="BE12" s="76" t="inlineStr"/>
      <c r="BF12" s="30" t="inlineStr">
        <is>
          <t>Not Declared</t>
        </is>
      </c>
      <c r="BG12" s="30" t="b">
        <v>1</v>
      </c>
      <c r="BH12" s="38">
        <f>IFERROR(HYPERLINK("#'Main'!B"&amp;MATCH(TRIM(A12),'Main'!B:B,0),"Open"),HYPERLINK("#'Main'!B1","Open"))</f>
        <v/>
      </c>
    </row>
    <row r="13" ht="18" customHeight="1">
      <c r="A13" s="35" t="inlineStr">
        <is>
          <t>https://africanmarketingconfederation.org/smoke-archive/page-10</t>
        </is>
      </c>
      <c r="B13" s="28" t="inlineStr">
        <is>
          <t>Technical | Indexability | Performance | Search Console</t>
        </is>
      </c>
      <c r="C13" s="32" t="n">
        <v>200</v>
      </c>
      <c r="D13" s="28" t="inlineStr">
        <is>
          <t>Warning</t>
        </is>
      </c>
      <c r="E13" s="28" t="n">
        <v>60</v>
      </c>
      <c r="F13" s="28" t="inlineStr">
        <is>
          <t>Non-Pass</t>
        </is>
      </c>
      <c r="G13" s="28" t="n">
        <v>0</v>
      </c>
      <c r="H13" s="28" t="n">
        <v>3</v>
      </c>
      <c r="I13" s="28" t="inlineStr">
        <is>
          <t>complete</t>
        </is>
      </c>
      <c r="J13" s="28" t="inlineStr">
        <is>
          <t>rendered_browser</t>
        </is>
      </c>
      <c r="K13" s="28" t="inlineStr"/>
      <c r="L13" s="28" t="inlineStr">
        <is>
          <t>self</t>
        </is>
      </c>
      <c r="M13" s="28" t="n">
        <v>0</v>
      </c>
      <c r="N13" s="32" t="b">
        <v>0</v>
      </c>
      <c r="O13" s="28" t="inlineStr"/>
      <c r="P13" s="28" t="inlineStr"/>
      <c r="Q13" s="28" t="inlineStr"/>
      <c r="R13" s="28" t="n">
        <v>88</v>
      </c>
      <c r="S13" s="28" t="n">
        <v>88</v>
      </c>
      <c r="T13" s="28" t="n">
        <v>2.4</v>
      </c>
      <c r="U13" s="28" t="n">
        <v>0.04</v>
      </c>
      <c r="V13" s="28" t="n">
        <v>0.4</v>
      </c>
      <c r="W13" s="28" t="inlineStr">
        <is>
          <t>None</t>
        </is>
      </c>
      <c r="X13" s="28" t="n">
        <v>2.4</v>
      </c>
      <c r="Y13" s="28" t="n">
        <v>180</v>
      </c>
      <c r="Z13" s="28" t="n">
        <v>1.8</v>
      </c>
      <c r="AA13" s="28" t="n">
        <v>0.04</v>
      </c>
      <c r="AB13" s="28" t="n">
        <v>400</v>
      </c>
      <c r="AC13" s="28" t="n">
        <v>85</v>
      </c>
      <c r="AD13" s="28" t="n">
        <v>82</v>
      </c>
      <c r="AE13" s="28" t="n">
        <v>92</v>
      </c>
      <c r="AF13" s="28" t="n">
        <v>2.4</v>
      </c>
      <c r="AG13" s="28" t="n">
        <v>180</v>
      </c>
      <c r="AH13" s="28" t="n">
        <v>88</v>
      </c>
      <c r="AI13" s="28" t="n">
        <v>500</v>
      </c>
      <c r="AJ13" s="28" t="n">
        <v>842</v>
      </c>
      <c r="AK13" s="28" t="n">
        <v>1250</v>
      </c>
      <c r="AL13" s="28" t="n">
        <v>1</v>
      </c>
      <c r="AM13" s="28" t="inlineStr"/>
      <c r="AN13" s="28" t="inlineStr"/>
      <c r="AO13" s="74" t="inlineStr">
        <is>
          <t>https://africanmarketingconfederation.org/smoke-archive/page-10</t>
        </is>
      </c>
      <c r="AP13" s="74" t="inlineStr">
        <is>
          <t>https://africanmarketingconfederation.org/smoke-archive/page-10</t>
        </is>
      </c>
      <c r="AQ13" s="28" t="inlineStr"/>
      <c r="AR13" s="28" t="inlineStr"/>
      <c r="AS13" s="28" t="inlineStr"/>
      <c r="AT13" s="28" t="inlineStr"/>
      <c r="AU13" s="28" t="inlineStr"/>
      <c r="AV13" s="74" t="inlineStr"/>
      <c r="AW13" s="28" t="n">
        <v>11</v>
      </c>
      <c r="AX13" s="28" t="b">
        <v>0</v>
      </c>
      <c r="AY13" s="28" t="inlineStr">
        <is>
          <t>Technical | Indexability | PSI Performance | Search Console</t>
        </is>
      </c>
      <c r="AZ13" s="28" t="n">
        <v>0</v>
      </c>
      <c r="BA13" s="28" t="b">
        <v>0</v>
      </c>
      <c r="BB13" s="28" t="b">
        <v>0</v>
      </c>
      <c r="BC13" s="28" t="inlineStr"/>
      <c r="BD13" s="28" t="inlineStr"/>
      <c r="BE13" s="74" t="inlineStr"/>
      <c r="BF13" s="28" t="inlineStr">
        <is>
          <t>Not Declared</t>
        </is>
      </c>
      <c r="BG13" s="28" t="b">
        <v>1</v>
      </c>
      <c r="BH13">
        <f>IFERROR(HYPERLINK("#'Main'!B"&amp;MATCH(TRIM(A13),'Main'!B:B,0),"Open"),HYPERLINK("#'Main'!B1","Open"))</f>
        <v/>
      </c>
    </row>
    <row r="14" ht="18" customHeight="1">
      <c r="A14" s="37" t="inlineStr">
        <is>
          <t>https://africanmarketingconfederation.org/smoke-archive/page-11</t>
        </is>
      </c>
      <c r="B14" s="30" t="inlineStr">
        <is>
          <t>Technical | Indexability | Redirect | Performance | Search Console</t>
        </is>
      </c>
      <c r="C14" s="40" t="n">
        <v>301</v>
      </c>
      <c r="D14" s="30" t="inlineStr">
        <is>
          <t>Warning</t>
        </is>
      </c>
      <c r="E14" s="30" t="n">
        <v>80</v>
      </c>
      <c r="F14" s="30" t="inlineStr">
        <is>
          <t>Non-Pass</t>
        </is>
      </c>
      <c r="G14" s="30" t="n">
        <v>0</v>
      </c>
      <c r="H14" s="30" t="n">
        <v>1</v>
      </c>
      <c r="I14" s="30" t="inlineStr">
        <is>
          <t>complete</t>
        </is>
      </c>
      <c r="J14" s="30" t="inlineStr">
        <is>
          <t>rendered_browser</t>
        </is>
      </c>
      <c r="K14" s="30" t="inlineStr"/>
      <c r="L14" s="30" t="inlineStr"/>
      <c r="M14" s="30" t="n">
        <v>1</v>
      </c>
      <c r="N14" s="32" t="b">
        <v>0</v>
      </c>
      <c r="O14" s="30" t="inlineStr"/>
      <c r="P14" s="30" t="inlineStr"/>
      <c r="Q14" s="30" t="inlineStr"/>
      <c r="R14" s="30" t="n">
        <v>88</v>
      </c>
      <c r="S14" s="30" t="n">
        <v>88</v>
      </c>
      <c r="T14" s="30" t="n">
        <v>2.4</v>
      </c>
      <c r="U14" s="30" t="n">
        <v>0.04</v>
      </c>
      <c r="V14" s="30" t="n">
        <v>0.4</v>
      </c>
      <c r="W14" s="30" t="inlineStr">
        <is>
          <t>None</t>
        </is>
      </c>
      <c r="X14" s="30" t="n">
        <v>2.4</v>
      </c>
      <c r="Y14" s="30" t="n">
        <v>180</v>
      </c>
      <c r="Z14" s="30" t="n">
        <v>1.8</v>
      </c>
      <c r="AA14" s="30" t="n">
        <v>0.04</v>
      </c>
      <c r="AB14" s="30" t="n">
        <v>400</v>
      </c>
      <c r="AC14" s="30" t="n">
        <v>85</v>
      </c>
      <c r="AD14" s="30" t="n">
        <v>82</v>
      </c>
      <c r="AE14" s="30" t="n">
        <v>92</v>
      </c>
      <c r="AF14" s="30" t="n">
        <v>2.4</v>
      </c>
      <c r="AG14" s="30" t="n">
        <v>180</v>
      </c>
      <c r="AH14" s="30" t="n">
        <v>88</v>
      </c>
      <c r="AI14" s="30" t="n">
        <v>500</v>
      </c>
      <c r="AJ14" s="30" t="n">
        <v>842</v>
      </c>
      <c r="AK14" s="30" t="n">
        <v>1250</v>
      </c>
      <c r="AL14" s="30" t="n">
        <v>1</v>
      </c>
      <c r="AM14" s="30" t="inlineStr"/>
      <c r="AN14" s="30" t="inlineStr"/>
      <c r="AO14" s="76" t="inlineStr">
        <is>
          <t>https://africanmarketingconfederation.org/smoke-archive/page-11-canonical/</t>
        </is>
      </c>
      <c r="AP14" s="76" t="inlineStr">
        <is>
          <t>https://africanmarketingconfederation.org/smoke-archive/page-11</t>
        </is>
      </c>
      <c r="AQ14" s="30" t="inlineStr"/>
      <c r="AR14" s="30" t="inlineStr"/>
      <c r="AS14" s="30" t="inlineStr"/>
      <c r="AT14" s="30" t="inlineStr"/>
      <c r="AU14" s="30" t="inlineStr"/>
      <c r="AV14" s="76" t="inlineStr"/>
      <c r="AW14" s="30" t="n">
        <v>12</v>
      </c>
      <c r="AX14" s="30" t="b">
        <v>0</v>
      </c>
      <c r="AY14" s="30" t="inlineStr">
        <is>
          <t>Technical | Indexability | Redirects | PSI Performance | Search Console</t>
        </is>
      </c>
      <c r="AZ14" s="30" t="n">
        <v>0</v>
      </c>
      <c r="BA14" s="30" t="b">
        <v>0</v>
      </c>
      <c r="BB14" s="30" t="b">
        <v>0</v>
      </c>
      <c r="BC14" s="30" t="inlineStr"/>
      <c r="BD14" s="30" t="inlineStr"/>
      <c r="BE14" s="76" t="inlineStr"/>
      <c r="BF14" s="30" t="inlineStr">
        <is>
          <t>Not Declared</t>
        </is>
      </c>
      <c r="BG14" s="30" t="b">
        <v>1</v>
      </c>
      <c r="BH14" s="38">
        <f>IFERROR(HYPERLINK("#'Main'!B"&amp;MATCH(TRIM(A14),'Main'!B:B,0),"Open"),HYPERLINK("#'Main'!B1","Open"))</f>
        <v/>
      </c>
    </row>
    <row r="15" ht="18" customHeight="1">
      <c r="A15" s="35" t="inlineStr">
        <is>
          <t>https://africanmarketingconfederation.org/smoke-archive/page-12</t>
        </is>
      </c>
      <c r="B15" s="28" t="inlineStr">
        <is>
          <t>Technical | Indexability | Performance | Search Console</t>
        </is>
      </c>
      <c r="C15" s="32" t="n">
        <v>200</v>
      </c>
      <c r="D15" s="28" t="inlineStr">
        <is>
          <t>Critical</t>
        </is>
      </c>
      <c r="E15" s="28" t="n">
        <v>55</v>
      </c>
      <c r="F15" s="28" t="inlineStr">
        <is>
          <t>Non-Pass</t>
        </is>
      </c>
      <c r="G15" s="28" t="n">
        <v>1</v>
      </c>
      <c r="H15" s="28" t="n">
        <v>1</v>
      </c>
      <c r="I15" s="28" t="inlineStr">
        <is>
          <t>complete</t>
        </is>
      </c>
      <c r="J15" s="28" t="inlineStr">
        <is>
          <t>rendered_browser</t>
        </is>
      </c>
      <c r="K15" s="28" t="inlineStr"/>
      <c r="L15" s="28" t="inlineStr">
        <is>
          <t>self</t>
        </is>
      </c>
      <c r="M15" s="28" t="n">
        <v>0</v>
      </c>
      <c r="N15" s="32" t="b">
        <v>0</v>
      </c>
      <c r="O15" s="28" t="inlineStr"/>
      <c r="P15" s="28" t="inlineStr"/>
      <c r="Q15" s="28" t="inlineStr"/>
      <c r="R15" s="28" t="n">
        <v>88</v>
      </c>
      <c r="S15" s="28" t="n">
        <v>88</v>
      </c>
      <c r="T15" s="28" t="n">
        <v>2.4</v>
      </c>
      <c r="U15" s="28" t="n">
        <v>0.04</v>
      </c>
      <c r="V15" s="28" t="n">
        <v>0.4</v>
      </c>
      <c r="W15" s="28" t="inlineStr">
        <is>
          <t>None</t>
        </is>
      </c>
      <c r="X15" s="28" t="n">
        <v>2.4</v>
      </c>
      <c r="Y15" s="28" t="n">
        <v>180</v>
      </c>
      <c r="Z15" s="28" t="n">
        <v>1.8</v>
      </c>
      <c r="AA15" s="28" t="n">
        <v>0.04</v>
      </c>
      <c r="AB15" s="28" t="n">
        <v>400</v>
      </c>
      <c r="AC15" s="28" t="n">
        <v>85</v>
      </c>
      <c r="AD15" s="28" t="n">
        <v>82</v>
      </c>
      <c r="AE15" s="28" t="n">
        <v>92</v>
      </c>
      <c r="AF15" s="28" t="n">
        <v>2.4</v>
      </c>
      <c r="AG15" s="28" t="n">
        <v>180</v>
      </c>
      <c r="AH15" s="28" t="n">
        <v>88</v>
      </c>
      <c r="AI15" s="28" t="n">
        <v>500</v>
      </c>
      <c r="AJ15" s="28" t="n">
        <v>842</v>
      </c>
      <c r="AK15" s="28" t="n">
        <v>1250</v>
      </c>
      <c r="AL15" s="28" t="n">
        <v>1</v>
      </c>
      <c r="AM15" s="28" t="inlineStr"/>
      <c r="AN15" s="28" t="inlineStr"/>
      <c r="AO15" s="74" t="inlineStr">
        <is>
          <t>https://africanmarketingconfederation.org/smoke-archive/page-12</t>
        </is>
      </c>
      <c r="AP15" s="74" t="inlineStr">
        <is>
          <t>https://africanmarketingconfederation.org/smoke-archive/page-12</t>
        </is>
      </c>
      <c r="AQ15" s="28" t="inlineStr"/>
      <c r="AR15" s="28" t="inlineStr"/>
      <c r="AS15" s="28" t="inlineStr"/>
      <c r="AT15" s="28" t="inlineStr"/>
      <c r="AU15" s="28" t="inlineStr"/>
      <c r="AV15" s="74" t="inlineStr"/>
      <c r="AW15" s="28" t="n">
        <v>13</v>
      </c>
      <c r="AX15" s="28" t="b">
        <v>0</v>
      </c>
      <c r="AY15" s="28" t="inlineStr">
        <is>
          <t>Technical | Indexability | PSI Performance | Search Console</t>
        </is>
      </c>
      <c r="AZ15" s="28" t="n">
        <v>0</v>
      </c>
      <c r="BA15" s="28" t="b">
        <v>0</v>
      </c>
      <c r="BB15" s="28" t="b">
        <v>0</v>
      </c>
      <c r="BC15" s="28" t="inlineStr"/>
      <c r="BD15" s="28" t="inlineStr"/>
      <c r="BE15" s="74" t="inlineStr"/>
      <c r="BF15" s="28" t="inlineStr">
        <is>
          <t>Not Declared</t>
        </is>
      </c>
      <c r="BG15" s="28" t="b">
        <v>1</v>
      </c>
      <c r="BH15">
        <f>IFERROR(HYPERLINK("#'Main'!B"&amp;MATCH(TRIM(A15),'Main'!B:B,0),"Open"),HYPERLINK("#'Main'!B1","Open"))</f>
        <v/>
      </c>
    </row>
    <row r="16" ht="18" customHeight="1">
      <c r="A16" s="37" t="inlineStr">
        <is>
          <t>https://africanmarketingconfederation.org/smoke-archive/page-13</t>
        </is>
      </c>
      <c r="B16" s="30" t="inlineStr">
        <is>
          <t>Technical | Indexability | Performance | Search Console</t>
        </is>
      </c>
      <c r="C16" s="34" t="n">
        <v>404</v>
      </c>
      <c r="D16" s="30" t="inlineStr">
        <is>
          <t>Critical</t>
        </is>
      </c>
      <c r="E16" s="30" t="n">
        <v>0</v>
      </c>
      <c r="F16" s="30" t="inlineStr">
        <is>
          <t>Non-Pass</t>
        </is>
      </c>
      <c r="G16" s="30" t="n">
        <v>1</v>
      </c>
      <c r="H16" s="30" t="n">
        <v>0</v>
      </c>
      <c r="I16" s="30" t="inlineStr">
        <is>
          <t>complete</t>
        </is>
      </c>
      <c r="J16" s="30" t="inlineStr">
        <is>
          <t>rendered_browser</t>
        </is>
      </c>
      <c r="K16" s="30" t="inlineStr"/>
      <c r="L16" s="30" t="inlineStr"/>
      <c r="M16" s="30" t="n">
        <v>0</v>
      </c>
      <c r="N16" s="32" t="b">
        <v>0</v>
      </c>
      <c r="O16" s="30" t="inlineStr"/>
      <c r="P16" s="30" t="inlineStr"/>
      <c r="Q16" s="30" t="inlineStr"/>
      <c r="R16" s="30" t="n">
        <v>88</v>
      </c>
      <c r="S16" s="30" t="n">
        <v>88</v>
      </c>
      <c r="T16" s="30" t="n">
        <v>2.4</v>
      </c>
      <c r="U16" s="30" t="n">
        <v>0.04</v>
      </c>
      <c r="V16" s="30" t="n">
        <v>0.4</v>
      </c>
      <c r="W16" s="30" t="inlineStr">
        <is>
          <t>None</t>
        </is>
      </c>
      <c r="X16" s="30" t="n">
        <v>2.4</v>
      </c>
      <c r="Y16" s="30" t="n">
        <v>180</v>
      </c>
      <c r="Z16" s="30" t="n">
        <v>1.8</v>
      </c>
      <c r="AA16" s="30" t="n">
        <v>0.04</v>
      </c>
      <c r="AB16" s="30" t="n">
        <v>400</v>
      </c>
      <c r="AC16" s="30" t="n">
        <v>85</v>
      </c>
      <c r="AD16" s="30" t="n">
        <v>82</v>
      </c>
      <c r="AE16" s="30" t="n">
        <v>92</v>
      </c>
      <c r="AF16" s="30" t="n">
        <v>2.4</v>
      </c>
      <c r="AG16" s="30" t="n">
        <v>180</v>
      </c>
      <c r="AH16" s="30" t="n">
        <v>88</v>
      </c>
      <c r="AI16" s="30" t="n">
        <v>500</v>
      </c>
      <c r="AJ16" s="30" t="n">
        <v>842</v>
      </c>
      <c r="AK16" s="30" t="n">
        <v>1250</v>
      </c>
      <c r="AL16" s="30" t="n">
        <v>1</v>
      </c>
      <c r="AM16" s="30" t="inlineStr"/>
      <c r="AN16" s="30" t="inlineStr"/>
      <c r="AO16" s="76" t="inlineStr">
        <is>
          <t>https://africanmarketingconfederation.org/smoke-archive/page-13</t>
        </is>
      </c>
      <c r="AP16" s="76" t="inlineStr">
        <is>
          <t>https://africanmarketingconfederation.org/smoke-archive/page-13</t>
        </is>
      </c>
      <c r="AQ16" s="30" t="inlineStr"/>
      <c r="AR16" s="30" t="inlineStr"/>
      <c r="AS16" s="30" t="inlineStr"/>
      <c r="AT16" s="30" t="inlineStr"/>
      <c r="AU16" s="30" t="inlineStr"/>
      <c r="AV16" s="76" t="inlineStr"/>
      <c r="AW16" s="30" t="n">
        <v>14</v>
      </c>
      <c r="AX16" s="30" t="b">
        <v>0</v>
      </c>
      <c r="AY16" s="30" t="inlineStr">
        <is>
          <t>Technical | Indexability | PSI Performance | Search Console</t>
        </is>
      </c>
      <c r="AZ16" s="30" t="n">
        <v>0</v>
      </c>
      <c r="BA16" s="30" t="b">
        <v>0</v>
      </c>
      <c r="BB16" s="30" t="b">
        <v>0</v>
      </c>
      <c r="BC16" s="30" t="inlineStr"/>
      <c r="BD16" s="30" t="inlineStr"/>
      <c r="BE16" s="76" t="inlineStr"/>
      <c r="BF16" s="30" t="inlineStr">
        <is>
          <t>Not Declared</t>
        </is>
      </c>
      <c r="BG16" s="30" t="b">
        <v>1</v>
      </c>
      <c r="BH16" s="38">
        <f>IFERROR(HYPERLINK("#'Main'!B"&amp;MATCH(TRIM(A16),'Main'!B:B,0),"Open"),HYPERLINK("#'Main'!B1","Open"))</f>
        <v/>
      </c>
    </row>
    <row r="17" ht="18" customHeight="1">
      <c r="A17" s="35" t="inlineStr">
        <is>
          <t>https://africanmarketingconfederation.org/smoke-archive/page-14</t>
        </is>
      </c>
      <c r="B17" s="28" t="inlineStr">
        <is>
          <t>Technical | Indexability | Performance | Search Console</t>
        </is>
      </c>
      <c r="C17" s="32" t="n">
        <v>200</v>
      </c>
      <c r="D17" s="28" t="inlineStr">
        <is>
          <t>Warning</t>
        </is>
      </c>
      <c r="E17" s="28" t="n">
        <v>70</v>
      </c>
      <c r="F17" s="28" t="inlineStr">
        <is>
          <t>Non-Pass</t>
        </is>
      </c>
      <c r="G17" s="28" t="n">
        <v>0</v>
      </c>
      <c r="H17" s="28" t="n">
        <v>2</v>
      </c>
      <c r="I17" s="28" t="inlineStr">
        <is>
          <t>complete</t>
        </is>
      </c>
      <c r="J17" s="28" t="inlineStr">
        <is>
          <t>rendered_browser</t>
        </is>
      </c>
      <c r="K17" s="28" t="inlineStr"/>
      <c r="L17" s="28" t="inlineStr">
        <is>
          <t>self</t>
        </is>
      </c>
      <c r="M17" s="28" t="n">
        <v>0</v>
      </c>
      <c r="N17" s="32" t="b">
        <v>0</v>
      </c>
      <c r="O17" s="28" t="inlineStr"/>
      <c r="P17" s="28" t="inlineStr"/>
      <c r="Q17" s="28" t="inlineStr"/>
      <c r="R17" s="28" t="n">
        <v>88</v>
      </c>
      <c r="S17" s="28" t="n">
        <v>88</v>
      </c>
      <c r="T17" s="28" t="n">
        <v>2.4</v>
      </c>
      <c r="U17" s="28" t="n">
        <v>0.04</v>
      </c>
      <c r="V17" s="28" t="n">
        <v>0.4</v>
      </c>
      <c r="W17" s="28" t="inlineStr">
        <is>
          <t>None</t>
        </is>
      </c>
      <c r="X17" s="28" t="n">
        <v>2.4</v>
      </c>
      <c r="Y17" s="28" t="n">
        <v>180</v>
      </c>
      <c r="Z17" s="28" t="n">
        <v>1.8</v>
      </c>
      <c r="AA17" s="28" t="n">
        <v>0.04</v>
      </c>
      <c r="AB17" s="28" t="n">
        <v>400</v>
      </c>
      <c r="AC17" s="28" t="n">
        <v>85</v>
      </c>
      <c r="AD17" s="28" t="n">
        <v>82</v>
      </c>
      <c r="AE17" s="28" t="n">
        <v>92</v>
      </c>
      <c r="AF17" s="28" t="n">
        <v>2.4</v>
      </c>
      <c r="AG17" s="28" t="n">
        <v>180</v>
      </c>
      <c r="AH17" s="28" t="n">
        <v>88</v>
      </c>
      <c r="AI17" s="28" t="n">
        <v>500</v>
      </c>
      <c r="AJ17" s="28" t="n">
        <v>842</v>
      </c>
      <c r="AK17" s="28" t="n">
        <v>1250</v>
      </c>
      <c r="AL17" s="28" t="n">
        <v>1</v>
      </c>
      <c r="AM17" s="28" t="inlineStr"/>
      <c r="AN17" s="28" t="inlineStr"/>
      <c r="AO17" s="74" t="inlineStr">
        <is>
          <t>https://africanmarketingconfederation.org/smoke-archive/page-14</t>
        </is>
      </c>
      <c r="AP17" s="74" t="inlineStr">
        <is>
          <t>https://africanmarketingconfederation.org/smoke-archive/page-14</t>
        </is>
      </c>
      <c r="AQ17" s="28" t="inlineStr"/>
      <c r="AR17" s="28" t="inlineStr"/>
      <c r="AS17" s="28" t="inlineStr"/>
      <c r="AT17" s="28" t="inlineStr"/>
      <c r="AU17" s="28" t="inlineStr"/>
      <c r="AV17" s="74" t="inlineStr"/>
      <c r="AW17" s="28" t="n">
        <v>15</v>
      </c>
      <c r="AX17" s="28" t="b">
        <v>0</v>
      </c>
      <c r="AY17" s="28" t="inlineStr">
        <is>
          <t>Technical | Indexability | PSI Performance | Search Console</t>
        </is>
      </c>
      <c r="AZ17" s="28" t="n">
        <v>0</v>
      </c>
      <c r="BA17" s="28" t="b">
        <v>0</v>
      </c>
      <c r="BB17" s="28" t="b">
        <v>0</v>
      </c>
      <c r="BC17" s="28" t="inlineStr"/>
      <c r="BD17" s="28" t="inlineStr"/>
      <c r="BE17" s="74" t="inlineStr"/>
      <c r="BF17" s="28" t="inlineStr">
        <is>
          <t>Not Declared</t>
        </is>
      </c>
      <c r="BG17" s="28" t="b">
        <v>1</v>
      </c>
      <c r="BH17">
        <f>IFERROR(HYPERLINK("#'Main'!B"&amp;MATCH(TRIM(A17),'Main'!B:B,0),"Open"),HYPERLINK("#'Main'!B1","Open"))</f>
        <v/>
      </c>
    </row>
    <row r="18" ht="18" customHeight="1">
      <c r="A18" s="37" t="inlineStr">
        <is>
          <t>https://africanmarketingconfederation.org/smoke-archive/page-15</t>
        </is>
      </c>
      <c r="B18" s="30" t="inlineStr">
        <is>
          <t>Technical | Indexability | Performance | Search Console</t>
        </is>
      </c>
      <c r="C18" s="32" t="n">
        <v>200</v>
      </c>
      <c r="D18" s="30" t="inlineStr">
        <is>
          <t>Warning</t>
        </is>
      </c>
      <c r="E18" s="30" t="n">
        <v>60</v>
      </c>
      <c r="F18" s="30" t="inlineStr">
        <is>
          <t>Non-Pass</t>
        </is>
      </c>
      <c r="G18" s="30" t="n">
        <v>0</v>
      </c>
      <c r="H18" s="30" t="n">
        <v>3</v>
      </c>
      <c r="I18" s="30" t="inlineStr">
        <is>
          <t>complete</t>
        </is>
      </c>
      <c r="J18" s="30" t="inlineStr">
        <is>
          <t>rendered_browser</t>
        </is>
      </c>
      <c r="K18" s="30" t="inlineStr"/>
      <c r="L18" s="30" t="inlineStr">
        <is>
          <t>self</t>
        </is>
      </c>
      <c r="M18" s="30" t="n">
        <v>0</v>
      </c>
      <c r="N18" s="32" t="b">
        <v>0</v>
      </c>
      <c r="O18" s="30" t="inlineStr"/>
      <c r="P18" s="30" t="inlineStr"/>
      <c r="Q18" s="30" t="inlineStr"/>
      <c r="R18" s="30" t="n">
        <v>88</v>
      </c>
      <c r="S18" s="30" t="n">
        <v>88</v>
      </c>
      <c r="T18" s="30" t="n">
        <v>2.4</v>
      </c>
      <c r="U18" s="30" t="n">
        <v>0.04</v>
      </c>
      <c r="V18" s="30" t="n">
        <v>0.4</v>
      </c>
      <c r="W18" s="30" t="inlineStr">
        <is>
          <t>None</t>
        </is>
      </c>
      <c r="X18" s="30" t="n">
        <v>2.4</v>
      </c>
      <c r="Y18" s="30" t="n">
        <v>180</v>
      </c>
      <c r="Z18" s="30" t="n">
        <v>1.8</v>
      </c>
      <c r="AA18" s="30" t="n">
        <v>0.04</v>
      </c>
      <c r="AB18" s="30" t="n">
        <v>400</v>
      </c>
      <c r="AC18" s="30" t="n">
        <v>85</v>
      </c>
      <c r="AD18" s="30" t="n">
        <v>82</v>
      </c>
      <c r="AE18" s="30" t="n">
        <v>92</v>
      </c>
      <c r="AF18" s="30" t="n">
        <v>2.4</v>
      </c>
      <c r="AG18" s="30" t="n">
        <v>180</v>
      </c>
      <c r="AH18" s="30" t="n">
        <v>88</v>
      </c>
      <c r="AI18" s="30" t="n">
        <v>500</v>
      </c>
      <c r="AJ18" s="30" t="n">
        <v>842</v>
      </c>
      <c r="AK18" s="30" t="n">
        <v>1250</v>
      </c>
      <c r="AL18" s="30" t="n">
        <v>1</v>
      </c>
      <c r="AM18" s="30" t="inlineStr"/>
      <c r="AN18" s="30" t="inlineStr"/>
      <c r="AO18" s="76" t="inlineStr">
        <is>
          <t>https://africanmarketingconfederation.org/smoke-archive/page-15</t>
        </is>
      </c>
      <c r="AP18" s="76" t="inlineStr">
        <is>
          <t>https://africanmarketingconfederation.org/smoke-archive/page-15</t>
        </is>
      </c>
      <c r="AQ18" s="30" t="inlineStr"/>
      <c r="AR18" s="30" t="inlineStr"/>
      <c r="AS18" s="30" t="inlineStr"/>
      <c r="AT18" s="30" t="inlineStr"/>
      <c r="AU18" s="30" t="inlineStr"/>
      <c r="AV18" s="76" t="inlineStr"/>
      <c r="AW18" s="30" t="n">
        <v>16</v>
      </c>
      <c r="AX18" s="30" t="b">
        <v>0</v>
      </c>
      <c r="AY18" s="30" t="inlineStr">
        <is>
          <t>Technical | Indexability | PSI Performance | Search Console</t>
        </is>
      </c>
      <c r="AZ18" s="30" t="n">
        <v>0</v>
      </c>
      <c r="BA18" s="30" t="b">
        <v>0</v>
      </c>
      <c r="BB18" s="30" t="b">
        <v>0</v>
      </c>
      <c r="BC18" s="30" t="inlineStr"/>
      <c r="BD18" s="30" t="inlineStr"/>
      <c r="BE18" s="76" t="inlineStr"/>
      <c r="BF18" s="30" t="inlineStr">
        <is>
          <t>Not Declared</t>
        </is>
      </c>
      <c r="BG18" s="30" t="b">
        <v>1</v>
      </c>
      <c r="BH18" s="38">
        <f>IFERROR(HYPERLINK("#'Main'!B"&amp;MATCH(TRIM(A18),'Main'!B:B,0),"Open"),HYPERLINK("#'Main'!B1","Open"))</f>
        <v/>
      </c>
    </row>
    <row r="19" ht="18" customHeight="1">
      <c r="A19" s="35" t="inlineStr">
        <is>
          <t>https://africanmarketingconfederation.org/smoke-archive/page-16</t>
        </is>
      </c>
      <c r="B19" s="28" t="inlineStr">
        <is>
          <t>Technical | Indexability | Performance | Search Console</t>
        </is>
      </c>
      <c r="C19" s="32" t="n">
        <v>200</v>
      </c>
      <c r="D19" s="28" t="inlineStr">
        <is>
          <t>Warning</t>
        </is>
      </c>
      <c r="E19" s="28" t="n">
        <v>80</v>
      </c>
      <c r="F19" s="28" t="inlineStr">
        <is>
          <t>Non-Pass</t>
        </is>
      </c>
      <c r="G19" s="28" t="n">
        <v>0</v>
      </c>
      <c r="H19" s="28" t="n">
        <v>1</v>
      </c>
      <c r="I19" s="28" t="inlineStr">
        <is>
          <t>complete</t>
        </is>
      </c>
      <c r="J19" s="28" t="inlineStr">
        <is>
          <t>rendered_browser</t>
        </is>
      </c>
      <c r="K19" s="28" t="inlineStr"/>
      <c r="L19" s="28" t="inlineStr">
        <is>
          <t>self</t>
        </is>
      </c>
      <c r="M19" s="28" t="n">
        <v>0</v>
      </c>
      <c r="N19" s="32" t="b">
        <v>0</v>
      </c>
      <c r="O19" s="28" t="inlineStr"/>
      <c r="P19" s="28" t="inlineStr"/>
      <c r="Q19" s="28" t="inlineStr"/>
      <c r="R19" s="28" t="n">
        <v>88</v>
      </c>
      <c r="S19" s="28" t="n">
        <v>88</v>
      </c>
      <c r="T19" s="28" t="n">
        <v>2.4</v>
      </c>
      <c r="U19" s="28" t="n">
        <v>0.04</v>
      </c>
      <c r="V19" s="28" t="n">
        <v>0.4</v>
      </c>
      <c r="W19" s="28" t="inlineStr">
        <is>
          <t>None</t>
        </is>
      </c>
      <c r="X19" s="28" t="n">
        <v>2.4</v>
      </c>
      <c r="Y19" s="28" t="n">
        <v>180</v>
      </c>
      <c r="Z19" s="28" t="n">
        <v>1.8</v>
      </c>
      <c r="AA19" s="28" t="n">
        <v>0.04</v>
      </c>
      <c r="AB19" s="28" t="n">
        <v>400</v>
      </c>
      <c r="AC19" s="28" t="n">
        <v>85</v>
      </c>
      <c r="AD19" s="28" t="n">
        <v>82</v>
      </c>
      <c r="AE19" s="28" t="n">
        <v>92</v>
      </c>
      <c r="AF19" s="28" t="n">
        <v>2.4</v>
      </c>
      <c r="AG19" s="28" t="n">
        <v>180</v>
      </c>
      <c r="AH19" s="28" t="n">
        <v>88</v>
      </c>
      <c r="AI19" s="28" t="n">
        <v>500</v>
      </c>
      <c r="AJ19" s="28" t="n">
        <v>842</v>
      </c>
      <c r="AK19" s="28" t="n">
        <v>1250</v>
      </c>
      <c r="AL19" s="28" t="n">
        <v>1</v>
      </c>
      <c r="AM19" s="28" t="inlineStr"/>
      <c r="AN19" s="28" t="inlineStr"/>
      <c r="AO19" s="74" t="inlineStr">
        <is>
          <t>https://africanmarketingconfederation.org/smoke-archive/page-16</t>
        </is>
      </c>
      <c r="AP19" s="74" t="inlineStr">
        <is>
          <t>https://africanmarketingconfederation.org/smoke-archive/page-16</t>
        </is>
      </c>
      <c r="AQ19" s="28" t="inlineStr"/>
      <c r="AR19" s="28" t="inlineStr"/>
      <c r="AS19" s="28" t="inlineStr"/>
      <c r="AT19" s="28" t="inlineStr"/>
      <c r="AU19" s="28" t="inlineStr"/>
      <c r="AV19" s="74" t="inlineStr"/>
      <c r="AW19" s="28" t="n">
        <v>17</v>
      </c>
      <c r="AX19" s="28" t="b">
        <v>0</v>
      </c>
      <c r="AY19" s="28" t="inlineStr">
        <is>
          <t>Technical | Indexability | PSI Performance | Search Console</t>
        </is>
      </c>
      <c r="AZ19" s="28" t="n">
        <v>0</v>
      </c>
      <c r="BA19" s="28" t="b">
        <v>0</v>
      </c>
      <c r="BB19" s="28" t="b">
        <v>0</v>
      </c>
      <c r="BC19" s="28" t="inlineStr"/>
      <c r="BD19" s="28" t="inlineStr"/>
      <c r="BE19" s="74" t="inlineStr"/>
      <c r="BF19" s="28" t="inlineStr">
        <is>
          <t>Not Declared</t>
        </is>
      </c>
      <c r="BG19" s="28" t="b">
        <v>1</v>
      </c>
      <c r="BH19">
        <f>IFERROR(HYPERLINK("#'Main'!B"&amp;MATCH(TRIM(A19),'Main'!B:B,0),"Open"),HYPERLINK("#'Main'!B1","Open"))</f>
        <v/>
      </c>
    </row>
    <row r="20" ht="18" customHeight="1">
      <c r="A20" s="37" t="inlineStr">
        <is>
          <t>https://africanmarketingconfederation.org/smoke-archive/page-17</t>
        </is>
      </c>
      <c r="B20" s="30" t="inlineStr">
        <is>
          <t>Technical | Indexability | Performance | Search Console</t>
        </is>
      </c>
      <c r="C20" s="30" t="n">
        <v>0</v>
      </c>
      <c r="D20" s="30" t="inlineStr">
        <is>
          <t>Critical</t>
        </is>
      </c>
      <c r="E20" s="30" t="n">
        <v>0</v>
      </c>
      <c r="F20" s="30" t="inlineStr">
        <is>
          <t>Non-Pass</t>
        </is>
      </c>
      <c r="G20" s="30" t="n">
        <v>1</v>
      </c>
      <c r="H20" s="30" t="n">
        <v>0</v>
      </c>
      <c r="I20" s="30" t="inlineStr">
        <is>
          <t>complete</t>
        </is>
      </c>
      <c r="J20" s="30" t="inlineStr">
        <is>
          <t>rendered_browser</t>
        </is>
      </c>
      <c r="K20" s="30" t="inlineStr"/>
      <c r="L20" s="30" t="inlineStr"/>
      <c r="M20" s="30" t="n">
        <v>0</v>
      </c>
      <c r="N20" s="32" t="b">
        <v>0</v>
      </c>
      <c r="O20" s="30" t="inlineStr"/>
      <c r="P20" s="30" t="inlineStr"/>
      <c r="Q20" s="30" t="inlineStr"/>
      <c r="R20" s="30" t="n">
        <v>88</v>
      </c>
      <c r="S20" s="30" t="n">
        <v>88</v>
      </c>
      <c r="T20" s="30" t="n">
        <v>2.4</v>
      </c>
      <c r="U20" s="30" t="n">
        <v>0.04</v>
      </c>
      <c r="V20" s="30" t="n">
        <v>0.4</v>
      </c>
      <c r="W20" s="30" t="inlineStr">
        <is>
          <t>None</t>
        </is>
      </c>
      <c r="X20" s="30" t="n">
        <v>2.4</v>
      </c>
      <c r="Y20" s="30" t="n">
        <v>180</v>
      </c>
      <c r="Z20" s="30" t="n">
        <v>1.8</v>
      </c>
      <c r="AA20" s="30" t="n">
        <v>0.04</v>
      </c>
      <c r="AB20" s="30" t="n">
        <v>400</v>
      </c>
      <c r="AC20" s="30" t="n">
        <v>85</v>
      </c>
      <c r="AD20" s="30" t="n">
        <v>82</v>
      </c>
      <c r="AE20" s="30" t="n">
        <v>92</v>
      </c>
      <c r="AF20" s="30" t="n">
        <v>2.4</v>
      </c>
      <c r="AG20" s="30" t="n">
        <v>180</v>
      </c>
      <c r="AH20" s="30" t="n">
        <v>88</v>
      </c>
      <c r="AI20" s="30" t="n">
        <v>500</v>
      </c>
      <c r="AJ20" s="30" t="n">
        <v>842</v>
      </c>
      <c r="AK20" s="30" t="n">
        <v>1250</v>
      </c>
      <c r="AL20" s="30" t="n">
        <v>1</v>
      </c>
      <c r="AM20" s="30" t="inlineStr"/>
      <c r="AN20" s="30" t="inlineStr"/>
      <c r="AO20" s="76" t="inlineStr">
        <is>
          <t>https://africanmarketingconfederation.org/smoke-archive/page-17</t>
        </is>
      </c>
      <c r="AP20" s="76" t="inlineStr">
        <is>
          <t>https://africanmarketingconfederation.org/smoke-archive/page-17</t>
        </is>
      </c>
      <c r="AQ20" s="30" t="inlineStr"/>
      <c r="AR20" s="30" t="inlineStr"/>
      <c r="AS20" s="30" t="inlineStr"/>
      <c r="AT20" s="30" t="inlineStr"/>
      <c r="AU20" s="30" t="inlineStr"/>
      <c r="AV20" s="76" t="inlineStr"/>
      <c r="AW20" s="30" t="n">
        <v>18</v>
      </c>
      <c r="AX20" s="30" t="b">
        <v>0</v>
      </c>
      <c r="AY20" s="30" t="inlineStr">
        <is>
          <t>Technical | Indexability | PSI Performance | Search Console</t>
        </is>
      </c>
      <c r="AZ20" s="30" t="n">
        <v>0</v>
      </c>
      <c r="BA20" s="30" t="b">
        <v>0</v>
      </c>
      <c r="BB20" s="30" t="b">
        <v>0</v>
      </c>
      <c r="BC20" s="30" t="inlineStr"/>
      <c r="BD20" s="30" t="inlineStr"/>
      <c r="BE20" s="76" t="inlineStr"/>
      <c r="BF20" s="30" t="inlineStr">
        <is>
          <t>Not Declared</t>
        </is>
      </c>
      <c r="BG20" s="30" t="b">
        <v>1</v>
      </c>
      <c r="BH20" s="38">
        <f>IFERROR(HYPERLINK("#'Main'!B"&amp;MATCH(TRIM(A20),'Main'!B:B,0),"Open"),HYPERLINK("#'Main'!B1","Open"))</f>
        <v/>
      </c>
    </row>
    <row r="21" ht="18" customHeight="1">
      <c r="A21" s="35" t="inlineStr">
        <is>
          <t>https://africanmarketingconfederation.org/smoke-archive/page-18</t>
        </is>
      </c>
      <c r="B21" s="28" t="inlineStr">
        <is>
          <t>Technical | Indexability | Performance | Search Console</t>
        </is>
      </c>
      <c r="C21" s="32" t="n">
        <v>200</v>
      </c>
      <c r="D21" s="28" t="inlineStr">
        <is>
          <t>Warning</t>
        </is>
      </c>
      <c r="E21" s="28" t="n">
        <v>60</v>
      </c>
      <c r="F21" s="28" t="inlineStr">
        <is>
          <t>Non-Pass</t>
        </is>
      </c>
      <c r="G21" s="28" t="n">
        <v>0</v>
      </c>
      <c r="H21" s="28" t="n">
        <v>3</v>
      </c>
      <c r="I21" s="28" t="inlineStr">
        <is>
          <t>complete</t>
        </is>
      </c>
      <c r="J21" s="28" t="inlineStr">
        <is>
          <t>rendered_browser</t>
        </is>
      </c>
      <c r="K21" s="28" t="inlineStr"/>
      <c r="L21" s="28" t="inlineStr">
        <is>
          <t>self</t>
        </is>
      </c>
      <c r="M21" s="28" t="n">
        <v>0</v>
      </c>
      <c r="N21" s="32" t="b">
        <v>0</v>
      </c>
      <c r="O21" s="28" t="inlineStr"/>
      <c r="P21" s="28" t="inlineStr"/>
      <c r="Q21" s="28" t="inlineStr"/>
      <c r="R21" s="28" t="n">
        <v>88</v>
      </c>
      <c r="S21" s="28" t="n">
        <v>88</v>
      </c>
      <c r="T21" s="28" t="n">
        <v>2.4</v>
      </c>
      <c r="U21" s="28" t="n">
        <v>0.04</v>
      </c>
      <c r="V21" s="28" t="n">
        <v>0.4</v>
      </c>
      <c r="W21" s="28" t="inlineStr">
        <is>
          <t>None</t>
        </is>
      </c>
      <c r="X21" s="28" t="n">
        <v>2.4</v>
      </c>
      <c r="Y21" s="28" t="n">
        <v>180</v>
      </c>
      <c r="Z21" s="28" t="n">
        <v>1.8</v>
      </c>
      <c r="AA21" s="28" t="n">
        <v>0.04</v>
      </c>
      <c r="AB21" s="28" t="n">
        <v>400</v>
      </c>
      <c r="AC21" s="28" t="n">
        <v>85</v>
      </c>
      <c r="AD21" s="28" t="n">
        <v>82</v>
      </c>
      <c r="AE21" s="28" t="n">
        <v>92</v>
      </c>
      <c r="AF21" s="28" t="n">
        <v>2.4</v>
      </c>
      <c r="AG21" s="28" t="n">
        <v>180</v>
      </c>
      <c r="AH21" s="28" t="n">
        <v>88</v>
      </c>
      <c r="AI21" s="28" t="n">
        <v>500</v>
      </c>
      <c r="AJ21" s="28" t="n">
        <v>842</v>
      </c>
      <c r="AK21" s="28" t="n">
        <v>1250</v>
      </c>
      <c r="AL21" s="28" t="n">
        <v>1</v>
      </c>
      <c r="AM21" s="28" t="inlineStr"/>
      <c r="AN21" s="28" t="inlineStr"/>
      <c r="AO21" s="74" t="inlineStr">
        <is>
          <t>https://africanmarketingconfederation.org/smoke-archive/page-18</t>
        </is>
      </c>
      <c r="AP21" s="74" t="inlineStr">
        <is>
          <t>https://africanmarketingconfederation.org/smoke-archive/page-18</t>
        </is>
      </c>
      <c r="AQ21" s="28" t="inlineStr"/>
      <c r="AR21" s="28" t="inlineStr"/>
      <c r="AS21" s="28" t="inlineStr"/>
      <c r="AT21" s="28" t="inlineStr"/>
      <c r="AU21" s="28" t="inlineStr"/>
      <c r="AV21" s="74" t="inlineStr"/>
      <c r="AW21" s="28" t="n">
        <v>19</v>
      </c>
      <c r="AX21" s="28" t="b">
        <v>0</v>
      </c>
      <c r="AY21" s="28" t="inlineStr">
        <is>
          <t>Technical | Indexability | PSI Performance | Search Console</t>
        </is>
      </c>
      <c r="AZ21" s="28" t="n">
        <v>0</v>
      </c>
      <c r="BA21" s="28" t="b">
        <v>0</v>
      </c>
      <c r="BB21" s="28" t="b">
        <v>0</v>
      </c>
      <c r="BC21" s="28" t="inlineStr"/>
      <c r="BD21" s="28" t="inlineStr"/>
      <c r="BE21" s="74" t="inlineStr"/>
      <c r="BF21" s="28" t="inlineStr">
        <is>
          <t>Not Declared</t>
        </is>
      </c>
      <c r="BG21" s="28" t="b">
        <v>1</v>
      </c>
      <c r="BH21">
        <f>IFERROR(HYPERLINK("#'Main'!B"&amp;MATCH(TRIM(A21),'Main'!B:B,0),"Open"),HYPERLINK("#'Main'!B1","Open"))</f>
        <v/>
      </c>
    </row>
    <row r="22" ht="18" customHeight="1">
      <c r="A22" s="37" t="inlineStr">
        <is>
          <t>https://africanmarketingconfederation.org/smoke-archive/page-19</t>
        </is>
      </c>
      <c r="B22" s="30" t="inlineStr">
        <is>
          <t>Technical | Indexability | Performance | Search Console</t>
        </is>
      </c>
      <c r="C22" s="32" t="n">
        <v>200</v>
      </c>
      <c r="D22" s="30" t="inlineStr">
        <is>
          <t>Warning</t>
        </is>
      </c>
      <c r="E22" s="30" t="n">
        <v>80</v>
      </c>
      <c r="F22" s="30" t="inlineStr">
        <is>
          <t>Non-Pass</t>
        </is>
      </c>
      <c r="G22" s="30" t="n">
        <v>0</v>
      </c>
      <c r="H22" s="30" t="n">
        <v>1</v>
      </c>
      <c r="I22" s="30" t="inlineStr">
        <is>
          <t>partial</t>
        </is>
      </c>
      <c r="J22" s="30" t="inlineStr">
        <is>
          <t>rendered_browser</t>
        </is>
      </c>
      <c r="K22" s="30" t="inlineStr"/>
      <c r="L22" s="30" t="inlineStr">
        <is>
          <t>self</t>
        </is>
      </c>
      <c r="M22" s="30" t="n">
        <v>0</v>
      </c>
      <c r="N22" s="32" t="b">
        <v>0</v>
      </c>
      <c r="O22" s="30" t="inlineStr"/>
      <c r="P22" s="30" t="inlineStr"/>
      <c r="Q22" s="30" t="inlineStr"/>
      <c r="R22" s="30" t="n">
        <v>88</v>
      </c>
      <c r="S22" s="30" t="n">
        <v>88</v>
      </c>
      <c r="T22" s="30" t="n">
        <v>2.4</v>
      </c>
      <c r="U22" s="30" t="n">
        <v>0.04</v>
      </c>
      <c r="V22" s="30" t="n">
        <v>0.4</v>
      </c>
      <c r="W22" s="30" t="inlineStr">
        <is>
          <t>None</t>
        </is>
      </c>
      <c r="X22" s="30" t="n">
        <v>2.4</v>
      </c>
      <c r="Y22" s="30" t="n">
        <v>180</v>
      </c>
      <c r="Z22" s="30" t="n">
        <v>1.8</v>
      </c>
      <c r="AA22" s="30" t="n">
        <v>0.04</v>
      </c>
      <c r="AB22" s="30" t="n">
        <v>400</v>
      </c>
      <c r="AC22" s="30" t="n">
        <v>85</v>
      </c>
      <c r="AD22" s="30" t="n">
        <v>82</v>
      </c>
      <c r="AE22" s="30" t="n">
        <v>92</v>
      </c>
      <c r="AF22" s="30" t="n">
        <v>2.4</v>
      </c>
      <c r="AG22" s="30" t="n">
        <v>180</v>
      </c>
      <c r="AH22" s="30" t="n">
        <v>88</v>
      </c>
      <c r="AI22" s="30" t="n">
        <v>500</v>
      </c>
      <c r="AJ22" s="30" t="n">
        <v>842</v>
      </c>
      <c r="AK22" s="30" t="n">
        <v>1250</v>
      </c>
      <c r="AL22" s="30" t="n">
        <v>1</v>
      </c>
      <c r="AM22" s="30" t="inlineStr"/>
      <c r="AN22" s="30" t="inlineStr"/>
      <c r="AO22" s="76" t="inlineStr">
        <is>
          <t>https://africanmarketingconfederation.org/smoke-archive/page-19</t>
        </is>
      </c>
      <c r="AP22" s="76" t="inlineStr">
        <is>
          <t>https://africanmarketingconfederation.org/smoke-archive/page-19</t>
        </is>
      </c>
      <c r="AQ22" s="30" t="inlineStr"/>
      <c r="AR22" s="30" t="inlineStr"/>
      <c r="AS22" s="30" t="inlineStr"/>
      <c r="AT22" s="30" t="inlineStr"/>
      <c r="AU22" s="30" t="inlineStr"/>
      <c r="AV22" s="76" t="inlineStr"/>
      <c r="AW22" s="30" t="n">
        <v>20</v>
      </c>
      <c r="AX22" s="30" t="b">
        <v>0</v>
      </c>
      <c r="AY22" s="30" t="inlineStr">
        <is>
          <t>Technical | Indexability | PSI Performance | Search Console</t>
        </is>
      </c>
      <c r="AZ22" s="30" t="n">
        <v>0</v>
      </c>
      <c r="BA22" s="30" t="b">
        <v>0</v>
      </c>
      <c r="BB22" s="30" t="b">
        <v>0</v>
      </c>
      <c r="BC22" s="30" t="inlineStr"/>
      <c r="BD22" s="30" t="inlineStr"/>
      <c r="BE22" s="76" t="inlineStr"/>
      <c r="BF22" s="30" t="inlineStr">
        <is>
          <t>Not Declared</t>
        </is>
      </c>
      <c r="BG22" s="30" t="b">
        <v>1</v>
      </c>
      <c r="BH22" s="38">
        <f>IFERROR(HYPERLINK("#'Main'!B"&amp;MATCH(TRIM(A22),'Main'!B:B,0),"Open"),HYPERLINK("#'Main'!B1","Open"))</f>
        <v/>
      </c>
    </row>
    <row r="23" ht="18" customHeight="1">
      <c r="A23" s="35" t="inlineStr">
        <is>
          <t>https://africanmarketingconfederation.org/smoke-archive/page-20</t>
        </is>
      </c>
      <c r="B23" s="28" t="inlineStr">
        <is>
          <t>Technical | Indexability | Performance | Search Console</t>
        </is>
      </c>
      <c r="C23" s="32" t="n">
        <v>200</v>
      </c>
      <c r="D23" s="28" t="inlineStr">
        <is>
          <t>Warning</t>
        </is>
      </c>
      <c r="E23" s="28" t="n">
        <v>70</v>
      </c>
      <c r="F23" s="28" t="inlineStr">
        <is>
          <t>Non-Pass</t>
        </is>
      </c>
      <c r="G23" s="28" t="n">
        <v>0</v>
      </c>
      <c r="H23" s="28" t="n">
        <v>2</v>
      </c>
      <c r="I23" s="28" t="inlineStr">
        <is>
          <t>complete</t>
        </is>
      </c>
      <c r="J23" s="28" t="inlineStr">
        <is>
          <t>rendered_browser</t>
        </is>
      </c>
      <c r="K23" s="28" t="inlineStr"/>
      <c r="L23" s="28" t="inlineStr">
        <is>
          <t>self</t>
        </is>
      </c>
      <c r="M23" s="28" t="n">
        <v>0</v>
      </c>
      <c r="N23" s="32" t="b">
        <v>0</v>
      </c>
      <c r="O23" s="28" t="inlineStr"/>
      <c r="P23" s="28" t="inlineStr"/>
      <c r="Q23" s="28" t="inlineStr"/>
      <c r="R23" s="28" t="n">
        <v>88</v>
      </c>
      <c r="S23" s="28" t="n">
        <v>88</v>
      </c>
      <c r="T23" s="28" t="n">
        <v>2.4</v>
      </c>
      <c r="U23" s="28" t="n">
        <v>0.04</v>
      </c>
      <c r="V23" s="28" t="n">
        <v>0.4</v>
      </c>
      <c r="W23" s="28" t="inlineStr">
        <is>
          <t>None</t>
        </is>
      </c>
      <c r="X23" s="28" t="n">
        <v>2.4</v>
      </c>
      <c r="Y23" s="28" t="n">
        <v>180</v>
      </c>
      <c r="Z23" s="28" t="n">
        <v>1.8</v>
      </c>
      <c r="AA23" s="28" t="n">
        <v>0.04</v>
      </c>
      <c r="AB23" s="28" t="n">
        <v>400</v>
      </c>
      <c r="AC23" s="28" t="n">
        <v>85</v>
      </c>
      <c r="AD23" s="28" t="n">
        <v>82</v>
      </c>
      <c r="AE23" s="28" t="n">
        <v>92</v>
      </c>
      <c r="AF23" s="28" t="n">
        <v>2.4</v>
      </c>
      <c r="AG23" s="28" t="n">
        <v>180</v>
      </c>
      <c r="AH23" s="28" t="n">
        <v>88</v>
      </c>
      <c r="AI23" s="28" t="n">
        <v>500</v>
      </c>
      <c r="AJ23" s="28" t="n">
        <v>842</v>
      </c>
      <c r="AK23" s="28" t="n">
        <v>1250</v>
      </c>
      <c r="AL23" s="28" t="n">
        <v>1</v>
      </c>
      <c r="AM23" s="28" t="inlineStr"/>
      <c r="AN23" s="28" t="inlineStr"/>
      <c r="AO23" s="74" t="inlineStr">
        <is>
          <t>https://africanmarketingconfederation.org/smoke-archive/page-20</t>
        </is>
      </c>
      <c r="AP23" s="74" t="inlineStr">
        <is>
          <t>https://africanmarketingconfederation.org/smoke-archive/page-20</t>
        </is>
      </c>
      <c r="AQ23" s="28" t="inlineStr"/>
      <c r="AR23" s="28" t="inlineStr"/>
      <c r="AS23" s="28" t="inlineStr"/>
      <c r="AT23" s="28" t="inlineStr"/>
      <c r="AU23" s="28" t="inlineStr"/>
      <c r="AV23" s="74" t="inlineStr"/>
      <c r="AW23" s="28" t="n">
        <v>21</v>
      </c>
      <c r="AX23" s="28" t="b">
        <v>0</v>
      </c>
      <c r="AY23" s="28" t="inlineStr">
        <is>
          <t>Technical | Indexability | PSI Performance | Search Console</t>
        </is>
      </c>
      <c r="AZ23" s="28" t="n">
        <v>0</v>
      </c>
      <c r="BA23" s="28" t="b">
        <v>0</v>
      </c>
      <c r="BB23" s="28" t="b">
        <v>0</v>
      </c>
      <c r="BC23" s="28" t="inlineStr"/>
      <c r="BD23" s="28" t="inlineStr"/>
      <c r="BE23" s="74" t="inlineStr"/>
      <c r="BF23" s="28" t="inlineStr">
        <is>
          <t>Not Declared</t>
        </is>
      </c>
      <c r="BG23" s="28" t="b">
        <v>1</v>
      </c>
      <c r="BH23">
        <f>IFERROR(HYPERLINK("#'Main'!B"&amp;MATCH(TRIM(A23),'Main'!B:B,0),"Open"),HYPERLINK("#'Main'!B1","Open"))</f>
        <v/>
      </c>
    </row>
    <row r="24" ht="18" customHeight="1">
      <c r="A24" s="37" t="inlineStr">
        <is>
          <t>https://africanmarketingconfederation.org/smoke-archive/page-21</t>
        </is>
      </c>
      <c r="B24" s="30" t="inlineStr">
        <is>
          <t>Technical | Indexability | Performance | Search Console</t>
        </is>
      </c>
      <c r="C24" s="32" t="n">
        <v>200</v>
      </c>
      <c r="D24" s="30" t="inlineStr">
        <is>
          <t>Warning</t>
        </is>
      </c>
      <c r="E24" s="30" t="n">
        <v>70</v>
      </c>
      <c r="F24" s="30" t="inlineStr">
        <is>
          <t>Non-Pass</t>
        </is>
      </c>
      <c r="G24" s="30" t="n">
        <v>0</v>
      </c>
      <c r="H24" s="30" t="n">
        <v>2</v>
      </c>
      <c r="I24" s="30" t="inlineStr">
        <is>
          <t>complete</t>
        </is>
      </c>
      <c r="J24" s="30" t="inlineStr">
        <is>
          <t>rendered_browser</t>
        </is>
      </c>
      <c r="K24" s="30" t="inlineStr"/>
      <c r="L24" s="30" t="inlineStr">
        <is>
          <t>self</t>
        </is>
      </c>
      <c r="M24" s="30" t="n">
        <v>0</v>
      </c>
      <c r="N24" s="32" t="b">
        <v>0</v>
      </c>
      <c r="O24" s="30" t="inlineStr"/>
      <c r="P24" s="30" t="inlineStr"/>
      <c r="Q24" s="30" t="inlineStr"/>
      <c r="R24" s="30" t="n">
        <v>88</v>
      </c>
      <c r="S24" s="30" t="n">
        <v>88</v>
      </c>
      <c r="T24" s="30" t="n">
        <v>2.4</v>
      </c>
      <c r="U24" s="30" t="n">
        <v>0.04</v>
      </c>
      <c r="V24" s="30" t="n">
        <v>0.4</v>
      </c>
      <c r="W24" s="30" t="inlineStr">
        <is>
          <t>None</t>
        </is>
      </c>
      <c r="X24" s="30" t="n">
        <v>2.4</v>
      </c>
      <c r="Y24" s="30" t="n">
        <v>180</v>
      </c>
      <c r="Z24" s="30" t="n">
        <v>1.8</v>
      </c>
      <c r="AA24" s="30" t="n">
        <v>0.04</v>
      </c>
      <c r="AB24" s="30" t="n">
        <v>400</v>
      </c>
      <c r="AC24" s="30" t="n">
        <v>85</v>
      </c>
      <c r="AD24" s="30" t="n">
        <v>82</v>
      </c>
      <c r="AE24" s="30" t="n">
        <v>92</v>
      </c>
      <c r="AF24" s="30" t="n">
        <v>2.4</v>
      </c>
      <c r="AG24" s="30" t="n">
        <v>180</v>
      </c>
      <c r="AH24" s="30" t="n">
        <v>88</v>
      </c>
      <c r="AI24" s="30" t="n">
        <v>500</v>
      </c>
      <c r="AJ24" s="30" t="n">
        <v>842</v>
      </c>
      <c r="AK24" s="30" t="n">
        <v>1250</v>
      </c>
      <c r="AL24" s="30" t="n">
        <v>1</v>
      </c>
      <c r="AM24" s="30" t="inlineStr"/>
      <c r="AN24" s="30" t="inlineStr"/>
      <c r="AO24" s="76" t="inlineStr">
        <is>
          <t>https://africanmarketingconfederation.org/smoke-archive/page-21</t>
        </is>
      </c>
      <c r="AP24" s="76" t="inlineStr">
        <is>
          <t>https://africanmarketingconfederation.org/smoke-archive/page-21</t>
        </is>
      </c>
      <c r="AQ24" s="30" t="inlineStr"/>
      <c r="AR24" s="30" t="inlineStr"/>
      <c r="AS24" s="30" t="inlineStr"/>
      <c r="AT24" s="30" t="inlineStr"/>
      <c r="AU24" s="30" t="inlineStr"/>
      <c r="AV24" s="76" t="inlineStr"/>
      <c r="AW24" s="30" t="n">
        <v>22</v>
      </c>
      <c r="AX24" s="30" t="b">
        <v>0</v>
      </c>
      <c r="AY24" s="30" t="inlineStr">
        <is>
          <t>Technical | Indexability | PSI Performance | Search Console</t>
        </is>
      </c>
      <c r="AZ24" s="30" t="n">
        <v>0</v>
      </c>
      <c r="BA24" s="30" t="b">
        <v>0</v>
      </c>
      <c r="BB24" s="30" t="b">
        <v>0</v>
      </c>
      <c r="BC24" s="30" t="inlineStr"/>
      <c r="BD24" s="30" t="inlineStr"/>
      <c r="BE24" s="76" t="inlineStr"/>
      <c r="BF24" s="30" t="inlineStr">
        <is>
          <t>Not Declared</t>
        </is>
      </c>
      <c r="BG24" s="30" t="b">
        <v>1</v>
      </c>
      <c r="BH24" s="38">
        <f>IFERROR(HYPERLINK("#'Main'!B"&amp;MATCH(TRIM(A24),'Main'!B:B,0),"Open"),HYPERLINK("#'Main'!B1","Open"))</f>
        <v/>
      </c>
    </row>
    <row r="25" ht="18" customHeight="1">
      <c r="A25" s="35" t="inlineStr">
        <is>
          <t>https://africanmarketingconfederation.org/smoke-archive/page-22</t>
        </is>
      </c>
      <c r="B25" s="28" t="inlineStr">
        <is>
          <t>Technical | Indexability | Redirect | Performance | Search Console</t>
        </is>
      </c>
      <c r="C25" s="40" t="n">
        <v>301</v>
      </c>
      <c r="D25" s="28" t="inlineStr">
        <is>
          <t>Warning</t>
        </is>
      </c>
      <c r="E25" s="28" t="n">
        <v>80</v>
      </c>
      <c r="F25" s="28" t="inlineStr">
        <is>
          <t>Non-Pass</t>
        </is>
      </c>
      <c r="G25" s="28" t="n">
        <v>0</v>
      </c>
      <c r="H25" s="28" t="n">
        <v>1</v>
      </c>
      <c r="I25" s="28" t="inlineStr">
        <is>
          <t>complete</t>
        </is>
      </c>
      <c r="J25" s="28" t="inlineStr">
        <is>
          <t>rendered_browser</t>
        </is>
      </c>
      <c r="K25" s="28" t="inlineStr"/>
      <c r="L25" s="28" t="inlineStr"/>
      <c r="M25" s="28" t="n">
        <v>1</v>
      </c>
      <c r="N25" s="32" t="b">
        <v>0</v>
      </c>
      <c r="O25" s="28" t="inlineStr"/>
      <c r="P25" s="28" t="inlineStr"/>
      <c r="Q25" s="28" t="inlineStr"/>
      <c r="R25" s="28" t="n">
        <v>88</v>
      </c>
      <c r="S25" s="28" t="n">
        <v>88</v>
      </c>
      <c r="T25" s="28" t="n">
        <v>2.4</v>
      </c>
      <c r="U25" s="28" t="n">
        <v>0.04</v>
      </c>
      <c r="V25" s="28" t="n">
        <v>0.4</v>
      </c>
      <c r="W25" s="28" t="inlineStr">
        <is>
          <t>None</t>
        </is>
      </c>
      <c r="X25" s="28" t="n">
        <v>2.4</v>
      </c>
      <c r="Y25" s="28" t="n">
        <v>180</v>
      </c>
      <c r="Z25" s="28" t="n">
        <v>1.8</v>
      </c>
      <c r="AA25" s="28" t="n">
        <v>0.04</v>
      </c>
      <c r="AB25" s="28" t="n">
        <v>400</v>
      </c>
      <c r="AC25" s="28" t="n">
        <v>85</v>
      </c>
      <c r="AD25" s="28" t="n">
        <v>82</v>
      </c>
      <c r="AE25" s="28" t="n">
        <v>92</v>
      </c>
      <c r="AF25" s="28" t="n">
        <v>2.4</v>
      </c>
      <c r="AG25" s="28" t="n">
        <v>180</v>
      </c>
      <c r="AH25" s="28" t="n">
        <v>88</v>
      </c>
      <c r="AI25" s="28" t="n">
        <v>500</v>
      </c>
      <c r="AJ25" s="28" t="n">
        <v>842</v>
      </c>
      <c r="AK25" s="28" t="n">
        <v>1250</v>
      </c>
      <c r="AL25" s="28" t="n">
        <v>1</v>
      </c>
      <c r="AM25" s="28" t="inlineStr"/>
      <c r="AN25" s="28" t="inlineStr"/>
      <c r="AO25" s="74" t="inlineStr">
        <is>
          <t>https://africanmarketingconfederation.org/smoke-archive/page-22-canonical/</t>
        </is>
      </c>
      <c r="AP25" s="74" t="inlineStr">
        <is>
          <t>https://africanmarketingconfederation.org/smoke-archive/page-22</t>
        </is>
      </c>
      <c r="AQ25" s="28" t="inlineStr"/>
      <c r="AR25" s="28" t="inlineStr"/>
      <c r="AS25" s="28" t="inlineStr"/>
      <c r="AT25" s="28" t="inlineStr"/>
      <c r="AU25" s="28" t="inlineStr"/>
      <c r="AV25" s="74" t="inlineStr"/>
      <c r="AW25" s="28" t="n">
        <v>23</v>
      </c>
      <c r="AX25" s="28" t="b">
        <v>0</v>
      </c>
      <c r="AY25" s="28" t="inlineStr">
        <is>
          <t>Technical | Indexability | Redirects | PSI Performance | Search Console</t>
        </is>
      </c>
      <c r="AZ25" s="28" t="n">
        <v>0</v>
      </c>
      <c r="BA25" s="28" t="b">
        <v>0</v>
      </c>
      <c r="BB25" s="28" t="b">
        <v>0</v>
      </c>
      <c r="BC25" s="28" t="inlineStr"/>
      <c r="BD25" s="28" t="inlineStr"/>
      <c r="BE25" s="74" t="inlineStr"/>
      <c r="BF25" s="28" t="inlineStr">
        <is>
          <t>Not Declared</t>
        </is>
      </c>
      <c r="BG25" s="28" t="b">
        <v>1</v>
      </c>
      <c r="BH25">
        <f>IFERROR(HYPERLINK("#'Main'!B"&amp;MATCH(TRIM(A25),'Main'!B:B,0),"Open"),HYPERLINK("#'Main'!B1","Open"))</f>
        <v/>
      </c>
    </row>
    <row r="26" ht="18" customHeight="1">
      <c r="A26" s="37" t="inlineStr">
        <is>
          <t>https://africanmarketingconfederation.org/smoke-archive/page-23</t>
        </is>
      </c>
      <c r="B26" s="30" t="inlineStr">
        <is>
          <t>Technical | Indexability | Performance | Search Console</t>
        </is>
      </c>
      <c r="C26" s="32" t="n">
        <v>200</v>
      </c>
      <c r="D26" s="30" t="inlineStr">
        <is>
          <t>Warning</t>
        </is>
      </c>
      <c r="E26" s="30" t="n">
        <v>80</v>
      </c>
      <c r="F26" s="30" t="inlineStr">
        <is>
          <t>Non-Pass</t>
        </is>
      </c>
      <c r="G26" s="30" t="n">
        <v>0</v>
      </c>
      <c r="H26" s="30" t="n">
        <v>1</v>
      </c>
      <c r="I26" s="30" t="inlineStr">
        <is>
          <t>complete</t>
        </is>
      </c>
      <c r="J26" s="30" t="inlineStr">
        <is>
          <t>rendered_browser</t>
        </is>
      </c>
      <c r="K26" s="30" t="inlineStr"/>
      <c r="L26" s="30" t="inlineStr">
        <is>
          <t>self</t>
        </is>
      </c>
      <c r="M26" s="30" t="n">
        <v>0</v>
      </c>
      <c r="N26" s="32" t="b">
        <v>0</v>
      </c>
      <c r="O26" s="30" t="inlineStr"/>
      <c r="P26" s="30" t="inlineStr"/>
      <c r="Q26" s="30" t="inlineStr"/>
      <c r="R26" s="30" t="n">
        <v>88</v>
      </c>
      <c r="S26" s="30" t="n">
        <v>88</v>
      </c>
      <c r="T26" s="30" t="n">
        <v>2.4</v>
      </c>
      <c r="U26" s="30" t="n">
        <v>0.04</v>
      </c>
      <c r="V26" s="30" t="n">
        <v>0.4</v>
      </c>
      <c r="W26" s="30" t="inlineStr">
        <is>
          <t>None</t>
        </is>
      </c>
      <c r="X26" s="30" t="n">
        <v>2.4</v>
      </c>
      <c r="Y26" s="30" t="n">
        <v>180</v>
      </c>
      <c r="Z26" s="30" t="n">
        <v>1.8</v>
      </c>
      <c r="AA26" s="30" t="n">
        <v>0.04</v>
      </c>
      <c r="AB26" s="30" t="n">
        <v>400</v>
      </c>
      <c r="AC26" s="30" t="n">
        <v>85</v>
      </c>
      <c r="AD26" s="30" t="n">
        <v>82</v>
      </c>
      <c r="AE26" s="30" t="n">
        <v>92</v>
      </c>
      <c r="AF26" s="30" t="n">
        <v>2.4</v>
      </c>
      <c r="AG26" s="30" t="n">
        <v>180</v>
      </c>
      <c r="AH26" s="30" t="n">
        <v>88</v>
      </c>
      <c r="AI26" s="30" t="n">
        <v>500</v>
      </c>
      <c r="AJ26" s="30" t="n">
        <v>842</v>
      </c>
      <c r="AK26" s="30" t="n">
        <v>1250</v>
      </c>
      <c r="AL26" s="30" t="n">
        <v>1</v>
      </c>
      <c r="AM26" s="30" t="inlineStr"/>
      <c r="AN26" s="30" t="inlineStr"/>
      <c r="AO26" s="76" t="inlineStr">
        <is>
          <t>https://africanmarketingconfederation.org/smoke-archive/page-23</t>
        </is>
      </c>
      <c r="AP26" s="76" t="inlineStr">
        <is>
          <t>https://africanmarketingconfederation.org/smoke-archive/page-23</t>
        </is>
      </c>
      <c r="AQ26" s="30" t="inlineStr"/>
      <c r="AR26" s="30" t="inlineStr"/>
      <c r="AS26" s="30" t="inlineStr"/>
      <c r="AT26" s="30" t="inlineStr"/>
      <c r="AU26" s="30" t="inlineStr"/>
      <c r="AV26" s="76" t="inlineStr"/>
      <c r="AW26" s="30" t="n">
        <v>24</v>
      </c>
      <c r="AX26" s="30" t="b">
        <v>0</v>
      </c>
      <c r="AY26" s="30" t="inlineStr">
        <is>
          <t>Technical | Indexability | PSI Performance | Search Console</t>
        </is>
      </c>
      <c r="AZ26" s="30" t="n">
        <v>0</v>
      </c>
      <c r="BA26" s="30" t="b">
        <v>0</v>
      </c>
      <c r="BB26" s="30" t="b">
        <v>0</v>
      </c>
      <c r="BC26" s="30" t="inlineStr"/>
      <c r="BD26" s="30" t="inlineStr"/>
      <c r="BE26" s="76" t="inlineStr"/>
      <c r="BF26" s="30" t="inlineStr">
        <is>
          <t>Not Declared</t>
        </is>
      </c>
      <c r="BG26" s="30" t="b">
        <v>1</v>
      </c>
      <c r="BH26" s="38">
        <f>IFERROR(HYPERLINK("#'Main'!B"&amp;MATCH(TRIM(A26),'Main'!B:B,0),"Open"),HYPERLINK("#'Main'!B1","Open"))</f>
        <v/>
      </c>
    </row>
    <row r="27" ht="18" customHeight="1">
      <c r="A27" s="35" t="inlineStr">
        <is>
          <t>https://africanmarketingconfederation.org/smoke-archive/page-24</t>
        </is>
      </c>
      <c r="B27" s="28" t="inlineStr">
        <is>
          <t>Technical | Indexability | Performance | Search Console</t>
        </is>
      </c>
      <c r="C27" s="32" t="n">
        <v>200</v>
      </c>
      <c r="D27" s="28" t="inlineStr">
        <is>
          <t>Critical</t>
        </is>
      </c>
      <c r="E27" s="28" t="n">
        <v>45</v>
      </c>
      <c r="F27" s="28" t="inlineStr">
        <is>
          <t>Non-Pass</t>
        </is>
      </c>
      <c r="G27" s="28" t="n">
        <v>1</v>
      </c>
      <c r="H27" s="28" t="n">
        <v>2</v>
      </c>
      <c r="I27" s="28" t="inlineStr">
        <is>
          <t>complete</t>
        </is>
      </c>
      <c r="J27" s="28" t="inlineStr">
        <is>
          <t>rendered_browser</t>
        </is>
      </c>
      <c r="K27" s="28" t="inlineStr"/>
      <c r="L27" s="28" t="inlineStr">
        <is>
          <t>self</t>
        </is>
      </c>
      <c r="M27" s="28" t="n">
        <v>0</v>
      </c>
      <c r="N27" s="32" t="b">
        <v>0</v>
      </c>
      <c r="O27" s="28" t="inlineStr"/>
      <c r="P27" s="28" t="inlineStr"/>
      <c r="Q27" s="28" t="inlineStr"/>
      <c r="R27" s="28" t="n">
        <v>88</v>
      </c>
      <c r="S27" s="28" t="n">
        <v>88</v>
      </c>
      <c r="T27" s="28" t="n">
        <v>2.4</v>
      </c>
      <c r="U27" s="28" t="n">
        <v>0.04</v>
      </c>
      <c r="V27" s="28" t="n">
        <v>0.4</v>
      </c>
      <c r="W27" s="28" t="inlineStr">
        <is>
          <t>None</t>
        </is>
      </c>
      <c r="X27" s="28" t="n">
        <v>2.4</v>
      </c>
      <c r="Y27" s="28" t="n">
        <v>180</v>
      </c>
      <c r="Z27" s="28" t="n">
        <v>1.8</v>
      </c>
      <c r="AA27" s="28" t="n">
        <v>0.04</v>
      </c>
      <c r="AB27" s="28" t="n">
        <v>400</v>
      </c>
      <c r="AC27" s="28" t="n">
        <v>85</v>
      </c>
      <c r="AD27" s="28" t="n">
        <v>82</v>
      </c>
      <c r="AE27" s="28" t="n">
        <v>92</v>
      </c>
      <c r="AF27" s="28" t="n">
        <v>2.4</v>
      </c>
      <c r="AG27" s="28" t="n">
        <v>180</v>
      </c>
      <c r="AH27" s="28" t="n">
        <v>88</v>
      </c>
      <c r="AI27" s="28" t="n">
        <v>500</v>
      </c>
      <c r="AJ27" s="28" t="n">
        <v>842</v>
      </c>
      <c r="AK27" s="28" t="n">
        <v>1250</v>
      </c>
      <c r="AL27" s="28" t="n">
        <v>1</v>
      </c>
      <c r="AM27" s="28" t="inlineStr"/>
      <c r="AN27" s="28" t="inlineStr"/>
      <c r="AO27" s="74" t="inlineStr">
        <is>
          <t>https://africanmarketingconfederation.org/smoke-archive/page-24</t>
        </is>
      </c>
      <c r="AP27" s="74" t="inlineStr">
        <is>
          <t>https://africanmarketingconfederation.org/smoke-archive/page-24</t>
        </is>
      </c>
      <c r="AQ27" s="28" t="inlineStr"/>
      <c r="AR27" s="28" t="inlineStr"/>
      <c r="AS27" s="28" t="inlineStr"/>
      <c r="AT27" s="28" t="inlineStr"/>
      <c r="AU27" s="28" t="inlineStr"/>
      <c r="AV27" s="74" t="inlineStr"/>
      <c r="AW27" s="28" t="n">
        <v>25</v>
      </c>
      <c r="AX27" s="28" t="b">
        <v>0</v>
      </c>
      <c r="AY27" s="28" t="inlineStr">
        <is>
          <t>Technical | Indexability | PSI Performance | Search Console</t>
        </is>
      </c>
      <c r="AZ27" s="28" t="n">
        <v>0</v>
      </c>
      <c r="BA27" s="28" t="b">
        <v>0</v>
      </c>
      <c r="BB27" s="28" t="b">
        <v>0</v>
      </c>
      <c r="BC27" s="28" t="inlineStr"/>
      <c r="BD27" s="28" t="inlineStr"/>
      <c r="BE27" s="74" t="inlineStr"/>
      <c r="BF27" s="28" t="inlineStr">
        <is>
          <t>Not Declared</t>
        </is>
      </c>
      <c r="BG27" s="28" t="b">
        <v>1</v>
      </c>
      <c r="BH27">
        <f>IFERROR(HYPERLINK("#'Main'!B"&amp;MATCH(TRIM(A27),'Main'!B:B,0),"Open"),HYPERLINK("#'Main'!B1","Open"))</f>
        <v/>
      </c>
    </row>
    <row r="28" ht="18" customHeight="1">
      <c r="A28" s="37" t="inlineStr">
        <is>
          <t>https://africanmarketingconfederation.org/smoke-archive/page-25</t>
        </is>
      </c>
      <c r="B28" s="30" t="inlineStr">
        <is>
          <t>Technical | Indexability | Performance | Search Console</t>
        </is>
      </c>
      <c r="C28" s="32" t="n">
        <v>200</v>
      </c>
      <c r="D28" s="30" t="inlineStr">
        <is>
          <t>Warning</t>
        </is>
      </c>
      <c r="E28" s="30" t="n">
        <v>60</v>
      </c>
      <c r="F28" s="30" t="inlineStr">
        <is>
          <t>Non-Pass</t>
        </is>
      </c>
      <c r="G28" s="30" t="n">
        <v>0</v>
      </c>
      <c r="H28" s="30" t="n">
        <v>3</v>
      </c>
      <c r="I28" s="30" t="inlineStr">
        <is>
          <t>complete</t>
        </is>
      </c>
      <c r="J28" s="30" t="inlineStr">
        <is>
          <t>rendered_browser</t>
        </is>
      </c>
      <c r="K28" s="30" t="inlineStr"/>
      <c r="L28" s="30" t="inlineStr">
        <is>
          <t>self</t>
        </is>
      </c>
      <c r="M28" s="30" t="n">
        <v>0</v>
      </c>
      <c r="N28" s="32" t="b">
        <v>0</v>
      </c>
      <c r="O28" s="30" t="inlineStr"/>
      <c r="P28" s="30" t="inlineStr"/>
      <c r="Q28" s="30" t="inlineStr"/>
      <c r="R28" s="30" t="n">
        <v>88</v>
      </c>
      <c r="S28" s="30" t="n">
        <v>88</v>
      </c>
      <c r="T28" s="30" t="n">
        <v>2.4</v>
      </c>
      <c r="U28" s="30" t="n">
        <v>0.04</v>
      </c>
      <c r="V28" s="30" t="n">
        <v>0.4</v>
      </c>
      <c r="W28" s="30" t="inlineStr">
        <is>
          <t>None</t>
        </is>
      </c>
      <c r="X28" s="30" t="n">
        <v>2.4</v>
      </c>
      <c r="Y28" s="30" t="n">
        <v>180</v>
      </c>
      <c r="Z28" s="30" t="n">
        <v>1.8</v>
      </c>
      <c r="AA28" s="30" t="n">
        <v>0.04</v>
      </c>
      <c r="AB28" s="30" t="n">
        <v>400</v>
      </c>
      <c r="AC28" s="30" t="n">
        <v>85</v>
      </c>
      <c r="AD28" s="30" t="n">
        <v>82</v>
      </c>
      <c r="AE28" s="30" t="n">
        <v>92</v>
      </c>
      <c r="AF28" s="30" t="n">
        <v>2.4</v>
      </c>
      <c r="AG28" s="30" t="n">
        <v>180</v>
      </c>
      <c r="AH28" s="30" t="n">
        <v>88</v>
      </c>
      <c r="AI28" s="30" t="n">
        <v>500</v>
      </c>
      <c r="AJ28" s="30" t="n">
        <v>842</v>
      </c>
      <c r="AK28" s="30" t="n">
        <v>1250</v>
      </c>
      <c r="AL28" s="30" t="n">
        <v>1</v>
      </c>
      <c r="AM28" s="30" t="inlineStr"/>
      <c r="AN28" s="30" t="inlineStr"/>
      <c r="AO28" s="76" t="inlineStr">
        <is>
          <t>https://africanmarketingconfederation.org/smoke-archive/page-25</t>
        </is>
      </c>
      <c r="AP28" s="76" t="inlineStr">
        <is>
          <t>https://africanmarketingconfederation.org/smoke-archive/page-25</t>
        </is>
      </c>
      <c r="AQ28" s="30" t="inlineStr"/>
      <c r="AR28" s="30" t="inlineStr"/>
      <c r="AS28" s="30" t="inlineStr"/>
      <c r="AT28" s="30" t="inlineStr"/>
      <c r="AU28" s="30" t="inlineStr"/>
      <c r="AV28" s="76" t="inlineStr"/>
      <c r="AW28" s="30" t="n">
        <v>26</v>
      </c>
      <c r="AX28" s="30" t="b">
        <v>0</v>
      </c>
      <c r="AY28" s="30" t="inlineStr">
        <is>
          <t>Technical | Indexability | PSI Performance | Search Console</t>
        </is>
      </c>
      <c r="AZ28" s="30" t="n">
        <v>0</v>
      </c>
      <c r="BA28" s="30" t="b">
        <v>0</v>
      </c>
      <c r="BB28" s="30" t="b">
        <v>0</v>
      </c>
      <c r="BC28" s="30" t="inlineStr"/>
      <c r="BD28" s="30" t="inlineStr"/>
      <c r="BE28" s="76" t="inlineStr"/>
      <c r="BF28" s="30" t="inlineStr">
        <is>
          <t>Not Declared</t>
        </is>
      </c>
      <c r="BG28" s="30" t="b">
        <v>1</v>
      </c>
      <c r="BH28" s="38">
        <f>IFERROR(HYPERLINK("#'Main'!B"&amp;MATCH(TRIM(A28),'Main'!B:B,0),"Open"),HYPERLINK("#'Main'!B1","Open"))</f>
        <v/>
      </c>
    </row>
    <row r="29" ht="18" customHeight="1">
      <c r="A29" s="35" t="inlineStr">
        <is>
          <t>https://africanmarketingconfederation.org/smoke-archive/page-26</t>
        </is>
      </c>
      <c r="B29" s="28" t="inlineStr">
        <is>
          <t>Technical | Indexability | Performance | Search Console</t>
        </is>
      </c>
      <c r="C29" s="34" t="n">
        <v>404</v>
      </c>
      <c r="D29" s="28" t="inlineStr">
        <is>
          <t>Critical</t>
        </is>
      </c>
      <c r="E29" s="28" t="n">
        <v>0</v>
      </c>
      <c r="F29" s="28" t="inlineStr">
        <is>
          <t>Non-Pass</t>
        </is>
      </c>
      <c r="G29" s="28" t="n">
        <v>1</v>
      </c>
      <c r="H29" s="28" t="n">
        <v>0</v>
      </c>
      <c r="I29" s="28" t="inlineStr">
        <is>
          <t>complete</t>
        </is>
      </c>
      <c r="J29" s="28" t="inlineStr">
        <is>
          <t>rendered_browser</t>
        </is>
      </c>
      <c r="K29" s="28" t="inlineStr"/>
      <c r="L29" s="28" t="inlineStr"/>
      <c r="M29" s="28" t="n">
        <v>0</v>
      </c>
      <c r="N29" s="32" t="b">
        <v>0</v>
      </c>
      <c r="O29" s="28" t="inlineStr"/>
      <c r="P29" s="28" t="inlineStr"/>
      <c r="Q29" s="28" t="inlineStr"/>
      <c r="R29" s="28" t="n">
        <v>88</v>
      </c>
      <c r="S29" s="28" t="n">
        <v>88</v>
      </c>
      <c r="T29" s="28" t="n">
        <v>2.4</v>
      </c>
      <c r="U29" s="28" t="n">
        <v>0.04</v>
      </c>
      <c r="V29" s="28" t="n">
        <v>0.4</v>
      </c>
      <c r="W29" s="28" t="inlineStr">
        <is>
          <t>None</t>
        </is>
      </c>
      <c r="X29" s="28" t="n">
        <v>2.4</v>
      </c>
      <c r="Y29" s="28" t="n">
        <v>180</v>
      </c>
      <c r="Z29" s="28" t="n">
        <v>1.8</v>
      </c>
      <c r="AA29" s="28" t="n">
        <v>0.04</v>
      </c>
      <c r="AB29" s="28" t="n">
        <v>400</v>
      </c>
      <c r="AC29" s="28" t="n">
        <v>85</v>
      </c>
      <c r="AD29" s="28" t="n">
        <v>82</v>
      </c>
      <c r="AE29" s="28" t="n">
        <v>92</v>
      </c>
      <c r="AF29" s="28" t="n">
        <v>2.4</v>
      </c>
      <c r="AG29" s="28" t="n">
        <v>180</v>
      </c>
      <c r="AH29" s="28" t="n">
        <v>88</v>
      </c>
      <c r="AI29" s="28" t="n">
        <v>500</v>
      </c>
      <c r="AJ29" s="28" t="n">
        <v>842</v>
      </c>
      <c r="AK29" s="28" t="n">
        <v>1250</v>
      </c>
      <c r="AL29" s="28" t="n">
        <v>1</v>
      </c>
      <c r="AM29" s="28" t="inlineStr"/>
      <c r="AN29" s="28" t="inlineStr"/>
      <c r="AO29" s="74" t="inlineStr">
        <is>
          <t>https://africanmarketingconfederation.org/smoke-archive/page-26</t>
        </is>
      </c>
      <c r="AP29" s="74" t="inlineStr">
        <is>
          <t>https://africanmarketingconfederation.org/smoke-archive/page-26</t>
        </is>
      </c>
      <c r="AQ29" s="28" t="inlineStr"/>
      <c r="AR29" s="28" t="inlineStr"/>
      <c r="AS29" s="28" t="inlineStr"/>
      <c r="AT29" s="28" t="inlineStr"/>
      <c r="AU29" s="28" t="inlineStr"/>
      <c r="AV29" s="74" t="inlineStr"/>
      <c r="AW29" s="28" t="n">
        <v>27</v>
      </c>
      <c r="AX29" s="28" t="b">
        <v>0</v>
      </c>
      <c r="AY29" s="28" t="inlineStr">
        <is>
          <t>Technical | Indexability | PSI Performance | Search Console</t>
        </is>
      </c>
      <c r="AZ29" s="28" t="n">
        <v>0</v>
      </c>
      <c r="BA29" s="28" t="b">
        <v>0</v>
      </c>
      <c r="BB29" s="28" t="b">
        <v>0</v>
      </c>
      <c r="BC29" s="28" t="inlineStr"/>
      <c r="BD29" s="28" t="inlineStr"/>
      <c r="BE29" s="74" t="inlineStr"/>
      <c r="BF29" s="28" t="inlineStr">
        <is>
          <t>Not Declared</t>
        </is>
      </c>
      <c r="BG29" s="28" t="b">
        <v>1</v>
      </c>
      <c r="BH29">
        <f>IFERROR(HYPERLINK("#'Main'!B"&amp;MATCH(TRIM(A29),'Main'!B:B,0),"Open"),HYPERLINK("#'Main'!B1","Open"))</f>
        <v/>
      </c>
    </row>
    <row r="30" ht="18" customHeight="1">
      <c r="A30" s="37" t="inlineStr">
        <is>
          <t>https://africanmarketingconfederation.org/smoke-archive/page-27</t>
        </is>
      </c>
      <c r="B30" s="30" t="inlineStr">
        <is>
          <t>Technical | Indexability | Performance | Search Console</t>
        </is>
      </c>
      <c r="C30" s="32" t="n">
        <v>200</v>
      </c>
      <c r="D30" s="30" t="inlineStr">
        <is>
          <t>Warning</t>
        </is>
      </c>
      <c r="E30" s="30" t="n">
        <v>70</v>
      </c>
      <c r="F30" s="30" t="inlineStr">
        <is>
          <t>Non-Pass</t>
        </is>
      </c>
      <c r="G30" s="30" t="n">
        <v>0</v>
      </c>
      <c r="H30" s="30" t="n">
        <v>2</v>
      </c>
      <c r="I30" s="30" t="inlineStr">
        <is>
          <t>complete</t>
        </is>
      </c>
      <c r="J30" s="30" t="inlineStr">
        <is>
          <t>rendered_browser</t>
        </is>
      </c>
      <c r="K30" s="30" t="inlineStr"/>
      <c r="L30" s="30" t="inlineStr">
        <is>
          <t>self</t>
        </is>
      </c>
      <c r="M30" s="30" t="n">
        <v>0</v>
      </c>
      <c r="N30" s="32" t="b">
        <v>0</v>
      </c>
      <c r="O30" s="30" t="inlineStr"/>
      <c r="P30" s="30" t="inlineStr"/>
      <c r="Q30" s="30" t="inlineStr"/>
      <c r="R30" s="30" t="n">
        <v>88</v>
      </c>
      <c r="S30" s="30" t="n">
        <v>88</v>
      </c>
      <c r="T30" s="30" t="n">
        <v>2.4</v>
      </c>
      <c r="U30" s="30" t="n">
        <v>0.04</v>
      </c>
      <c r="V30" s="30" t="n">
        <v>0.4</v>
      </c>
      <c r="W30" s="30" t="inlineStr">
        <is>
          <t>None</t>
        </is>
      </c>
      <c r="X30" s="30" t="n">
        <v>2.4</v>
      </c>
      <c r="Y30" s="30" t="n">
        <v>180</v>
      </c>
      <c r="Z30" s="30" t="n">
        <v>1.8</v>
      </c>
      <c r="AA30" s="30" t="n">
        <v>0.04</v>
      </c>
      <c r="AB30" s="30" t="n">
        <v>400</v>
      </c>
      <c r="AC30" s="30" t="n">
        <v>85</v>
      </c>
      <c r="AD30" s="30" t="n">
        <v>82</v>
      </c>
      <c r="AE30" s="30" t="n">
        <v>92</v>
      </c>
      <c r="AF30" s="30" t="n">
        <v>2.4</v>
      </c>
      <c r="AG30" s="30" t="n">
        <v>180</v>
      </c>
      <c r="AH30" s="30" t="n">
        <v>88</v>
      </c>
      <c r="AI30" s="30" t="n">
        <v>500</v>
      </c>
      <c r="AJ30" s="30" t="n">
        <v>842</v>
      </c>
      <c r="AK30" s="30" t="n">
        <v>1250</v>
      </c>
      <c r="AL30" s="30" t="n">
        <v>1</v>
      </c>
      <c r="AM30" s="30" t="inlineStr"/>
      <c r="AN30" s="30" t="inlineStr"/>
      <c r="AO30" s="76" t="inlineStr">
        <is>
          <t>https://africanmarketingconfederation.org/smoke-archive/page-27</t>
        </is>
      </c>
      <c r="AP30" s="76" t="inlineStr">
        <is>
          <t>https://africanmarketingconfederation.org/smoke-archive/page-27</t>
        </is>
      </c>
      <c r="AQ30" s="30" t="inlineStr"/>
      <c r="AR30" s="30" t="inlineStr"/>
      <c r="AS30" s="30" t="inlineStr"/>
      <c r="AT30" s="30" t="inlineStr"/>
      <c r="AU30" s="30" t="inlineStr"/>
      <c r="AV30" s="76" t="inlineStr"/>
      <c r="AW30" s="30" t="n">
        <v>28</v>
      </c>
      <c r="AX30" s="30" t="b">
        <v>0</v>
      </c>
      <c r="AY30" s="30" t="inlineStr">
        <is>
          <t>Technical | Indexability | PSI Performance | Search Console</t>
        </is>
      </c>
      <c r="AZ30" s="30" t="n">
        <v>0</v>
      </c>
      <c r="BA30" s="30" t="b">
        <v>0</v>
      </c>
      <c r="BB30" s="30" t="b">
        <v>0</v>
      </c>
      <c r="BC30" s="30" t="inlineStr"/>
      <c r="BD30" s="30" t="inlineStr"/>
      <c r="BE30" s="76" t="inlineStr"/>
      <c r="BF30" s="30" t="inlineStr">
        <is>
          <t>Not Declared</t>
        </is>
      </c>
      <c r="BG30" s="30" t="b">
        <v>1</v>
      </c>
      <c r="BH30" s="38">
        <f>IFERROR(HYPERLINK("#'Main'!B"&amp;MATCH(TRIM(A30),'Main'!B:B,0),"Open"),HYPERLINK("#'Main'!B1","Open"))</f>
        <v/>
      </c>
    </row>
    <row r="31" ht="18" customHeight="1">
      <c r="A31" s="35" t="inlineStr">
        <is>
          <t>https://africanmarketingconfederation.org/smoke-archive/page-28</t>
        </is>
      </c>
      <c r="B31" s="28" t="inlineStr">
        <is>
          <t>Technical | Indexability | Performance | Search Console</t>
        </is>
      </c>
      <c r="C31" s="32" t="n">
        <v>200</v>
      </c>
      <c r="D31" s="28" t="inlineStr">
        <is>
          <t>Warning</t>
        </is>
      </c>
      <c r="E31" s="28" t="n">
        <v>80</v>
      </c>
      <c r="F31" s="28" t="inlineStr">
        <is>
          <t>Non-Pass</t>
        </is>
      </c>
      <c r="G31" s="28" t="n">
        <v>0</v>
      </c>
      <c r="H31" s="28" t="n">
        <v>1</v>
      </c>
      <c r="I31" s="28" t="inlineStr">
        <is>
          <t>complete</t>
        </is>
      </c>
      <c r="J31" s="28" t="inlineStr">
        <is>
          <t>rendered_browser</t>
        </is>
      </c>
      <c r="K31" s="28" t="inlineStr"/>
      <c r="L31" s="28" t="inlineStr">
        <is>
          <t>self</t>
        </is>
      </c>
      <c r="M31" s="28" t="n">
        <v>0</v>
      </c>
      <c r="N31" s="32" t="b">
        <v>0</v>
      </c>
      <c r="O31" s="28" t="inlineStr"/>
      <c r="P31" s="28" t="inlineStr"/>
      <c r="Q31" s="28" t="inlineStr"/>
      <c r="R31" s="28" t="n">
        <v>88</v>
      </c>
      <c r="S31" s="28" t="n">
        <v>88</v>
      </c>
      <c r="T31" s="28" t="n">
        <v>2.4</v>
      </c>
      <c r="U31" s="28" t="n">
        <v>0.04</v>
      </c>
      <c r="V31" s="28" t="n">
        <v>0.4</v>
      </c>
      <c r="W31" s="28" t="inlineStr">
        <is>
          <t>None</t>
        </is>
      </c>
      <c r="X31" s="28" t="n">
        <v>2.4</v>
      </c>
      <c r="Y31" s="28" t="n">
        <v>180</v>
      </c>
      <c r="Z31" s="28" t="n">
        <v>1.8</v>
      </c>
      <c r="AA31" s="28" t="n">
        <v>0.04</v>
      </c>
      <c r="AB31" s="28" t="n">
        <v>400</v>
      </c>
      <c r="AC31" s="28" t="n">
        <v>85</v>
      </c>
      <c r="AD31" s="28" t="n">
        <v>82</v>
      </c>
      <c r="AE31" s="28" t="n">
        <v>92</v>
      </c>
      <c r="AF31" s="28" t="n">
        <v>2.4</v>
      </c>
      <c r="AG31" s="28" t="n">
        <v>180</v>
      </c>
      <c r="AH31" s="28" t="n">
        <v>88</v>
      </c>
      <c r="AI31" s="28" t="n">
        <v>500</v>
      </c>
      <c r="AJ31" s="28" t="n">
        <v>842</v>
      </c>
      <c r="AK31" s="28" t="n">
        <v>1250</v>
      </c>
      <c r="AL31" s="28" t="n">
        <v>1</v>
      </c>
      <c r="AM31" s="28" t="inlineStr"/>
      <c r="AN31" s="28" t="inlineStr"/>
      <c r="AO31" s="74" t="inlineStr">
        <is>
          <t>https://africanmarketingconfederation.org/smoke-archive/page-28</t>
        </is>
      </c>
      <c r="AP31" s="74" t="inlineStr">
        <is>
          <t>https://africanmarketingconfederation.org/smoke-archive/page-28</t>
        </is>
      </c>
      <c r="AQ31" s="28" t="inlineStr"/>
      <c r="AR31" s="28" t="inlineStr"/>
      <c r="AS31" s="28" t="inlineStr"/>
      <c r="AT31" s="28" t="inlineStr"/>
      <c r="AU31" s="28" t="inlineStr"/>
      <c r="AV31" s="74" t="inlineStr"/>
      <c r="AW31" s="28" t="n">
        <v>29</v>
      </c>
      <c r="AX31" s="28" t="b">
        <v>0</v>
      </c>
      <c r="AY31" s="28" t="inlineStr">
        <is>
          <t>Technical | Indexability | PSI Performance | Search Console</t>
        </is>
      </c>
      <c r="AZ31" s="28" t="n">
        <v>0</v>
      </c>
      <c r="BA31" s="28" t="b">
        <v>0</v>
      </c>
      <c r="BB31" s="28" t="b">
        <v>0</v>
      </c>
      <c r="BC31" s="28" t="inlineStr"/>
      <c r="BD31" s="28" t="inlineStr"/>
      <c r="BE31" s="74" t="inlineStr"/>
      <c r="BF31" s="28" t="inlineStr">
        <is>
          <t>Not Declared</t>
        </is>
      </c>
      <c r="BG31" s="28" t="b">
        <v>1</v>
      </c>
      <c r="BH31">
        <f>IFERROR(HYPERLINK("#'Main'!B"&amp;MATCH(TRIM(A31),'Main'!B:B,0),"Open"),HYPERLINK("#'Main'!B1","Open"))</f>
        <v/>
      </c>
    </row>
    <row r="32" ht="18" customHeight="1">
      <c r="A32" s="37" t="inlineStr">
        <is>
          <t>https://africanmarketingconfederation.org/smoke-archive/page-29</t>
        </is>
      </c>
      <c r="B32" s="30" t="inlineStr">
        <is>
          <t>Technical | Indexability | Performance | Search Console</t>
        </is>
      </c>
      <c r="C32" s="32" t="n">
        <v>200</v>
      </c>
      <c r="D32" s="30" t="inlineStr">
        <is>
          <t>Warning</t>
        </is>
      </c>
      <c r="E32" s="30" t="n">
        <v>80</v>
      </c>
      <c r="F32" s="30" t="inlineStr">
        <is>
          <t>Non-Pass</t>
        </is>
      </c>
      <c r="G32" s="30" t="n">
        <v>0</v>
      </c>
      <c r="H32" s="30" t="n">
        <v>1</v>
      </c>
      <c r="I32" s="30" t="inlineStr">
        <is>
          <t>complete</t>
        </is>
      </c>
      <c r="J32" s="30" t="inlineStr">
        <is>
          <t>rendered_browser</t>
        </is>
      </c>
      <c r="K32" s="30" t="inlineStr"/>
      <c r="L32" s="30" t="inlineStr">
        <is>
          <t>self</t>
        </is>
      </c>
      <c r="M32" s="30" t="n">
        <v>0</v>
      </c>
      <c r="N32" s="32" t="b">
        <v>0</v>
      </c>
      <c r="O32" s="30" t="inlineStr"/>
      <c r="P32" s="30" t="inlineStr"/>
      <c r="Q32" s="30" t="inlineStr"/>
      <c r="R32" s="30" t="n">
        <v>88</v>
      </c>
      <c r="S32" s="30" t="n">
        <v>88</v>
      </c>
      <c r="T32" s="30" t="n">
        <v>2.4</v>
      </c>
      <c r="U32" s="30" t="n">
        <v>0.04</v>
      </c>
      <c r="V32" s="30" t="n">
        <v>0.4</v>
      </c>
      <c r="W32" s="30" t="inlineStr">
        <is>
          <t>None</t>
        </is>
      </c>
      <c r="X32" s="30" t="n">
        <v>2.4</v>
      </c>
      <c r="Y32" s="30" t="n">
        <v>180</v>
      </c>
      <c r="Z32" s="30" t="n">
        <v>1.8</v>
      </c>
      <c r="AA32" s="30" t="n">
        <v>0.04</v>
      </c>
      <c r="AB32" s="30" t="n">
        <v>400</v>
      </c>
      <c r="AC32" s="30" t="n">
        <v>85</v>
      </c>
      <c r="AD32" s="30" t="n">
        <v>82</v>
      </c>
      <c r="AE32" s="30" t="n">
        <v>92</v>
      </c>
      <c r="AF32" s="30" t="n">
        <v>2.4</v>
      </c>
      <c r="AG32" s="30" t="n">
        <v>180</v>
      </c>
      <c r="AH32" s="30" t="n">
        <v>88</v>
      </c>
      <c r="AI32" s="30" t="n">
        <v>500</v>
      </c>
      <c r="AJ32" s="30" t="n">
        <v>842</v>
      </c>
      <c r="AK32" s="30" t="n">
        <v>1250</v>
      </c>
      <c r="AL32" s="30" t="n">
        <v>1</v>
      </c>
      <c r="AM32" s="30" t="inlineStr"/>
      <c r="AN32" s="30" t="inlineStr"/>
      <c r="AO32" s="76" t="inlineStr">
        <is>
          <t>https://africanmarketingconfederation.org/smoke-archive/page-29</t>
        </is>
      </c>
      <c r="AP32" s="76" t="inlineStr">
        <is>
          <t>https://africanmarketingconfederation.org/smoke-archive/page-29</t>
        </is>
      </c>
      <c r="AQ32" s="30" t="inlineStr"/>
      <c r="AR32" s="30" t="inlineStr"/>
      <c r="AS32" s="30" t="inlineStr"/>
      <c r="AT32" s="30" t="inlineStr"/>
      <c r="AU32" s="30" t="inlineStr"/>
      <c r="AV32" s="76" t="inlineStr"/>
      <c r="AW32" s="30" t="n">
        <v>30</v>
      </c>
      <c r="AX32" s="30" t="b">
        <v>0</v>
      </c>
      <c r="AY32" s="30" t="inlineStr">
        <is>
          <t>Technical | Indexability | PSI Performance | Search Console</t>
        </is>
      </c>
      <c r="AZ32" s="30" t="n">
        <v>0</v>
      </c>
      <c r="BA32" s="30" t="b">
        <v>0</v>
      </c>
      <c r="BB32" s="30" t="b">
        <v>0</v>
      </c>
      <c r="BC32" s="30" t="inlineStr"/>
      <c r="BD32" s="30" t="inlineStr"/>
      <c r="BE32" s="76" t="inlineStr"/>
      <c r="BF32" s="30" t="inlineStr">
        <is>
          <t>Not Declared</t>
        </is>
      </c>
      <c r="BG32" s="30" t="b">
        <v>1</v>
      </c>
      <c r="BH32" s="38">
        <f>IFERROR(HYPERLINK("#'Main'!B"&amp;MATCH(TRIM(A32),'Main'!B:B,0),"Open"),HYPERLINK("#'Main'!B1","Open"))</f>
        <v/>
      </c>
    </row>
    <row r="33" ht="18" customHeight="1">
      <c r="A33" s="35" t="inlineStr">
        <is>
          <t>https://africanmarketingconfederation.org/smoke-archive/page-30</t>
        </is>
      </c>
      <c r="B33" s="28" t="inlineStr">
        <is>
          <t>Technical | Indexability | Performance | Search Console</t>
        </is>
      </c>
      <c r="C33" s="32" t="n">
        <v>200</v>
      </c>
      <c r="D33" s="28" t="inlineStr">
        <is>
          <t>Warning</t>
        </is>
      </c>
      <c r="E33" s="28" t="n">
        <v>50</v>
      </c>
      <c r="F33" s="28" t="inlineStr">
        <is>
          <t>Non-Pass</t>
        </is>
      </c>
      <c r="G33" s="28" t="n">
        <v>0</v>
      </c>
      <c r="H33" s="28" t="n">
        <v>4</v>
      </c>
      <c r="I33" s="28" t="inlineStr">
        <is>
          <t>complete</t>
        </is>
      </c>
      <c r="J33" s="28" t="inlineStr">
        <is>
          <t>rendered_browser</t>
        </is>
      </c>
      <c r="K33" s="28" t="inlineStr"/>
      <c r="L33" s="28" t="inlineStr">
        <is>
          <t>self</t>
        </is>
      </c>
      <c r="M33" s="28" t="n">
        <v>0</v>
      </c>
      <c r="N33" s="32" t="b">
        <v>0</v>
      </c>
      <c r="O33" s="28" t="inlineStr"/>
      <c r="P33" s="28" t="inlineStr"/>
      <c r="Q33" s="28" t="inlineStr"/>
      <c r="R33" s="28" t="n">
        <v>88</v>
      </c>
      <c r="S33" s="28" t="n">
        <v>88</v>
      </c>
      <c r="T33" s="28" t="n">
        <v>2.4</v>
      </c>
      <c r="U33" s="28" t="n">
        <v>0.04</v>
      </c>
      <c r="V33" s="28" t="n">
        <v>0.4</v>
      </c>
      <c r="W33" s="28" t="inlineStr">
        <is>
          <t>None</t>
        </is>
      </c>
      <c r="X33" s="28" t="n">
        <v>2.4</v>
      </c>
      <c r="Y33" s="28" t="n">
        <v>180</v>
      </c>
      <c r="Z33" s="28" t="n">
        <v>1.8</v>
      </c>
      <c r="AA33" s="28" t="n">
        <v>0.04</v>
      </c>
      <c r="AB33" s="28" t="n">
        <v>400</v>
      </c>
      <c r="AC33" s="28" t="n">
        <v>85</v>
      </c>
      <c r="AD33" s="28" t="n">
        <v>82</v>
      </c>
      <c r="AE33" s="28" t="n">
        <v>92</v>
      </c>
      <c r="AF33" s="28" t="n">
        <v>2.4</v>
      </c>
      <c r="AG33" s="28" t="n">
        <v>180</v>
      </c>
      <c r="AH33" s="28" t="n">
        <v>88</v>
      </c>
      <c r="AI33" s="28" t="n">
        <v>500</v>
      </c>
      <c r="AJ33" s="28" t="n">
        <v>842</v>
      </c>
      <c r="AK33" s="28" t="n">
        <v>1250</v>
      </c>
      <c r="AL33" s="28" t="n">
        <v>1</v>
      </c>
      <c r="AM33" s="28" t="inlineStr"/>
      <c r="AN33" s="28" t="inlineStr"/>
      <c r="AO33" s="74" t="inlineStr">
        <is>
          <t>https://africanmarketingconfederation.org/smoke-archive/page-30</t>
        </is>
      </c>
      <c r="AP33" s="74" t="inlineStr">
        <is>
          <t>https://africanmarketingconfederation.org/smoke-archive/page-30</t>
        </is>
      </c>
      <c r="AQ33" s="28" t="inlineStr"/>
      <c r="AR33" s="28" t="inlineStr"/>
      <c r="AS33" s="28" t="inlineStr"/>
      <c r="AT33" s="28" t="inlineStr"/>
      <c r="AU33" s="28" t="inlineStr"/>
      <c r="AV33" s="74" t="inlineStr"/>
      <c r="AW33" s="28" t="n">
        <v>31</v>
      </c>
      <c r="AX33" s="28" t="b">
        <v>0</v>
      </c>
      <c r="AY33" s="28" t="inlineStr">
        <is>
          <t>Technical | Indexability | PSI Performance | Search Console</t>
        </is>
      </c>
      <c r="AZ33" s="28" t="n">
        <v>0</v>
      </c>
      <c r="BA33" s="28" t="b">
        <v>0</v>
      </c>
      <c r="BB33" s="28" t="b">
        <v>0</v>
      </c>
      <c r="BC33" s="28" t="inlineStr"/>
      <c r="BD33" s="28" t="inlineStr"/>
      <c r="BE33" s="74" t="inlineStr"/>
      <c r="BF33" s="28" t="inlineStr">
        <is>
          <t>Not Declared</t>
        </is>
      </c>
      <c r="BG33" s="28" t="b">
        <v>1</v>
      </c>
      <c r="BH33">
        <f>IFERROR(HYPERLINK("#'Main'!B"&amp;MATCH(TRIM(A33),'Main'!B:B,0),"Open"),HYPERLINK("#'Main'!B1","Open"))</f>
        <v/>
      </c>
    </row>
    <row r="34" ht="18" customHeight="1">
      <c r="A34" s="37" t="inlineStr">
        <is>
          <t>https://africanmarketingconfederation.org/smoke-archive/page-31</t>
        </is>
      </c>
      <c r="B34" s="30" t="inlineStr">
        <is>
          <t>Technical | Indexability | Performance | Search Console</t>
        </is>
      </c>
      <c r="C34" s="32" t="n">
        <v>200</v>
      </c>
      <c r="D34" s="30" t="inlineStr">
        <is>
          <t>Warning</t>
        </is>
      </c>
      <c r="E34" s="30" t="n">
        <v>80</v>
      </c>
      <c r="F34" s="30" t="inlineStr">
        <is>
          <t>Non-Pass</t>
        </is>
      </c>
      <c r="G34" s="30" t="n">
        <v>0</v>
      </c>
      <c r="H34" s="30" t="n">
        <v>1</v>
      </c>
      <c r="I34" s="30" t="inlineStr">
        <is>
          <t>complete</t>
        </is>
      </c>
      <c r="J34" s="30" t="inlineStr">
        <is>
          <t>rendered_browser</t>
        </is>
      </c>
      <c r="K34" s="30" t="inlineStr"/>
      <c r="L34" s="30" t="inlineStr">
        <is>
          <t>self</t>
        </is>
      </c>
      <c r="M34" s="30" t="n">
        <v>0</v>
      </c>
      <c r="N34" s="32" t="b">
        <v>0</v>
      </c>
      <c r="O34" s="30" t="inlineStr"/>
      <c r="P34" s="30" t="inlineStr"/>
      <c r="Q34" s="30" t="inlineStr"/>
      <c r="R34" s="30" t="n">
        <v>88</v>
      </c>
      <c r="S34" s="30" t="n">
        <v>88</v>
      </c>
      <c r="T34" s="30" t="n">
        <v>2.4</v>
      </c>
      <c r="U34" s="30" t="n">
        <v>0.04</v>
      </c>
      <c r="V34" s="30" t="n">
        <v>0.4</v>
      </c>
      <c r="W34" s="30" t="inlineStr">
        <is>
          <t>None</t>
        </is>
      </c>
      <c r="X34" s="30" t="n">
        <v>2.4</v>
      </c>
      <c r="Y34" s="30" t="n">
        <v>180</v>
      </c>
      <c r="Z34" s="30" t="n">
        <v>1.8</v>
      </c>
      <c r="AA34" s="30" t="n">
        <v>0.04</v>
      </c>
      <c r="AB34" s="30" t="n">
        <v>400</v>
      </c>
      <c r="AC34" s="30" t="n">
        <v>85</v>
      </c>
      <c r="AD34" s="30" t="n">
        <v>82</v>
      </c>
      <c r="AE34" s="30" t="n">
        <v>92</v>
      </c>
      <c r="AF34" s="30" t="n">
        <v>2.4</v>
      </c>
      <c r="AG34" s="30" t="n">
        <v>180</v>
      </c>
      <c r="AH34" s="30" t="n">
        <v>88</v>
      </c>
      <c r="AI34" s="30" t="n">
        <v>500</v>
      </c>
      <c r="AJ34" s="30" t="n">
        <v>842</v>
      </c>
      <c r="AK34" s="30" t="n">
        <v>1250</v>
      </c>
      <c r="AL34" s="30" t="n">
        <v>1</v>
      </c>
      <c r="AM34" s="30" t="inlineStr"/>
      <c r="AN34" s="30" t="inlineStr"/>
      <c r="AO34" s="76" t="inlineStr">
        <is>
          <t>https://africanmarketingconfederation.org/smoke-archive/page-31</t>
        </is>
      </c>
      <c r="AP34" s="76" t="inlineStr">
        <is>
          <t>https://africanmarketingconfederation.org/smoke-archive/page-31</t>
        </is>
      </c>
      <c r="AQ34" s="30" t="inlineStr"/>
      <c r="AR34" s="30" t="inlineStr"/>
      <c r="AS34" s="30" t="inlineStr"/>
      <c r="AT34" s="30" t="inlineStr"/>
      <c r="AU34" s="30" t="inlineStr"/>
      <c r="AV34" s="76" t="inlineStr"/>
      <c r="AW34" s="30" t="n">
        <v>32</v>
      </c>
      <c r="AX34" s="30" t="b">
        <v>0</v>
      </c>
      <c r="AY34" s="30" t="inlineStr">
        <is>
          <t>Technical | Indexability | PSI Performance | Search Console</t>
        </is>
      </c>
      <c r="AZ34" s="30" t="n">
        <v>0</v>
      </c>
      <c r="BA34" s="30" t="b">
        <v>0</v>
      </c>
      <c r="BB34" s="30" t="b">
        <v>0</v>
      </c>
      <c r="BC34" s="30" t="inlineStr"/>
      <c r="BD34" s="30" t="inlineStr"/>
      <c r="BE34" s="76" t="inlineStr"/>
      <c r="BF34" s="30" t="inlineStr">
        <is>
          <t>Not Declared</t>
        </is>
      </c>
      <c r="BG34" s="30" t="b">
        <v>1</v>
      </c>
      <c r="BH34" s="38">
        <f>IFERROR(HYPERLINK("#'Main'!B"&amp;MATCH(TRIM(A34),'Main'!B:B,0),"Open"),HYPERLINK("#'Main'!B1","Open"))</f>
        <v/>
      </c>
    </row>
    <row r="35" ht="18" customHeight="1">
      <c r="A35" s="35" t="inlineStr">
        <is>
          <t>https://africanmarketingconfederation.org/smoke-archive/page-32</t>
        </is>
      </c>
      <c r="B35" s="28" t="inlineStr">
        <is>
          <t>Technical | Indexability | Performance | Search Console</t>
        </is>
      </c>
      <c r="C35" s="32" t="n">
        <v>200</v>
      </c>
      <c r="D35" s="28" t="inlineStr">
        <is>
          <t>Warning</t>
        </is>
      </c>
      <c r="E35" s="28" t="n">
        <v>80</v>
      </c>
      <c r="F35" s="28" t="inlineStr">
        <is>
          <t>Non-Pass</t>
        </is>
      </c>
      <c r="G35" s="28" t="n">
        <v>0</v>
      </c>
      <c r="H35" s="28" t="n">
        <v>1</v>
      </c>
      <c r="I35" s="28" t="inlineStr">
        <is>
          <t>complete</t>
        </is>
      </c>
      <c r="J35" s="28" t="inlineStr">
        <is>
          <t>rendered_browser</t>
        </is>
      </c>
      <c r="K35" s="28" t="inlineStr"/>
      <c r="L35" s="28" t="inlineStr">
        <is>
          <t>self</t>
        </is>
      </c>
      <c r="M35" s="28" t="n">
        <v>0</v>
      </c>
      <c r="N35" s="32" t="b">
        <v>0</v>
      </c>
      <c r="O35" s="28" t="inlineStr"/>
      <c r="P35" s="28" t="inlineStr"/>
      <c r="Q35" s="28" t="inlineStr"/>
      <c r="R35" s="28" t="n">
        <v>88</v>
      </c>
      <c r="S35" s="28" t="n">
        <v>88</v>
      </c>
      <c r="T35" s="28" t="n">
        <v>2.4</v>
      </c>
      <c r="U35" s="28" t="n">
        <v>0.04</v>
      </c>
      <c r="V35" s="28" t="n">
        <v>0.4</v>
      </c>
      <c r="W35" s="28" t="inlineStr">
        <is>
          <t>None</t>
        </is>
      </c>
      <c r="X35" s="28" t="n">
        <v>2.4</v>
      </c>
      <c r="Y35" s="28" t="n">
        <v>180</v>
      </c>
      <c r="Z35" s="28" t="n">
        <v>1.8</v>
      </c>
      <c r="AA35" s="28" t="n">
        <v>0.04</v>
      </c>
      <c r="AB35" s="28" t="n">
        <v>400</v>
      </c>
      <c r="AC35" s="28" t="n">
        <v>85</v>
      </c>
      <c r="AD35" s="28" t="n">
        <v>82</v>
      </c>
      <c r="AE35" s="28" t="n">
        <v>92</v>
      </c>
      <c r="AF35" s="28" t="n">
        <v>2.4</v>
      </c>
      <c r="AG35" s="28" t="n">
        <v>180</v>
      </c>
      <c r="AH35" s="28" t="n">
        <v>88</v>
      </c>
      <c r="AI35" s="28" t="n">
        <v>500</v>
      </c>
      <c r="AJ35" s="28" t="n">
        <v>842</v>
      </c>
      <c r="AK35" s="28" t="n">
        <v>1250</v>
      </c>
      <c r="AL35" s="28" t="n">
        <v>1</v>
      </c>
      <c r="AM35" s="28" t="inlineStr"/>
      <c r="AN35" s="28" t="inlineStr"/>
      <c r="AO35" s="74" t="inlineStr">
        <is>
          <t>https://africanmarketingconfederation.org/smoke-archive/page-32</t>
        </is>
      </c>
      <c r="AP35" s="74" t="inlineStr">
        <is>
          <t>https://africanmarketingconfederation.org/smoke-archive/page-32</t>
        </is>
      </c>
      <c r="AQ35" s="28" t="inlineStr"/>
      <c r="AR35" s="28" t="inlineStr"/>
      <c r="AS35" s="28" t="inlineStr"/>
      <c r="AT35" s="28" t="inlineStr"/>
      <c r="AU35" s="28" t="inlineStr"/>
      <c r="AV35" s="74" t="inlineStr"/>
      <c r="AW35" s="28" t="n">
        <v>33</v>
      </c>
      <c r="AX35" s="28" t="b">
        <v>0</v>
      </c>
      <c r="AY35" s="28" t="inlineStr">
        <is>
          <t>Technical | Indexability | PSI Performance | Search Console</t>
        </is>
      </c>
      <c r="AZ35" s="28" t="n">
        <v>0</v>
      </c>
      <c r="BA35" s="28" t="b">
        <v>0</v>
      </c>
      <c r="BB35" s="28" t="b">
        <v>0</v>
      </c>
      <c r="BC35" s="28" t="inlineStr"/>
      <c r="BD35" s="28" t="inlineStr"/>
      <c r="BE35" s="74" t="inlineStr"/>
      <c r="BF35" s="28" t="inlineStr">
        <is>
          <t>Not Declared</t>
        </is>
      </c>
      <c r="BG35" s="28" t="b">
        <v>1</v>
      </c>
      <c r="BH35">
        <f>IFERROR(HYPERLINK("#'Main'!B"&amp;MATCH(TRIM(A35),'Main'!B:B,0),"Open"),HYPERLINK("#'Main'!B1","Open"))</f>
        <v/>
      </c>
    </row>
    <row r="36" ht="18" customHeight="1">
      <c r="A36" s="37" t="inlineStr">
        <is>
          <t>https://africanmarketingconfederation.org/smoke-archive/page-33</t>
        </is>
      </c>
      <c r="B36" s="30" t="inlineStr">
        <is>
          <t>Technical | Indexability | Redirect | Performance | Search Console</t>
        </is>
      </c>
      <c r="C36" s="40" t="n">
        <v>301</v>
      </c>
      <c r="D36" s="30" t="inlineStr">
        <is>
          <t>Warning</t>
        </is>
      </c>
      <c r="E36" s="30" t="n">
        <v>80</v>
      </c>
      <c r="F36" s="30" t="inlineStr">
        <is>
          <t>Non-Pass</t>
        </is>
      </c>
      <c r="G36" s="30" t="n">
        <v>0</v>
      </c>
      <c r="H36" s="30" t="n">
        <v>1</v>
      </c>
      <c r="I36" s="30" t="inlineStr">
        <is>
          <t>complete</t>
        </is>
      </c>
      <c r="J36" s="30" t="inlineStr">
        <is>
          <t>rendered_browser</t>
        </is>
      </c>
      <c r="K36" s="30" t="inlineStr"/>
      <c r="L36" s="30" t="inlineStr"/>
      <c r="M36" s="30" t="n">
        <v>1</v>
      </c>
      <c r="N36" s="32" t="b">
        <v>0</v>
      </c>
      <c r="O36" s="30" t="inlineStr"/>
      <c r="P36" s="30" t="inlineStr"/>
      <c r="Q36" s="30" t="inlineStr"/>
      <c r="R36" s="30" t="n">
        <v>88</v>
      </c>
      <c r="S36" s="30" t="n">
        <v>88</v>
      </c>
      <c r="T36" s="30" t="n">
        <v>2.4</v>
      </c>
      <c r="U36" s="30" t="n">
        <v>0.04</v>
      </c>
      <c r="V36" s="30" t="n">
        <v>0.4</v>
      </c>
      <c r="W36" s="30" t="inlineStr">
        <is>
          <t>None</t>
        </is>
      </c>
      <c r="X36" s="30" t="n">
        <v>2.4</v>
      </c>
      <c r="Y36" s="30" t="n">
        <v>180</v>
      </c>
      <c r="Z36" s="30" t="n">
        <v>1.8</v>
      </c>
      <c r="AA36" s="30" t="n">
        <v>0.04</v>
      </c>
      <c r="AB36" s="30" t="n">
        <v>400</v>
      </c>
      <c r="AC36" s="30" t="n">
        <v>85</v>
      </c>
      <c r="AD36" s="30" t="n">
        <v>82</v>
      </c>
      <c r="AE36" s="30" t="n">
        <v>92</v>
      </c>
      <c r="AF36" s="30" t="n">
        <v>2.4</v>
      </c>
      <c r="AG36" s="30" t="n">
        <v>180</v>
      </c>
      <c r="AH36" s="30" t="n">
        <v>88</v>
      </c>
      <c r="AI36" s="30" t="n">
        <v>500</v>
      </c>
      <c r="AJ36" s="30" t="n">
        <v>842</v>
      </c>
      <c r="AK36" s="30" t="n">
        <v>1250</v>
      </c>
      <c r="AL36" s="30" t="n">
        <v>1</v>
      </c>
      <c r="AM36" s="30" t="inlineStr"/>
      <c r="AN36" s="30" t="inlineStr"/>
      <c r="AO36" s="76" t="inlineStr">
        <is>
          <t>https://africanmarketingconfederation.org/smoke-archive/page-33-canonical/</t>
        </is>
      </c>
      <c r="AP36" s="76" t="inlineStr">
        <is>
          <t>https://africanmarketingconfederation.org/smoke-archive/page-33</t>
        </is>
      </c>
      <c r="AQ36" s="30" t="inlineStr"/>
      <c r="AR36" s="30" t="inlineStr"/>
      <c r="AS36" s="30" t="inlineStr"/>
      <c r="AT36" s="30" t="inlineStr"/>
      <c r="AU36" s="30" t="inlineStr"/>
      <c r="AV36" s="76" t="inlineStr"/>
      <c r="AW36" s="30" t="n">
        <v>34</v>
      </c>
      <c r="AX36" s="30" t="b">
        <v>0</v>
      </c>
      <c r="AY36" s="30" t="inlineStr">
        <is>
          <t>Technical | Indexability | Redirects | PSI Performance | Search Console</t>
        </is>
      </c>
      <c r="AZ36" s="30" t="n">
        <v>0</v>
      </c>
      <c r="BA36" s="30" t="b">
        <v>0</v>
      </c>
      <c r="BB36" s="30" t="b">
        <v>0</v>
      </c>
      <c r="BC36" s="30" t="inlineStr"/>
      <c r="BD36" s="30" t="inlineStr"/>
      <c r="BE36" s="76" t="inlineStr"/>
      <c r="BF36" s="30" t="inlineStr">
        <is>
          <t>Not Declared</t>
        </is>
      </c>
      <c r="BG36" s="30" t="b">
        <v>1</v>
      </c>
      <c r="BH36" s="38">
        <f>IFERROR(HYPERLINK("#'Main'!B"&amp;MATCH(TRIM(A36),'Main'!B:B,0),"Open"),HYPERLINK("#'Main'!B1","Open"))</f>
        <v/>
      </c>
    </row>
    <row r="37" ht="18" customHeight="1">
      <c r="A37" s="35" t="inlineStr">
        <is>
          <t>https://africanmarketingconfederation.org/smoke-archive/page-34</t>
        </is>
      </c>
      <c r="B37" s="28" t="inlineStr">
        <is>
          <t>Technical | Indexability | Performance | Search Console</t>
        </is>
      </c>
      <c r="C37" s="28" t="n">
        <v>0</v>
      </c>
      <c r="D37" s="28" t="inlineStr">
        <is>
          <t>Critical</t>
        </is>
      </c>
      <c r="E37" s="28" t="n">
        <v>0</v>
      </c>
      <c r="F37" s="28" t="inlineStr">
        <is>
          <t>Non-Pass</t>
        </is>
      </c>
      <c r="G37" s="28" t="n">
        <v>1</v>
      </c>
      <c r="H37" s="28" t="n">
        <v>0</v>
      </c>
      <c r="I37" s="28" t="inlineStr">
        <is>
          <t>complete</t>
        </is>
      </c>
      <c r="J37" s="28" t="inlineStr">
        <is>
          <t>rendered_browser</t>
        </is>
      </c>
      <c r="K37" s="28" t="inlineStr"/>
      <c r="L37" s="28" t="inlineStr"/>
      <c r="M37" s="28" t="n">
        <v>0</v>
      </c>
      <c r="N37" s="32" t="b">
        <v>0</v>
      </c>
      <c r="O37" s="28" t="inlineStr"/>
      <c r="P37" s="28" t="inlineStr"/>
      <c r="Q37" s="28" t="inlineStr"/>
      <c r="R37" s="28" t="n">
        <v>88</v>
      </c>
      <c r="S37" s="28" t="n">
        <v>88</v>
      </c>
      <c r="T37" s="28" t="n">
        <v>2.4</v>
      </c>
      <c r="U37" s="28" t="n">
        <v>0.04</v>
      </c>
      <c r="V37" s="28" t="n">
        <v>0.4</v>
      </c>
      <c r="W37" s="28" t="inlineStr">
        <is>
          <t>None</t>
        </is>
      </c>
      <c r="X37" s="28" t="n">
        <v>2.4</v>
      </c>
      <c r="Y37" s="28" t="n">
        <v>180</v>
      </c>
      <c r="Z37" s="28" t="n">
        <v>1.8</v>
      </c>
      <c r="AA37" s="28" t="n">
        <v>0.04</v>
      </c>
      <c r="AB37" s="28" t="n">
        <v>400</v>
      </c>
      <c r="AC37" s="28" t="n">
        <v>85</v>
      </c>
      <c r="AD37" s="28" t="n">
        <v>82</v>
      </c>
      <c r="AE37" s="28" t="n">
        <v>92</v>
      </c>
      <c r="AF37" s="28" t="n">
        <v>2.4</v>
      </c>
      <c r="AG37" s="28" t="n">
        <v>180</v>
      </c>
      <c r="AH37" s="28" t="n">
        <v>88</v>
      </c>
      <c r="AI37" s="28" t="n">
        <v>500</v>
      </c>
      <c r="AJ37" s="28" t="n">
        <v>842</v>
      </c>
      <c r="AK37" s="28" t="n">
        <v>1250</v>
      </c>
      <c r="AL37" s="28" t="n">
        <v>1</v>
      </c>
      <c r="AM37" s="28" t="inlineStr"/>
      <c r="AN37" s="28" t="inlineStr"/>
      <c r="AO37" s="74" t="inlineStr">
        <is>
          <t>https://africanmarketingconfederation.org/smoke-archive/page-34</t>
        </is>
      </c>
      <c r="AP37" s="74" t="inlineStr">
        <is>
          <t>https://africanmarketingconfederation.org/smoke-archive/page-34</t>
        </is>
      </c>
      <c r="AQ37" s="28" t="inlineStr"/>
      <c r="AR37" s="28" t="inlineStr"/>
      <c r="AS37" s="28" t="inlineStr"/>
      <c r="AT37" s="28" t="inlineStr"/>
      <c r="AU37" s="28" t="inlineStr"/>
      <c r="AV37" s="74" t="inlineStr"/>
      <c r="AW37" s="28" t="n">
        <v>35</v>
      </c>
      <c r="AX37" s="28" t="b">
        <v>0</v>
      </c>
      <c r="AY37" s="28" t="inlineStr">
        <is>
          <t>Technical | Indexability | PSI Performance | Search Console</t>
        </is>
      </c>
      <c r="AZ37" s="28" t="n">
        <v>0</v>
      </c>
      <c r="BA37" s="28" t="b">
        <v>0</v>
      </c>
      <c r="BB37" s="28" t="b">
        <v>0</v>
      </c>
      <c r="BC37" s="28" t="inlineStr"/>
      <c r="BD37" s="28" t="inlineStr"/>
      <c r="BE37" s="74" t="inlineStr"/>
      <c r="BF37" s="28" t="inlineStr">
        <is>
          <t>Not Declared</t>
        </is>
      </c>
      <c r="BG37" s="28" t="b">
        <v>1</v>
      </c>
      <c r="BH37">
        <f>IFERROR(HYPERLINK("#'Main'!B"&amp;MATCH(TRIM(A37),'Main'!B:B,0),"Open"),HYPERLINK("#'Main'!B1","Open"))</f>
        <v/>
      </c>
    </row>
    <row r="38" ht="18" customHeight="1">
      <c r="A38" s="37" t="inlineStr">
        <is>
          <t>https://africanmarketingconfederation.org/smoke-archive/page-35</t>
        </is>
      </c>
      <c r="B38" s="30" t="inlineStr">
        <is>
          <t>Technical | Indexability | Performance | Search Console</t>
        </is>
      </c>
      <c r="C38" s="32" t="n">
        <v>200</v>
      </c>
      <c r="D38" s="30" t="inlineStr">
        <is>
          <t>Warning</t>
        </is>
      </c>
      <c r="E38" s="30" t="n">
        <v>50</v>
      </c>
      <c r="F38" s="30" t="inlineStr">
        <is>
          <t>Non-Pass</t>
        </is>
      </c>
      <c r="G38" s="30" t="n">
        <v>0</v>
      </c>
      <c r="H38" s="30" t="n">
        <v>4</v>
      </c>
      <c r="I38" s="30" t="inlineStr">
        <is>
          <t>complete</t>
        </is>
      </c>
      <c r="J38" s="30" t="inlineStr">
        <is>
          <t>rendered_browser</t>
        </is>
      </c>
      <c r="K38" s="30" t="inlineStr"/>
      <c r="L38" s="30" t="inlineStr">
        <is>
          <t>self</t>
        </is>
      </c>
      <c r="M38" s="30" t="n">
        <v>0</v>
      </c>
      <c r="N38" s="32" t="b">
        <v>0</v>
      </c>
      <c r="O38" s="30" t="inlineStr"/>
      <c r="P38" s="30" t="inlineStr"/>
      <c r="Q38" s="30" t="inlineStr"/>
      <c r="R38" s="30" t="n">
        <v>88</v>
      </c>
      <c r="S38" s="30" t="n">
        <v>88</v>
      </c>
      <c r="T38" s="30" t="n">
        <v>2.4</v>
      </c>
      <c r="U38" s="30" t="n">
        <v>0.04</v>
      </c>
      <c r="V38" s="30" t="n">
        <v>0.4</v>
      </c>
      <c r="W38" s="30" t="inlineStr">
        <is>
          <t>None</t>
        </is>
      </c>
      <c r="X38" s="30" t="n">
        <v>2.4</v>
      </c>
      <c r="Y38" s="30" t="n">
        <v>180</v>
      </c>
      <c r="Z38" s="30" t="n">
        <v>1.8</v>
      </c>
      <c r="AA38" s="30" t="n">
        <v>0.04</v>
      </c>
      <c r="AB38" s="30" t="n">
        <v>400</v>
      </c>
      <c r="AC38" s="30" t="n">
        <v>85</v>
      </c>
      <c r="AD38" s="30" t="n">
        <v>82</v>
      </c>
      <c r="AE38" s="30" t="n">
        <v>92</v>
      </c>
      <c r="AF38" s="30" t="n">
        <v>2.4</v>
      </c>
      <c r="AG38" s="30" t="n">
        <v>180</v>
      </c>
      <c r="AH38" s="30" t="n">
        <v>88</v>
      </c>
      <c r="AI38" s="30" t="n">
        <v>500</v>
      </c>
      <c r="AJ38" s="30" t="n">
        <v>842</v>
      </c>
      <c r="AK38" s="30" t="n">
        <v>1250</v>
      </c>
      <c r="AL38" s="30" t="n">
        <v>1</v>
      </c>
      <c r="AM38" s="30" t="inlineStr"/>
      <c r="AN38" s="30" t="inlineStr"/>
      <c r="AO38" s="76" t="inlineStr">
        <is>
          <t>https://africanmarketingconfederation.org/smoke-archive/page-35</t>
        </is>
      </c>
      <c r="AP38" s="76" t="inlineStr">
        <is>
          <t>https://africanmarketingconfederation.org/smoke-archive/page-35</t>
        </is>
      </c>
      <c r="AQ38" s="30" t="inlineStr"/>
      <c r="AR38" s="30" t="inlineStr"/>
      <c r="AS38" s="30" t="inlineStr"/>
      <c r="AT38" s="30" t="inlineStr"/>
      <c r="AU38" s="30" t="inlineStr"/>
      <c r="AV38" s="76" t="inlineStr"/>
      <c r="AW38" s="30" t="n">
        <v>36</v>
      </c>
      <c r="AX38" s="30" t="b">
        <v>0</v>
      </c>
      <c r="AY38" s="30" t="inlineStr">
        <is>
          <t>Technical | Indexability | PSI Performance | Search Console</t>
        </is>
      </c>
      <c r="AZ38" s="30" t="n">
        <v>0</v>
      </c>
      <c r="BA38" s="30" t="b">
        <v>0</v>
      </c>
      <c r="BB38" s="30" t="b">
        <v>0</v>
      </c>
      <c r="BC38" s="30" t="inlineStr"/>
      <c r="BD38" s="30" t="inlineStr"/>
      <c r="BE38" s="76" t="inlineStr"/>
      <c r="BF38" s="30" t="inlineStr">
        <is>
          <t>Not Declared</t>
        </is>
      </c>
      <c r="BG38" s="30" t="b">
        <v>1</v>
      </c>
      <c r="BH38" s="38">
        <f>IFERROR(HYPERLINK("#'Main'!B"&amp;MATCH(TRIM(A38),'Main'!B:B,0),"Open"),HYPERLINK("#'Main'!B1","Open"))</f>
        <v/>
      </c>
    </row>
    <row r="39" ht="18" customHeight="1">
      <c r="A39" s="35" t="inlineStr">
        <is>
          <t>https://africanmarketingconfederation.org/smoke-archive/page-36</t>
        </is>
      </c>
      <c r="B39" s="28" t="inlineStr">
        <is>
          <t>Technical | Indexability | Performance | Search Console</t>
        </is>
      </c>
      <c r="C39" s="32" t="n">
        <v>200</v>
      </c>
      <c r="D39" s="28" t="inlineStr">
        <is>
          <t>Critical</t>
        </is>
      </c>
      <c r="E39" s="28" t="n">
        <v>45</v>
      </c>
      <c r="F39" s="28" t="inlineStr">
        <is>
          <t>Non-Pass</t>
        </is>
      </c>
      <c r="G39" s="28" t="n">
        <v>1</v>
      </c>
      <c r="H39" s="28" t="n">
        <v>2</v>
      </c>
      <c r="I39" s="28" t="inlineStr">
        <is>
          <t>complete</t>
        </is>
      </c>
      <c r="J39" s="28" t="inlineStr">
        <is>
          <t>rendered_browser</t>
        </is>
      </c>
      <c r="K39" s="28" t="inlineStr"/>
      <c r="L39" s="28" t="inlineStr">
        <is>
          <t>self</t>
        </is>
      </c>
      <c r="M39" s="28" t="n">
        <v>0</v>
      </c>
      <c r="N39" s="32" t="b">
        <v>0</v>
      </c>
      <c r="O39" s="28" t="inlineStr"/>
      <c r="P39" s="28" t="inlineStr"/>
      <c r="Q39" s="28" t="inlineStr"/>
      <c r="R39" s="28" t="n">
        <v>88</v>
      </c>
      <c r="S39" s="28" t="n">
        <v>88</v>
      </c>
      <c r="T39" s="28" t="n">
        <v>2.4</v>
      </c>
      <c r="U39" s="28" t="n">
        <v>0.04</v>
      </c>
      <c r="V39" s="28" t="n">
        <v>0.4</v>
      </c>
      <c r="W39" s="28" t="inlineStr">
        <is>
          <t>None</t>
        </is>
      </c>
      <c r="X39" s="28" t="n">
        <v>2.4</v>
      </c>
      <c r="Y39" s="28" t="n">
        <v>180</v>
      </c>
      <c r="Z39" s="28" t="n">
        <v>1.8</v>
      </c>
      <c r="AA39" s="28" t="n">
        <v>0.04</v>
      </c>
      <c r="AB39" s="28" t="n">
        <v>400</v>
      </c>
      <c r="AC39" s="28" t="n">
        <v>85</v>
      </c>
      <c r="AD39" s="28" t="n">
        <v>82</v>
      </c>
      <c r="AE39" s="28" t="n">
        <v>92</v>
      </c>
      <c r="AF39" s="28" t="n">
        <v>2.4</v>
      </c>
      <c r="AG39" s="28" t="n">
        <v>180</v>
      </c>
      <c r="AH39" s="28" t="n">
        <v>88</v>
      </c>
      <c r="AI39" s="28" t="n">
        <v>500</v>
      </c>
      <c r="AJ39" s="28" t="n">
        <v>842</v>
      </c>
      <c r="AK39" s="28" t="n">
        <v>1250</v>
      </c>
      <c r="AL39" s="28" t="n">
        <v>1</v>
      </c>
      <c r="AM39" s="28" t="inlineStr"/>
      <c r="AN39" s="28" t="inlineStr"/>
      <c r="AO39" s="74" t="inlineStr">
        <is>
          <t>https://africanmarketingconfederation.org/smoke-archive/page-36</t>
        </is>
      </c>
      <c r="AP39" s="74" t="inlineStr">
        <is>
          <t>https://africanmarketingconfederation.org/smoke-archive/page-36</t>
        </is>
      </c>
      <c r="AQ39" s="28" t="inlineStr"/>
      <c r="AR39" s="28" t="inlineStr"/>
      <c r="AS39" s="28" t="inlineStr"/>
      <c r="AT39" s="28" t="inlineStr"/>
      <c r="AU39" s="28" t="inlineStr"/>
      <c r="AV39" s="74" t="inlineStr"/>
      <c r="AW39" s="28" t="n">
        <v>37</v>
      </c>
      <c r="AX39" s="28" t="b">
        <v>0</v>
      </c>
      <c r="AY39" s="28" t="inlineStr">
        <is>
          <t>Technical | Indexability | PSI Performance | Search Console</t>
        </is>
      </c>
      <c r="AZ39" s="28" t="n">
        <v>0</v>
      </c>
      <c r="BA39" s="28" t="b">
        <v>0</v>
      </c>
      <c r="BB39" s="28" t="b">
        <v>0</v>
      </c>
      <c r="BC39" s="28" t="inlineStr"/>
      <c r="BD39" s="28" t="inlineStr"/>
      <c r="BE39" s="74" t="inlineStr"/>
      <c r="BF39" s="28" t="inlineStr">
        <is>
          <t>Not Declared</t>
        </is>
      </c>
      <c r="BG39" s="28" t="b">
        <v>1</v>
      </c>
      <c r="BH39">
        <f>IFERROR(HYPERLINK("#'Main'!B"&amp;MATCH(TRIM(A39),'Main'!B:B,0),"Open"),HYPERLINK("#'Main'!B1","Open"))</f>
        <v/>
      </c>
    </row>
    <row r="40" ht="18" customHeight="1">
      <c r="A40" s="37" t="inlineStr">
        <is>
          <t>https://africanmarketingconfederation.org/smoke-archive/page-37</t>
        </is>
      </c>
      <c r="B40" s="30" t="inlineStr">
        <is>
          <t>Technical | Indexability | Performance | Search Console</t>
        </is>
      </c>
      <c r="C40" s="32" t="n">
        <v>200</v>
      </c>
      <c r="D40" s="30" t="inlineStr">
        <is>
          <t>Warning</t>
        </is>
      </c>
      <c r="E40" s="30" t="n">
        <v>80</v>
      </c>
      <c r="F40" s="30" t="inlineStr">
        <is>
          <t>Non-Pass</t>
        </is>
      </c>
      <c r="G40" s="30" t="n">
        <v>0</v>
      </c>
      <c r="H40" s="30" t="n">
        <v>1</v>
      </c>
      <c r="I40" s="30" t="inlineStr">
        <is>
          <t>complete</t>
        </is>
      </c>
      <c r="J40" s="30" t="inlineStr">
        <is>
          <t>rendered_browser</t>
        </is>
      </c>
      <c r="K40" s="30" t="inlineStr"/>
      <c r="L40" s="30" t="inlineStr">
        <is>
          <t>self</t>
        </is>
      </c>
      <c r="M40" s="30" t="n">
        <v>0</v>
      </c>
      <c r="N40" s="32" t="b">
        <v>0</v>
      </c>
      <c r="O40" s="30" t="inlineStr"/>
      <c r="P40" s="30" t="inlineStr"/>
      <c r="Q40" s="30" t="inlineStr"/>
      <c r="R40" s="30" t="n">
        <v>88</v>
      </c>
      <c r="S40" s="30" t="n">
        <v>88</v>
      </c>
      <c r="T40" s="30" t="n">
        <v>2.4</v>
      </c>
      <c r="U40" s="30" t="n">
        <v>0.04</v>
      </c>
      <c r="V40" s="30" t="n">
        <v>0.4</v>
      </c>
      <c r="W40" s="30" t="inlineStr">
        <is>
          <t>None</t>
        </is>
      </c>
      <c r="X40" s="30" t="n">
        <v>2.4</v>
      </c>
      <c r="Y40" s="30" t="n">
        <v>180</v>
      </c>
      <c r="Z40" s="30" t="n">
        <v>1.8</v>
      </c>
      <c r="AA40" s="30" t="n">
        <v>0.04</v>
      </c>
      <c r="AB40" s="30" t="n">
        <v>400</v>
      </c>
      <c r="AC40" s="30" t="n">
        <v>85</v>
      </c>
      <c r="AD40" s="30" t="n">
        <v>82</v>
      </c>
      <c r="AE40" s="30" t="n">
        <v>92</v>
      </c>
      <c r="AF40" s="30" t="n">
        <v>2.4</v>
      </c>
      <c r="AG40" s="30" t="n">
        <v>180</v>
      </c>
      <c r="AH40" s="30" t="n">
        <v>88</v>
      </c>
      <c r="AI40" s="30" t="n">
        <v>500</v>
      </c>
      <c r="AJ40" s="30" t="n">
        <v>842</v>
      </c>
      <c r="AK40" s="30" t="n">
        <v>1250</v>
      </c>
      <c r="AL40" s="30" t="n">
        <v>1</v>
      </c>
      <c r="AM40" s="30" t="inlineStr"/>
      <c r="AN40" s="30" t="inlineStr"/>
      <c r="AO40" s="76" t="inlineStr">
        <is>
          <t>https://africanmarketingconfederation.org/smoke-archive/page-37</t>
        </is>
      </c>
      <c r="AP40" s="76" t="inlineStr">
        <is>
          <t>https://africanmarketingconfederation.org/smoke-archive/page-37</t>
        </is>
      </c>
      <c r="AQ40" s="30" t="inlineStr"/>
      <c r="AR40" s="30" t="inlineStr"/>
      <c r="AS40" s="30" t="inlineStr"/>
      <c r="AT40" s="30" t="inlineStr"/>
      <c r="AU40" s="30" t="inlineStr"/>
      <c r="AV40" s="76" t="inlineStr"/>
      <c r="AW40" s="30" t="n">
        <v>38</v>
      </c>
      <c r="AX40" s="30" t="b">
        <v>0</v>
      </c>
      <c r="AY40" s="30" t="inlineStr">
        <is>
          <t>Technical | Indexability | PSI Performance | Search Console</t>
        </is>
      </c>
      <c r="AZ40" s="30" t="n">
        <v>0</v>
      </c>
      <c r="BA40" s="30" t="b">
        <v>0</v>
      </c>
      <c r="BB40" s="30" t="b">
        <v>0</v>
      </c>
      <c r="BC40" s="30" t="inlineStr"/>
      <c r="BD40" s="30" t="inlineStr"/>
      <c r="BE40" s="76" t="inlineStr"/>
      <c r="BF40" s="30" t="inlineStr">
        <is>
          <t>Not Declared</t>
        </is>
      </c>
      <c r="BG40" s="30" t="b">
        <v>1</v>
      </c>
      <c r="BH40" s="38">
        <f>IFERROR(HYPERLINK("#'Main'!B"&amp;MATCH(TRIM(A40),'Main'!B:B,0),"Open"),HYPERLINK("#'Main'!B1","Open"))</f>
        <v/>
      </c>
    </row>
    <row r="41" ht="18" customHeight="1">
      <c r="A41" s="35" t="inlineStr">
        <is>
          <t>https://africanmarketingconfederation.org/smoke-archive/page-38</t>
        </is>
      </c>
      <c r="B41" s="28" t="inlineStr">
        <is>
          <t>Technical | Indexability | Performance | Search Console</t>
        </is>
      </c>
      <c r="C41" s="32" t="n">
        <v>200</v>
      </c>
      <c r="D41" s="28" t="inlineStr">
        <is>
          <t>Warning</t>
        </is>
      </c>
      <c r="E41" s="28" t="n">
        <v>80</v>
      </c>
      <c r="F41" s="28" t="inlineStr">
        <is>
          <t>Non-Pass</t>
        </is>
      </c>
      <c r="G41" s="28" t="n">
        <v>0</v>
      </c>
      <c r="H41" s="28" t="n">
        <v>1</v>
      </c>
      <c r="I41" s="28" t="inlineStr">
        <is>
          <t>partial</t>
        </is>
      </c>
      <c r="J41" s="28" t="inlineStr">
        <is>
          <t>rendered_browser</t>
        </is>
      </c>
      <c r="K41" s="28" t="inlineStr"/>
      <c r="L41" s="28" t="inlineStr">
        <is>
          <t>self</t>
        </is>
      </c>
      <c r="M41" s="28" t="n">
        <v>0</v>
      </c>
      <c r="N41" s="32" t="b">
        <v>0</v>
      </c>
      <c r="O41" s="28" t="inlineStr"/>
      <c r="P41" s="28" t="inlineStr"/>
      <c r="Q41" s="28" t="inlineStr"/>
      <c r="R41" s="28" t="n">
        <v>88</v>
      </c>
      <c r="S41" s="28" t="n">
        <v>88</v>
      </c>
      <c r="T41" s="28" t="n">
        <v>2.4</v>
      </c>
      <c r="U41" s="28" t="n">
        <v>0.04</v>
      </c>
      <c r="V41" s="28" t="n">
        <v>0.4</v>
      </c>
      <c r="W41" s="28" t="inlineStr">
        <is>
          <t>None</t>
        </is>
      </c>
      <c r="X41" s="28" t="n">
        <v>2.4</v>
      </c>
      <c r="Y41" s="28" t="n">
        <v>180</v>
      </c>
      <c r="Z41" s="28" t="n">
        <v>1.8</v>
      </c>
      <c r="AA41" s="28" t="n">
        <v>0.04</v>
      </c>
      <c r="AB41" s="28" t="n">
        <v>400</v>
      </c>
      <c r="AC41" s="28" t="n">
        <v>85</v>
      </c>
      <c r="AD41" s="28" t="n">
        <v>82</v>
      </c>
      <c r="AE41" s="28" t="n">
        <v>92</v>
      </c>
      <c r="AF41" s="28" t="n">
        <v>2.4</v>
      </c>
      <c r="AG41" s="28" t="n">
        <v>180</v>
      </c>
      <c r="AH41" s="28" t="n">
        <v>88</v>
      </c>
      <c r="AI41" s="28" t="n">
        <v>500</v>
      </c>
      <c r="AJ41" s="28" t="n">
        <v>842</v>
      </c>
      <c r="AK41" s="28" t="n">
        <v>1250</v>
      </c>
      <c r="AL41" s="28" t="n">
        <v>1</v>
      </c>
      <c r="AM41" s="28" t="inlineStr"/>
      <c r="AN41" s="28" t="inlineStr"/>
      <c r="AO41" s="74" t="inlineStr">
        <is>
          <t>https://africanmarketingconfederation.org/smoke-archive/page-38</t>
        </is>
      </c>
      <c r="AP41" s="74" t="inlineStr">
        <is>
          <t>https://africanmarketingconfederation.org/smoke-archive/page-38</t>
        </is>
      </c>
      <c r="AQ41" s="28" t="inlineStr"/>
      <c r="AR41" s="28" t="inlineStr"/>
      <c r="AS41" s="28" t="inlineStr"/>
      <c r="AT41" s="28" t="inlineStr"/>
      <c r="AU41" s="28" t="inlineStr"/>
      <c r="AV41" s="74" t="inlineStr"/>
      <c r="AW41" s="28" t="n">
        <v>39</v>
      </c>
      <c r="AX41" s="28" t="b">
        <v>0</v>
      </c>
      <c r="AY41" s="28" t="inlineStr">
        <is>
          <t>Technical | Indexability | PSI Performance | Search Console</t>
        </is>
      </c>
      <c r="AZ41" s="28" t="n">
        <v>0</v>
      </c>
      <c r="BA41" s="28" t="b">
        <v>0</v>
      </c>
      <c r="BB41" s="28" t="b">
        <v>0</v>
      </c>
      <c r="BC41" s="28" t="inlineStr"/>
      <c r="BD41" s="28" t="inlineStr"/>
      <c r="BE41" s="74" t="inlineStr"/>
      <c r="BF41" s="28" t="inlineStr">
        <is>
          <t>Not Declared</t>
        </is>
      </c>
      <c r="BG41" s="28" t="b">
        <v>1</v>
      </c>
      <c r="BH41">
        <f>IFERROR(HYPERLINK("#'Main'!B"&amp;MATCH(TRIM(A41),'Main'!B:B,0),"Open"),HYPERLINK("#'Main'!B1","Open"))</f>
        <v/>
      </c>
    </row>
    <row r="42" ht="18" customHeight="1">
      <c r="A42" s="37" t="inlineStr">
        <is>
          <t>https://africanmarketingconfederation.org/smoke-archive/page-39</t>
        </is>
      </c>
      <c r="B42" s="30" t="inlineStr">
        <is>
          <t>Technical | Indexability | Performance | Search Console</t>
        </is>
      </c>
      <c r="C42" s="34" t="n">
        <v>404</v>
      </c>
      <c r="D42" s="30" t="inlineStr">
        <is>
          <t>Critical</t>
        </is>
      </c>
      <c r="E42" s="30" t="n">
        <v>0</v>
      </c>
      <c r="F42" s="30" t="inlineStr">
        <is>
          <t>Non-Pass</t>
        </is>
      </c>
      <c r="G42" s="30" t="n">
        <v>1</v>
      </c>
      <c r="H42" s="30" t="n">
        <v>0</v>
      </c>
      <c r="I42" s="30" t="inlineStr">
        <is>
          <t>complete</t>
        </is>
      </c>
      <c r="J42" s="30" t="inlineStr">
        <is>
          <t>rendered_browser</t>
        </is>
      </c>
      <c r="K42" s="30" t="inlineStr"/>
      <c r="L42" s="30" t="inlineStr"/>
      <c r="M42" s="30" t="n">
        <v>0</v>
      </c>
      <c r="N42" s="32" t="b">
        <v>0</v>
      </c>
      <c r="O42" s="30" t="inlineStr"/>
      <c r="P42" s="30" t="inlineStr"/>
      <c r="Q42" s="30" t="inlineStr"/>
      <c r="R42" s="30" t="n">
        <v>88</v>
      </c>
      <c r="S42" s="30" t="n">
        <v>88</v>
      </c>
      <c r="T42" s="30" t="n">
        <v>2.4</v>
      </c>
      <c r="U42" s="30" t="n">
        <v>0.04</v>
      </c>
      <c r="V42" s="30" t="n">
        <v>0.4</v>
      </c>
      <c r="W42" s="30" t="inlineStr">
        <is>
          <t>None</t>
        </is>
      </c>
      <c r="X42" s="30" t="n">
        <v>2.4</v>
      </c>
      <c r="Y42" s="30" t="n">
        <v>180</v>
      </c>
      <c r="Z42" s="30" t="n">
        <v>1.8</v>
      </c>
      <c r="AA42" s="30" t="n">
        <v>0.04</v>
      </c>
      <c r="AB42" s="30" t="n">
        <v>400</v>
      </c>
      <c r="AC42" s="30" t="n">
        <v>85</v>
      </c>
      <c r="AD42" s="30" t="n">
        <v>82</v>
      </c>
      <c r="AE42" s="30" t="n">
        <v>92</v>
      </c>
      <c r="AF42" s="30" t="n">
        <v>2.4</v>
      </c>
      <c r="AG42" s="30" t="n">
        <v>180</v>
      </c>
      <c r="AH42" s="30" t="n">
        <v>88</v>
      </c>
      <c r="AI42" s="30" t="n">
        <v>500</v>
      </c>
      <c r="AJ42" s="30" t="n">
        <v>842</v>
      </c>
      <c r="AK42" s="30" t="n">
        <v>1250</v>
      </c>
      <c r="AL42" s="30" t="n">
        <v>1</v>
      </c>
      <c r="AM42" s="30" t="inlineStr"/>
      <c r="AN42" s="30" t="inlineStr"/>
      <c r="AO42" s="76" t="inlineStr">
        <is>
          <t>https://africanmarketingconfederation.org/smoke-archive/page-39</t>
        </is>
      </c>
      <c r="AP42" s="76" t="inlineStr">
        <is>
          <t>https://africanmarketingconfederation.org/smoke-archive/page-39</t>
        </is>
      </c>
      <c r="AQ42" s="30" t="inlineStr"/>
      <c r="AR42" s="30" t="inlineStr"/>
      <c r="AS42" s="30" t="inlineStr"/>
      <c r="AT42" s="30" t="inlineStr"/>
      <c r="AU42" s="30" t="inlineStr"/>
      <c r="AV42" s="76" t="inlineStr"/>
      <c r="AW42" s="30" t="n">
        <v>40</v>
      </c>
      <c r="AX42" s="30" t="b">
        <v>0</v>
      </c>
      <c r="AY42" s="30" t="inlineStr">
        <is>
          <t>Technical | Indexability | PSI Performance | Search Console</t>
        </is>
      </c>
      <c r="AZ42" s="30" t="n">
        <v>0</v>
      </c>
      <c r="BA42" s="30" t="b">
        <v>0</v>
      </c>
      <c r="BB42" s="30" t="b">
        <v>0</v>
      </c>
      <c r="BC42" s="30" t="inlineStr"/>
      <c r="BD42" s="30" t="inlineStr"/>
      <c r="BE42" s="76" t="inlineStr"/>
      <c r="BF42" s="30" t="inlineStr">
        <is>
          <t>Not Declared</t>
        </is>
      </c>
      <c r="BG42" s="30" t="b">
        <v>1</v>
      </c>
      <c r="BH42" s="38">
        <f>IFERROR(HYPERLINK("#'Main'!B"&amp;MATCH(TRIM(A42),'Main'!B:B,0),"Open"),HYPERLINK("#'Main'!B1","Open"))</f>
        <v/>
      </c>
    </row>
    <row r="43" ht="18" customHeight="1">
      <c r="A43" s="35" t="inlineStr">
        <is>
          <t>https://africanmarketingconfederation.org/smoke-archive/page-40</t>
        </is>
      </c>
      <c r="B43" s="28" t="inlineStr">
        <is>
          <t>Technical | Indexability | Performance | Search Console</t>
        </is>
      </c>
      <c r="C43" s="32" t="n">
        <v>200</v>
      </c>
      <c r="D43" s="28" t="inlineStr">
        <is>
          <t>Warning</t>
        </is>
      </c>
      <c r="E43" s="28" t="n">
        <v>60</v>
      </c>
      <c r="F43" s="28" t="inlineStr">
        <is>
          <t>Non-Pass</t>
        </is>
      </c>
      <c r="G43" s="28" t="n">
        <v>0</v>
      </c>
      <c r="H43" s="28" t="n">
        <v>3</v>
      </c>
      <c r="I43" s="28" t="inlineStr">
        <is>
          <t>complete</t>
        </is>
      </c>
      <c r="J43" s="28" t="inlineStr">
        <is>
          <t>rendered_browser</t>
        </is>
      </c>
      <c r="K43" s="28" t="inlineStr"/>
      <c r="L43" s="28" t="inlineStr">
        <is>
          <t>self</t>
        </is>
      </c>
      <c r="M43" s="28" t="n">
        <v>0</v>
      </c>
      <c r="N43" s="32" t="b">
        <v>0</v>
      </c>
      <c r="O43" s="28" t="inlineStr"/>
      <c r="P43" s="28" t="inlineStr"/>
      <c r="Q43" s="28" t="inlineStr"/>
      <c r="R43" s="28" t="n">
        <v>88</v>
      </c>
      <c r="S43" s="28" t="n">
        <v>88</v>
      </c>
      <c r="T43" s="28" t="n">
        <v>2.4</v>
      </c>
      <c r="U43" s="28" t="n">
        <v>0.04</v>
      </c>
      <c r="V43" s="28" t="n">
        <v>0.4</v>
      </c>
      <c r="W43" s="28" t="inlineStr">
        <is>
          <t>None</t>
        </is>
      </c>
      <c r="X43" s="28" t="n">
        <v>2.4</v>
      </c>
      <c r="Y43" s="28" t="n">
        <v>180</v>
      </c>
      <c r="Z43" s="28" t="n">
        <v>1.8</v>
      </c>
      <c r="AA43" s="28" t="n">
        <v>0.04</v>
      </c>
      <c r="AB43" s="28" t="n">
        <v>400</v>
      </c>
      <c r="AC43" s="28" t="n">
        <v>85</v>
      </c>
      <c r="AD43" s="28" t="n">
        <v>82</v>
      </c>
      <c r="AE43" s="28" t="n">
        <v>92</v>
      </c>
      <c r="AF43" s="28" t="n">
        <v>2.4</v>
      </c>
      <c r="AG43" s="28" t="n">
        <v>180</v>
      </c>
      <c r="AH43" s="28" t="n">
        <v>88</v>
      </c>
      <c r="AI43" s="28" t="n">
        <v>500</v>
      </c>
      <c r="AJ43" s="28" t="n">
        <v>842</v>
      </c>
      <c r="AK43" s="28" t="n">
        <v>1250</v>
      </c>
      <c r="AL43" s="28" t="n">
        <v>1</v>
      </c>
      <c r="AM43" s="28" t="inlineStr"/>
      <c r="AN43" s="28" t="inlineStr"/>
      <c r="AO43" s="74" t="inlineStr">
        <is>
          <t>https://africanmarketingconfederation.org/smoke-archive/page-40</t>
        </is>
      </c>
      <c r="AP43" s="74" t="inlineStr">
        <is>
          <t>https://africanmarketingconfederation.org/smoke-archive/page-40</t>
        </is>
      </c>
      <c r="AQ43" s="28" t="inlineStr"/>
      <c r="AR43" s="28" t="inlineStr"/>
      <c r="AS43" s="28" t="inlineStr"/>
      <c r="AT43" s="28" t="inlineStr"/>
      <c r="AU43" s="28" t="inlineStr"/>
      <c r="AV43" s="74" t="inlineStr"/>
      <c r="AW43" s="28" t="n">
        <v>41</v>
      </c>
      <c r="AX43" s="28" t="b">
        <v>0</v>
      </c>
      <c r="AY43" s="28" t="inlineStr">
        <is>
          <t>Technical | Indexability | PSI Performance | Search Console</t>
        </is>
      </c>
      <c r="AZ43" s="28" t="n">
        <v>0</v>
      </c>
      <c r="BA43" s="28" t="b">
        <v>0</v>
      </c>
      <c r="BB43" s="28" t="b">
        <v>0</v>
      </c>
      <c r="BC43" s="28" t="inlineStr"/>
      <c r="BD43" s="28" t="inlineStr"/>
      <c r="BE43" s="74" t="inlineStr"/>
      <c r="BF43" s="28" t="inlineStr">
        <is>
          <t>Not Declared</t>
        </is>
      </c>
      <c r="BG43" s="28" t="b">
        <v>1</v>
      </c>
      <c r="BH43">
        <f>IFERROR(HYPERLINK("#'Main'!B"&amp;MATCH(TRIM(A43),'Main'!B:B,0),"Open"),HYPERLINK("#'Main'!B1","Open"))</f>
        <v/>
      </c>
    </row>
    <row r="44" ht="18" customHeight="1">
      <c r="A44" s="37" t="inlineStr">
        <is>
          <t>https://africanmarketingconfederation.org/smoke-archive/page-41</t>
        </is>
      </c>
      <c r="B44" s="30" t="inlineStr">
        <is>
          <t>Technical | Indexability | Performance | Search Console</t>
        </is>
      </c>
      <c r="C44" s="32" t="n">
        <v>200</v>
      </c>
      <c r="D44" s="30" t="inlineStr">
        <is>
          <t>Warning</t>
        </is>
      </c>
      <c r="E44" s="30" t="n">
        <v>80</v>
      </c>
      <c r="F44" s="30" t="inlineStr">
        <is>
          <t>Non-Pass</t>
        </is>
      </c>
      <c r="G44" s="30" t="n">
        <v>0</v>
      </c>
      <c r="H44" s="30" t="n">
        <v>1</v>
      </c>
      <c r="I44" s="30" t="inlineStr">
        <is>
          <t>complete</t>
        </is>
      </c>
      <c r="J44" s="30" t="inlineStr">
        <is>
          <t>rendered_browser</t>
        </is>
      </c>
      <c r="K44" s="30" t="inlineStr"/>
      <c r="L44" s="30" t="inlineStr">
        <is>
          <t>self</t>
        </is>
      </c>
      <c r="M44" s="30" t="n">
        <v>0</v>
      </c>
      <c r="N44" s="32" t="b">
        <v>0</v>
      </c>
      <c r="O44" s="30" t="inlineStr"/>
      <c r="P44" s="30" t="inlineStr"/>
      <c r="Q44" s="30" t="inlineStr"/>
      <c r="R44" s="30" t="n">
        <v>88</v>
      </c>
      <c r="S44" s="30" t="n">
        <v>88</v>
      </c>
      <c r="T44" s="30" t="n">
        <v>2.4</v>
      </c>
      <c r="U44" s="30" t="n">
        <v>0.04</v>
      </c>
      <c r="V44" s="30" t="n">
        <v>0.4</v>
      </c>
      <c r="W44" s="30" t="inlineStr">
        <is>
          <t>None</t>
        </is>
      </c>
      <c r="X44" s="30" t="n">
        <v>2.4</v>
      </c>
      <c r="Y44" s="30" t="n">
        <v>180</v>
      </c>
      <c r="Z44" s="30" t="n">
        <v>1.8</v>
      </c>
      <c r="AA44" s="30" t="n">
        <v>0.04</v>
      </c>
      <c r="AB44" s="30" t="n">
        <v>400</v>
      </c>
      <c r="AC44" s="30" t="n">
        <v>85</v>
      </c>
      <c r="AD44" s="30" t="n">
        <v>82</v>
      </c>
      <c r="AE44" s="30" t="n">
        <v>92</v>
      </c>
      <c r="AF44" s="30" t="n">
        <v>2.4</v>
      </c>
      <c r="AG44" s="30" t="n">
        <v>180</v>
      </c>
      <c r="AH44" s="30" t="n">
        <v>88</v>
      </c>
      <c r="AI44" s="30" t="n">
        <v>500</v>
      </c>
      <c r="AJ44" s="30" t="n">
        <v>842</v>
      </c>
      <c r="AK44" s="30" t="n">
        <v>1250</v>
      </c>
      <c r="AL44" s="30" t="n">
        <v>1</v>
      </c>
      <c r="AM44" s="30" t="inlineStr"/>
      <c r="AN44" s="30" t="inlineStr"/>
      <c r="AO44" s="76" t="inlineStr">
        <is>
          <t>https://africanmarketingconfederation.org/smoke-archive/page-41</t>
        </is>
      </c>
      <c r="AP44" s="76" t="inlineStr">
        <is>
          <t>https://africanmarketingconfederation.org/smoke-archive/page-41</t>
        </is>
      </c>
      <c r="AQ44" s="30" t="inlineStr"/>
      <c r="AR44" s="30" t="inlineStr"/>
      <c r="AS44" s="30" t="inlineStr"/>
      <c r="AT44" s="30" t="inlineStr"/>
      <c r="AU44" s="30" t="inlineStr"/>
      <c r="AV44" s="76" t="inlineStr"/>
      <c r="AW44" s="30" t="n">
        <v>42</v>
      </c>
      <c r="AX44" s="30" t="b">
        <v>0</v>
      </c>
      <c r="AY44" s="30" t="inlineStr">
        <is>
          <t>Technical | Indexability | PSI Performance | Search Console</t>
        </is>
      </c>
      <c r="AZ44" s="30" t="n">
        <v>0</v>
      </c>
      <c r="BA44" s="30" t="b">
        <v>0</v>
      </c>
      <c r="BB44" s="30" t="b">
        <v>0</v>
      </c>
      <c r="BC44" s="30" t="inlineStr"/>
      <c r="BD44" s="30" t="inlineStr"/>
      <c r="BE44" s="76" t="inlineStr"/>
      <c r="BF44" s="30" t="inlineStr">
        <is>
          <t>Not Declared</t>
        </is>
      </c>
      <c r="BG44" s="30" t="b">
        <v>1</v>
      </c>
      <c r="BH44" s="38">
        <f>IFERROR(HYPERLINK("#'Main'!B"&amp;MATCH(TRIM(A44),'Main'!B:B,0),"Open"),HYPERLINK("#'Main'!B1","Open"))</f>
        <v/>
      </c>
    </row>
    <row r="45" ht="18" customHeight="1">
      <c r="A45" s="35" t="inlineStr">
        <is>
          <t>https://africanmarketingconfederation.org/smoke-archive/page-42</t>
        </is>
      </c>
      <c r="B45" s="28" t="inlineStr">
        <is>
          <t>Technical | Indexability | Performance | Search Console</t>
        </is>
      </c>
      <c r="C45" s="32" t="n">
        <v>200</v>
      </c>
      <c r="D45" s="28" t="inlineStr">
        <is>
          <t>Warning</t>
        </is>
      </c>
      <c r="E45" s="28" t="n">
        <v>60</v>
      </c>
      <c r="F45" s="28" t="inlineStr">
        <is>
          <t>Non-Pass</t>
        </is>
      </c>
      <c r="G45" s="28" t="n">
        <v>0</v>
      </c>
      <c r="H45" s="28" t="n">
        <v>3</v>
      </c>
      <c r="I45" s="28" t="inlineStr">
        <is>
          <t>complete</t>
        </is>
      </c>
      <c r="J45" s="28" t="inlineStr">
        <is>
          <t>rendered_browser</t>
        </is>
      </c>
      <c r="K45" s="28" t="inlineStr"/>
      <c r="L45" s="28" t="inlineStr">
        <is>
          <t>self</t>
        </is>
      </c>
      <c r="M45" s="28" t="n">
        <v>0</v>
      </c>
      <c r="N45" s="32" t="b">
        <v>0</v>
      </c>
      <c r="O45" s="28" t="inlineStr"/>
      <c r="P45" s="28" t="inlineStr"/>
      <c r="Q45" s="28" t="inlineStr"/>
      <c r="R45" s="28" t="n">
        <v>88</v>
      </c>
      <c r="S45" s="28" t="n">
        <v>88</v>
      </c>
      <c r="T45" s="28" t="n">
        <v>2.4</v>
      </c>
      <c r="U45" s="28" t="n">
        <v>0.04</v>
      </c>
      <c r="V45" s="28" t="n">
        <v>0.4</v>
      </c>
      <c r="W45" s="28" t="inlineStr">
        <is>
          <t>None</t>
        </is>
      </c>
      <c r="X45" s="28" t="n">
        <v>2.4</v>
      </c>
      <c r="Y45" s="28" t="n">
        <v>180</v>
      </c>
      <c r="Z45" s="28" t="n">
        <v>1.8</v>
      </c>
      <c r="AA45" s="28" t="n">
        <v>0.04</v>
      </c>
      <c r="AB45" s="28" t="n">
        <v>400</v>
      </c>
      <c r="AC45" s="28" t="n">
        <v>85</v>
      </c>
      <c r="AD45" s="28" t="n">
        <v>82</v>
      </c>
      <c r="AE45" s="28" t="n">
        <v>92</v>
      </c>
      <c r="AF45" s="28" t="n">
        <v>2.4</v>
      </c>
      <c r="AG45" s="28" t="n">
        <v>180</v>
      </c>
      <c r="AH45" s="28" t="n">
        <v>88</v>
      </c>
      <c r="AI45" s="28" t="n">
        <v>500</v>
      </c>
      <c r="AJ45" s="28" t="n">
        <v>842</v>
      </c>
      <c r="AK45" s="28" t="n">
        <v>1250</v>
      </c>
      <c r="AL45" s="28" t="n">
        <v>1</v>
      </c>
      <c r="AM45" s="28" t="inlineStr"/>
      <c r="AN45" s="28" t="inlineStr"/>
      <c r="AO45" s="74" t="inlineStr">
        <is>
          <t>https://africanmarketingconfederation.org/smoke-archive/page-42</t>
        </is>
      </c>
      <c r="AP45" s="74" t="inlineStr">
        <is>
          <t>https://africanmarketingconfederation.org/smoke-archive/page-42</t>
        </is>
      </c>
      <c r="AQ45" s="28" t="inlineStr"/>
      <c r="AR45" s="28" t="inlineStr"/>
      <c r="AS45" s="28" t="inlineStr"/>
      <c r="AT45" s="28" t="inlineStr"/>
      <c r="AU45" s="28" t="inlineStr"/>
      <c r="AV45" s="74" t="inlineStr"/>
      <c r="AW45" s="28" t="n">
        <v>43</v>
      </c>
      <c r="AX45" s="28" t="b">
        <v>0</v>
      </c>
      <c r="AY45" s="28" t="inlineStr">
        <is>
          <t>Technical | Indexability | PSI Performance | Search Console</t>
        </is>
      </c>
      <c r="AZ45" s="28" t="n">
        <v>0</v>
      </c>
      <c r="BA45" s="28" t="b">
        <v>0</v>
      </c>
      <c r="BB45" s="28" t="b">
        <v>0</v>
      </c>
      <c r="BC45" s="28" t="inlineStr"/>
      <c r="BD45" s="28" t="inlineStr"/>
      <c r="BE45" s="74" t="inlineStr"/>
      <c r="BF45" s="28" t="inlineStr">
        <is>
          <t>Not Declared</t>
        </is>
      </c>
      <c r="BG45" s="28" t="b">
        <v>1</v>
      </c>
      <c r="BH45">
        <f>IFERROR(HYPERLINK("#'Main'!B"&amp;MATCH(TRIM(A45),'Main'!B:B,0),"Open"),HYPERLINK("#'Main'!B1","Open"))</f>
        <v/>
      </c>
    </row>
    <row r="46" ht="18" customHeight="1">
      <c r="A46" s="37" t="inlineStr">
        <is>
          <t>https://africanmarketingconfederation.org/smoke-archive/page-43</t>
        </is>
      </c>
      <c r="B46" s="30" t="inlineStr">
        <is>
          <t>Technical | Indexability | Performance | Search Console</t>
        </is>
      </c>
      <c r="C46" s="32" t="n">
        <v>200</v>
      </c>
      <c r="D46" s="30" t="inlineStr">
        <is>
          <t>Warning</t>
        </is>
      </c>
      <c r="E46" s="30" t="n">
        <v>80</v>
      </c>
      <c r="F46" s="30" t="inlineStr">
        <is>
          <t>Non-Pass</t>
        </is>
      </c>
      <c r="G46" s="30" t="n">
        <v>0</v>
      </c>
      <c r="H46" s="30" t="n">
        <v>1</v>
      </c>
      <c r="I46" s="30" t="inlineStr">
        <is>
          <t>complete</t>
        </is>
      </c>
      <c r="J46" s="30" t="inlineStr">
        <is>
          <t>rendered_browser</t>
        </is>
      </c>
      <c r="K46" s="30" t="inlineStr"/>
      <c r="L46" s="30" t="inlineStr">
        <is>
          <t>self</t>
        </is>
      </c>
      <c r="M46" s="30" t="n">
        <v>0</v>
      </c>
      <c r="N46" s="32" t="b">
        <v>0</v>
      </c>
      <c r="O46" s="30" t="inlineStr"/>
      <c r="P46" s="30" t="inlineStr"/>
      <c r="Q46" s="30" t="inlineStr"/>
      <c r="R46" s="30" t="n">
        <v>88</v>
      </c>
      <c r="S46" s="30" t="n">
        <v>88</v>
      </c>
      <c r="T46" s="30" t="n">
        <v>2.4</v>
      </c>
      <c r="U46" s="30" t="n">
        <v>0.04</v>
      </c>
      <c r="V46" s="30" t="n">
        <v>0.4</v>
      </c>
      <c r="W46" s="30" t="inlineStr">
        <is>
          <t>None</t>
        </is>
      </c>
      <c r="X46" s="30" t="n">
        <v>2.4</v>
      </c>
      <c r="Y46" s="30" t="n">
        <v>180</v>
      </c>
      <c r="Z46" s="30" t="n">
        <v>1.8</v>
      </c>
      <c r="AA46" s="30" t="n">
        <v>0.04</v>
      </c>
      <c r="AB46" s="30" t="n">
        <v>400</v>
      </c>
      <c r="AC46" s="30" t="n">
        <v>85</v>
      </c>
      <c r="AD46" s="30" t="n">
        <v>82</v>
      </c>
      <c r="AE46" s="30" t="n">
        <v>92</v>
      </c>
      <c r="AF46" s="30" t="n">
        <v>2.4</v>
      </c>
      <c r="AG46" s="30" t="n">
        <v>180</v>
      </c>
      <c r="AH46" s="30" t="n">
        <v>88</v>
      </c>
      <c r="AI46" s="30" t="n">
        <v>500</v>
      </c>
      <c r="AJ46" s="30" t="n">
        <v>842</v>
      </c>
      <c r="AK46" s="30" t="n">
        <v>1250</v>
      </c>
      <c r="AL46" s="30" t="n">
        <v>1</v>
      </c>
      <c r="AM46" s="30" t="inlineStr"/>
      <c r="AN46" s="30" t="inlineStr"/>
      <c r="AO46" s="76" t="inlineStr">
        <is>
          <t>https://africanmarketingconfederation.org/smoke-archive/page-43</t>
        </is>
      </c>
      <c r="AP46" s="76" t="inlineStr">
        <is>
          <t>https://africanmarketingconfederation.org/smoke-archive/page-43</t>
        </is>
      </c>
      <c r="AQ46" s="30" t="inlineStr"/>
      <c r="AR46" s="30" t="inlineStr"/>
      <c r="AS46" s="30" t="inlineStr"/>
      <c r="AT46" s="30" t="inlineStr"/>
      <c r="AU46" s="30" t="inlineStr"/>
      <c r="AV46" s="76" t="inlineStr"/>
      <c r="AW46" s="30" t="n">
        <v>44</v>
      </c>
      <c r="AX46" s="30" t="b">
        <v>0</v>
      </c>
      <c r="AY46" s="30" t="inlineStr">
        <is>
          <t>Technical | Indexability | PSI Performance | Search Console</t>
        </is>
      </c>
      <c r="AZ46" s="30" t="n">
        <v>0</v>
      </c>
      <c r="BA46" s="30" t="b">
        <v>0</v>
      </c>
      <c r="BB46" s="30" t="b">
        <v>0</v>
      </c>
      <c r="BC46" s="30" t="inlineStr"/>
      <c r="BD46" s="30" t="inlineStr"/>
      <c r="BE46" s="76" t="inlineStr"/>
      <c r="BF46" s="30" t="inlineStr">
        <is>
          <t>Not Declared</t>
        </is>
      </c>
      <c r="BG46" s="30" t="b">
        <v>1</v>
      </c>
      <c r="BH46" s="38">
        <f>IFERROR(HYPERLINK("#'Main'!B"&amp;MATCH(TRIM(A46),'Main'!B:B,0),"Open"),HYPERLINK("#'Main'!B1","Open"))</f>
        <v/>
      </c>
    </row>
    <row r="47" ht="18" customHeight="1">
      <c r="A47" s="35" t="inlineStr">
        <is>
          <t>https://africanmarketingconfederation.org/smoke-archive/page-44</t>
        </is>
      </c>
      <c r="B47" s="28" t="inlineStr">
        <is>
          <t>Technical | Indexability | Redirect | Performance | Search Console</t>
        </is>
      </c>
      <c r="C47" s="40" t="n">
        <v>301</v>
      </c>
      <c r="D47" s="28" t="inlineStr">
        <is>
          <t>Observation</t>
        </is>
      </c>
      <c r="E47" s="28" t="n">
        <v>90</v>
      </c>
      <c r="F47" s="28" t="inlineStr">
        <is>
          <t>Non-Pass</t>
        </is>
      </c>
      <c r="G47" s="28" t="n">
        <v>0</v>
      </c>
      <c r="H47" s="28" t="n">
        <v>0</v>
      </c>
      <c r="I47" s="28" t="inlineStr">
        <is>
          <t>complete</t>
        </is>
      </c>
      <c r="J47" s="28" t="inlineStr">
        <is>
          <t>rendered_browser</t>
        </is>
      </c>
      <c r="K47" s="28" t="inlineStr"/>
      <c r="L47" s="28" t="inlineStr"/>
      <c r="M47" s="28" t="n">
        <v>1</v>
      </c>
      <c r="N47" s="32" t="b">
        <v>0</v>
      </c>
      <c r="O47" s="28" t="inlineStr"/>
      <c r="P47" s="28" t="inlineStr"/>
      <c r="Q47" s="28" t="inlineStr"/>
      <c r="R47" s="28" t="n">
        <v>88</v>
      </c>
      <c r="S47" s="28" t="n">
        <v>88</v>
      </c>
      <c r="T47" s="28" t="n">
        <v>2.4</v>
      </c>
      <c r="U47" s="28" t="n">
        <v>0.04</v>
      </c>
      <c r="V47" s="28" t="n">
        <v>0.4</v>
      </c>
      <c r="W47" s="28" t="inlineStr">
        <is>
          <t>None</t>
        </is>
      </c>
      <c r="X47" s="28" t="n">
        <v>2.4</v>
      </c>
      <c r="Y47" s="28" t="n">
        <v>180</v>
      </c>
      <c r="Z47" s="28" t="n">
        <v>1.8</v>
      </c>
      <c r="AA47" s="28" t="n">
        <v>0.04</v>
      </c>
      <c r="AB47" s="28" t="n">
        <v>400</v>
      </c>
      <c r="AC47" s="28" t="n">
        <v>85</v>
      </c>
      <c r="AD47" s="28" t="n">
        <v>82</v>
      </c>
      <c r="AE47" s="28" t="n">
        <v>92</v>
      </c>
      <c r="AF47" s="28" t="n">
        <v>2.4</v>
      </c>
      <c r="AG47" s="28" t="n">
        <v>180</v>
      </c>
      <c r="AH47" s="28" t="n">
        <v>88</v>
      </c>
      <c r="AI47" s="28" t="n">
        <v>500</v>
      </c>
      <c r="AJ47" s="28" t="n">
        <v>842</v>
      </c>
      <c r="AK47" s="28" t="n">
        <v>1250</v>
      </c>
      <c r="AL47" s="28" t="n">
        <v>1</v>
      </c>
      <c r="AM47" s="28" t="inlineStr"/>
      <c r="AN47" s="28" t="inlineStr"/>
      <c r="AO47" s="74" t="inlineStr">
        <is>
          <t>https://africanmarketingconfederation.org/smoke-archive/page-44-canonical/</t>
        </is>
      </c>
      <c r="AP47" s="74" t="inlineStr">
        <is>
          <t>https://africanmarketingconfederation.org/smoke-archive/page-44</t>
        </is>
      </c>
      <c r="AQ47" s="28" t="inlineStr"/>
      <c r="AR47" s="28" t="inlineStr"/>
      <c r="AS47" s="28" t="inlineStr"/>
      <c r="AT47" s="28" t="inlineStr"/>
      <c r="AU47" s="28" t="inlineStr"/>
      <c r="AV47" s="74" t="inlineStr"/>
      <c r="AW47" s="28" t="n">
        <v>45</v>
      </c>
      <c r="AX47" s="28" t="b">
        <v>0</v>
      </c>
      <c r="AY47" s="28" t="inlineStr">
        <is>
          <t>Technical | Indexability | Redirects | PSI Performance | Search Console</t>
        </is>
      </c>
      <c r="AZ47" s="28" t="n">
        <v>0</v>
      </c>
      <c r="BA47" s="28" t="b">
        <v>0</v>
      </c>
      <c r="BB47" s="28" t="b">
        <v>0</v>
      </c>
      <c r="BC47" s="28" t="inlineStr"/>
      <c r="BD47" s="28" t="inlineStr"/>
      <c r="BE47" s="74" t="inlineStr"/>
      <c r="BF47" s="28" t="inlineStr">
        <is>
          <t>Not Declared</t>
        </is>
      </c>
      <c r="BG47" s="28" t="b">
        <v>1</v>
      </c>
      <c r="BH47">
        <f>IFERROR(HYPERLINK("#'Main'!B"&amp;MATCH(TRIM(A47),'Main'!B:B,0),"Open"),HYPERLINK("#'Main'!B1","Open"))</f>
        <v/>
      </c>
    </row>
    <row r="48" ht="18" customHeight="1">
      <c r="A48" s="37" t="inlineStr">
        <is>
          <t>https://africanmarketingconfederation.org/smoke-archive/page-45</t>
        </is>
      </c>
      <c r="B48" s="30" t="inlineStr">
        <is>
          <t>Technical | Indexability | Performance | Search Console</t>
        </is>
      </c>
      <c r="C48" s="32" t="n">
        <v>200</v>
      </c>
      <c r="D48" s="30" t="inlineStr">
        <is>
          <t>Warning</t>
        </is>
      </c>
      <c r="E48" s="30" t="n">
        <v>50</v>
      </c>
      <c r="F48" s="30" t="inlineStr">
        <is>
          <t>Non-Pass</t>
        </is>
      </c>
      <c r="G48" s="30" t="n">
        <v>0</v>
      </c>
      <c r="H48" s="30" t="n">
        <v>4</v>
      </c>
      <c r="I48" s="30" t="inlineStr">
        <is>
          <t>complete</t>
        </is>
      </c>
      <c r="J48" s="30" t="inlineStr">
        <is>
          <t>rendered_browser</t>
        </is>
      </c>
      <c r="K48" s="30" t="inlineStr"/>
      <c r="L48" s="30" t="inlineStr">
        <is>
          <t>self</t>
        </is>
      </c>
      <c r="M48" s="30" t="n">
        <v>0</v>
      </c>
      <c r="N48" s="32" t="b">
        <v>0</v>
      </c>
      <c r="O48" s="30" t="inlineStr"/>
      <c r="P48" s="30" t="inlineStr"/>
      <c r="Q48" s="30" t="inlineStr"/>
      <c r="R48" s="30" t="n">
        <v>88</v>
      </c>
      <c r="S48" s="30" t="n">
        <v>88</v>
      </c>
      <c r="T48" s="30" t="n">
        <v>2.4</v>
      </c>
      <c r="U48" s="30" t="n">
        <v>0.04</v>
      </c>
      <c r="V48" s="30" t="n">
        <v>0.4</v>
      </c>
      <c r="W48" s="30" t="inlineStr">
        <is>
          <t>None</t>
        </is>
      </c>
      <c r="X48" s="30" t="n">
        <v>2.4</v>
      </c>
      <c r="Y48" s="30" t="n">
        <v>180</v>
      </c>
      <c r="Z48" s="30" t="n">
        <v>1.8</v>
      </c>
      <c r="AA48" s="30" t="n">
        <v>0.04</v>
      </c>
      <c r="AB48" s="30" t="n">
        <v>400</v>
      </c>
      <c r="AC48" s="30" t="n">
        <v>85</v>
      </c>
      <c r="AD48" s="30" t="n">
        <v>82</v>
      </c>
      <c r="AE48" s="30" t="n">
        <v>92</v>
      </c>
      <c r="AF48" s="30" t="n">
        <v>2.4</v>
      </c>
      <c r="AG48" s="30" t="n">
        <v>180</v>
      </c>
      <c r="AH48" s="30" t="n">
        <v>88</v>
      </c>
      <c r="AI48" s="30" t="n">
        <v>500</v>
      </c>
      <c r="AJ48" s="30" t="n">
        <v>842</v>
      </c>
      <c r="AK48" s="30" t="n">
        <v>1250</v>
      </c>
      <c r="AL48" s="30" t="n">
        <v>1</v>
      </c>
      <c r="AM48" s="30" t="inlineStr"/>
      <c r="AN48" s="30" t="inlineStr"/>
      <c r="AO48" s="76" t="inlineStr">
        <is>
          <t>https://africanmarketingconfederation.org/smoke-archive/page-45</t>
        </is>
      </c>
      <c r="AP48" s="76" t="inlineStr">
        <is>
          <t>https://africanmarketingconfederation.org/smoke-archive/page-45</t>
        </is>
      </c>
      <c r="AQ48" s="30" t="inlineStr"/>
      <c r="AR48" s="30" t="inlineStr"/>
      <c r="AS48" s="30" t="inlineStr"/>
      <c r="AT48" s="30" t="inlineStr"/>
      <c r="AU48" s="30" t="inlineStr"/>
      <c r="AV48" s="76" t="inlineStr"/>
      <c r="AW48" s="30" t="n">
        <v>46</v>
      </c>
      <c r="AX48" s="30" t="b">
        <v>0</v>
      </c>
      <c r="AY48" s="30" t="inlineStr">
        <is>
          <t>Technical | Indexability | PSI Performance | Search Console</t>
        </is>
      </c>
      <c r="AZ48" s="30" t="n">
        <v>0</v>
      </c>
      <c r="BA48" s="30" t="b">
        <v>0</v>
      </c>
      <c r="BB48" s="30" t="b">
        <v>0</v>
      </c>
      <c r="BC48" s="30" t="inlineStr"/>
      <c r="BD48" s="30" t="inlineStr"/>
      <c r="BE48" s="76" t="inlineStr"/>
      <c r="BF48" s="30" t="inlineStr">
        <is>
          <t>Not Declared</t>
        </is>
      </c>
      <c r="BG48" s="30" t="b">
        <v>1</v>
      </c>
      <c r="BH48" s="38">
        <f>IFERROR(HYPERLINK("#'Main'!B"&amp;MATCH(TRIM(A48),'Main'!B:B,0),"Open"),HYPERLINK("#'Main'!B1","Open"))</f>
        <v/>
      </c>
    </row>
    <row r="49" ht="18" customHeight="1">
      <c r="A49" s="35" t="inlineStr">
        <is>
          <t>https://africanmarketingconfederation.org/smoke-archive/page-46</t>
        </is>
      </c>
      <c r="B49" s="28" t="inlineStr">
        <is>
          <t>Technical | Indexability | Performance | Search Console</t>
        </is>
      </c>
      <c r="C49" s="32" t="n">
        <v>200</v>
      </c>
      <c r="D49" s="28" t="inlineStr">
        <is>
          <t>Warning</t>
        </is>
      </c>
      <c r="E49" s="28" t="n">
        <v>80</v>
      </c>
      <c r="F49" s="28" t="inlineStr">
        <is>
          <t>Non-Pass</t>
        </is>
      </c>
      <c r="G49" s="28" t="n">
        <v>0</v>
      </c>
      <c r="H49" s="28" t="n">
        <v>1</v>
      </c>
      <c r="I49" s="28" t="inlineStr">
        <is>
          <t>complete</t>
        </is>
      </c>
      <c r="J49" s="28" t="inlineStr">
        <is>
          <t>rendered_browser</t>
        </is>
      </c>
      <c r="K49" s="28" t="inlineStr"/>
      <c r="L49" s="28" t="inlineStr">
        <is>
          <t>self</t>
        </is>
      </c>
      <c r="M49" s="28" t="n">
        <v>0</v>
      </c>
      <c r="N49" s="32" t="b">
        <v>0</v>
      </c>
      <c r="O49" s="28" t="inlineStr"/>
      <c r="P49" s="28" t="inlineStr"/>
      <c r="Q49" s="28" t="inlineStr"/>
      <c r="R49" s="28" t="n">
        <v>88</v>
      </c>
      <c r="S49" s="28" t="n">
        <v>88</v>
      </c>
      <c r="T49" s="28" t="n">
        <v>2.4</v>
      </c>
      <c r="U49" s="28" t="n">
        <v>0.04</v>
      </c>
      <c r="V49" s="28" t="n">
        <v>0.4</v>
      </c>
      <c r="W49" s="28" t="inlineStr">
        <is>
          <t>None</t>
        </is>
      </c>
      <c r="X49" s="28" t="n">
        <v>2.4</v>
      </c>
      <c r="Y49" s="28" t="n">
        <v>180</v>
      </c>
      <c r="Z49" s="28" t="n">
        <v>1.8</v>
      </c>
      <c r="AA49" s="28" t="n">
        <v>0.04</v>
      </c>
      <c r="AB49" s="28" t="n">
        <v>400</v>
      </c>
      <c r="AC49" s="28" t="n">
        <v>85</v>
      </c>
      <c r="AD49" s="28" t="n">
        <v>82</v>
      </c>
      <c r="AE49" s="28" t="n">
        <v>92</v>
      </c>
      <c r="AF49" s="28" t="n">
        <v>2.4</v>
      </c>
      <c r="AG49" s="28" t="n">
        <v>180</v>
      </c>
      <c r="AH49" s="28" t="n">
        <v>88</v>
      </c>
      <c r="AI49" s="28" t="n">
        <v>500</v>
      </c>
      <c r="AJ49" s="28" t="n">
        <v>842</v>
      </c>
      <c r="AK49" s="28" t="n">
        <v>1250</v>
      </c>
      <c r="AL49" s="28" t="n">
        <v>1</v>
      </c>
      <c r="AM49" s="28" t="inlineStr"/>
      <c r="AN49" s="28" t="inlineStr"/>
      <c r="AO49" s="74" t="inlineStr">
        <is>
          <t>https://africanmarketingconfederation.org/smoke-archive/page-46</t>
        </is>
      </c>
      <c r="AP49" s="74" t="inlineStr">
        <is>
          <t>https://africanmarketingconfederation.org/smoke-archive/page-46</t>
        </is>
      </c>
      <c r="AQ49" s="28" t="inlineStr"/>
      <c r="AR49" s="28" t="inlineStr"/>
      <c r="AS49" s="28" t="inlineStr"/>
      <c r="AT49" s="28" t="inlineStr"/>
      <c r="AU49" s="28" t="inlineStr"/>
      <c r="AV49" s="74" t="inlineStr"/>
      <c r="AW49" s="28" t="n">
        <v>47</v>
      </c>
      <c r="AX49" s="28" t="b">
        <v>0</v>
      </c>
      <c r="AY49" s="28" t="inlineStr">
        <is>
          <t>Technical | Indexability | PSI Performance | Search Console</t>
        </is>
      </c>
      <c r="AZ49" s="28" t="n">
        <v>0</v>
      </c>
      <c r="BA49" s="28" t="b">
        <v>0</v>
      </c>
      <c r="BB49" s="28" t="b">
        <v>0</v>
      </c>
      <c r="BC49" s="28" t="inlineStr"/>
      <c r="BD49" s="28" t="inlineStr"/>
      <c r="BE49" s="74" t="inlineStr"/>
      <c r="BF49" s="28" t="inlineStr">
        <is>
          <t>Not Declared</t>
        </is>
      </c>
      <c r="BG49" s="28" t="b">
        <v>1</v>
      </c>
      <c r="BH49">
        <f>IFERROR(HYPERLINK("#'Main'!B"&amp;MATCH(TRIM(A49),'Main'!B:B,0),"Open"),HYPERLINK("#'Main'!B1","Open"))</f>
        <v/>
      </c>
    </row>
    <row r="50" ht="18" customHeight="1">
      <c r="A50" s="37" t="inlineStr">
        <is>
          <t>https://africanmarketingconfederation.org/smoke-archive/page-47</t>
        </is>
      </c>
      <c r="B50" s="30" t="inlineStr">
        <is>
          <t>Technical | Indexability | Performance | Search Console</t>
        </is>
      </c>
      <c r="C50" s="32" t="n">
        <v>200</v>
      </c>
      <c r="D50" s="30" t="inlineStr">
        <is>
          <t>Warning</t>
        </is>
      </c>
      <c r="E50" s="30" t="n">
        <v>80</v>
      </c>
      <c r="F50" s="30" t="inlineStr">
        <is>
          <t>Non-Pass</t>
        </is>
      </c>
      <c r="G50" s="30" t="n">
        <v>0</v>
      </c>
      <c r="H50" s="30" t="n">
        <v>1</v>
      </c>
      <c r="I50" s="30" t="inlineStr">
        <is>
          <t>complete</t>
        </is>
      </c>
      <c r="J50" s="30" t="inlineStr">
        <is>
          <t>rendered_browser</t>
        </is>
      </c>
      <c r="K50" s="30" t="inlineStr"/>
      <c r="L50" s="30" t="inlineStr">
        <is>
          <t>self</t>
        </is>
      </c>
      <c r="M50" s="30" t="n">
        <v>0</v>
      </c>
      <c r="N50" s="32" t="b">
        <v>0</v>
      </c>
      <c r="O50" s="30" t="inlineStr"/>
      <c r="P50" s="30" t="inlineStr"/>
      <c r="Q50" s="30" t="inlineStr"/>
      <c r="R50" s="30" t="n">
        <v>88</v>
      </c>
      <c r="S50" s="30" t="n">
        <v>88</v>
      </c>
      <c r="T50" s="30" t="n">
        <v>2.4</v>
      </c>
      <c r="U50" s="30" t="n">
        <v>0.04</v>
      </c>
      <c r="V50" s="30" t="n">
        <v>0.4</v>
      </c>
      <c r="W50" s="30" t="inlineStr">
        <is>
          <t>None</t>
        </is>
      </c>
      <c r="X50" s="30" t="n">
        <v>2.4</v>
      </c>
      <c r="Y50" s="30" t="n">
        <v>180</v>
      </c>
      <c r="Z50" s="30" t="n">
        <v>1.8</v>
      </c>
      <c r="AA50" s="30" t="n">
        <v>0.04</v>
      </c>
      <c r="AB50" s="30" t="n">
        <v>400</v>
      </c>
      <c r="AC50" s="30" t="n">
        <v>85</v>
      </c>
      <c r="AD50" s="30" t="n">
        <v>82</v>
      </c>
      <c r="AE50" s="30" t="n">
        <v>92</v>
      </c>
      <c r="AF50" s="30" t="n">
        <v>2.4</v>
      </c>
      <c r="AG50" s="30" t="n">
        <v>180</v>
      </c>
      <c r="AH50" s="30" t="n">
        <v>88</v>
      </c>
      <c r="AI50" s="30" t="n">
        <v>500</v>
      </c>
      <c r="AJ50" s="30" t="n">
        <v>842</v>
      </c>
      <c r="AK50" s="30" t="n">
        <v>1250</v>
      </c>
      <c r="AL50" s="30" t="n">
        <v>1</v>
      </c>
      <c r="AM50" s="30" t="inlineStr"/>
      <c r="AN50" s="30" t="inlineStr"/>
      <c r="AO50" s="76" t="inlineStr">
        <is>
          <t>https://africanmarketingconfederation.org/smoke-archive/page-47</t>
        </is>
      </c>
      <c r="AP50" s="76" t="inlineStr">
        <is>
          <t>https://africanmarketingconfederation.org/smoke-archive/page-47</t>
        </is>
      </c>
      <c r="AQ50" s="30" t="inlineStr"/>
      <c r="AR50" s="30" t="inlineStr"/>
      <c r="AS50" s="30" t="inlineStr"/>
      <c r="AT50" s="30" t="inlineStr"/>
      <c r="AU50" s="30" t="inlineStr"/>
      <c r="AV50" s="76" t="inlineStr"/>
      <c r="AW50" s="30" t="n">
        <v>48</v>
      </c>
      <c r="AX50" s="30" t="b">
        <v>0</v>
      </c>
      <c r="AY50" s="30" t="inlineStr">
        <is>
          <t>Technical | Indexability | PSI Performance | Search Console</t>
        </is>
      </c>
      <c r="AZ50" s="30" t="n">
        <v>0</v>
      </c>
      <c r="BA50" s="30" t="b">
        <v>0</v>
      </c>
      <c r="BB50" s="30" t="b">
        <v>0</v>
      </c>
      <c r="BC50" s="30" t="inlineStr"/>
      <c r="BD50" s="30" t="inlineStr"/>
      <c r="BE50" s="76" t="inlineStr"/>
      <c r="BF50" s="30" t="inlineStr">
        <is>
          <t>Not Declared</t>
        </is>
      </c>
      <c r="BG50" s="30" t="b">
        <v>1</v>
      </c>
      <c r="BH50" s="38">
        <f>IFERROR(HYPERLINK("#'Main'!B"&amp;MATCH(TRIM(A50),'Main'!B:B,0),"Open"),HYPERLINK("#'Main'!B1","Open"))</f>
        <v/>
      </c>
    </row>
    <row r="51" ht="18" customHeight="1">
      <c r="A51" s="35" t="inlineStr">
        <is>
          <t>https://africanmarketingconfederation.org/smoke-archive/page-48</t>
        </is>
      </c>
      <c r="B51" s="28" t="inlineStr">
        <is>
          <t>Technical | Indexability | Performance | Search Console</t>
        </is>
      </c>
      <c r="C51" s="32" t="n">
        <v>200</v>
      </c>
      <c r="D51" s="28" t="inlineStr">
        <is>
          <t>Critical</t>
        </is>
      </c>
      <c r="E51" s="28" t="n">
        <v>45</v>
      </c>
      <c r="F51" s="28" t="inlineStr">
        <is>
          <t>Non-Pass</t>
        </is>
      </c>
      <c r="G51" s="28" t="n">
        <v>1</v>
      </c>
      <c r="H51" s="28" t="n">
        <v>2</v>
      </c>
      <c r="I51" s="28" t="inlineStr">
        <is>
          <t>complete</t>
        </is>
      </c>
      <c r="J51" s="28" t="inlineStr">
        <is>
          <t>rendered_browser</t>
        </is>
      </c>
      <c r="K51" s="28" t="inlineStr"/>
      <c r="L51" s="28" t="inlineStr">
        <is>
          <t>self</t>
        </is>
      </c>
      <c r="M51" s="28" t="n">
        <v>0</v>
      </c>
      <c r="N51" s="32" t="b">
        <v>0</v>
      </c>
      <c r="O51" s="28" t="inlineStr"/>
      <c r="P51" s="28" t="inlineStr"/>
      <c r="Q51" s="28" t="inlineStr"/>
      <c r="R51" s="28" t="n">
        <v>88</v>
      </c>
      <c r="S51" s="28" t="n">
        <v>88</v>
      </c>
      <c r="T51" s="28" t="n">
        <v>2.4</v>
      </c>
      <c r="U51" s="28" t="n">
        <v>0.04</v>
      </c>
      <c r="V51" s="28" t="n">
        <v>0.4</v>
      </c>
      <c r="W51" s="28" t="inlineStr">
        <is>
          <t>None</t>
        </is>
      </c>
      <c r="X51" s="28" t="n">
        <v>2.4</v>
      </c>
      <c r="Y51" s="28" t="n">
        <v>180</v>
      </c>
      <c r="Z51" s="28" t="n">
        <v>1.8</v>
      </c>
      <c r="AA51" s="28" t="n">
        <v>0.04</v>
      </c>
      <c r="AB51" s="28" t="n">
        <v>400</v>
      </c>
      <c r="AC51" s="28" t="n">
        <v>85</v>
      </c>
      <c r="AD51" s="28" t="n">
        <v>82</v>
      </c>
      <c r="AE51" s="28" t="n">
        <v>92</v>
      </c>
      <c r="AF51" s="28" t="n">
        <v>2.4</v>
      </c>
      <c r="AG51" s="28" t="n">
        <v>180</v>
      </c>
      <c r="AH51" s="28" t="n">
        <v>88</v>
      </c>
      <c r="AI51" s="28" t="n">
        <v>500</v>
      </c>
      <c r="AJ51" s="28" t="n">
        <v>842</v>
      </c>
      <c r="AK51" s="28" t="n">
        <v>1250</v>
      </c>
      <c r="AL51" s="28" t="n">
        <v>1</v>
      </c>
      <c r="AM51" s="28" t="inlineStr"/>
      <c r="AN51" s="28" t="inlineStr"/>
      <c r="AO51" s="74" t="inlineStr">
        <is>
          <t>https://africanmarketingconfederation.org/smoke-archive/page-48</t>
        </is>
      </c>
      <c r="AP51" s="74" t="inlineStr">
        <is>
          <t>https://africanmarketingconfederation.org/smoke-archive/page-48</t>
        </is>
      </c>
      <c r="AQ51" s="28" t="inlineStr"/>
      <c r="AR51" s="28" t="inlineStr"/>
      <c r="AS51" s="28" t="inlineStr"/>
      <c r="AT51" s="28" t="inlineStr"/>
      <c r="AU51" s="28" t="inlineStr"/>
      <c r="AV51" s="74" t="inlineStr"/>
      <c r="AW51" s="28" t="n">
        <v>49</v>
      </c>
      <c r="AX51" s="28" t="b">
        <v>0</v>
      </c>
      <c r="AY51" s="28" t="inlineStr">
        <is>
          <t>Technical | Indexability | PSI Performance | Search Console</t>
        </is>
      </c>
      <c r="AZ51" s="28" t="n">
        <v>0</v>
      </c>
      <c r="BA51" s="28" t="b">
        <v>0</v>
      </c>
      <c r="BB51" s="28" t="b">
        <v>0</v>
      </c>
      <c r="BC51" s="28" t="inlineStr"/>
      <c r="BD51" s="28" t="inlineStr"/>
      <c r="BE51" s="74" t="inlineStr"/>
      <c r="BF51" s="28" t="inlineStr">
        <is>
          <t>Not Declared</t>
        </is>
      </c>
      <c r="BG51" s="28" t="b">
        <v>1</v>
      </c>
      <c r="BH51">
        <f>IFERROR(HYPERLINK("#'Main'!B"&amp;MATCH(TRIM(A51),'Main'!B:B,0),"Open"),HYPERLINK("#'Main'!B1","Open"))</f>
        <v/>
      </c>
    </row>
    <row r="52" ht="18" customHeight="1">
      <c r="A52" s="37" t="inlineStr">
        <is>
          <t>https://africanmarketingconfederation.org/smoke-archive/page-49</t>
        </is>
      </c>
      <c r="B52" s="30" t="inlineStr">
        <is>
          <t>Technical | Indexability | Performance | Search Console</t>
        </is>
      </c>
      <c r="C52" s="32" t="n">
        <v>200</v>
      </c>
      <c r="D52" s="30" t="inlineStr">
        <is>
          <t>Warning</t>
        </is>
      </c>
      <c r="E52" s="30" t="n">
        <v>70</v>
      </c>
      <c r="F52" s="30" t="inlineStr">
        <is>
          <t>Non-Pass</t>
        </is>
      </c>
      <c r="G52" s="30" t="n">
        <v>0</v>
      </c>
      <c r="H52" s="30" t="n">
        <v>2</v>
      </c>
      <c r="I52" s="30" t="inlineStr">
        <is>
          <t>complete</t>
        </is>
      </c>
      <c r="J52" s="30" t="inlineStr">
        <is>
          <t>rendered_browser</t>
        </is>
      </c>
      <c r="K52" s="30" t="inlineStr"/>
      <c r="L52" s="30" t="inlineStr">
        <is>
          <t>self</t>
        </is>
      </c>
      <c r="M52" s="30" t="n">
        <v>0</v>
      </c>
      <c r="N52" s="32" t="b">
        <v>0</v>
      </c>
      <c r="O52" s="30" t="inlineStr"/>
      <c r="P52" s="30" t="inlineStr"/>
      <c r="Q52" s="30" t="inlineStr"/>
      <c r="R52" s="30" t="n">
        <v>88</v>
      </c>
      <c r="S52" s="30" t="n">
        <v>88</v>
      </c>
      <c r="T52" s="30" t="n">
        <v>2.4</v>
      </c>
      <c r="U52" s="30" t="n">
        <v>0.04</v>
      </c>
      <c r="V52" s="30" t="n">
        <v>0.4</v>
      </c>
      <c r="W52" s="30" t="inlineStr">
        <is>
          <t>None</t>
        </is>
      </c>
      <c r="X52" s="30" t="n">
        <v>2.4</v>
      </c>
      <c r="Y52" s="30" t="n">
        <v>180</v>
      </c>
      <c r="Z52" s="30" t="n">
        <v>1.8</v>
      </c>
      <c r="AA52" s="30" t="n">
        <v>0.04</v>
      </c>
      <c r="AB52" s="30" t="n">
        <v>400</v>
      </c>
      <c r="AC52" s="30" t="n">
        <v>85</v>
      </c>
      <c r="AD52" s="30" t="n">
        <v>82</v>
      </c>
      <c r="AE52" s="30" t="n">
        <v>92</v>
      </c>
      <c r="AF52" s="30" t="n">
        <v>2.4</v>
      </c>
      <c r="AG52" s="30" t="n">
        <v>180</v>
      </c>
      <c r="AH52" s="30" t="n">
        <v>88</v>
      </c>
      <c r="AI52" s="30" t="n">
        <v>500</v>
      </c>
      <c r="AJ52" s="30" t="n">
        <v>842</v>
      </c>
      <c r="AK52" s="30" t="n">
        <v>1250</v>
      </c>
      <c r="AL52" s="30" t="n">
        <v>1</v>
      </c>
      <c r="AM52" s="30" t="inlineStr"/>
      <c r="AN52" s="30" t="inlineStr"/>
      <c r="AO52" s="76" t="inlineStr">
        <is>
          <t>https://africanmarketingconfederation.org/smoke-archive/page-49</t>
        </is>
      </c>
      <c r="AP52" s="76" t="inlineStr">
        <is>
          <t>https://africanmarketingconfederation.org/smoke-archive/page-49</t>
        </is>
      </c>
      <c r="AQ52" s="30" t="inlineStr"/>
      <c r="AR52" s="30" t="inlineStr"/>
      <c r="AS52" s="30" t="inlineStr"/>
      <c r="AT52" s="30" t="inlineStr"/>
      <c r="AU52" s="30" t="inlineStr"/>
      <c r="AV52" s="76" t="inlineStr"/>
      <c r="AW52" s="30" t="n">
        <v>50</v>
      </c>
      <c r="AX52" s="30" t="b">
        <v>0</v>
      </c>
      <c r="AY52" s="30" t="inlineStr">
        <is>
          <t>Technical | Indexability | PSI Performance | Search Console</t>
        </is>
      </c>
      <c r="AZ52" s="30" t="n">
        <v>0</v>
      </c>
      <c r="BA52" s="30" t="b">
        <v>0</v>
      </c>
      <c r="BB52" s="30" t="b">
        <v>0</v>
      </c>
      <c r="BC52" s="30" t="inlineStr"/>
      <c r="BD52" s="30" t="inlineStr"/>
      <c r="BE52" s="76" t="inlineStr"/>
      <c r="BF52" s="30" t="inlineStr">
        <is>
          <t>Not Declared</t>
        </is>
      </c>
      <c r="BG52" s="30" t="b">
        <v>1</v>
      </c>
      <c r="BH52" s="38">
        <f>IFERROR(HYPERLINK("#'Main'!B"&amp;MATCH(TRIM(A52),'Main'!B:B,0),"Open"),HYPERLINK("#'Main'!B1","Open"))</f>
        <v/>
      </c>
    </row>
    <row r="53" ht="18" customHeight="1">
      <c r="A53" s="35" t="inlineStr">
        <is>
          <t>https://africanmarketingconfederation.org/smoke-archive/page-50</t>
        </is>
      </c>
      <c r="B53" s="28" t="inlineStr">
        <is>
          <t>Technical | Indexability | Performance | Search Console</t>
        </is>
      </c>
      <c r="C53" s="32" t="n">
        <v>200</v>
      </c>
      <c r="D53" s="28" t="inlineStr">
        <is>
          <t>Warning</t>
        </is>
      </c>
      <c r="E53" s="28" t="n">
        <v>60</v>
      </c>
      <c r="F53" s="28" t="inlineStr">
        <is>
          <t>Non-Pass</t>
        </is>
      </c>
      <c r="G53" s="28" t="n">
        <v>0</v>
      </c>
      <c r="H53" s="28" t="n">
        <v>3</v>
      </c>
      <c r="I53" s="28" t="inlineStr">
        <is>
          <t>complete</t>
        </is>
      </c>
      <c r="J53" s="28" t="inlineStr">
        <is>
          <t>rendered_browser</t>
        </is>
      </c>
      <c r="K53" s="28" t="inlineStr"/>
      <c r="L53" s="28" t="inlineStr">
        <is>
          <t>self</t>
        </is>
      </c>
      <c r="M53" s="28" t="n">
        <v>0</v>
      </c>
      <c r="N53" s="32" t="b">
        <v>0</v>
      </c>
      <c r="O53" s="28" t="inlineStr"/>
      <c r="P53" s="28" t="inlineStr"/>
      <c r="Q53" s="28" t="inlineStr"/>
      <c r="R53" s="28" t="n">
        <v>88</v>
      </c>
      <c r="S53" s="28" t="n">
        <v>88</v>
      </c>
      <c r="T53" s="28" t="n">
        <v>2.4</v>
      </c>
      <c r="U53" s="28" t="n">
        <v>0.04</v>
      </c>
      <c r="V53" s="28" t="n">
        <v>0.4</v>
      </c>
      <c r="W53" s="28" t="inlineStr">
        <is>
          <t>None</t>
        </is>
      </c>
      <c r="X53" s="28" t="n">
        <v>2.4</v>
      </c>
      <c r="Y53" s="28" t="n">
        <v>180</v>
      </c>
      <c r="Z53" s="28" t="n">
        <v>1.8</v>
      </c>
      <c r="AA53" s="28" t="n">
        <v>0.04</v>
      </c>
      <c r="AB53" s="28" t="n">
        <v>400</v>
      </c>
      <c r="AC53" s="28" t="n">
        <v>85</v>
      </c>
      <c r="AD53" s="28" t="n">
        <v>82</v>
      </c>
      <c r="AE53" s="28" t="n">
        <v>92</v>
      </c>
      <c r="AF53" s="28" t="n">
        <v>2.4</v>
      </c>
      <c r="AG53" s="28" t="n">
        <v>180</v>
      </c>
      <c r="AH53" s="28" t="n">
        <v>88</v>
      </c>
      <c r="AI53" s="28" t="n">
        <v>500</v>
      </c>
      <c r="AJ53" s="28" t="n">
        <v>842</v>
      </c>
      <c r="AK53" s="28" t="n">
        <v>1250</v>
      </c>
      <c r="AL53" s="28" t="n">
        <v>1</v>
      </c>
      <c r="AM53" s="28" t="inlineStr"/>
      <c r="AN53" s="28" t="inlineStr"/>
      <c r="AO53" s="74" t="inlineStr">
        <is>
          <t>https://africanmarketingconfederation.org/smoke-archive/page-50</t>
        </is>
      </c>
      <c r="AP53" s="74" t="inlineStr">
        <is>
          <t>https://africanmarketingconfederation.org/smoke-archive/page-50</t>
        </is>
      </c>
      <c r="AQ53" s="28" t="inlineStr"/>
      <c r="AR53" s="28" t="inlineStr"/>
      <c r="AS53" s="28" t="inlineStr"/>
      <c r="AT53" s="28" t="inlineStr"/>
      <c r="AU53" s="28" t="inlineStr"/>
      <c r="AV53" s="74" t="inlineStr"/>
      <c r="AW53" s="28" t="n">
        <v>51</v>
      </c>
      <c r="AX53" s="28" t="b">
        <v>0</v>
      </c>
      <c r="AY53" s="28" t="inlineStr">
        <is>
          <t>Technical | Indexability | PSI Performance | Search Console</t>
        </is>
      </c>
      <c r="AZ53" s="28" t="n">
        <v>0</v>
      </c>
      <c r="BA53" s="28" t="b">
        <v>0</v>
      </c>
      <c r="BB53" s="28" t="b">
        <v>0</v>
      </c>
      <c r="BC53" s="28" t="inlineStr"/>
      <c r="BD53" s="28" t="inlineStr"/>
      <c r="BE53" s="74" t="inlineStr"/>
      <c r="BF53" s="28" t="inlineStr">
        <is>
          <t>Not Declared</t>
        </is>
      </c>
      <c r="BG53" s="28" t="b">
        <v>1</v>
      </c>
      <c r="BH53">
        <f>IFERROR(HYPERLINK("#'Main'!B"&amp;MATCH(TRIM(A53),'Main'!B:B,0),"Open"),HYPERLINK("#'Main'!B1","Open"))</f>
        <v/>
      </c>
    </row>
    <row r="54" ht="18" customHeight="1">
      <c r="A54" s="37" t="inlineStr">
        <is>
          <t>https://africanmarketingconfederation.org/smoke-archive/page-51</t>
        </is>
      </c>
      <c r="B54" s="30" t="inlineStr">
        <is>
          <t>Technical | Indexability | Performance | Search Console</t>
        </is>
      </c>
      <c r="C54" s="30" t="n">
        <v>0</v>
      </c>
      <c r="D54" s="30" t="inlineStr">
        <is>
          <t>Critical</t>
        </is>
      </c>
      <c r="E54" s="30" t="n">
        <v>0</v>
      </c>
      <c r="F54" s="30" t="inlineStr">
        <is>
          <t>Non-Pass</t>
        </is>
      </c>
      <c r="G54" s="30" t="n">
        <v>1</v>
      </c>
      <c r="H54" s="30" t="n">
        <v>0</v>
      </c>
      <c r="I54" s="30" t="inlineStr">
        <is>
          <t>complete</t>
        </is>
      </c>
      <c r="J54" s="30" t="inlineStr">
        <is>
          <t>rendered_browser</t>
        </is>
      </c>
      <c r="K54" s="30" t="inlineStr"/>
      <c r="L54" s="30" t="inlineStr"/>
      <c r="M54" s="30" t="n">
        <v>0</v>
      </c>
      <c r="N54" s="32" t="b">
        <v>0</v>
      </c>
      <c r="O54" s="30" t="inlineStr"/>
      <c r="P54" s="30" t="inlineStr"/>
      <c r="Q54" s="30" t="inlineStr"/>
      <c r="R54" s="30" t="n">
        <v>88</v>
      </c>
      <c r="S54" s="30" t="n">
        <v>88</v>
      </c>
      <c r="T54" s="30" t="n">
        <v>2.4</v>
      </c>
      <c r="U54" s="30" t="n">
        <v>0.04</v>
      </c>
      <c r="V54" s="30" t="n">
        <v>0.4</v>
      </c>
      <c r="W54" s="30" t="inlineStr">
        <is>
          <t>None</t>
        </is>
      </c>
      <c r="X54" s="30" t="n">
        <v>2.4</v>
      </c>
      <c r="Y54" s="30" t="n">
        <v>180</v>
      </c>
      <c r="Z54" s="30" t="n">
        <v>1.8</v>
      </c>
      <c r="AA54" s="30" t="n">
        <v>0.04</v>
      </c>
      <c r="AB54" s="30" t="n">
        <v>400</v>
      </c>
      <c r="AC54" s="30" t="n">
        <v>85</v>
      </c>
      <c r="AD54" s="30" t="n">
        <v>82</v>
      </c>
      <c r="AE54" s="30" t="n">
        <v>92</v>
      </c>
      <c r="AF54" s="30" t="n">
        <v>2.4</v>
      </c>
      <c r="AG54" s="30" t="n">
        <v>180</v>
      </c>
      <c r="AH54" s="30" t="n">
        <v>88</v>
      </c>
      <c r="AI54" s="30" t="n">
        <v>500</v>
      </c>
      <c r="AJ54" s="30" t="n">
        <v>842</v>
      </c>
      <c r="AK54" s="30" t="n">
        <v>1250</v>
      </c>
      <c r="AL54" s="30" t="n">
        <v>1</v>
      </c>
      <c r="AM54" s="30" t="inlineStr"/>
      <c r="AN54" s="30" t="inlineStr"/>
      <c r="AO54" s="76" t="inlineStr">
        <is>
          <t>https://africanmarketingconfederation.org/smoke-archive/page-51</t>
        </is>
      </c>
      <c r="AP54" s="76" t="inlineStr">
        <is>
          <t>https://africanmarketingconfederation.org/smoke-archive/page-51</t>
        </is>
      </c>
      <c r="AQ54" s="30" t="inlineStr"/>
      <c r="AR54" s="30" t="inlineStr"/>
      <c r="AS54" s="30" t="inlineStr"/>
      <c r="AT54" s="30" t="inlineStr"/>
      <c r="AU54" s="30" t="inlineStr"/>
      <c r="AV54" s="76" t="inlineStr"/>
      <c r="AW54" s="30" t="n">
        <v>52</v>
      </c>
      <c r="AX54" s="30" t="b">
        <v>0</v>
      </c>
      <c r="AY54" s="30" t="inlineStr">
        <is>
          <t>Technical | Indexability | PSI Performance | Search Console</t>
        </is>
      </c>
      <c r="AZ54" s="30" t="n">
        <v>0</v>
      </c>
      <c r="BA54" s="30" t="b">
        <v>0</v>
      </c>
      <c r="BB54" s="30" t="b">
        <v>0</v>
      </c>
      <c r="BC54" s="30" t="inlineStr"/>
      <c r="BD54" s="30" t="inlineStr"/>
      <c r="BE54" s="76" t="inlineStr"/>
      <c r="BF54" s="30" t="inlineStr">
        <is>
          <t>Not Declared</t>
        </is>
      </c>
      <c r="BG54" s="30" t="b">
        <v>1</v>
      </c>
      <c r="BH54" s="38">
        <f>IFERROR(HYPERLINK("#'Main'!B"&amp;MATCH(TRIM(A54),'Main'!B:B,0),"Open"),HYPERLINK("#'Main'!B1","Open"))</f>
        <v/>
      </c>
    </row>
    <row r="55" ht="18" customHeight="1">
      <c r="A55" s="35" t="inlineStr">
        <is>
          <t>https://africanmarketingconfederation.org/smoke-archive/page-52</t>
        </is>
      </c>
      <c r="B55" s="28" t="inlineStr">
        <is>
          <t>Technical | Indexability | Performance | Search Console</t>
        </is>
      </c>
      <c r="C55" s="34" t="n">
        <v>404</v>
      </c>
      <c r="D55" s="28" t="inlineStr">
        <is>
          <t>Critical</t>
        </is>
      </c>
      <c r="E55" s="28" t="n">
        <v>0</v>
      </c>
      <c r="F55" s="28" t="inlineStr">
        <is>
          <t>Non-Pass</t>
        </is>
      </c>
      <c r="G55" s="28" t="n">
        <v>1</v>
      </c>
      <c r="H55" s="28" t="n">
        <v>0</v>
      </c>
      <c r="I55" s="28" t="inlineStr">
        <is>
          <t>complete</t>
        </is>
      </c>
      <c r="J55" s="28" t="inlineStr">
        <is>
          <t>rendered_browser</t>
        </is>
      </c>
      <c r="K55" s="28" t="inlineStr"/>
      <c r="L55" s="28" t="inlineStr"/>
      <c r="M55" s="28" t="n">
        <v>0</v>
      </c>
      <c r="N55" s="32" t="b">
        <v>0</v>
      </c>
      <c r="O55" s="28" t="inlineStr"/>
      <c r="P55" s="28" t="inlineStr"/>
      <c r="Q55" s="28" t="inlineStr"/>
      <c r="R55" s="28" t="n">
        <v>88</v>
      </c>
      <c r="S55" s="28" t="n">
        <v>88</v>
      </c>
      <c r="T55" s="28" t="n">
        <v>2.4</v>
      </c>
      <c r="U55" s="28" t="n">
        <v>0.04</v>
      </c>
      <c r="V55" s="28" t="n">
        <v>0.4</v>
      </c>
      <c r="W55" s="28" t="inlineStr">
        <is>
          <t>None</t>
        </is>
      </c>
      <c r="X55" s="28" t="n">
        <v>2.4</v>
      </c>
      <c r="Y55" s="28" t="n">
        <v>180</v>
      </c>
      <c r="Z55" s="28" t="n">
        <v>1.8</v>
      </c>
      <c r="AA55" s="28" t="n">
        <v>0.04</v>
      </c>
      <c r="AB55" s="28" t="n">
        <v>400</v>
      </c>
      <c r="AC55" s="28" t="n">
        <v>85</v>
      </c>
      <c r="AD55" s="28" t="n">
        <v>82</v>
      </c>
      <c r="AE55" s="28" t="n">
        <v>92</v>
      </c>
      <c r="AF55" s="28" t="n">
        <v>2.4</v>
      </c>
      <c r="AG55" s="28" t="n">
        <v>180</v>
      </c>
      <c r="AH55" s="28" t="n">
        <v>88</v>
      </c>
      <c r="AI55" s="28" t="n">
        <v>500</v>
      </c>
      <c r="AJ55" s="28" t="n">
        <v>842</v>
      </c>
      <c r="AK55" s="28" t="n">
        <v>1250</v>
      </c>
      <c r="AL55" s="28" t="n">
        <v>1</v>
      </c>
      <c r="AM55" s="28" t="inlineStr"/>
      <c r="AN55" s="28" t="inlineStr"/>
      <c r="AO55" s="74" t="inlineStr">
        <is>
          <t>https://africanmarketingconfederation.org/smoke-archive/page-52</t>
        </is>
      </c>
      <c r="AP55" s="74" t="inlineStr">
        <is>
          <t>https://africanmarketingconfederation.org/smoke-archive/page-52</t>
        </is>
      </c>
      <c r="AQ55" s="28" t="inlineStr"/>
      <c r="AR55" s="28" t="inlineStr"/>
      <c r="AS55" s="28" t="inlineStr"/>
      <c r="AT55" s="28" t="inlineStr"/>
      <c r="AU55" s="28" t="inlineStr"/>
      <c r="AV55" s="74" t="inlineStr"/>
      <c r="AW55" s="28" t="n">
        <v>53</v>
      </c>
      <c r="AX55" s="28" t="b">
        <v>0</v>
      </c>
      <c r="AY55" s="28" t="inlineStr">
        <is>
          <t>Technical | Indexability | PSI Performance | Search Console</t>
        </is>
      </c>
      <c r="AZ55" s="28" t="n">
        <v>0</v>
      </c>
      <c r="BA55" s="28" t="b">
        <v>0</v>
      </c>
      <c r="BB55" s="28" t="b">
        <v>0</v>
      </c>
      <c r="BC55" s="28" t="inlineStr"/>
      <c r="BD55" s="28" t="inlineStr"/>
      <c r="BE55" s="74" t="inlineStr"/>
      <c r="BF55" s="28" t="inlineStr">
        <is>
          <t>Not Declared</t>
        </is>
      </c>
      <c r="BG55" s="28" t="b">
        <v>1</v>
      </c>
      <c r="BH55">
        <f>IFERROR(HYPERLINK("#'Main'!B"&amp;MATCH(TRIM(A55),'Main'!B:B,0),"Open"),HYPERLINK("#'Main'!B1","Open"))</f>
        <v/>
      </c>
    </row>
    <row r="56" ht="18" customHeight="1">
      <c r="A56" s="37" t="inlineStr">
        <is>
          <t>https://africanmarketingconfederation.org/smoke-archive/page-53</t>
        </is>
      </c>
      <c r="B56" s="30" t="inlineStr">
        <is>
          <t>Technical | Indexability | Performance | Search Console</t>
        </is>
      </c>
      <c r="C56" s="32" t="n">
        <v>200</v>
      </c>
      <c r="D56" s="30" t="inlineStr">
        <is>
          <t>Warning</t>
        </is>
      </c>
      <c r="E56" s="30" t="n">
        <v>80</v>
      </c>
      <c r="F56" s="30" t="inlineStr">
        <is>
          <t>Non-Pass</t>
        </is>
      </c>
      <c r="G56" s="30" t="n">
        <v>0</v>
      </c>
      <c r="H56" s="30" t="n">
        <v>1</v>
      </c>
      <c r="I56" s="30" t="inlineStr">
        <is>
          <t>complete</t>
        </is>
      </c>
      <c r="J56" s="30" t="inlineStr">
        <is>
          <t>rendered_browser</t>
        </is>
      </c>
      <c r="K56" s="30" t="inlineStr"/>
      <c r="L56" s="30" t="inlineStr">
        <is>
          <t>self</t>
        </is>
      </c>
      <c r="M56" s="30" t="n">
        <v>0</v>
      </c>
      <c r="N56" s="32" t="b">
        <v>0</v>
      </c>
      <c r="O56" s="30" t="inlineStr"/>
      <c r="P56" s="30" t="inlineStr"/>
      <c r="Q56" s="30" t="inlineStr"/>
      <c r="R56" s="30" t="n">
        <v>88</v>
      </c>
      <c r="S56" s="30" t="n">
        <v>88</v>
      </c>
      <c r="T56" s="30" t="n">
        <v>2.4</v>
      </c>
      <c r="U56" s="30" t="n">
        <v>0.04</v>
      </c>
      <c r="V56" s="30" t="n">
        <v>0.4</v>
      </c>
      <c r="W56" s="30" t="inlineStr">
        <is>
          <t>None</t>
        </is>
      </c>
      <c r="X56" s="30" t="n">
        <v>2.4</v>
      </c>
      <c r="Y56" s="30" t="n">
        <v>180</v>
      </c>
      <c r="Z56" s="30" t="n">
        <v>1.8</v>
      </c>
      <c r="AA56" s="30" t="n">
        <v>0.04</v>
      </c>
      <c r="AB56" s="30" t="n">
        <v>400</v>
      </c>
      <c r="AC56" s="30" t="n">
        <v>85</v>
      </c>
      <c r="AD56" s="30" t="n">
        <v>82</v>
      </c>
      <c r="AE56" s="30" t="n">
        <v>92</v>
      </c>
      <c r="AF56" s="30" t="n">
        <v>2.4</v>
      </c>
      <c r="AG56" s="30" t="n">
        <v>180</v>
      </c>
      <c r="AH56" s="30" t="n">
        <v>88</v>
      </c>
      <c r="AI56" s="30" t="n">
        <v>500</v>
      </c>
      <c r="AJ56" s="30" t="n">
        <v>842</v>
      </c>
      <c r="AK56" s="30" t="n">
        <v>1250</v>
      </c>
      <c r="AL56" s="30" t="n">
        <v>1</v>
      </c>
      <c r="AM56" s="30" t="inlineStr"/>
      <c r="AN56" s="30" t="inlineStr"/>
      <c r="AO56" s="76" t="inlineStr">
        <is>
          <t>https://africanmarketingconfederation.org/smoke-archive/page-53</t>
        </is>
      </c>
      <c r="AP56" s="76" t="inlineStr">
        <is>
          <t>https://africanmarketingconfederation.org/smoke-archive/page-53</t>
        </is>
      </c>
      <c r="AQ56" s="30" t="inlineStr"/>
      <c r="AR56" s="30" t="inlineStr"/>
      <c r="AS56" s="30" t="inlineStr"/>
      <c r="AT56" s="30" t="inlineStr"/>
      <c r="AU56" s="30" t="inlineStr"/>
      <c r="AV56" s="76" t="inlineStr"/>
      <c r="AW56" s="30" t="n">
        <v>54</v>
      </c>
      <c r="AX56" s="30" t="b">
        <v>0</v>
      </c>
      <c r="AY56" s="30" t="inlineStr">
        <is>
          <t>Technical | Indexability | PSI Performance | Search Console</t>
        </is>
      </c>
      <c r="AZ56" s="30" t="n">
        <v>0</v>
      </c>
      <c r="BA56" s="30" t="b">
        <v>0</v>
      </c>
      <c r="BB56" s="30" t="b">
        <v>0</v>
      </c>
      <c r="BC56" s="30" t="inlineStr"/>
      <c r="BD56" s="30" t="inlineStr"/>
      <c r="BE56" s="76" t="inlineStr"/>
      <c r="BF56" s="30" t="inlineStr">
        <is>
          <t>Not Declared</t>
        </is>
      </c>
      <c r="BG56" s="30" t="b">
        <v>1</v>
      </c>
      <c r="BH56" s="38">
        <f>IFERROR(HYPERLINK("#'Main'!B"&amp;MATCH(TRIM(A56),'Main'!B:B,0),"Open"),HYPERLINK("#'Main'!B1","Open"))</f>
        <v/>
      </c>
    </row>
    <row r="57" ht="18" customHeight="1">
      <c r="A57" s="35" t="inlineStr">
        <is>
          <t>https://africanmarketingconfederation.org/smoke-archive/page-54</t>
        </is>
      </c>
      <c r="B57" s="28" t="inlineStr">
        <is>
          <t>Technical | Indexability | Performance | Search Console</t>
        </is>
      </c>
      <c r="C57" s="32" t="n">
        <v>200</v>
      </c>
      <c r="D57" s="28" t="inlineStr">
        <is>
          <t>Warning</t>
        </is>
      </c>
      <c r="E57" s="28" t="n">
        <v>60</v>
      </c>
      <c r="F57" s="28" t="inlineStr">
        <is>
          <t>Non-Pass</t>
        </is>
      </c>
      <c r="G57" s="28" t="n">
        <v>0</v>
      </c>
      <c r="H57" s="28" t="n">
        <v>3</v>
      </c>
      <c r="I57" s="28" t="inlineStr">
        <is>
          <t>complete</t>
        </is>
      </c>
      <c r="J57" s="28" t="inlineStr">
        <is>
          <t>rendered_browser</t>
        </is>
      </c>
      <c r="K57" s="28" t="inlineStr"/>
      <c r="L57" s="28" t="inlineStr">
        <is>
          <t>self</t>
        </is>
      </c>
      <c r="M57" s="28" t="n">
        <v>0</v>
      </c>
      <c r="N57" s="32" t="b">
        <v>0</v>
      </c>
      <c r="O57" s="28" t="inlineStr"/>
      <c r="P57" s="28" t="inlineStr"/>
      <c r="Q57" s="28" t="inlineStr"/>
      <c r="R57" s="28" t="n">
        <v>88</v>
      </c>
      <c r="S57" s="28" t="n">
        <v>88</v>
      </c>
      <c r="T57" s="28" t="n">
        <v>2.4</v>
      </c>
      <c r="U57" s="28" t="n">
        <v>0.04</v>
      </c>
      <c r="V57" s="28" t="n">
        <v>0.4</v>
      </c>
      <c r="W57" s="28" t="inlineStr">
        <is>
          <t>None</t>
        </is>
      </c>
      <c r="X57" s="28" t="n">
        <v>2.4</v>
      </c>
      <c r="Y57" s="28" t="n">
        <v>180</v>
      </c>
      <c r="Z57" s="28" t="n">
        <v>1.8</v>
      </c>
      <c r="AA57" s="28" t="n">
        <v>0.04</v>
      </c>
      <c r="AB57" s="28" t="n">
        <v>400</v>
      </c>
      <c r="AC57" s="28" t="n">
        <v>85</v>
      </c>
      <c r="AD57" s="28" t="n">
        <v>82</v>
      </c>
      <c r="AE57" s="28" t="n">
        <v>92</v>
      </c>
      <c r="AF57" s="28" t="n">
        <v>2.4</v>
      </c>
      <c r="AG57" s="28" t="n">
        <v>180</v>
      </c>
      <c r="AH57" s="28" t="n">
        <v>88</v>
      </c>
      <c r="AI57" s="28" t="n">
        <v>500</v>
      </c>
      <c r="AJ57" s="28" t="n">
        <v>842</v>
      </c>
      <c r="AK57" s="28" t="n">
        <v>1250</v>
      </c>
      <c r="AL57" s="28" t="n">
        <v>1</v>
      </c>
      <c r="AM57" s="28" t="inlineStr"/>
      <c r="AN57" s="28" t="inlineStr"/>
      <c r="AO57" s="74" t="inlineStr">
        <is>
          <t>https://africanmarketingconfederation.org/smoke-archive/page-54</t>
        </is>
      </c>
      <c r="AP57" s="74" t="inlineStr">
        <is>
          <t>https://africanmarketingconfederation.org/smoke-archive/page-54</t>
        </is>
      </c>
      <c r="AQ57" s="28" t="inlineStr"/>
      <c r="AR57" s="28" t="inlineStr"/>
      <c r="AS57" s="28" t="inlineStr"/>
      <c r="AT57" s="28" t="inlineStr"/>
      <c r="AU57" s="28" t="inlineStr"/>
      <c r="AV57" s="74" t="inlineStr"/>
      <c r="AW57" s="28" t="n">
        <v>55</v>
      </c>
      <c r="AX57" s="28" t="b">
        <v>0</v>
      </c>
      <c r="AY57" s="28" t="inlineStr">
        <is>
          <t>Technical | Indexability | PSI Performance | Search Console</t>
        </is>
      </c>
      <c r="AZ57" s="28" t="n">
        <v>0</v>
      </c>
      <c r="BA57" s="28" t="b">
        <v>0</v>
      </c>
      <c r="BB57" s="28" t="b">
        <v>0</v>
      </c>
      <c r="BC57" s="28" t="inlineStr"/>
      <c r="BD57" s="28" t="inlineStr"/>
      <c r="BE57" s="74" t="inlineStr"/>
      <c r="BF57" s="28" t="inlineStr">
        <is>
          <t>Not Declared</t>
        </is>
      </c>
      <c r="BG57" s="28" t="b">
        <v>1</v>
      </c>
      <c r="BH57">
        <f>IFERROR(HYPERLINK("#'Main'!B"&amp;MATCH(TRIM(A57),'Main'!B:B,0),"Open"),HYPERLINK("#'Main'!B1","Open"))</f>
        <v/>
      </c>
    </row>
    <row r="58" ht="18" customHeight="1">
      <c r="A58" s="37" t="inlineStr">
        <is>
          <t>https://africanmarketingconfederation.org/smoke-archive/page-55</t>
        </is>
      </c>
      <c r="B58" s="30" t="inlineStr">
        <is>
          <t>Technical | Indexability | Redirect | Performance | Search Console</t>
        </is>
      </c>
      <c r="C58" s="40" t="n">
        <v>301</v>
      </c>
      <c r="D58" s="30" t="inlineStr">
        <is>
          <t>Warning</t>
        </is>
      </c>
      <c r="E58" s="30" t="n">
        <v>60</v>
      </c>
      <c r="F58" s="30" t="inlineStr">
        <is>
          <t>Non-Pass</t>
        </is>
      </c>
      <c r="G58" s="30" t="n">
        <v>0</v>
      </c>
      <c r="H58" s="30" t="n">
        <v>3</v>
      </c>
      <c r="I58" s="30" t="inlineStr">
        <is>
          <t>complete</t>
        </is>
      </c>
      <c r="J58" s="30" t="inlineStr">
        <is>
          <t>rendered_browser</t>
        </is>
      </c>
      <c r="K58" s="30" t="inlineStr"/>
      <c r="L58" s="30" t="inlineStr"/>
      <c r="M58" s="30" t="n">
        <v>1</v>
      </c>
      <c r="N58" s="32" t="b">
        <v>0</v>
      </c>
      <c r="O58" s="30" t="inlineStr"/>
      <c r="P58" s="30" t="inlineStr"/>
      <c r="Q58" s="30" t="inlineStr"/>
      <c r="R58" s="30" t="n">
        <v>88</v>
      </c>
      <c r="S58" s="30" t="n">
        <v>88</v>
      </c>
      <c r="T58" s="30" t="n">
        <v>2.4</v>
      </c>
      <c r="U58" s="30" t="n">
        <v>0.04</v>
      </c>
      <c r="V58" s="30" t="n">
        <v>0.4</v>
      </c>
      <c r="W58" s="30" t="inlineStr">
        <is>
          <t>None</t>
        </is>
      </c>
      <c r="X58" s="30" t="n">
        <v>2.4</v>
      </c>
      <c r="Y58" s="30" t="n">
        <v>180</v>
      </c>
      <c r="Z58" s="30" t="n">
        <v>1.8</v>
      </c>
      <c r="AA58" s="30" t="n">
        <v>0.04</v>
      </c>
      <c r="AB58" s="30" t="n">
        <v>400</v>
      </c>
      <c r="AC58" s="30" t="n">
        <v>85</v>
      </c>
      <c r="AD58" s="30" t="n">
        <v>82</v>
      </c>
      <c r="AE58" s="30" t="n">
        <v>92</v>
      </c>
      <c r="AF58" s="30" t="n">
        <v>2.4</v>
      </c>
      <c r="AG58" s="30" t="n">
        <v>180</v>
      </c>
      <c r="AH58" s="30" t="n">
        <v>88</v>
      </c>
      <c r="AI58" s="30" t="n">
        <v>500</v>
      </c>
      <c r="AJ58" s="30" t="n">
        <v>842</v>
      </c>
      <c r="AK58" s="30" t="n">
        <v>1250</v>
      </c>
      <c r="AL58" s="30" t="n">
        <v>1</v>
      </c>
      <c r="AM58" s="30" t="inlineStr"/>
      <c r="AN58" s="30" t="inlineStr"/>
      <c r="AO58" s="76" t="inlineStr">
        <is>
          <t>https://africanmarketingconfederation.org/smoke-archive/page-55-canonical/</t>
        </is>
      </c>
      <c r="AP58" s="76" t="inlineStr">
        <is>
          <t>https://africanmarketingconfederation.org/smoke-archive/page-55</t>
        </is>
      </c>
      <c r="AQ58" s="30" t="inlineStr"/>
      <c r="AR58" s="30" t="inlineStr"/>
      <c r="AS58" s="30" t="inlineStr"/>
      <c r="AT58" s="30" t="inlineStr"/>
      <c r="AU58" s="30" t="inlineStr"/>
      <c r="AV58" s="76" t="inlineStr"/>
      <c r="AW58" s="30" t="n">
        <v>56</v>
      </c>
      <c r="AX58" s="30" t="b">
        <v>0</v>
      </c>
      <c r="AY58" s="30" t="inlineStr">
        <is>
          <t>Technical | Indexability | Redirects | PSI Performance | Search Console</t>
        </is>
      </c>
      <c r="AZ58" s="30" t="n">
        <v>0</v>
      </c>
      <c r="BA58" s="30" t="b">
        <v>0</v>
      </c>
      <c r="BB58" s="30" t="b">
        <v>0</v>
      </c>
      <c r="BC58" s="30" t="inlineStr"/>
      <c r="BD58" s="30" t="inlineStr"/>
      <c r="BE58" s="76" t="inlineStr"/>
      <c r="BF58" s="30" t="inlineStr">
        <is>
          <t>Not Declared</t>
        </is>
      </c>
      <c r="BG58" s="30" t="b">
        <v>1</v>
      </c>
      <c r="BH58" s="38">
        <f>IFERROR(HYPERLINK("#'Main'!B"&amp;MATCH(TRIM(A58),'Main'!B:B,0),"Open"),HYPERLINK("#'Main'!B1","Open"))</f>
        <v/>
      </c>
    </row>
    <row r="59" ht="18" customHeight="1">
      <c r="A59" s="35" t="inlineStr">
        <is>
          <t>https://africanmarketingconfederation.org/smoke-archive/page-56</t>
        </is>
      </c>
      <c r="B59" s="28" t="inlineStr">
        <is>
          <t>Technical | Indexability | Performance | Search Console</t>
        </is>
      </c>
      <c r="C59" s="32" t="n">
        <v>200</v>
      </c>
      <c r="D59" s="28" t="inlineStr">
        <is>
          <t>Warning</t>
        </is>
      </c>
      <c r="E59" s="28" t="n">
        <v>70</v>
      </c>
      <c r="F59" s="28" t="inlineStr">
        <is>
          <t>Non-Pass</t>
        </is>
      </c>
      <c r="G59" s="28" t="n">
        <v>0</v>
      </c>
      <c r="H59" s="28" t="n">
        <v>2</v>
      </c>
      <c r="I59" s="28" t="inlineStr">
        <is>
          <t>complete</t>
        </is>
      </c>
      <c r="J59" s="28" t="inlineStr">
        <is>
          <t>rendered_browser</t>
        </is>
      </c>
      <c r="K59" s="28" t="inlineStr"/>
      <c r="L59" s="28" t="inlineStr">
        <is>
          <t>self</t>
        </is>
      </c>
      <c r="M59" s="28" t="n">
        <v>0</v>
      </c>
      <c r="N59" s="32" t="b">
        <v>0</v>
      </c>
      <c r="O59" s="28" t="inlineStr"/>
      <c r="P59" s="28" t="inlineStr"/>
      <c r="Q59" s="28" t="inlineStr"/>
      <c r="R59" s="28" t="n">
        <v>88</v>
      </c>
      <c r="S59" s="28" t="n">
        <v>88</v>
      </c>
      <c r="T59" s="28" t="n">
        <v>2.4</v>
      </c>
      <c r="U59" s="28" t="n">
        <v>0.04</v>
      </c>
      <c r="V59" s="28" t="n">
        <v>0.4</v>
      </c>
      <c r="W59" s="28" t="inlineStr">
        <is>
          <t>None</t>
        </is>
      </c>
      <c r="X59" s="28" t="n">
        <v>2.4</v>
      </c>
      <c r="Y59" s="28" t="n">
        <v>180</v>
      </c>
      <c r="Z59" s="28" t="n">
        <v>1.8</v>
      </c>
      <c r="AA59" s="28" t="n">
        <v>0.04</v>
      </c>
      <c r="AB59" s="28" t="n">
        <v>400</v>
      </c>
      <c r="AC59" s="28" t="n">
        <v>85</v>
      </c>
      <c r="AD59" s="28" t="n">
        <v>82</v>
      </c>
      <c r="AE59" s="28" t="n">
        <v>92</v>
      </c>
      <c r="AF59" s="28" t="n">
        <v>2.4</v>
      </c>
      <c r="AG59" s="28" t="n">
        <v>180</v>
      </c>
      <c r="AH59" s="28" t="n">
        <v>88</v>
      </c>
      <c r="AI59" s="28" t="n">
        <v>500</v>
      </c>
      <c r="AJ59" s="28" t="n">
        <v>842</v>
      </c>
      <c r="AK59" s="28" t="n">
        <v>1250</v>
      </c>
      <c r="AL59" s="28" t="n">
        <v>1</v>
      </c>
      <c r="AM59" s="28" t="inlineStr"/>
      <c r="AN59" s="28" t="inlineStr"/>
      <c r="AO59" s="74" t="inlineStr">
        <is>
          <t>https://africanmarketingconfederation.org/smoke-archive/page-56</t>
        </is>
      </c>
      <c r="AP59" s="74" t="inlineStr">
        <is>
          <t>https://africanmarketingconfederation.org/smoke-archive/page-56</t>
        </is>
      </c>
      <c r="AQ59" s="28" t="inlineStr"/>
      <c r="AR59" s="28" t="inlineStr"/>
      <c r="AS59" s="28" t="inlineStr"/>
      <c r="AT59" s="28" t="inlineStr"/>
      <c r="AU59" s="28" t="inlineStr"/>
      <c r="AV59" s="74" t="inlineStr"/>
      <c r="AW59" s="28" t="n">
        <v>57</v>
      </c>
      <c r="AX59" s="28" t="b">
        <v>0</v>
      </c>
      <c r="AY59" s="28" t="inlineStr">
        <is>
          <t>Technical | Indexability | PSI Performance | Search Console</t>
        </is>
      </c>
      <c r="AZ59" s="28" t="n">
        <v>0</v>
      </c>
      <c r="BA59" s="28" t="b">
        <v>0</v>
      </c>
      <c r="BB59" s="28" t="b">
        <v>0</v>
      </c>
      <c r="BC59" s="28" t="inlineStr"/>
      <c r="BD59" s="28" t="inlineStr"/>
      <c r="BE59" s="74" t="inlineStr"/>
      <c r="BF59" s="28" t="inlineStr">
        <is>
          <t>Not Declared</t>
        </is>
      </c>
      <c r="BG59" s="28" t="b">
        <v>1</v>
      </c>
      <c r="BH59">
        <f>IFERROR(HYPERLINK("#'Main'!B"&amp;MATCH(TRIM(A59),'Main'!B:B,0),"Open"),HYPERLINK("#'Main'!B1","Open"))</f>
        <v/>
      </c>
    </row>
    <row r="60" ht="18" customHeight="1">
      <c r="A60" s="37" t="inlineStr">
        <is>
          <t>https://africanmarketingconfederation.org/smoke-archive/page-57</t>
        </is>
      </c>
      <c r="B60" s="30" t="inlineStr">
        <is>
          <t>Technical | Indexability | Performance | Search Console</t>
        </is>
      </c>
      <c r="C60" s="32" t="n">
        <v>200</v>
      </c>
      <c r="D60" s="30" t="inlineStr">
        <is>
          <t>Warning</t>
        </is>
      </c>
      <c r="E60" s="30" t="n">
        <v>80</v>
      </c>
      <c r="F60" s="30" t="inlineStr">
        <is>
          <t>Non-Pass</t>
        </is>
      </c>
      <c r="G60" s="30" t="n">
        <v>0</v>
      </c>
      <c r="H60" s="30" t="n">
        <v>1</v>
      </c>
      <c r="I60" s="30" t="inlineStr">
        <is>
          <t>partial</t>
        </is>
      </c>
      <c r="J60" s="30" t="inlineStr">
        <is>
          <t>rendered_browser</t>
        </is>
      </c>
      <c r="K60" s="30" t="inlineStr"/>
      <c r="L60" s="30" t="inlineStr">
        <is>
          <t>self</t>
        </is>
      </c>
      <c r="M60" s="30" t="n">
        <v>0</v>
      </c>
      <c r="N60" s="32" t="b">
        <v>0</v>
      </c>
      <c r="O60" s="30" t="inlineStr"/>
      <c r="P60" s="30" t="inlineStr"/>
      <c r="Q60" s="30" t="inlineStr"/>
      <c r="R60" s="30" t="n">
        <v>88</v>
      </c>
      <c r="S60" s="30" t="n">
        <v>88</v>
      </c>
      <c r="T60" s="30" t="n">
        <v>2.4</v>
      </c>
      <c r="U60" s="30" t="n">
        <v>0.04</v>
      </c>
      <c r="V60" s="30" t="n">
        <v>0.4</v>
      </c>
      <c r="W60" s="30" t="inlineStr">
        <is>
          <t>None</t>
        </is>
      </c>
      <c r="X60" s="30" t="n">
        <v>2.4</v>
      </c>
      <c r="Y60" s="30" t="n">
        <v>180</v>
      </c>
      <c r="Z60" s="30" t="n">
        <v>1.8</v>
      </c>
      <c r="AA60" s="30" t="n">
        <v>0.04</v>
      </c>
      <c r="AB60" s="30" t="n">
        <v>400</v>
      </c>
      <c r="AC60" s="30" t="n">
        <v>85</v>
      </c>
      <c r="AD60" s="30" t="n">
        <v>82</v>
      </c>
      <c r="AE60" s="30" t="n">
        <v>92</v>
      </c>
      <c r="AF60" s="30" t="n">
        <v>2.4</v>
      </c>
      <c r="AG60" s="30" t="n">
        <v>180</v>
      </c>
      <c r="AH60" s="30" t="n">
        <v>88</v>
      </c>
      <c r="AI60" s="30" t="n">
        <v>500</v>
      </c>
      <c r="AJ60" s="30" t="n">
        <v>842</v>
      </c>
      <c r="AK60" s="30" t="n">
        <v>1250</v>
      </c>
      <c r="AL60" s="30" t="n">
        <v>1</v>
      </c>
      <c r="AM60" s="30" t="inlineStr"/>
      <c r="AN60" s="30" t="inlineStr"/>
      <c r="AO60" s="76" t="inlineStr">
        <is>
          <t>https://africanmarketingconfederation.org/smoke-archive/page-57</t>
        </is>
      </c>
      <c r="AP60" s="76" t="inlineStr">
        <is>
          <t>https://africanmarketingconfederation.org/smoke-archive/page-57</t>
        </is>
      </c>
      <c r="AQ60" s="30" t="inlineStr"/>
      <c r="AR60" s="30" t="inlineStr"/>
      <c r="AS60" s="30" t="inlineStr"/>
      <c r="AT60" s="30" t="inlineStr"/>
      <c r="AU60" s="30" t="inlineStr"/>
      <c r="AV60" s="76" t="inlineStr"/>
      <c r="AW60" s="30" t="n">
        <v>58</v>
      </c>
      <c r="AX60" s="30" t="b">
        <v>0</v>
      </c>
      <c r="AY60" s="30" t="inlineStr">
        <is>
          <t>Technical | Indexability | PSI Performance | Search Console</t>
        </is>
      </c>
      <c r="AZ60" s="30" t="n">
        <v>0</v>
      </c>
      <c r="BA60" s="30" t="b">
        <v>0</v>
      </c>
      <c r="BB60" s="30" t="b">
        <v>0</v>
      </c>
      <c r="BC60" s="30" t="inlineStr"/>
      <c r="BD60" s="30" t="inlineStr"/>
      <c r="BE60" s="76" t="inlineStr"/>
      <c r="BF60" s="30" t="inlineStr">
        <is>
          <t>Not Declared</t>
        </is>
      </c>
      <c r="BG60" s="30" t="b">
        <v>1</v>
      </c>
      <c r="BH60" s="38">
        <f>IFERROR(HYPERLINK("#'Main'!B"&amp;MATCH(TRIM(A60),'Main'!B:B,0),"Open"),HYPERLINK("#'Main'!B1","Open"))</f>
        <v/>
      </c>
    </row>
    <row r="61" ht="18" customHeight="1">
      <c r="A61" s="35" t="inlineStr">
        <is>
          <t>https://africanmarketingconfederation.org/smoke-archive/page-58</t>
        </is>
      </c>
      <c r="B61" s="28" t="inlineStr">
        <is>
          <t>Technical | Indexability | Performance | Search Console</t>
        </is>
      </c>
      <c r="C61" s="32" t="n">
        <v>200</v>
      </c>
      <c r="D61" s="28" t="inlineStr">
        <is>
          <t>Warning</t>
        </is>
      </c>
      <c r="E61" s="28" t="n">
        <v>80</v>
      </c>
      <c r="F61" s="28" t="inlineStr">
        <is>
          <t>Non-Pass</t>
        </is>
      </c>
      <c r="G61" s="28" t="n">
        <v>0</v>
      </c>
      <c r="H61" s="28" t="n">
        <v>1</v>
      </c>
      <c r="I61" s="28" t="inlineStr">
        <is>
          <t>complete</t>
        </is>
      </c>
      <c r="J61" s="28" t="inlineStr">
        <is>
          <t>rendered_browser</t>
        </is>
      </c>
      <c r="K61" s="28" t="inlineStr"/>
      <c r="L61" s="28" t="inlineStr">
        <is>
          <t>self</t>
        </is>
      </c>
      <c r="M61" s="28" t="n">
        <v>0</v>
      </c>
      <c r="N61" s="32" t="b">
        <v>0</v>
      </c>
      <c r="O61" s="28" t="inlineStr"/>
      <c r="P61" s="28" t="inlineStr"/>
      <c r="Q61" s="28" t="inlineStr"/>
      <c r="R61" s="28" t="n">
        <v>88</v>
      </c>
      <c r="S61" s="28" t="n">
        <v>88</v>
      </c>
      <c r="T61" s="28" t="n">
        <v>2.4</v>
      </c>
      <c r="U61" s="28" t="n">
        <v>0.04</v>
      </c>
      <c r="V61" s="28" t="n">
        <v>0.4</v>
      </c>
      <c r="W61" s="28" t="inlineStr">
        <is>
          <t>None</t>
        </is>
      </c>
      <c r="X61" s="28" t="n">
        <v>2.4</v>
      </c>
      <c r="Y61" s="28" t="n">
        <v>180</v>
      </c>
      <c r="Z61" s="28" t="n">
        <v>1.8</v>
      </c>
      <c r="AA61" s="28" t="n">
        <v>0.04</v>
      </c>
      <c r="AB61" s="28" t="n">
        <v>400</v>
      </c>
      <c r="AC61" s="28" t="n">
        <v>85</v>
      </c>
      <c r="AD61" s="28" t="n">
        <v>82</v>
      </c>
      <c r="AE61" s="28" t="n">
        <v>92</v>
      </c>
      <c r="AF61" s="28" t="n">
        <v>2.4</v>
      </c>
      <c r="AG61" s="28" t="n">
        <v>180</v>
      </c>
      <c r="AH61" s="28" t="n">
        <v>88</v>
      </c>
      <c r="AI61" s="28" t="n">
        <v>500</v>
      </c>
      <c r="AJ61" s="28" t="n">
        <v>842</v>
      </c>
      <c r="AK61" s="28" t="n">
        <v>1250</v>
      </c>
      <c r="AL61" s="28" t="n">
        <v>1</v>
      </c>
      <c r="AM61" s="28" t="inlineStr"/>
      <c r="AN61" s="28" t="inlineStr"/>
      <c r="AO61" s="74" t="inlineStr">
        <is>
          <t>https://africanmarketingconfederation.org/smoke-archive/page-58</t>
        </is>
      </c>
      <c r="AP61" s="74" t="inlineStr">
        <is>
          <t>https://africanmarketingconfederation.org/smoke-archive/page-58</t>
        </is>
      </c>
      <c r="AQ61" s="28" t="inlineStr"/>
      <c r="AR61" s="28" t="inlineStr"/>
      <c r="AS61" s="28" t="inlineStr"/>
      <c r="AT61" s="28" t="inlineStr"/>
      <c r="AU61" s="28" t="inlineStr"/>
      <c r="AV61" s="74" t="inlineStr"/>
      <c r="AW61" s="28" t="n">
        <v>59</v>
      </c>
      <c r="AX61" s="28" t="b">
        <v>0</v>
      </c>
      <c r="AY61" s="28" t="inlineStr">
        <is>
          <t>Technical | Indexability | PSI Performance | Search Console</t>
        </is>
      </c>
      <c r="AZ61" s="28" t="n">
        <v>0</v>
      </c>
      <c r="BA61" s="28" t="b">
        <v>0</v>
      </c>
      <c r="BB61" s="28" t="b">
        <v>0</v>
      </c>
      <c r="BC61" s="28" t="inlineStr"/>
      <c r="BD61" s="28" t="inlineStr"/>
      <c r="BE61" s="74" t="inlineStr"/>
      <c r="BF61" s="28" t="inlineStr">
        <is>
          <t>Not Declared</t>
        </is>
      </c>
      <c r="BG61" s="28" t="b">
        <v>1</v>
      </c>
      <c r="BH61">
        <f>IFERROR(HYPERLINK("#'Main'!B"&amp;MATCH(TRIM(A61),'Main'!B:B,0),"Open"),HYPERLINK("#'Main'!B1","Open"))</f>
        <v/>
      </c>
    </row>
    <row r="62" ht="18" customHeight="1">
      <c r="A62" s="37" t="inlineStr">
        <is>
          <t>https://africanmarketingconfederation.org/smoke-archive/page-59</t>
        </is>
      </c>
      <c r="B62" s="30" t="inlineStr">
        <is>
          <t>Technical | Indexability | Performance | Search Console</t>
        </is>
      </c>
      <c r="C62" s="32" t="n">
        <v>200</v>
      </c>
      <c r="D62" s="30" t="inlineStr">
        <is>
          <t>Warning</t>
        </is>
      </c>
      <c r="E62" s="30" t="n">
        <v>80</v>
      </c>
      <c r="F62" s="30" t="inlineStr">
        <is>
          <t>Non-Pass</t>
        </is>
      </c>
      <c r="G62" s="30" t="n">
        <v>0</v>
      </c>
      <c r="H62" s="30" t="n">
        <v>1</v>
      </c>
      <c r="I62" s="30" t="inlineStr">
        <is>
          <t>complete</t>
        </is>
      </c>
      <c r="J62" s="30" t="inlineStr">
        <is>
          <t>rendered_browser</t>
        </is>
      </c>
      <c r="K62" s="30" t="inlineStr"/>
      <c r="L62" s="30" t="inlineStr">
        <is>
          <t>self</t>
        </is>
      </c>
      <c r="M62" s="30" t="n">
        <v>0</v>
      </c>
      <c r="N62" s="32" t="b">
        <v>0</v>
      </c>
      <c r="O62" s="30" t="inlineStr"/>
      <c r="P62" s="30" t="inlineStr"/>
      <c r="Q62" s="30" t="inlineStr"/>
      <c r="R62" s="30" t="n">
        <v>88</v>
      </c>
      <c r="S62" s="30" t="n">
        <v>88</v>
      </c>
      <c r="T62" s="30" t="n">
        <v>2.4</v>
      </c>
      <c r="U62" s="30" t="n">
        <v>0.04</v>
      </c>
      <c r="V62" s="30" t="n">
        <v>0.4</v>
      </c>
      <c r="W62" s="30" t="inlineStr">
        <is>
          <t>None</t>
        </is>
      </c>
      <c r="X62" s="30" t="n">
        <v>2.4</v>
      </c>
      <c r="Y62" s="30" t="n">
        <v>180</v>
      </c>
      <c r="Z62" s="30" t="n">
        <v>1.8</v>
      </c>
      <c r="AA62" s="30" t="n">
        <v>0.04</v>
      </c>
      <c r="AB62" s="30" t="n">
        <v>400</v>
      </c>
      <c r="AC62" s="30" t="n">
        <v>85</v>
      </c>
      <c r="AD62" s="30" t="n">
        <v>82</v>
      </c>
      <c r="AE62" s="30" t="n">
        <v>92</v>
      </c>
      <c r="AF62" s="30" t="n">
        <v>2.4</v>
      </c>
      <c r="AG62" s="30" t="n">
        <v>180</v>
      </c>
      <c r="AH62" s="30" t="n">
        <v>88</v>
      </c>
      <c r="AI62" s="30" t="n">
        <v>500</v>
      </c>
      <c r="AJ62" s="30" t="n">
        <v>842</v>
      </c>
      <c r="AK62" s="30" t="n">
        <v>1250</v>
      </c>
      <c r="AL62" s="30" t="n">
        <v>1</v>
      </c>
      <c r="AM62" s="30" t="inlineStr"/>
      <c r="AN62" s="30" t="inlineStr"/>
      <c r="AO62" s="76" t="inlineStr">
        <is>
          <t>https://africanmarketingconfederation.org/smoke-archive/page-59</t>
        </is>
      </c>
      <c r="AP62" s="76" t="inlineStr">
        <is>
          <t>https://africanmarketingconfederation.org/smoke-archive/page-59</t>
        </is>
      </c>
      <c r="AQ62" s="30" t="inlineStr"/>
      <c r="AR62" s="30" t="inlineStr"/>
      <c r="AS62" s="30" t="inlineStr"/>
      <c r="AT62" s="30" t="inlineStr"/>
      <c r="AU62" s="30" t="inlineStr"/>
      <c r="AV62" s="76" t="inlineStr"/>
      <c r="AW62" s="30" t="n">
        <v>60</v>
      </c>
      <c r="AX62" s="30" t="b">
        <v>0</v>
      </c>
      <c r="AY62" s="30" t="inlineStr">
        <is>
          <t>Technical | Indexability | PSI Performance | Search Console</t>
        </is>
      </c>
      <c r="AZ62" s="30" t="n">
        <v>0</v>
      </c>
      <c r="BA62" s="30" t="b">
        <v>0</v>
      </c>
      <c r="BB62" s="30" t="b">
        <v>0</v>
      </c>
      <c r="BC62" s="30" t="inlineStr"/>
      <c r="BD62" s="30" t="inlineStr"/>
      <c r="BE62" s="76" t="inlineStr"/>
      <c r="BF62" s="30" t="inlineStr">
        <is>
          <t>Not Declared</t>
        </is>
      </c>
      <c r="BG62" s="30" t="b">
        <v>1</v>
      </c>
      <c r="BH62" s="38">
        <f>IFERROR(HYPERLINK("#'Main'!B"&amp;MATCH(TRIM(A62),'Main'!B:B,0),"Open"),HYPERLINK("#'Main'!B1","Open"))</f>
        <v/>
      </c>
    </row>
    <row r="63" ht="18" customHeight="1">
      <c r="A63" s="35" t="inlineStr">
        <is>
          <t>https://africanmarketingconfederation.org/smoke-archive/page-60</t>
        </is>
      </c>
      <c r="B63" s="28" t="inlineStr">
        <is>
          <t>Technical | Indexability | Performance | Search Console</t>
        </is>
      </c>
      <c r="C63" s="32" t="n">
        <v>200</v>
      </c>
      <c r="D63" s="28" t="inlineStr">
        <is>
          <t>Critical</t>
        </is>
      </c>
      <c r="E63" s="28" t="n">
        <v>35</v>
      </c>
      <c r="F63" s="28" t="inlineStr">
        <is>
          <t>Non-Pass</t>
        </is>
      </c>
      <c r="G63" s="28" t="n">
        <v>1</v>
      </c>
      <c r="H63" s="28" t="n">
        <v>3</v>
      </c>
      <c r="I63" s="28" t="inlineStr">
        <is>
          <t>complete</t>
        </is>
      </c>
      <c r="J63" s="28" t="inlineStr">
        <is>
          <t>rendered_browser</t>
        </is>
      </c>
      <c r="K63" s="28" t="inlineStr"/>
      <c r="L63" s="28" t="inlineStr">
        <is>
          <t>self</t>
        </is>
      </c>
      <c r="M63" s="28" t="n">
        <v>0</v>
      </c>
      <c r="N63" s="32" t="b">
        <v>0</v>
      </c>
      <c r="O63" s="28" t="inlineStr"/>
      <c r="P63" s="28" t="inlineStr"/>
      <c r="Q63" s="28" t="inlineStr"/>
      <c r="R63" s="28" t="n">
        <v>88</v>
      </c>
      <c r="S63" s="28" t="n">
        <v>88</v>
      </c>
      <c r="T63" s="28" t="n">
        <v>2.4</v>
      </c>
      <c r="U63" s="28" t="n">
        <v>0.04</v>
      </c>
      <c r="V63" s="28" t="n">
        <v>0.4</v>
      </c>
      <c r="W63" s="28" t="inlineStr">
        <is>
          <t>None</t>
        </is>
      </c>
      <c r="X63" s="28" t="n">
        <v>2.4</v>
      </c>
      <c r="Y63" s="28" t="n">
        <v>180</v>
      </c>
      <c r="Z63" s="28" t="n">
        <v>1.8</v>
      </c>
      <c r="AA63" s="28" t="n">
        <v>0.04</v>
      </c>
      <c r="AB63" s="28" t="n">
        <v>400</v>
      </c>
      <c r="AC63" s="28" t="n">
        <v>85</v>
      </c>
      <c r="AD63" s="28" t="n">
        <v>82</v>
      </c>
      <c r="AE63" s="28" t="n">
        <v>92</v>
      </c>
      <c r="AF63" s="28" t="n">
        <v>2.4</v>
      </c>
      <c r="AG63" s="28" t="n">
        <v>180</v>
      </c>
      <c r="AH63" s="28" t="n">
        <v>88</v>
      </c>
      <c r="AI63" s="28" t="n">
        <v>500</v>
      </c>
      <c r="AJ63" s="28" t="n">
        <v>842</v>
      </c>
      <c r="AK63" s="28" t="n">
        <v>1250</v>
      </c>
      <c r="AL63" s="28" t="n">
        <v>1</v>
      </c>
      <c r="AM63" s="28" t="inlineStr"/>
      <c r="AN63" s="28" t="inlineStr"/>
      <c r="AO63" s="74" t="inlineStr">
        <is>
          <t>https://africanmarketingconfederation.org/smoke-archive/page-60</t>
        </is>
      </c>
      <c r="AP63" s="74" t="inlineStr">
        <is>
          <t>https://africanmarketingconfederation.org/smoke-archive/page-60</t>
        </is>
      </c>
      <c r="AQ63" s="28" t="inlineStr"/>
      <c r="AR63" s="28" t="inlineStr"/>
      <c r="AS63" s="28" t="inlineStr"/>
      <c r="AT63" s="28" t="inlineStr"/>
      <c r="AU63" s="28" t="inlineStr"/>
      <c r="AV63" s="74" t="inlineStr"/>
      <c r="AW63" s="28" t="n">
        <v>61</v>
      </c>
      <c r="AX63" s="28" t="b">
        <v>0</v>
      </c>
      <c r="AY63" s="28" t="inlineStr">
        <is>
          <t>Technical | Indexability | PSI Performance | Search Console</t>
        </is>
      </c>
      <c r="AZ63" s="28" t="n">
        <v>0</v>
      </c>
      <c r="BA63" s="28" t="b">
        <v>0</v>
      </c>
      <c r="BB63" s="28" t="b">
        <v>0</v>
      </c>
      <c r="BC63" s="28" t="inlineStr"/>
      <c r="BD63" s="28" t="inlineStr"/>
      <c r="BE63" s="74" t="inlineStr"/>
      <c r="BF63" s="28" t="inlineStr">
        <is>
          <t>Not Declared</t>
        </is>
      </c>
      <c r="BG63" s="28" t="b">
        <v>1</v>
      </c>
      <c r="BH63">
        <f>IFERROR(HYPERLINK("#'Main'!B"&amp;MATCH(TRIM(A63),'Main'!B:B,0),"Open"),HYPERLINK("#'Main'!B1","Open"))</f>
        <v/>
      </c>
    </row>
    <row r="64" ht="18" customHeight="1">
      <c r="A64" s="37" t="inlineStr">
        <is>
          <t>https://africanmarketingconfederation.org/smoke-archive/page-61</t>
        </is>
      </c>
      <c r="B64" s="30" t="inlineStr">
        <is>
          <t>Technical | Indexability | Performance | Search Console</t>
        </is>
      </c>
      <c r="C64" s="32" t="n">
        <v>200</v>
      </c>
      <c r="D64" s="30" t="inlineStr">
        <is>
          <t>Warning</t>
        </is>
      </c>
      <c r="E64" s="30" t="n">
        <v>80</v>
      </c>
      <c r="F64" s="30" t="inlineStr">
        <is>
          <t>Non-Pass</t>
        </is>
      </c>
      <c r="G64" s="30" t="n">
        <v>0</v>
      </c>
      <c r="H64" s="30" t="n">
        <v>1</v>
      </c>
      <c r="I64" s="30" t="inlineStr">
        <is>
          <t>complete</t>
        </is>
      </c>
      <c r="J64" s="30" t="inlineStr">
        <is>
          <t>rendered_browser</t>
        </is>
      </c>
      <c r="K64" s="30" t="inlineStr"/>
      <c r="L64" s="30" t="inlineStr">
        <is>
          <t>self</t>
        </is>
      </c>
      <c r="M64" s="30" t="n">
        <v>0</v>
      </c>
      <c r="N64" s="32" t="b">
        <v>0</v>
      </c>
      <c r="O64" s="30" t="inlineStr"/>
      <c r="P64" s="30" t="inlineStr"/>
      <c r="Q64" s="30" t="inlineStr"/>
      <c r="R64" s="30" t="n">
        <v>88</v>
      </c>
      <c r="S64" s="30" t="n">
        <v>88</v>
      </c>
      <c r="T64" s="30" t="n">
        <v>2.4</v>
      </c>
      <c r="U64" s="30" t="n">
        <v>0.04</v>
      </c>
      <c r="V64" s="30" t="n">
        <v>0.4</v>
      </c>
      <c r="W64" s="30" t="inlineStr">
        <is>
          <t>None</t>
        </is>
      </c>
      <c r="X64" s="30" t="n">
        <v>2.4</v>
      </c>
      <c r="Y64" s="30" t="n">
        <v>180</v>
      </c>
      <c r="Z64" s="30" t="n">
        <v>1.8</v>
      </c>
      <c r="AA64" s="30" t="n">
        <v>0.04</v>
      </c>
      <c r="AB64" s="30" t="n">
        <v>400</v>
      </c>
      <c r="AC64" s="30" t="n">
        <v>85</v>
      </c>
      <c r="AD64" s="30" t="n">
        <v>82</v>
      </c>
      <c r="AE64" s="30" t="n">
        <v>92</v>
      </c>
      <c r="AF64" s="30" t="n">
        <v>2.4</v>
      </c>
      <c r="AG64" s="30" t="n">
        <v>180</v>
      </c>
      <c r="AH64" s="30" t="n">
        <v>88</v>
      </c>
      <c r="AI64" s="30" t="n">
        <v>500</v>
      </c>
      <c r="AJ64" s="30" t="n">
        <v>842</v>
      </c>
      <c r="AK64" s="30" t="n">
        <v>1250</v>
      </c>
      <c r="AL64" s="30" t="n">
        <v>1</v>
      </c>
      <c r="AM64" s="30" t="inlineStr"/>
      <c r="AN64" s="30" t="inlineStr"/>
      <c r="AO64" s="76" t="inlineStr">
        <is>
          <t>https://africanmarketingconfederation.org/smoke-archive/page-61</t>
        </is>
      </c>
      <c r="AP64" s="76" t="inlineStr">
        <is>
          <t>https://africanmarketingconfederation.org/smoke-archive/page-61</t>
        </is>
      </c>
      <c r="AQ64" s="30" t="inlineStr"/>
      <c r="AR64" s="30" t="inlineStr"/>
      <c r="AS64" s="30" t="inlineStr"/>
      <c r="AT64" s="30" t="inlineStr"/>
      <c r="AU64" s="30" t="inlineStr"/>
      <c r="AV64" s="76" t="inlineStr"/>
      <c r="AW64" s="30" t="n">
        <v>62</v>
      </c>
      <c r="AX64" s="30" t="b">
        <v>0</v>
      </c>
      <c r="AY64" s="30" t="inlineStr">
        <is>
          <t>Technical | Indexability | PSI Performance | Search Console</t>
        </is>
      </c>
      <c r="AZ64" s="30" t="n">
        <v>0</v>
      </c>
      <c r="BA64" s="30" t="b">
        <v>0</v>
      </c>
      <c r="BB64" s="30" t="b">
        <v>0</v>
      </c>
      <c r="BC64" s="30" t="inlineStr"/>
      <c r="BD64" s="30" t="inlineStr"/>
      <c r="BE64" s="76" t="inlineStr"/>
      <c r="BF64" s="30" t="inlineStr">
        <is>
          <t>Not Declared</t>
        </is>
      </c>
      <c r="BG64" s="30" t="b">
        <v>1</v>
      </c>
      <c r="BH64" s="38">
        <f>IFERROR(HYPERLINK("#'Main'!B"&amp;MATCH(TRIM(A64),'Main'!B:B,0),"Open"),HYPERLINK("#'Main'!B1","Open"))</f>
        <v/>
      </c>
    </row>
    <row r="65" ht="18" customHeight="1">
      <c r="A65" s="35" t="inlineStr">
        <is>
          <t>https://africanmarketingconfederation.org/smoke-archive/page-62</t>
        </is>
      </c>
      <c r="B65" s="28" t="inlineStr">
        <is>
          <t>Technical | Indexability | Performance | Search Console</t>
        </is>
      </c>
      <c r="C65" s="32" t="n">
        <v>200</v>
      </c>
      <c r="D65" s="28" t="inlineStr">
        <is>
          <t>Warning</t>
        </is>
      </c>
      <c r="E65" s="28" t="n">
        <v>80</v>
      </c>
      <c r="F65" s="28" t="inlineStr">
        <is>
          <t>Non-Pass</t>
        </is>
      </c>
      <c r="G65" s="28" t="n">
        <v>0</v>
      </c>
      <c r="H65" s="28" t="n">
        <v>1</v>
      </c>
      <c r="I65" s="28" t="inlineStr">
        <is>
          <t>complete</t>
        </is>
      </c>
      <c r="J65" s="28" t="inlineStr">
        <is>
          <t>rendered_browser</t>
        </is>
      </c>
      <c r="K65" s="28" t="inlineStr"/>
      <c r="L65" s="28" t="inlineStr">
        <is>
          <t>self</t>
        </is>
      </c>
      <c r="M65" s="28" t="n">
        <v>0</v>
      </c>
      <c r="N65" s="32" t="b">
        <v>0</v>
      </c>
      <c r="O65" s="28" t="inlineStr"/>
      <c r="P65" s="28" t="inlineStr"/>
      <c r="Q65" s="28" t="inlineStr"/>
      <c r="R65" s="28" t="n">
        <v>88</v>
      </c>
      <c r="S65" s="28" t="n">
        <v>88</v>
      </c>
      <c r="T65" s="28" t="n">
        <v>2.4</v>
      </c>
      <c r="U65" s="28" t="n">
        <v>0.04</v>
      </c>
      <c r="V65" s="28" t="n">
        <v>0.4</v>
      </c>
      <c r="W65" s="28" t="inlineStr">
        <is>
          <t>None</t>
        </is>
      </c>
      <c r="X65" s="28" t="n">
        <v>2.4</v>
      </c>
      <c r="Y65" s="28" t="n">
        <v>180</v>
      </c>
      <c r="Z65" s="28" t="n">
        <v>1.8</v>
      </c>
      <c r="AA65" s="28" t="n">
        <v>0.04</v>
      </c>
      <c r="AB65" s="28" t="n">
        <v>400</v>
      </c>
      <c r="AC65" s="28" t="n">
        <v>85</v>
      </c>
      <c r="AD65" s="28" t="n">
        <v>82</v>
      </c>
      <c r="AE65" s="28" t="n">
        <v>92</v>
      </c>
      <c r="AF65" s="28" t="n">
        <v>2.4</v>
      </c>
      <c r="AG65" s="28" t="n">
        <v>180</v>
      </c>
      <c r="AH65" s="28" t="n">
        <v>88</v>
      </c>
      <c r="AI65" s="28" t="n">
        <v>500</v>
      </c>
      <c r="AJ65" s="28" t="n">
        <v>842</v>
      </c>
      <c r="AK65" s="28" t="n">
        <v>1250</v>
      </c>
      <c r="AL65" s="28" t="n">
        <v>1</v>
      </c>
      <c r="AM65" s="28" t="inlineStr"/>
      <c r="AN65" s="28" t="inlineStr"/>
      <c r="AO65" s="74" t="inlineStr">
        <is>
          <t>https://africanmarketingconfederation.org/smoke-archive/page-62</t>
        </is>
      </c>
      <c r="AP65" s="74" t="inlineStr">
        <is>
          <t>https://africanmarketingconfederation.org/smoke-archive/page-62</t>
        </is>
      </c>
      <c r="AQ65" s="28" t="inlineStr"/>
      <c r="AR65" s="28" t="inlineStr"/>
      <c r="AS65" s="28" t="inlineStr"/>
      <c r="AT65" s="28" t="inlineStr"/>
      <c r="AU65" s="28" t="inlineStr"/>
      <c r="AV65" s="74" t="inlineStr"/>
      <c r="AW65" s="28" t="n">
        <v>63</v>
      </c>
      <c r="AX65" s="28" t="b">
        <v>0</v>
      </c>
      <c r="AY65" s="28" t="inlineStr">
        <is>
          <t>Technical | Indexability | PSI Performance | Search Console</t>
        </is>
      </c>
      <c r="AZ65" s="28" t="n">
        <v>0</v>
      </c>
      <c r="BA65" s="28" t="b">
        <v>0</v>
      </c>
      <c r="BB65" s="28" t="b">
        <v>0</v>
      </c>
      <c r="BC65" s="28" t="inlineStr"/>
      <c r="BD65" s="28" t="inlineStr"/>
      <c r="BE65" s="74" t="inlineStr"/>
      <c r="BF65" s="28" t="inlineStr">
        <is>
          <t>Not Declared</t>
        </is>
      </c>
      <c r="BG65" s="28" t="b">
        <v>1</v>
      </c>
      <c r="BH65">
        <f>IFERROR(HYPERLINK("#'Main'!B"&amp;MATCH(TRIM(A65),'Main'!B:B,0),"Open"),HYPERLINK("#'Main'!B1","Open"))</f>
        <v/>
      </c>
    </row>
    <row r="66" ht="18" customHeight="1">
      <c r="A66" s="37" t="inlineStr">
        <is>
          <t>https://africanmarketingconfederation.org/smoke-archive/page-63</t>
        </is>
      </c>
      <c r="B66" s="30" t="inlineStr">
        <is>
          <t>Technical | Indexability | Performance | Search Console</t>
        </is>
      </c>
      <c r="C66" s="32" t="n">
        <v>200</v>
      </c>
      <c r="D66" s="30" t="inlineStr">
        <is>
          <t>Warning</t>
        </is>
      </c>
      <c r="E66" s="30" t="n">
        <v>60</v>
      </c>
      <c r="F66" s="30" t="inlineStr">
        <is>
          <t>Non-Pass</t>
        </is>
      </c>
      <c r="G66" s="30" t="n">
        <v>0</v>
      </c>
      <c r="H66" s="30" t="n">
        <v>3</v>
      </c>
      <c r="I66" s="30" t="inlineStr">
        <is>
          <t>complete</t>
        </is>
      </c>
      <c r="J66" s="30" t="inlineStr">
        <is>
          <t>rendered_browser</t>
        </is>
      </c>
      <c r="K66" s="30" t="inlineStr"/>
      <c r="L66" s="30" t="inlineStr">
        <is>
          <t>self</t>
        </is>
      </c>
      <c r="M66" s="30" t="n">
        <v>0</v>
      </c>
      <c r="N66" s="32" t="b">
        <v>0</v>
      </c>
      <c r="O66" s="30" t="inlineStr"/>
      <c r="P66" s="30" t="inlineStr"/>
      <c r="Q66" s="30" t="inlineStr"/>
      <c r="R66" s="30" t="n">
        <v>88</v>
      </c>
      <c r="S66" s="30" t="n">
        <v>88</v>
      </c>
      <c r="T66" s="30" t="n">
        <v>2.4</v>
      </c>
      <c r="U66" s="30" t="n">
        <v>0.04</v>
      </c>
      <c r="V66" s="30" t="n">
        <v>0.4</v>
      </c>
      <c r="W66" s="30" t="inlineStr">
        <is>
          <t>None</t>
        </is>
      </c>
      <c r="X66" s="30" t="n">
        <v>2.4</v>
      </c>
      <c r="Y66" s="30" t="n">
        <v>180</v>
      </c>
      <c r="Z66" s="30" t="n">
        <v>1.8</v>
      </c>
      <c r="AA66" s="30" t="n">
        <v>0.04</v>
      </c>
      <c r="AB66" s="30" t="n">
        <v>400</v>
      </c>
      <c r="AC66" s="30" t="n">
        <v>85</v>
      </c>
      <c r="AD66" s="30" t="n">
        <v>82</v>
      </c>
      <c r="AE66" s="30" t="n">
        <v>92</v>
      </c>
      <c r="AF66" s="30" t="n">
        <v>2.4</v>
      </c>
      <c r="AG66" s="30" t="n">
        <v>180</v>
      </c>
      <c r="AH66" s="30" t="n">
        <v>88</v>
      </c>
      <c r="AI66" s="30" t="n">
        <v>500</v>
      </c>
      <c r="AJ66" s="30" t="n">
        <v>842</v>
      </c>
      <c r="AK66" s="30" t="n">
        <v>1250</v>
      </c>
      <c r="AL66" s="30" t="n">
        <v>1</v>
      </c>
      <c r="AM66" s="30" t="inlineStr"/>
      <c r="AN66" s="30" t="inlineStr"/>
      <c r="AO66" s="76" t="inlineStr">
        <is>
          <t>https://africanmarketingconfederation.org/smoke-archive/page-63</t>
        </is>
      </c>
      <c r="AP66" s="76" t="inlineStr">
        <is>
          <t>https://africanmarketingconfederation.org/smoke-archive/page-63</t>
        </is>
      </c>
      <c r="AQ66" s="30" t="inlineStr"/>
      <c r="AR66" s="30" t="inlineStr"/>
      <c r="AS66" s="30" t="inlineStr"/>
      <c r="AT66" s="30" t="inlineStr"/>
      <c r="AU66" s="30" t="inlineStr"/>
      <c r="AV66" s="76" t="inlineStr"/>
      <c r="AW66" s="30" t="n">
        <v>64</v>
      </c>
      <c r="AX66" s="30" t="b">
        <v>0</v>
      </c>
      <c r="AY66" s="30" t="inlineStr">
        <is>
          <t>Technical | Indexability | PSI Performance | Search Console</t>
        </is>
      </c>
      <c r="AZ66" s="30" t="n">
        <v>0</v>
      </c>
      <c r="BA66" s="30" t="b">
        <v>0</v>
      </c>
      <c r="BB66" s="30" t="b">
        <v>0</v>
      </c>
      <c r="BC66" s="30" t="inlineStr"/>
      <c r="BD66" s="30" t="inlineStr"/>
      <c r="BE66" s="76" t="inlineStr"/>
      <c r="BF66" s="30" t="inlineStr">
        <is>
          <t>Not Declared</t>
        </is>
      </c>
      <c r="BG66" s="30" t="b">
        <v>1</v>
      </c>
      <c r="BH66" s="38">
        <f>IFERROR(HYPERLINK("#'Main'!B"&amp;MATCH(TRIM(A66),'Main'!B:B,0),"Open"),HYPERLINK("#'Main'!B1","Open"))</f>
        <v/>
      </c>
    </row>
    <row r="67" ht="18" customHeight="1">
      <c r="A67" s="35" t="inlineStr">
        <is>
          <t>https://africanmarketingconfederation.org/smoke-archive/page-64</t>
        </is>
      </c>
      <c r="B67" s="28" t="inlineStr">
        <is>
          <t>Technical | Indexability | Performance | Search Console</t>
        </is>
      </c>
      <c r="C67" s="32" t="n">
        <v>200</v>
      </c>
      <c r="D67" s="28" t="inlineStr">
        <is>
          <t>Warning</t>
        </is>
      </c>
      <c r="E67" s="28" t="n">
        <v>80</v>
      </c>
      <c r="F67" s="28" t="inlineStr">
        <is>
          <t>Non-Pass</t>
        </is>
      </c>
      <c r="G67" s="28" t="n">
        <v>0</v>
      </c>
      <c r="H67" s="28" t="n">
        <v>1</v>
      </c>
      <c r="I67" s="28" t="inlineStr">
        <is>
          <t>complete</t>
        </is>
      </c>
      <c r="J67" s="28" t="inlineStr">
        <is>
          <t>rendered_browser</t>
        </is>
      </c>
      <c r="K67" s="28" t="inlineStr"/>
      <c r="L67" s="28" t="inlineStr">
        <is>
          <t>self</t>
        </is>
      </c>
      <c r="M67" s="28" t="n">
        <v>0</v>
      </c>
      <c r="N67" s="32" t="b">
        <v>0</v>
      </c>
      <c r="O67" s="28" t="inlineStr"/>
      <c r="P67" s="28" t="inlineStr"/>
      <c r="Q67" s="28" t="inlineStr"/>
      <c r="R67" s="28" t="n">
        <v>88</v>
      </c>
      <c r="S67" s="28" t="n">
        <v>88</v>
      </c>
      <c r="T67" s="28" t="n">
        <v>2.4</v>
      </c>
      <c r="U67" s="28" t="n">
        <v>0.04</v>
      </c>
      <c r="V67" s="28" t="n">
        <v>0.4</v>
      </c>
      <c r="W67" s="28" t="inlineStr">
        <is>
          <t>None</t>
        </is>
      </c>
      <c r="X67" s="28" t="n">
        <v>2.4</v>
      </c>
      <c r="Y67" s="28" t="n">
        <v>180</v>
      </c>
      <c r="Z67" s="28" t="n">
        <v>1.8</v>
      </c>
      <c r="AA67" s="28" t="n">
        <v>0.04</v>
      </c>
      <c r="AB67" s="28" t="n">
        <v>400</v>
      </c>
      <c r="AC67" s="28" t="n">
        <v>85</v>
      </c>
      <c r="AD67" s="28" t="n">
        <v>82</v>
      </c>
      <c r="AE67" s="28" t="n">
        <v>92</v>
      </c>
      <c r="AF67" s="28" t="n">
        <v>2.4</v>
      </c>
      <c r="AG67" s="28" t="n">
        <v>180</v>
      </c>
      <c r="AH67" s="28" t="n">
        <v>88</v>
      </c>
      <c r="AI67" s="28" t="n">
        <v>500</v>
      </c>
      <c r="AJ67" s="28" t="n">
        <v>842</v>
      </c>
      <c r="AK67" s="28" t="n">
        <v>1250</v>
      </c>
      <c r="AL67" s="28" t="n">
        <v>1</v>
      </c>
      <c r="AM67" s="28" t="inlineStr"/>
      <c r="AN67" s="28" t="inlineStr"/>
      <c r="AO67" s="74" t="inlineStr">
        <is>
          <t>https://africanmarketingconfederation.org/smoke-archive/page-64</t>
        </is>
      </c>
      <c r="AP67" s="74" t="inlineStr">
        <is>
          <t>https://africanmarketingconfederation.org/smoke-archive/page-64</t>
        </is>
      </c>
      <c r="AQ67" s="28" t="inlineStr"/>
      <c r="AR67" s="28" t="inlineStr"/>
      <c r="AS67" s="28" t="inlineStr"/>
      <c r="AT67" s="28" t="inlineStr"/>
      <c r="AU67" s="28" t="inlineStr"/>
      <c r="AV67" s="74" t="inlineStr"/>
      <c r="AW67" s="28" t="n">
        <v>65</v>
      </c>
      <c r="AX67" s="28" t="b">
        <v>0</v>
      </c>
      <c r="AY67" s="28" t="inlineStr">
        <is>
          <t>Technical | Indexability | PSI Performance | Search Console</t>
        </is>
      </c>
      <c r="AZ67" s="28" t="n">
        <v>0</v>
      </c>
      <c r="BA67" s="28" t="b">
        <v>0</v>
      </c>
      <c r="BB67" s="28" t="b">
        <v>0</v>
      </c>
      <c r="BC67" s="28" t="inlineStr"/>
      <c r="BD67" s="28" t="inlineStr"/>
      <c r="BE67" s="74" t="inlineStr"/>
      <c r="BF67" s="28" t="inlineStr">
        <is>
          <t>Not Declared</t>
        </is>
      </c>
      <c r="BG67" s="28" t="b">
        <v>1</v>
      </c>
      <c r="BH67">
        <f>IFERROR(HYPERLINK("#'Main'!B"&amp;MATCH(TRIM(A67),'Main'!B:B,0),"Open"),HYPERLINK("#'Main'!B1","Open"))</f>
        <v/>
      </c>
    </row>
    <row r="68" ht="18" customHeight="1">
      <c r="A68" s="37" t="inlineStr">
        <is>
          <t>https://africanmarketingconfederation.org/smoke-archive/page-65</t>
        </is>
      </c>
      <c r="B68" s="30" t="inlineStr">
        <is>
          <t>Technical | Indexability | Performance | Search Console</t>
        </is>
      </c>
      <c r="C68" s="34" t="n">
        <v>404</v>
      </c>
      <c r="D68" s="30" t="inlineStr">
        <is>
          <t>Critical</t>
        </is>
      </c>
      <c r="E68" s="30" t="n">
        <v>0</v>
      </c>
      <c r="F68" s="30" t="inlineStr">
        <is>
          <t>Non-Pass</t>
        </is>
      </c>
      <c r="G68" s="30" t="n">
        <v>1</v>
      </c>
      <c r="H68" s="30" t="n">
        <v>0</v>
      </c>
      <c r="I68" s="30" t="inlineStr">
        <is>
          <t>complete</t>
        </is>
      </c>
      <c r="J68" s="30" t="inlineStr">
        <is>
          <t>rendered_browser</t>
        </is>
      </c>
      <c r="K68" s="30" t="inlineStr"/>
      <c r="L68" s="30" t="inlineStr"/>
      <c r="M68" s="30" t="n">
        <v>0</v>
      </c>
      <c r="N68" s="32" t="b">
        <v>0</v>
      </c>
      <c r="O68" s="30" t="inlineStr"/>
      <c r="P68" s="30" t="inlineStr"/>
      <c r="Q68" s="30" t="inlineStr"/>
      <c r="R68" s="30" t="n">
        <v>88</v>
      </c>
      <c r="S68" s="30" t="n">
        <v>88</v>
      </c>
      <c r="T68" s="30" t="n">
        <v>2.4</v>
      </c>
      <c r="U68" s="30" t="n">
        <v>0.04</v>
      </c>
      <c r="V68" s="30" t="n">
        <v>0.4</v>
      </c>
      <c r="W68" s="30" t="inlineStr">
        <is>
          <t>None</t>
        </is>
      </c>
      <c r="X68" s="30" t="n">
        <v>2.4</v>
      </c>
      <c r="Y68" s="30" t="n">
        <v>180</v>
      </c>
      <c r="Z68" s="30" t="n">
        <v>1.8</v>
      </c>
      <c r="AA68" s="30" t="n">
        <v>0.04</v>
      </c>
      <c r="AB68" s="30" t="n">
        <v>400</v>
      </c>
      <c r="AC68" s="30" t="n">
        <v>85</v>
      </c>
      <c r="AD68" s="30" t="n">
        <v>82</v>
      </c>
      <c r="AE68" s="30" t="n">
        <v>92</v>
      </c>
      <c r="AF68" s="30" t="n">
        <v>2.4</v>
      </c>
      <c r="AG68" s="30" t="n">
        <v>180</v>
      </c>
      <c r="AH68" s="30" t="n">
        <v>88</v>
      </c>
      <c r="AI68" s="30" t="n">
        <v>500</v>
      </c>
      <c r="AJ68" s="30" t="n">
        <v>842</v>
      </c>
      <c r="AK68" s="30" t="n">
        <v>1250</v>
      </c>
      <c r="AL68" s="30" t="n">
        <v>1</v>
      </c>
      <c r="AM68" s="30" t="inlineStr"/>
      <c r="AN68" s="30" t="inlineStr"/>
      <c r="AO68" s="76" t="inlineStr">
        <is>
          <t>https://africanmarketingconfederation.org/smoke-archive/page-65</t>
        </is>
      </c>
      <c r="AP68" s="76" t="inlineStr">
        <is>
          <t>https://africanmarketingconfederation.org/smoke-archive/page-65</t>
        </is>
      </c>
      <c r="AQ68" s="30" t="inlineStr"/>
      <c r="AR68" s="30" t="inlineStr"/>
      <c r="AS68" s="30" t="inlineStr"/>
      <c r="AT68" s="30" t="inlineStr"/>
      <c r="AU68" s="30" t="inlineStr"/>
      <c r="AV68" s="76" t="inlineStr"/>
      <c r="AW68" s="30" t="n">
        <v>66</v>
      </c>
      <c r="AX68" s="30" t="b">
        <v>0</v>
      </c>
      <c r="AY68" s="30" t="inlineStr">
        <is>
          <t>Technical | Indexability | PSI Performance | Search Console</t>
        </is>
      </c>
      <c r="AZ68" s="30" t="n">
        <v>0</v>
      </c>
      <c r="BA68" s="30" t="b">
        <v>0</v>
      </c>
      <c r="BB68" s="30" t="b">
        <v>0</v>
      </c>
      <c r="BC68" s="30" t="inlineStr"/>
      <c r="BD68" s="30" t="inlineStr"/>
      <c r="BE68" s="76" t="inlineStr"/>
      <c r="BF68" s="30" t="inlineStr">
        <is>
          <t>Not Declared</t>
        </is>
      </c>
      <c r="BG68" s="30" t="b">
        <v>1</v>
      </c>
      <c r="BH68" s="38">
        <f>IFERROR(HYPERLINK("#'Main'!B"&amp;MATCH(TRIM(A68),'Main'!B:B,0),"Open"),HYPERLINK("#'Main'!B1","Open"))</f>
        <v/>
      </c>
    </row>
    <row r="69" ht="18" customHeight="1">
      <c r="A69" s="35" t="inlineStr">
        <is>
          <t>https://africanmarketingconfederation.org/smoke-archive/page-66</t>
        </is>
      </c>
      <c r="B69" s="28" t="inlineStr">
        <is>
          <t>Technical | Indexability | Redirect | Performance | Search Console</t>
        </is>
      </c>
      <c r="C69" s="40" t="n">
        <v>301</v>
      </c>
      <c r="D69" s="28" t="inlineStr">
        <is>
          <t>Warning</t>
        </is>
      </c>
      <c r="E69" s="28" t="n">
        <v>70</v>
      </c>
      <c r="F69" s="28" t="inlineStr">
        <is>
          <t>Non-Pass</t>
        </is>
      </c>
      <c r="G69" s="28" t="n">
        <v>0</v>
      </c>
      <c r="H69" s="28" t="n">
        <v>2</v>
      </c>
      <c r="I69" s="28" t="inlineStr">
        <is>
          <t>complete</t>
        </is>
      </c>
      <c r="J69" s="28" t="inlineStr">
        <is>
          <t>rendered_browser</t>
        </is>
      </c>
      <c r="K69" s="28" t="inlineStr"/>
      <c r="L69" s="28" t="inlineStr"/>
      <c r="M69" s="28" t="n">
        <v>1</v>
      </c>
      <c r="N69" s="32" t="b">
        <v>0</v>
      </c>
      <c r="O69" s="28" t="inlineStr"/>
      <c r="P69" s="28" t="inlineStr"/>
      <c r="Q69" s="28" t="inlineStr"/>
      <c r="R69" s="28" t="n">
        <v>88</v>
      </c>
      <c r="S69" s="28" t="n">
        <v>88</v>
      </c>
      <c r="T69" s="28" t="n">
        <v>2.4</v>
      </c>
      <c r="U69" s="28" t="n">
        <v>0.04</v>
      </c>
      <c r="V69" s="28" t="n">
        <v>0.4</v>
      </c>
      <c r="W69" s="28" t="inlineStr">
        <is>
          <t>None</t>
        </is>
      </c>
      <c r="X69" s="28" t="n">
        <v>2.4</v>
      </c>
      <c r="Y69" s="28" t="n">
        <v>180</v>
      </c>
      <c r="Z69" s="28" t="n">
        <v>1.8</v>
      </c>
      <c r="AA69" s="28" t="n">
        <v>0.04</v>
      </c>
      <c r="AB69" s="28" t="n">
        <v>400</v>
      </c>
      <c r="AC69" s="28" t="n">
        <v>85</v>
      </c>
      <c r="AD69" s="28" t="n">
        <v>82</v>
      </c>
      <c r="AE69" s="28" t="n">
        <v>92</v>
      </c>
      <c r="AF69" s="28" t="n">
        <v>2.4</v>
      </c>
      <c r="AG69" s="28" t="n">
        <v>180</v>
      </c>
      <c r="AH69" s="28" t="n">
        <v>88</v>
      </c>
      <c r="AI69" s="28" t="n">
        <v>500</v>
      </c>
      <c r="AJ69" s="28" t="n">
        <v>842</v>
      </c>
      <c r="AK69" s="28" t="n">
        <v>1250</v>
      </c>
      <c r="AL69" s="28" t="n">
        <v>1</v>
      </c>
      <c r="AM69" s="28" t="inlineStr"/>
      <c r="AN69" s="28" t="inlineStr"/>
      <c r="AO69" s="74" t="inlineStr">
        <is>
          <t>https://africanmarketingconfederation.org/smoke-archive/page-66-canonical/</t>
        </is>
      </c>
      <c r="AP69" s="74" t="inlineStr">
        <is>
          <t>https://africanmarketingconfederation.org/smoke-archive/page-66</t>
        </is>
      </c>
      <c r="AQ69" s="28" t="inlineStr"/>
      <c r="AR69" s="28" t="inlineStr"/>
      <c r="AS69" s="28" t="inlineStr"/>
      <c r="AT69" s="28" t="inlineStr"/>
      <c r="AU69" s="28" t="inlineStr"/>
      <c r="AV69" s="74" t="inlineStr"/>
      <c r="AW69" s="28" t="n">
        <v>67</v>
      </c>
      <c r="AX69" s="28" t="b">
        <v>0</v>
      </c>
      <c r="AY69" s="28" t="inlineStr">
        <is>
          <t>Technical | Indexability | Redirects | PSI Performance | Search Console</t>
        </is>
      </c>
      <c r="AZ69" s="28" t="n">
        <v>0</v>
      </c>
      <c r="BA69" s="28" t="b">
        <v>0</v>
      </c>
      <c r="BB69" s="28" t="b">
        <v>0</v>
      </c>
      <c r="BC69" s="28" t="inlineStr"/>
      <c r="BD69" s="28" t="inlineStr"/>
      <c r="BE69" s="74" t="inlineStr"/>
      <c r="BF69" s="28" t="inlineStr">
        <is>
          <t>Not Declared</t>
        </is>
      </c>
      <c r="BG69" s="28" t="b">
        <v>1</v>
      </c>
      <c r="BH69">
        <f>IFERROR(HYPERLINK("#'Main'!B"&amp;MATCH(TRIM(A69),'Main'!B:B,0),"Open"),HYPERLINK("#'Main'!B1","Open"))</f>
        <v/>
      </c>
    </row>
    <row r="70" ht="18" customHeight="1">
      <c r="A70" s="37" t="inlineStr">
        <is>
          <t>https://africanmarketingconfederation.org/smoke-archive/page-67</t>
        </is>
      </c>
      <c r="B70" s="30" t="inlineStr">
        <is>
          <t>Technical | Indexability | Performance | Search Console</t>
        </is>
      </c>
      <c r="C70" s="32" t="n">
        <v>200</v>
      </c>
      <c r="D70" s="30" t="inlineStr">
        <is>
          <t>Warning</t>
        </is>
      </c>
      <c r="E70" s="30" t="n">
        <v>80</v>
      </c>
      <c r="F70" s="30" t="inlineStr">
        <is>
          <t>Non-Pass</t>
        </is>
      </c>
      <c r="G70" s="30" t="n">
        <v>0</v>
      </c>
      <c r="H70" s="30" t="n">
        <v>1</v>
      </c>
      <c r="I70" s="30" t="inlineStr">
        <is>
          <t>complete</t>
        </is>
      </c>
      <c r="J70" s="30" t="inlineStr">
        <is>
          <t>rendered_browser</t>
        </is>
      </c>
      <c r="K70" s="30" t="inlineStr"/>
      <c r="L70" s="30" t="inlineStr">
        <is>
          <t>self</t>
        </is>
      </c>
      <c r="M70" s="30" t="n">
        <v>0</v>
      </c>
      <c r="N70" s="32" t="b">
        <v>0</v>
      </c>
      <c r="O70" s="30" t="inlineStr"/>
      <c r="P70" s="30" t="inlineStr"/>
      <c r="Q70" s="30" t="inlineStr"/>
      <c r="R70" s="30" t="n">
        <v>88</v>
      </c>
      <c r="S70" s="30" t="n">
        <v>88</v>
      </c>
      <c r="T70" s="30" t="n">
        <v>2.4</v>
      </c>
      <c r="U70" s="30" t="n">
        <v>0.04</v>
      </c>
      <c r="V70" s="30" t="n">
        <v>0.4</v>
      </c>
      <c r="W70" s="30" t="inlineStr">
        <is>
          <t>None</t>
        </is>
      </c>
      <c r="X70" s="30" t="n">
        <v>2.4</v>
      </c>
      <c r="Y70" s="30" t="n">
        <v>180</v>
      </c>
      <c r="Z70" s="30" t="n">
        <v>1.8</v>
      </c>
      <c r="AA70" s="30" t="n">
        <v>0.04</v>
      </c>
      <c r="AB70" s="30" t="n">
        <v>400</v>
      </c>
      <c r="AC70" s="30" t="n">
        <v>85</v>
      </c>
      <c r="AD70" s="30" t="n">
        <v>82</v>
      </c>
      <c r="AE70" s="30" t="n">
        <v>92</v>
      </c>
      <c r="AF70" s="30" t="n">
        <v>2.4</v>
      </c>
      <c r="AG70" s="30" t="n">
        <v>180</v>
      </c>
      <c r="AH70" s="30" t="n">
        <v>88</v>
      </c>
      <c r="AI70" s="30" t="n">
        <v>500</v>
      </c>
      <c r="AJ70" s="30" t="n">
        <v>842</v>
      </c>
      <c r="AK70" s="30" t="n">
        <v>1250</v>
      </c>
      <c r="AL70" s="30" t="n">
        <v>1</v>
      </c>
      <c r="AM70" s="30" t="inlineStr"/>
      <c r="AN70" s="30" t="inlineStr"/>
      <c r="AO70" s="76" t="inlineStr">
        <is>
          <t>https://africanmarketingconfederation.org/smoke-archive/page-67</t>
        </is>
      </c>
      <c r="AP70" s="76" t="inlineStr">
        <is>
          <t>https://africanmarketingconfederation.org/smoke-archive/page-67</t>
        </is>
      </c>
      <c r="AQ70" s="30" t="inlineStr"/>
      <c r="AR70" s="30" t="inlineStr"/>
      <c r="AS70" s="30" t="inlineStr"/>
      <c r="AT70" s="30" t="inlineStr"/>
      <c r="AU70" s="30" t="inlineStr"/>
      <c r="AV70" s="76" t="inlineStr"/>
      <c r="AW70" s="30" t="n">
        <v>68</v>
      </c>
      <c r="AX70" s="30" t="b">
        <v>0</v>
      </c>
      <c r="AY70" s="30" t="inlineStr">
        <is>
          <t>Technical | Indexability | PSI Performance | Search Console</t>
        </is>
      </c>
      <c r="AZ70" s="30" t="n">
        <v>0</v>
      </c>
      <c r="BA70" s="30" t="b">
        <v>0</v>
      </c>
      <c r="BB70" s="30" t="b">
        <v>0</v>
      </c>
      <c r="BC70" s="30" t="inlineStr"/>
      <c r="BD70" s="30" t="inlineStr"/>
      <c r="BE70" s="76" t="inlineStr"/>
      <c r="BF70" s="30" t="inlineStr">
        <is>
          <t>Not Declared</t>
        </is>
      </c>
      <c r="BG70" s="30" t="b">
        <v>1</v>
      </c>
      <c r="BH70" s="38">
        <f>IFERROR(HYPERLINK("#'Main'!B"&amp;MATCH(TRIM(A70),'Main'!B:B,0),"Open"),HYPERLINK("#'Main'!B1","Open"))</f>
        <v/>
      </c>
    </row>
    <row r="71" ht="18" customHeight="1">
      <c r="A71" s="35" t="inlineStr">
        <is>
          <t>https://africanmarketingconfederation.org/smoke-archive/page-68</t>
        </is>
      </c>
      <c r="B71" s="28" t="inlineStr">
        <is>
          <t>Technical | Indexability | Performance | Search Console</t>
        </is>
      </c>
      <c r="C71" s="28" t="n">
        <v>0</v>
      </c>
      <c r="D71" s="28" t="inlineStr">
        <is>
          <t>Critical</t>
        </is>
      </c>
      <c r="E71" s="28" t="n">
        <v>0</v>
      </c>
      <c r="F71" s="28" t="inlineStr">
        <is>
          <t>Non-Pass</t>
        </is>
      </c>
      <c r="G71" s="28" t="n">
        <v>1</v>
      </c>
      <c r="H71" s="28" t="n">
        <v>0</v>
      </c>
      <c r="I71" s="28" t="inlineStr">
        <is>
          <t>complete</t>
        </is>
      </c>
      <c r="J71" s="28" t="inlineStr">
        <is>
          <t>rendered_browser</t>
        </is>
      </c>
      <c r="K71" s="28" t="inlineStr"/>
      <c r="L71" s="28" t="inlineStr"/>
      <c r="M71" s="28" t="n">
        <v>0</v>
      </c>
      <c r="N71" s="32" t="b">
        <v>0</v>
      </c>
      <c r="O71" s="28" t="inlineStr"/>
      <c r="P71" s="28" t="inlineStr"/>
      <c r="Q71" s="28" t="inlineStr"/>
      <c r="R71" s="28" t="n">
        <v>88</v>
      </c>
      <c r="S71" s="28" t="n">
        <v>88</v>
      </c>
      <c r="T71" s="28" t="n">
        <v>2.4</v>
      </c>
      <c r="U71" s="28" t="n">
        <v>0.04</v>
      </c>
      <c r="V71" s="28" t="n">
        <v>0.4</v>
      </c>
      <c r="W71" s="28" t="inlineStr">
        <is>
          <t>None</t>
        </is>
      </c>
      <c r="X71" s="28" t="n">
        <v>2.4</v>
      </c>
      <c r="Y71" s="28" t="n">
        <v>180</v>
      </c>
      <c r="Z71" s="28" t="n">
        <v>1.8</v>
      </c>
      <c r="AA71" s="28" t="n">
        <v>0.04</v>
      </c>
      <c r="AB71" s="28" t="n">
        <v>400</v>
      </c>
      <c r="AC71" s="28" t="n">
        <v>85</v>
      </c>
      <c r="AD71" s="28" t="n">
        <v>82</v>
      </c>
      <c r="AE71" s="28" t="n">
        <v>92</v>
      </c>
      <c r="AF71" s="28" t="n">
        <v>2.4</v>
      </c>
      <c r="AG71" s="28" t="n">
        <v>180</v>
      </c>
      <c r="AH71" s="28" t="n">
        <v>88</v>
      </c>
      <c r="AI71" s="28" t="n">
        <v>500</v>
      </c>
      <c r="AJ71" s="28" t="n">
        <v>842</v>
      </c>
      <c r="AK71" s="28" t="n">
        <v>1250</v>
      </c>
      <c r="AL71" s="28" t="n">
        <v>1</v>
      </c>
      <c r="AM71" s="28" t="inlineStr"/>
      <c r="AN71" s="28" t="inlineStr"/>
      <c r="AO71" s="74" t="inlineStr">
        <is>
          <t>https://africanmarketingconfederation.org/smoke-archive/page-68</t>
        </is>
      </c>
      <c r="AP71" s="74" t="inlineStr">
        <is>
          <t>https://africanmarketingconfederation.org/smoke-archive/page-68</t>
        </is>
      </c>
      <c r="AQ71" s="28" t="inlineStr"/>
      <c r="AR71" s="28" t="inlineStr"/>
      <c r="AS71" s="28" t="inlineStr"/>
      <c r="AT71" s="28" t="inlineStr"/>
      <c r="AU71" s="28" t="inlineStr"/>
      <c r="AV71" s="74" t="inlineStr"/>
      <c r="AW71" s="28" t="n">
        <v>69</v>
      </c>
      <c r="AX71" s="28" t="b">
        <v>0</v>
      </c>
      <c r="AY71" s="28" t="inlineStr">
        <is>
          <t>Technical | Indexability | PSI Performance | Search Console</t>
        </is>
      </c>
      <c r="AZ71" s="28" t="n">
        <v>0</v>
      </c>
      <c r="BA71" s="28" t="b">
        <v>0</v>
      </c>
      <c r="BB71" s="28" t="b">
        <v>0</v>
      </c>
      <c r="BC71" s="28" t="inlineStr"/>
      <c r="BD71" s="28" t="inlineStr"/>
      <c r="BE71" s="74" t="inlineStr"/>
      <c r="BF71" s="28" t="inlineStr">
        <is>
          <t>Not Declared</t>
        </is>
      </c>
      <c r="BG71" s="28" t="b">
        <v>1</v>
      </c>
      <c r="BH71">
        <f>IFERROR(HYPERLINK("#'Main'!B"&amp;MATCH(TRIM(A71),'Main'!B:B,0),"Open"),HYPERLINK("#'Main'!B1","Open"))</f>
        <v/>
      </c>
    </row>
    <row r="72" ht="18" customHeight="1">
      <c r="A72" s="37" t="inlineStr">
        <is>
          <t>https://africanmarketingconfederation.org/smoke-archive/page-69</t>
        </is>
      </c>
      <c r="B72" s="30" t="inlineStr">
        <is>
          <t>Technical | Indexability | Performance | Search Console</t>
        </is>
      </c>
      <c r="C72" s="32" t="n">
        <v>200</v>
      </c>
      <c r="D72" s="30" t="inlineStr">
        <is>
          <t>Warning</t>
        </is>
      </c>
      <c r="E72" s="30" t="n">
        <v>80</v>
      </c>
      <c r="F72" s="30" t="inlineStr">
        <is>
          <t>Non-Pass</t>
        </is>
      </c>
      <c r="G72" s="30" t="n">
        <v>0</v>
      </c>
      <c r="H72" s="30" t="n">
        <v>1</v>
      </c>
      <c r="I72" s="30" t="inlineStr">
        <is>
          <t>complete</t>
        </is>
      </c>
      <c r="J72" s="30" t="inlineStr">
        <is>
          <t>rendered_browser</t>
        </is>
      </c>
      <c r="K72" s="30" t="inlineStr"/>
      <c r="L72" s="30" t="inlineStr">
        <is>
          <t>self</t>
        </is>
      </c>
      <c r="M72" s="30" t="n">
        <v>0</v>
      </c>
      <c r="N72" s="32" t="b">
        <v>0</v>
      </c>
      <c r="O72" s="30" t="inlineStr"/>
      <c r="P72" s="30" t="inlineStr"/>
      <c r="Q72" s="30" t="inlineStr"/>
      <c r="R72" s="30" t="n">
        <v>88</v>
      </c>
      <c r="S72" s="30" t="n">
        <v>88</v>
      </c>
      <c r="T72" s="30" t="n">
        <v>2.4</v>
      </c>
      <c r="U72" s="30" t="n">
        <v>0.04</v>
      </c>
      <c r="V72" s="30" t="n">
        <v>0.4</v>
      </c>
      <c r="W72" s="30" t="inlineStr">
        <is>
          <t>None</t>
        </is>
      </c>
      <c r="X72" s="30" t="n">
        <v>2.4</v>
      </c>
      <c r="Y72" s="30" t="n">
        <v>180</v>
      </c>
      <c r="Z72" s="30" t="n">
        <v>1.8</v>
      </c>
      <c r="AA72" s="30" t="n">
        <v>0.04</v>
      </c>
      <c r="AB72" s="30" t="n">
        <v>400</v>
      </c>
      <c r="AC72" s="30" t="n">
        <v>85</v>
      </c>
      <c r="AD72" s="30" t="n">
        <v>82</v>
      </c>
      <c r="AE72" s="30" t="n">
        <v>92</v>
      </c>
      <c r="AF72" s="30" t="n">
        <v>2.4</v>
      </c>
      <c r="AG72" s="30" t="n">
        <v>180</v>
      </c>
      <c r="AH72" s="30" t="n">
        <v>88</v>
      </c>
      <c r="AI72" s="30" t="n">
        <v>500</v>
      </c>
      <c r="AJ72" s="30" t="n">
        <v>842</v>
      </c>
      <c r="AK72" s="30" t="n">
        <v>1250</v>
      </c>
      <c r="AL72" s="30" t="n">
        <v>1</v>
      </c>
      <c r="AM72" s="30" t="inlineStr"/>
      <c r="AN72" s="30" t="inlineStr"/>
      <c r="AO72" s="76" t="inlineStr">
        <is>
          <t>https://africanmarketingconfederation.org/smoke-archive/page-69</t>
        </is>
      </c>
      <c r="AP72" s="76" t="inlineStr">
        <is>
          <t>https://africanmarketingconfederation.org/smoke-archive/page-69</t>
        </is>
      </c>
      <c r="AQ72" s="30" t="inlineStr"/>
      <c r="AR72" s="30" t="inlineStr"/>
      <c r="AS72" s="30" t="inlineStr"/>
      <c r="AT72" s="30" t="inlineStr"/>
      <c r="AU72" s="30" t="inlineStr"/>
      <c r="AV72" s="76" t="inlineStr"/>
      <c r="AW72" s="30" t="n">
        <v>70</v>
      </c>
      <c r="AX72" s="30" t="b">
        <v>0</v>
      </c>
      <c r="AY72" s="30" t="inlineStr">
        <is>
          <t>Technical | Indexability | PSI Performance | Search Console</t>
        </is>
      </c>
      <c r="AZ72" s="30" t="n">
        <v>0</v>
      </c>
      <c r="BA72" s="30" t="b">
        <v>0</v>
      </c>
      <c r="BB72" s="30" t="b">
        <v>0</v>
      </c>
      <c r="BC72" s="30" t="inlineStr"/>
      <c r="BD72" s="30" t="inlineStr"/>
      <c r="BE72" s="76" t="inlineStr"/>
      <c r="BF72" s="30" t="inlineStr">
        <is>
          <t>Not Declared</t>
        </is>
      </c>
      <c r="BG72" s="30" t="b">
        <v>1</v>
      </c>
      <c r="BH72" s="38">
        <f>IFERROR(HYPERLINK("#'Main'!B"&amp;MATCH(TRIM(A72),'Main'!B:B,0),"Open"),HYPERLINK("#'Main'!B1","Open"))</f>
        <v/>
      </c>
    </row>
    <row r="73" ht="18" customHeight="1">
      <c r="A73" s="35" t="inlineStr">
        <is>
          <t>https://africanmarketingconfederation.org/smoke-archive/page-70</t>
        </is>
      </c>
      <c r="B73" s="28" t="inlineStr">
        <is>
          <t>Technical | Indexability | Performance | Search Console</t>
        </is>
      </c>
      <c r="C73" s="32" t="n">
        <v>200</v>
      </c>
      <c r="D73" s="28" t="inlineStr">
        <is>
          <t>Warning</t>
        </is>
      </c>
      <c r="E73" s="28" t="n">
        <v>50</v>
      </c>
      <c r="F73" s="28" t="inlineStr">
        <is>
          <t>Non-Pass</t>
        </is>
      </c>
      <c r="G73" s="28" t="n">
        <v>0</v>
      </c>
      <c r="H73" s="28" t="n">
        <v>4</v>
      </c>
      <c r="I73" s="28" t="inlineStr">
        <is>
          <t>complete</t>
        </is>
      </c>
      <c r="J73" s="28" t="inlineStr">
        <is>
          <t>rendered_browser</t>
        </is>
      </c>
      <c r="K73" s="28" t="inlineStr"/>
      <c r="L73" s="28" t="inlineStr">
        <is>
          <t>self</t>
        </is>
      </c>
      <c r="M73" s="28" t="n">
        <v>0</v>
      </c>
      <c r="N73" s="32" t="b">
        <v>0</v>
      </c>
      <c r="O73" s="28" t="inlineStr"/>
      <c r="P73" s="28" t="inlineStr"/>
      <c r="Q73" s="28" t="inlineStr"/>
      <c r="R73" s="28" t="n">
        <v>88</v>
      </c>
      <c r="S73" s="28" t="n">
        <v>88</v>
      </c>
      <c r="T73" s="28" t="n">
        <v>2.4</v>
      </c>
      <c r="U73" s="28" t="n">
        <v>0.04</v>
      </c>
      <c r="V73" s="28" t="n">
        <v>0.4</v>
      </c>
      <c r="W73" s="28" t="inlineStr">
        <is>
          <t>None</t>
        </is>
      </c>
      <c r="X73" s="28" t="n">
        <v>2.4</v>
      </c>
      <c r="Y73" s="28" t="n">
        <v>180</v>
      </c>
      <c r="Z73" s="28" t="n">
        <v>1.8</v>
      </c>
      <c r="AA73" s="28" t="n">
        <v>0.04</v>
      </c>
      <c r="AB73" s="28" t="n">
        <v>400</v>
      </c>
      <c r="AC73" s="28" t="n">
        <v>85</v>
      </c>
      <c r="AD73" s="28" t="n">
        <v>82</v>
      </c>
      <c r="AE73" s="28" t="n">
        <v>92</v>
      </c>
      <c r="AF73" s="28" t="n">
        <v>2.4</v>
      </c>
      <c r="AG73" s="28" t="n">
        <v>180</v>
      </c>
      <c r="AH73" s="28" t="n">
        <v>88</v>
      </c>
      <c r="AI73" s="28" t="n">
        <v>500</v>
      </c>
      <c r="AJ73" s="28" t="n">
        <v>842</v>
      </c>
      <c r="AK73" s="28" t="n">
        <v>1250</v>
      </c>
      <c r="AL73" s="28" t="n">
        <v>1</v>
      </c>
      <c r="AM73" s="28" t="inlineStr"/>
      <c r="AN73" s="28" t="inlineStr"/>
      <c r="AO73" s="74" t="inlineStr">
        <is>
          <t>https://africanmarketingconfederation.org/smoke-archive/page-70</t>
        </is>
      </c>
      <c r="AP73" s="74" t="inlineStr">
        <is>
          <t>https://africanmarketingconfederation.org/smoke-archive/page-70</t>
        </is>
      </c>
      <c r="AQ73" s="28" t="inlineStr"/>
      <c r="AR73" s="28" t="inlineStr"/>
      <c r="AS73" s="28" t="inlineStr"/>
      <c r="AT73" s="28" t="inlineStr"/>
      <c r="AU73" s="28" t="inlineStr"/>
      <c r="AV73" s="74" t="inlineStr"/>
      <c r="AW73" s="28" t="n">
        <v>71</v>
      </c>
      <c r="AX73" s="28" t="b">
        <v>0</v>
      </c>
      <c r="AY73" s="28" t="inlineStr">
        <is>
          <t>Technical | Indexability | PSI Performance | Search Console</t>
        </is>
      </c>
      <c r="AZ73" s="28" t="n">
        <v>0</v>
      </c>
      <c r="BA73" s="28" t="b">
        <v>0</v>
      </c>
      <c r="BB73" s="28" t="b">
        <v>0</v>
      </c>
      <c r="BC73" s="28" t="inlineStr"/>
      <c r="BD73" s="28" t="inlineStr"/>
      <c r="BE73" s="74" t="inlineStr"/>
      <c r="BF73" s="28" t="inlineStr">
        <is>
          <t>Not Declared</t>
        </is>
      </c>
      <c r="BG73" s="28" t="b">
        <v>1</v>
      </c>
      <c r="BH73">
        <f>IFERROR(HYPERLINK("#'Main'!B"&amp;MATCH(TRIM(A73),'Main'!B:B,0),"Open"),HYPERLINK("#'Main'!B1","Open"))</f>
        <v/>
      </c>
    </row>
    <row r="74" ht="18" customHeight="1">
      <c r="A74" s="37" t="inlineStr">
        <is>
          <t>https://africanmarketingconfederation.org/smoke-archive/page-71</t>
        </is>
      </c>
      <c r="B74" s="30" t="inlineStr">
        <is>
          <t>Technical | Indexability | Performance | Search Console</t>
        </is>
      </c>
      <c r="C74" s="32" t="n">
        <v>200</v>
      </c>
      <c r="D74" s="30" t="inlineStr">
        <is>
          <t>Warning</t>
        </is>
      </c>
      <c r="E74" s="30" t="n">
        <v>80</v>
      </c>
      <c r="F74" s="30" t="inlineStr">
        <is>
          <t>Non-Pass</t>
        </is>
      </c>
      <c r="G74" s="30" t="n">
        <v>0</v>
      </c>
      <c r="H74" s="30" t="n">
        <v>1</v>
      </c>
      <c r="I74" s="30" t="inlineStr">
        <is>
          <t>complete</t>
        </is>
      </c>
      <c r="J74" s="30" t="inlineStr">
        <is>
          <t>rendered_browser</t>
        </is>
      </c>
      <c r="K74" s="30" t="inlineStr"/>
      <c r="L74" s="30" t="inlineStr">
        <is>
          <t>self</t>
        </is>
      </c>
      <c r="M74" s="30" t="n">
        <v>0</v>
      </c>
      <c r="N74" s="32" t="b">
        <v>0</v>
      </c>
      <c r="O74" s="30" t="inlineStr"/>
      <c r="P74" s="30" t="inlineStr"/>
      <c r="Q74" s="30" t="inlineStr"/>
      <c r="R74" s="30" t="n">
        <v>88</v>
      </c>
      <c r="S74" s="30" t="n">
        <v>88</v>
      </c>
      <c r="T74" s="30" t="n">
        <v>2.4</v>
      </c>
      <c r="U74" s="30" t="n">
        <v>0.04</v>
      </c>
      <c r="V74" s="30" t="n">
        <v>0.4</v>
      </c>
      <c r="W74" s="30" t="inlineStr">
        <is>
          <t>None</t>
        </is>
      </c>
      <c r="X74" s="30" t="n">
        <v>2.4</v>
      </c>
      <c r="Y74" s="30" t="n">
        <v>180</v>
      </c>
      <c r="Z74" s="30" t="n">
        <v>1.8</v>
      </c>
      <c r="AA74" s="30" t="n">
        <v>0.04</v>
      </c>
      <c r="AB74" s="30" t="n">
        <v>400</v>
      </c>
      <c r="AC74" s="30" t="n">
        <v>85</v>
      </c>
      <c r="AD74" s="30" t="n">
        <v>82</v>
      </c>
      <c r="AE74" s="30" t="n">
        <v>92</v>
      </c>
      <c r="AF74" s="30" t="n">
        <v>2.4</v>
      </c>
      <c r="AG74" s="30" t="n">
        <v>180</v>
      </c>
      <c r="AH74" s="30" t="n">
        <v>88</v>
      </c>
      <c r="AI74" s="30" t="n">
        <v>500</v>
      </c>
      <c r="AJ74" s="30" t="n">
        <v>842</v>
      </c>
      <c r="AK74" s="30" t="n">
        <v>1250</v>
      </c>
      <c r="AL74" s="30" t="n">
        <v>1</v>
      </c>
      <c r="AM74" s="30" t="inlineStr"/>
      <c r="AN74" s="30" t="inlineStr"/>
      <c r="AO74" s="76" t="inlineStr">
        <is>
          <t>https://africanmarketingconfederation.org/smoke-archive/page-71</t>
        </is>
      </c>
      <c r="AP74" s="76" t="inlineStr">
        <is>
          <t>https://africanmarketingconfederation.org/smoke-archive/page-71</t>
        </is>
      </c>
      <c r="AQ74" s="30" t="inlineStr"/>
      <c r="AR74" s="30" t="inlineStr"/>
      <c r="AS74" s="30" t="inlineStr"/>
      <c r="AT74" s="30" t="inlineStr"/>
      <c r="AU74" s="30" t="inlineStr"/>
      <c r="AV74" s="76" t="inlineStr"/>
      <c r="AW74" s="30" t="n">
        <v>72</v>
      </c>
      <c r="AX74" s="30" t="b">
        <v>0</v>
      </c>
      <c r="AY74" s="30" t="inlineStr">
        <is>
          <t>Technical | Indexability | PSI Performance | Search Console</t>
        </is>
      </c>
      <c r="AZ74" s="30" t="n">
        <v>0</v>
      </c>
      <c r="BA74" s="30" t="b">
        <v>0</v>
      </c>
      <c r="BB74" s="30" t="b">
        <v>0</v>
      </c>
      <c r="BC74" s="30" t="inlineStr"/>
      <c r="BD74" s="30" t="inlineStr"/>
      <c r="BE74" s="76" t="inlineStr"/>
      <c r="BF74" s="30" t="inlineStr">
        <is>
          <t>Not Declared</t>
        </is>
      </c>
      <c r="BG74" s="30" t="b">
        <v>1</v>
      </c>
      <c r="BH74" s="38">
        <f>IFERROR(HYPERLINK("#'Main'!B"&amp;MATCH(TRIM(A74),'Main'!B:B,0),"Open"),HYPERLINK("#'Main'!B1","Open"))</f>
        <v/>
      </c>
    </row>
    <row r="75" ht="18" customHeight="1">
      <c r="A75" s="35" t="inlineStr">
        <is>
          <t>https://africanmarketingconfederation.org/smoke-archive/page-72</t>
        </is>
      </c>
      <c r="B75" s="28" t="inlineStr">
        <is>
          <t>Technical | Indexability | Performance | Search Console</t>
        </is>
      </c>
      <c r="C75" s="32" t="n">
        <v>200</v>
      </c>
      <c r="D75" s="28" t="inlineStr">
        <is>
          <t>Critical</t>
        </is>
      </c>
      <c r="E75" s="28" t="n">
        <v>35</v>
      </c>
      <c r="F75" s="28" t="inlineStr">
        <is>
          <t>Non-Pass</t>
        </is>
      </c>
      <c r="G75" s="28" t="n">
        <v>1</v>
      </c>
      <c r="H75" s="28" t="n">
        <v>3</v>
      </c>
      <c r="I75" s="28" t="inlineStr">
        <is>
          <t>complete</t>
        </is>
      </c>
      <c r="J75" s="28" t="inlineStr">
        <is>
          <t>rendered_browser</t>
        </is>
      </c>
      <c r="K75" s="28" t="inlineStr"/>
      <c r="L75" s="28" t="inlineStr">
        <is>
          <t>self</t>
        </is>
      </c>
      <c r="M75" s="28" t="n">
        <v>0</v>
      </c>
      <c r="N75" s="32" t="b">
        <v>0</v>
      </c>
      <c r="O75" s="28" t="inlineStr"/>
      <c r="P75" s="28" t="inlineStr"/>
      <c r="Q75" s="28" t="inlineStr"/>
      <c r="R75" s="28" t="n">
        <v>88</v>
      </c>
      <c r="S75" s="28" t="n">
        <v>88</v>
      </c>
      <c r="T75" s="28" t="n">
        <v>2.4</v>
      </c>
      <c r="U75" s="28" t="n">
        <v>0.04</v>
      </c>
      <c r="V75" s="28" t="n">
        <v>0.4</v>
      </c>
      <c r="W75" s="28" t="inlineStr">
        <is>
          <t>None</t>
        </is>
      </c>
      <c r="X75" s="28" t="n">
        <v>2.4</v>
      </c>
      <c r="Y75" s="28" t="n">
        <v>180</v>
      </c>
      <c r="Z75" s="28" t="n">
        <v>1.8</v>
      </c>
      <c r="AA75" s="28" t="n">
        <v>0.04</v>
      </c>
      <c r="AB75" s="28" t="n">
        <v>400</v>
      </c>
      <c r="AC75" s="28" t="n">
        <v>85</v>
      </c>
      <c r="AD75" s="28" t="n">
        <v>82</v>
      </c>
      <c r="AE75" s="28" t="n">
        <v>92</v>
      </c>
      <c r="AF75" s="28" t="n">
        <v>2.4</v>
      </c>
      <c r="AG75" s="28" t="n">
        <v>180</v>
      </c>
      <c r="AH75" s="28" t="n">
        <v>88</v>
      </c>
      <c r="AI75" s="28" t="n">
        <v>500</v>
      </c>
      <c r="AJ75" s="28" t="n">
        <v>842</v>
      </c>
      <c r="AK75" s="28" t="n">
        <v>1250</v>
      </c>
      <c r="AL75" s="28" t="n">
        <v>1</v>
      </c>
      <c r="AM75" s="28" t="inlineStr"/>
      <c r="AN75" s="28" t="inlineStr"/>
      <c r="AO75" s="74" t="inlineStr">
        <is>
          <t>https://africanmarketingconfederation.org/smoke-archive/page-72</t>
        </is>
      </c>
      <c r="AP75" s="74" t="inlineStr">
        <is>
          <t>https://africanmarketingconfederation.org/smoke-archive/page-72</t>
        </is>
      </c>
      <c r="AQ75" s="28" t="inlineStr"/>
      <c r="AR75" s="28" t="inlineStr"/>
      <c r="AS75" s="28" t="inlineStr"/>
      <c r="AT75" s="28" t="inlineStr"/>
      <c r="AU75" s="28" t="inlineStr"/>
      <c r="AV75" s="74" t="inlineStr"/>
      <c r="AW75" s="28" t="n">
        <v>73</v>
      </c>
      <c r="AX75" s="28" t="b">
        <v>0</v>
      </c>
      <c r="AY75" s="28" t="inlineStr">
        <is>
          <t>Technical | Indexability | PSI Performance | Search Console</t>
        </is>
      </c>
      <c r="AZ75" s="28" t="n">
        <v>0</v>
      </c>
      <c r="BA75" s="28" t="b">
        <v>0</v>
      </c>
      <c r="BB75" s="28" t="b">
        <v>0</v>
      </c>
      <c r="BC75" s="28" t="inlineStr"/>
      <c r="BD75" s="28" t="inlineStr"/>
      <c r="BE75" s="74" t="inlineStr"/>
      <c r="BF75" s="28" t="inlineStr">
        <is>
          <t>Not Declared</t>
        </is>
      </c>
      <c r="BG75" s="28" t="b">
        <v>1</v>
      </c>
      <c r="BH75">
        <f>IFERROR(HYPERLINK("#'Main'!B"&amp;MATCH(TRIM(A75),'Main'!B:B,0),"Open"),HYPERLINK("#'Main'!B1","Open"))</f>
        <v/>
      </c>
    </row>
    <row r="76" ht="18" customHeight="1">
      <c r="A76" s="37" t="inlineStr">
        <is>
          <t>https://africanmarketingconfederation.org/smoke-archive/page-73</t>
        </is>
      </c>
      <c r="B76" s="30" t="inlineStr">
        <is>
          <t>Technical | Indexability | Performance | Search Console</t>
        </is>
      </c>
      <c r="C76" s="32" t="n">
        <v>200</v>
      </c>
      <c r="D76" s="30" t="inlineStr">
        <is>
          <t>Warning</t>
        </is>
      </c>
      <c r="E76" s="30" t="n">
        <v>80</v>
      </c>
      <c r="F76" s="30" t="inlineStr">
        <is>
          <t>Non-Pass</t>
        </is>
      </c>
      <c r="G76" s="30" t="n">
        <v>0</v>
      </c>
      <c r="H76" s="30" t="n">
        <v>1</v>
      </c>
      <c r="I76" s="30" t="inlineStr">
        <is>
          <t>complete</t>
        </is>
      </c>
      <c r="J76" s="30" t="inlineStr">
        <is>
          <t>rendered_browser</t>
        </is>
      </c>
      <c r="K76" s="30" t="inlineStr"/>
      <c r="L76" s="30" t="inlineStr">
        <is>
          <t>self</t>
        </is>
      </c>
      <c r="M76" s="30" t="n">
        <v>0</v>
      </c>
      <c r="N76" s="32" t="b">
        <v>0</v>
      </c>
      <c r="O76" s="30" t="inlineStr"/>
      <c r="P76" s="30" t="inlineStr"/>
      <c r="Q76" s="30" t="inlineStr"/>
      <c r="R76" s="30" t="n">
        <v>88</v>
      </c>
      <c r="S76" s="30" t="n">
        <v>88</v>
      </c>
      <c r="T76" s="30" t="n">
        <v>2.4</v>
      </c>
      <c r="U76" s="30" t="n">
        <v>0.04</v>
      </c>
      <c r="V76" s="30" t="n">
        <v>0.4</v>
      </c>
      <c r="W76" s="30" t="inlineStr">
        <is>
          <t>None</t>
        </is>
      </c>
      <c r="X76" s="30" t="n">
        <v>2.4</v>
      </c>
      <c r="Y76" s="30" t="n">
        <v>180</v>
      </c>
      <c r="Z76" s="30" t="n">
        <v>1.8</v>
      </c>
      <c r="AA76" s="30" t="n">
        <v>0.04</v>
      </c>
      <c r="AB76" s="30" t="n">
        <v>400</v>
      </c>
      <c r="AC76" s="30" t="n">
        <v>85</v>
      </c>
      <c r="AD76" s="30" t="n">
        <v>82</v>
      </c>
      <c r="AE76" s="30" t="n">
        <v>92</v>
      </c>
      <c r="AF76" s="30" t="n">
        <v>2.4</v>
      </c>
      <c r="AG76" s="30" t="n">
        <v>180</v>
      </c>
      <c r="AH76" s="30" t="n">
        <v>88</v>
      </c>
      <c r="AI76" s="30" t="n">
        <v>500</v>
      </c>
      <c r="AJ76" s="30" t="n">
        <v>842</v>
      </c>
      <c r="AK76" s="30" t="n">
        <v>1250</v>
      </c>
      <c r="AL76" s="30" t="n">
        <v>1</v>
      </c>
      <c r="AM76" s="30" t="inlineStr"/>
      <c r="AN76" s="30" t="inlineStr"/>
      <c r="AO76" s="76" t="inlineStr">
        <is>
          <t>https://africanmarketingconfederation.org/smoke-archive/page-73</t>
        </is>
      </c>
      <c r="AP76" s="76" t="inlineStr">
        <is>
          <t>https://africanmarketingconfederation.org/smoke-archive/page-73</t>
        </is>
      </c>
      <c r="AQ76" s="30" t="inlineStr"/>
      <c r="AR76" s="30" t="inlineStr"/>
      <c r="AS76" s="30" t="inlineStr"/>
      <c r="AT76" s="30" t="inlineStr"/>
      <c r="AU76" s="30" t="inlineStr"/>
      <c r="AV76" s="76" t="inlineStr"/>
      <c r="AW76" s="30" t="n">
        <v>74</v>
      </c>
      <c r="AX76" s="30" t="b">
        <v>0</v>
      </c>
      <c r="AY76" s="30" t="inlineStr">
        <is>
          <t>Technical | Indexability | PSI Performance | Search Console</t>
        </is>
      </c>
      <c r="AZ76" s="30" t="n">
        <v>0</v>
      </c>
      <c r="BA76" s="30" t="b">
        <v>0</v>
      </c>
      <c r="BB76" s="30" t="b">
        <v>0</v>
      </c>
      <c r="BC76" s="30" t="inlineStr"/>
      <c r="BD76" s="30" t="inlineStr"/>
      <c r="BE76" s="76" t="inlineStr"/>
      <c r="BF76" s="30" t="inlineStr">
        <is>
          <t>Not Declared</t>
        </is>
      </c>
      <c r="BG76" s="30" t="b">
        <v>1</v>
      </c>
      <c r="BH76" s="38">
        <f>IFERROR(HYPERLINK("#'Main'!B"&amp;MATCH(TRIM(A76),'Main'!B:B,0),"Open"),HYPERLINK("#'Main'!B1","Open"))</f>
        <v/>
      </c>
    </row>
    <row r="77" ht="18" customHeight="1">
      <c r="A77" s="35" t="inlineStr">
        <is>
          <t>https://africanmarketingconfederation.org/smoke-archive/page-74</t>
        </is>
      </c>
      <c r="B77" s="28" t="inlineStr">
        <is>
          <t>Technical | Indexability | Performance | Search Console</t>
        </is>
      </c>
      <c r="C77" s="32" t="n">
        <v>200</v>
      </c>
      <c r="D77" s="28" t="inlineStr">
        <is>
          <t>Warning</t>
        </is>
      </c>
      <c r="E77" s="28" t="n">
        <v>80</v>
      </c>
      <c r="F77" s="28" t="inlineStr">
        <is>
          <t>Non-Pass</t>
        </is>
      </c>
      <c r="G77" s="28" t="n">
        <v>0</v>
      </c>
      <c r="H77" s="28" t="n">
        <v>1</v>
      </c>
      <c r="I77" s="28" t="inlineStr">
        <is>
          <t>complete</t>
        </is>
      </c>
      <c r="J77" s="28" t="inlineStr">
        <is>
          <t>rendered_browser</t>
        </is>
      </c>
      <c r="K77" s="28" t="inlineStr"/>
      <c r="L77" s="28" t="inlineStr">
        <is>
          <t>self</t>
        </is>
      </c>
      <c r="M77" s="28" t="n">
        <v>0</v>
      </c>
      <c r="N77" s="32" t="b">
        <v>0</v>
      </c>
      <c r="O77" s="28" t="inlineStr"/>
      <c r="P77" s="28" t="inlineStr"/>
      <c r="Q77" s="28" t="inlineStr"/>
      <c r="R77" s="28" t="n">
        <v>88</v>
      </c>
      <c r="S77" s="28" t="n">
        <v>88</v>
      </c>
      <c r="T77" s="28" t="n">
        <v>2.4</v>
      </c>
      <c r="U77" s="28" t="n">
        <v>0.04</v>
      </c>
      <c r="V77" s="28" t="n">
        <v>0.4</v>
      </c>
      <c r="W77" s="28" t="inlineStr">
        <is>
          <t>None</t>
        </is>
      </c>
      <c r="X77" s="28" t="n">
        <v>2.4</v>
      </c>
      <c r="Y77" s="28" t="n">
        <v>180</v>
      </c>
      <c r="Z77" s="28" t="n">
        <v>1.8</v>
      </c>
      <c r="AA77" s="28" t="n">
        <v>0.04</v>
      </c>
      <c r="AB77" s="28" t="n">
        <v>400</v>
      </c>
      <c r="AC77" s="28" t="n">
        <v>85</v>
      </c>
      <c r="AD77" s="28" t="n">
        <v>82</v>
      </c>
      <c r="AE77" s="28" t="n">
        <v>92</v>
      </c>
      <c r="AF77" s="28" t="n">
        <v>2.4</v>
      </c>
      <c r="AG77" s="28" t="n">
        <v>180</v>
      </c>
      <c r="AH77" s="28" t="n">
        <v>88</v>
      </c>
      <c r="AI77" s="28" t="n">
        <v>500</v>
      </c>
      <c r="AJ77" s="28" t="n">
        <v>842</v>
      </c>
      <c r="AK77" s="28" t="n">
        <v>1250</v>
      </c>
      <c r="AL77" s="28" t="n">
        <v>1</v>
      </c>
      <c r="AM77" s="28" t="inlineStr"/>
      <c r="AN77" s="28" t="inlineStr"/>
      <c r="AO77" s="74" t="inlineStr">
        <is>
          <t>https://africanmarketingconfederation.org/smoke-archive/page-74</t>
        </is>
      </c>
      <c r="AP77" s="74" t="inlineStr">
        <is>
          <t>https://africanmarketingconfederation.org/smoke-archive/page-74</t>
        </is>
      </c>
      <c r="AQ77" s="28" t="inlineStr"/>
      <c r="AR77" s="28" t="inlineStr"/>
      <c r="AS77" s="28" t="inlineStr"/>
      <c r="AT77" s="28" t="inlineStr"/>
      <c r="AU77" s="28" t="inlineStr"/>
      <c r="AV77" s="74" t="inlineStr"/>
      <c r="AW77" s="28" t="n">
        <v>75</v>
      </c>
      <c r="AX77" s="28" t="b">
        <v>0</v>
      </c>
      <c r="AY77" s="28" t="inlineStr">
        <is>
          <t>Technical | Indexability | PSI Performance | Search Console</t>
        </is>
      </c>
      <c r="AZ77" s="28" t="n">
        <v>0</v>
      </c>
      <c r="BA77" s="28" t="b">
        <v>0</v>
      </c>
      <c r="BB77" s="28" t="b">
        <v>0</v>
      </c>
      <c r="BC77" s="28" t="inlineStr"/>
      <c r="BD77" s="28" t="inlineStr"/>
      <c r="BE77" s="74" t="inlineStr"/>
      <c r="BF77" s="28" t="inlineStr">
        <is>
          <t>Not Declared</t>
        </is>
      </c>
      <c r="BG77" s="28" t="b">
        <v>1</v>
      </c>
      <c r="BH77">
        <f>IFERROR(HYPERLINK("#'Main'!B"&amp;MATCH(TRIM(A77),'Main'!B:B,0),"Open"),HYPERLINK("#'Main'!B1","Open"))</f>
        <v/>
      </c>
    </row>
    <row r="78" ht="18" customHeight="1">
      <c r="A78" s="37" t="inlineStr">
        <is>
          <t>https://africanmarketingconfederation.org/smoke-archive/page-75</t>
        </is>
      </c>
      <c r="B78" s="30" t="inlineStr">
        <is>
          <t>Technical | Indexability | Performance | Search Console</t>
        </is>
      </c>
      <c r="C78" s="32" t="n">
        <v>200</v>
      </c>
      <c r="D78" s="30" t="inlineStr">
        <is>
          <t>Warning</t>
        </is>
      </c>
      <c r="E78" s="30" t="n">
        <v>60</v>
      </c>
      <c r="F78" s="30" t="inlineStr">
        <is>
          <t>Non-Pass</t>
        </is>
      </c>
      <c r="G78" s="30" t="n">
        <v>0</v>
      </c>
      <c r="H78" s="30" t="n">
        <v>3</v>
      </c>
      <c r="I78" s="30" t="inlineStr">
        <is>
          <t>complete</t>
        </is>
      </c>
      <c r="J78" s="30" t="inlineStr">
        <is>
          <t>rendered_browser</t>
        </is>
      </c>
      <c r="K78" s="30" t="inlineStr"/>
      <c r="L78" s="30" t="inlineStr">
        <is>
          <t>self</t>
        </is>
      </c>
      <c r="M78" s="30" t="n">
        <v>0</v>
      </c>
      <c r="N78" s="32" t="b">
        <v>0</v>
      </c>
      <c r="O78" s="30" t="inlineStr"/>
      <c r="P78" s="30" t="inlineStr"/>
      <c r="Q78" s="30" t="inlineStr"/>
      <c r="R78" s="30" t="n">
        <v>88</v>
      </c>
      <c r="S78" s="30" t="n">
        <v>88</v>
      </c>
      <c r="T78" s="30" t="n">
        <v>2.4</v>
      </c>
      <c r="U78" s="30" t="n">
        <v>0.04</v>
      </c>
      <c r="V78" s="30" t="n">
        <v>0.4</v>
      </c>
      <c r="W78" s="30" t="inlineStr">
        <is>
          <t>None</t>
        </is>
      </c>
      <c r="X78" s="30" t="n">
        <v>2.4</v>
      </c>
      <c r="Y78" s="30" t="n">
        <v>180</v>
      </c>
      <c r="Z78" s="30" t="n">
        <v>1.8</v>
      </c>
      <c r="AA78" s="30" t="n">
        <v>0.04</v>
      </c>
      <c r="AB78" s="30" t="n">
        <v>400</v>
      </c>
      <c r="AC78" s="30" t="n">
        <v>85</v>
      </c>
      <c r="AD78" s="30" t="n">
        <v>82</v>
      </c>
      <c r="AE78" s="30" t="n">
        <v>92</v>
      </c>
      <c r="AF78" s="30" t="n">
        <v>2.4</v>
      </c>
      <c r="AG78" s="30" t="n">
        <v>180</v>
      </c>
      <c r="AH78" s="30" t="n">
        <v>88</v>
      </c>
      <c r="AI78" s="30" t="n">
        <v>500</v>
      </c>
      <c r="AJ78" s="30" t="n">
        <v>842</v>
      </c>
      <c r="AK78" s="30" t="n">
        <v>1250</v>
      </c>
      <c r="AL78" s="30" t="n">
        <v>1</v>
      </c>
      <c r="AM78" s="30" t="inlineStr"/>
      <c r="AN78" s="30" t="inlineStr"/>
      <c r="AO78" s="76" t="inlineStr">
        <is>
          <t>https://africanmarketingconfederation.org/smoke-archive/page-75</t>
        </is>
      </c>
      <c r="AP78" s="76" t="inlineStr">
        <is>
          <t>https://africanmarketingconfederation.org/smoke-archive/page-75</t>
        </is>
      </c>
      <c r="AQ78" s="30" t="inlineStr"/>
      <c r="AR78" s="30" t="inlineStr"/>
      <c r="AS78" s="30" t="inlineStr"/>
      <c r="AT78" s="30" t="inlineStr"/>
      <c r="AU78" s="30" t="inlineStr"/>
      <c r="AV78" s="76" t="inlineStr"/>
      <c r="AW78" s="30" t="n">
        <v>76</v>
      </c>
      <c r="AX78" s="30" t="b">
        <v>0</v>
      </c>
      <c r="AY78" s="30" t="inlineStr">
        <is>
          <t>Technical | Indexability | PSI Performance | Search Console</t>
        </is>
      </c>
      <c r="AZ78" s="30" t="n">
        <v>0</v>
      </c>
      <c r="BA78" s="30" t="b">
        <v>0</v>
      </c>
      <c r="BB78" s="30" t="b">
        <v>0</v>
      </c>
      <c r="BC78" s="30" t="inlineStr"/>
      <c r="BD78" s="30" t="inlineStr"/>
      <c r="BE78" s="76" t="inlineStr"/>
      <c r="BF78" s="30" t="inlineStr">
        <is>
          <t>Not Declared</t>
        </is>
      </c>
      <c r="BG78" s="30" t="b">
        <v>1</v>
      </c>
      <c r="BH78" s="38">
        <f>IFERROR(HYPERLINK("#'Main'!B"&amp;MATCH(TRIM(A78),'Main'!B:B,0),"Open"),HYPERLINK("#'Main'!B1","Open"))</f>
        <v/>
      </c>
    </row>
    <row r="79" ht="18" customHeight="1">
      <c r="A79" s="35" t="inlineStr">
        <is>
          <t>https://africanmarketingconfederation.org/smoke-archive/page-76</t>
        </is>
      </c>
      <c r="B79" s="28" t="inlineStr">
        <is>
          <t>Technical | Indexability | Performance | Search Console</t>
        </is>
      </c>
      <c r="C79" s="32" t="n">
        <v>200</v>
      </c>
      <c r="D79" s="28" t="inlineStr">
        <is>
          <t>Observation</t>
        </is>
      </c>
      <c r="E79" s="28" t="n">
        <v>90</v>
      </c>
      <c r="F79" s="28" t="inlineStr">
        <is>
          <t>Non-Pass</t>
        </is>
      </c>
      <c r="G79" s="28" t="n">
        <v>0</v>
      </c>
      <c r="H79" s="28" t="n">
        <v>0</v>
      </c>
      <c r="I79" s="28" t="inlineStr">
        <is>
          <t>partial</t>
        </is>
      </c>
      <c r="J79" s="28" t="inlineStr">
        <is>
          <t>rendered_browser</t>
        </is>
      </c>
      <c r="K79" s="28" t="inlineStr"/>
      <c r="L79" s="28" t="inlineStr">
        <is>
          <t>self</t>
        </is>
      </c>
      <c r="M79" s="28" t="n">
        <v>0</v>
      </c>
      <c r="N79" s="32" t="b">
        <v>0</v>
      </c>
      <c r="O79" s="28" t="inlineStr"/>
      <c r="P79" s="28" t="inlineStr"/>
      <c r="Q79" s="28" t="inlineStr"/>
      <c r="R79" s="28" t="n">
        <v>88</v>
      </c>
      <c r="S79" s="28" t="n">
        <v>88</v>
      </c>
      <c r="T79" s="28" t="n">
        <v>2.4</v>
      </c>
      <c r="U79" s="28" t="n">
        <v>0.04</v>
      </c>
      <c r="V79" s="28" t="n">
        <v>0.4</v>
      </c>
      <c r="W79" s="28" t="inlineStr">
        <is>
          <t>None</t>
        </is>
      </c>
      <c r="X79" s="28" t="n">
        <v>2.4</v>
      </c>
      <c r="Y79" s="28" t="n">
        <v>180</v>
      </c>
      <c r="Z79" s="28" t="n">
        <v>1.8</v>
      </c>
      <c r="AA79" s="28" t="n">
        <v>0.04</v>
      </c>
      <c r="AB79" s="28" t="n">
        <v>400</v>
      </c>
      <c r="AC79" s="28" t="n">
        <v>85</v>
      </c>
      <c r="AD79" s="28" t="n">
        <v>82</v>
      </c>
      <c r="AE79" s="28" t="n">
        <v>92</v>
      </c>
      <c r="AF79" s="28" t="n">
        <v>2.4</v>
      </c>
      <c r="AG79" s="28" t="n">
        <v>180</v>
      </c>
      <c r="AH79" s="28" t="n">
        <v>88</v>
      </c>
      <c r="AI79" s="28" t="n">
        <v>500</v>
      </c>
      <c r="AJ79" s="28" t="n">
        <v>842</v>
      </c>
      <c r="AK79" s="28" t="n">
        <v>1250</v>
      </c>
      <c r="AL79" s="28" t="n">
        <v>1</v>
      </c>
      <c r="AM79" s="28" t="inlineStr"/>
      <c r="AN79" s="28" t="inlineStr"/>
      <c r="AO79" s="74" t="inlineStr">
        <is>
          <t>https://africanmarketingconfederation.org/smoke-archive/page-76</t>
        </is>
      </c>
      <c r="AP79" s="74" t="inlineStr">
        <is>
          <t>https://africanmarketingconfederation.org/smoke-archive/page-76</t>
        </is>
      </c>
      <c r="AQ79" s="28" t="inlineStr"/>
      <c r="AR79" s="28" t="inlineStr"/>
      <c r="AS79" s="28" t="inlineStr"/>
      <c r="AT79" s="28" t="inlineStr"/>
      <c r="AU79" s="28" t="inlineStr"/>
      <c r="AV79" s="74" t="inlineStr"/>
      <c r="AW79" s="28" t="n">
        <v>77</v>
      </c>
      <c r="AX79" s="28" t="b">
        <v>0</v>
      </c>
      <c r="AY79" s="28" t="inlineStr">
        <is>
          <t>Technical | Indexability | PSI Performance | Search Console</t>
        </is>
      </c>
      <c r="AZ79" s="28" t="n">
        <v>0</v>
      </c>
      <c r="BA79" s="28" t="b">
        <v>0</v>
      </c>
      <c r="BB79" s="28" t="b">
        <v>0</v>
      </c>
      <c r="BC79" s="28" t="inlineStr"/>
      <c r="BD79" s="28" t="inlineStr"/>
      <c r="BE79" s="74" t="inlineStr"/>
      <c r="BF79" s="28" t="inlineStr">
        <is>
          <t>Not Declared</t>
        </is>
      </c>
      <c r="BG79" s="28" t="b">
        <v>1</v>
      </c>
      <c r="BH79">
        <f>IFERROR(HYPERLINK("#'Main'!B"&amp;MATCH(TRIM(A79),'Main'!B:B,0),"Open"),HYPERLINK("#'Main'!B1","Open"))</f>
        <v/>
      </c>
    </row>
    <row r="80" ht="18" customHeight="1">
      <c r="A80" s="37" t="inlineStr">
        <is>
          <t>https://africanmarketingconfederation.org/smoke-archive/page-77</t>
        </is>
      </c>
      <c r="B80" s="30" t="inlineStr">
        <is>
          <t>Technical | Indexability | Redirect | Performance | Search Console</t>
        </is>
      </c>
      <c r="C80" s="40" t="n">
        <v>301</v>
      </c>
      <c r="D80" s="30" t="inlineStr">
        <is>
          <t>Warning</t>
        </is>
      </c>
      <c r="E80" s="30" t="n">
        <v>70</v>
      </c>
      <c r="F80" s="30" t="inlineStr">
        <is>
          <t>Non-Pass</t>
        </is>
      </c>
      <c r="G80" s="30" t="n">
        <v>0</v>
      </c>
      <c r="H80" s="30" t="n">
        <v>2</v>
      </c>
      <c r="I80" s="30" t="inlineStr">
        <is>
          <t>complete</t>
        </is>
      </c>
      <c r="J80" s="30" t="inlineStr">
        <is>
          <t>rendered_browser</t>
        </is>
      </c>
      <c r="K80" s="30" t="inlineStr"/>
      <c r="L80" s="30" t="inlineStr"/>
      <c r="M80" s="30" t="n">
        <v>1</v>
      </c>
      <c r="N80" s="32" t="b">
        <v>0</v>
      </c>
      <c r="O80" s="30" t="inlineStr"/>
      <c r="P80" s="30" t="inlineStr"/>
      <c r="Q80" s="30" t="inlineStr"/>
      <c r="R80" s="30" t="n">
        <v>88</v>
      </c>
      <c r="S80" s="30" t="n">
        <v>88</v>
      </c>
      <c r="T80" s="30" t="n">
        <v>2.4</v>
      </c>
      <c r="U80" s="30" t="n">
        <v>0.04</v>
      </c>
      <c r="V80" s="30" t="n">
        <v>0.4</v>
      </c>
      <c r="W80" s="30" t="inlineStr">
        <is>
          <t>None</t>
        </is>
      </c>
      <c r="X80" s="30" t="n">
        <v>2.4</v>
      </c>
      <c r="Y80" s="30" t="n">
        <v>180</v>
      </c>
      <c r="Z80" s="30" t="n">
        <v>1.8</v>
      </c>
      <c r="AA80" s="30" t="n">
        <v>0.04</v>
      </c>
      <c r="AB80" s="30" t="n">
        <v>400</v>
      </c>
      <c r="AC80" s="30" t="n">
        <v>85</v>
      </c>
      <c r="AD80" s="30" t="n">
        <v>82</v>
      </c>
      <c r="AE80" s="30" t="n">
        <v>92</v>
      </c>
      <c r="AF80" s="30" t="n">
        <v>2.4</v>
      </c>
      <c r="AG80" s="30" t="n">
        <v>180</v>
      </c>
      <c r="AH80" s="30" t="n">
        <v>88</v>
      </c>
      <c r="AI80" s="30" t="n">
        <v>500</v>
      </c>
      <c r="AJ80" s="30" t="n">
        <v>842</v>
      </c>
      <c r="AK80" s="30" t="n">
        <v>1250</v>
      </c>
      <c r="AL80" s="30" t="n">
        <v>1</v>
      </c>
      <c r="AM80" s="30" t="inlineStr"/>
      <c r="AN80" s="30" t="inlineStr"/>
      <c r="AO80" s="76" t="inlineStr">
        <is>
          <t>https://africanmarketingconfederation.org/smoke-archive/page-77-canonical/</t>
        </is>
      </c>
      <c r="AP80" s="76" t="inlineStr">
        <is>
          <t>https://africanmarketingconfederation.org/smoke-archive/page-77</t>
        </is>
      </c>
      <c r="AQ80" s="30" t="inlineStr"/>
      <c r="AR80" s="30" t="inlineStr"/>
      <c r="AS80" s="30" t="inlineStr"/>
      <c r="AT80" s="30" t="inlineStr"/>
      <c r="AU80" s="30" t="inlineStr"/>
      <c r="AV80" s="76" t="inlineStr"/>
      <c r="AW80" s="30" t="n">
        <v>78</v>
      </c>
      <c r="AX80" s="30" t="b">
        <v>0</v>
      </c>
      <c r="AY80" s="30" t="inlineStr">
        <is>
          <t>Technical | Indexability | Redirects | PSI Performance | Search Console</t>
        </is>
      </c>
      <c r="AZ80" s="30" t="n">
        <v>0</v>
      </c>
      <c r="BA80" s="30" t="b">
        <v>0</v>
      </c>
      <c r="BB80" s="30" t="b">
        <v>0</v>
      </c>
      <c r="BC80" s="30" t="inlineStr"/>
      <c r="BD80" s="30" t="inlineStr"/>
      <c r="BE80" s="76" t="inlineStr"/>
      <c r="BF80" s="30" t="inlineStr">
        <is>
          <t>Not Declared</t>
        </is>
      </c>
      <c r="BG80" s="30" t="b">
        <v>1</v>
      </c>
      <c r="BH80" s="38">
        <f>IFERROR(HYPERLINK("#'Main'!B"&amp;MATCH(TRIM(A80),'Main'!B:B,0),"Open"),HYPERLINK("#'Main'!B1","Open"))</f>
        <v/>
      </c>
    </row>
    <row r="81" ht="18" customHeight="1">
      <c r="A81" s="35" t="inlineStr">
        <is>
          <t>https://africanmarketingconfederation.org/smoke-archive/page-78</t>
        </is>
      </c>
      <c r="B81" s="28" t="inlineStr">
        <is>
          <t>Technical | Indexability | Performance | Search Console</t>
        </is>
      </c>
      <c r="C81" s="34" t="n">
        <v>404</v>
      </c>
      <c r="D81" s="28" t="inlineStr">
        <is>
          <t>Critical</t>
        </is>
      </c>
      <c r="E81" s="28" t="n">
        <v>0</v>
      </c>
      <c r="F81" s="28" t="inlineStr">
        <is>
          <t>Non-Pass</t>
        </is>
      </c>
      <c r="G81" s="28" t="n">
        <v>1</v>
      </c>
      <c r="H81" s="28" t="n">
        <v>0</v>
      </c>
      <c r="I81" s="28" t="inlineStr">
        <is>
          <t>complete</t>
        </is>
      </c>
      <c r="J81" s="28" t="inlineStr">
        <is>
          <t>rendered_browser</t>
        </is>
      </c>
      <c r="K81" s="28" t="inlineStr"/>
      <c r="L81" s="28" t="inlineStr"/>
      <c r="M81" s="28" t="n">
        <v>0</v>
      </c>
      <c r="N81" s="32" t="b">
        <v>0</v>
      </c>
      <c r="O81" s="28" t="inlineStr"/>
      <c r="P81" s="28" t="inlineStr"/>
      <c r="Q81" s="28" t="inlineStr"/>
      <c r="R81" s="28" t="n">
        <v>88</v>
      </c>
      <c r="S81" s="28" t="n">
        <v>88</v>
      </c>
      <c r="T81" s="28" t="n">
        <v>2.4</v>
      </c>
      <c r="U81" s="28" t="n">
        <v>0.04</v>
      </c>
      <c r="V81" s="28" t="n">
        <v>0.4</v>
      </c>
      <c r="W81" s="28" t="inlineStr">
        <is>
          <t>None</t>
        </is>
      </c>
      <c r="X81" s="28" t="n">
        <v>2.4</v>
      </c>
      <c r="Y81" s="28" t="n">
        <v>180</v>
      </c>
      <c r="Z81" s="28" t="n">
        <v>1.8</v>
      </c>
      <c r="AA81" s="28" t="n">
        <v>0.04</v>
      </c>
      <c r="AB81" s="28" t="n">
        <v>400</v>
      </c>
      <c r="AC81" s="28" t="n">
        <v>85</v>
      </c>
      <c r="AD81" s="28" t="n">
        <v>82</v>
      </c>
      <c r="AE81" s="28" t="n">
        <v>92</v>
      </c>
      <c r="AF81" s="28" t="n">
        <v>2.4</v>
      </c>
      <c r="AG81" s="28" t="n">
        <v>180</v>
      </c>
      <c r="AH81" s="28" t="n">
        <v>88</v>
      </c>
      <c r="AI81" s="28" t="n">
        <v>500</v>
      </c>
      <c r="AJ81" s="28" t="n">
        <v>842</v>
      </c>
      <c r="AK81" s="28" t="n">
        <v>1250</v>
      </c>
      <c r="AL81" s="28" t="n">
        <v>1</v>
      </c>
      <c r="AM81" s="28" t="inlineStr"/>
      <c r="AN81" s="28" t="inlineStr"/>
      <c r="AO81" s="74" t="inlineStr">
        <is>
          <t>https://africanmarketingconfederation.org/smoke-archive/page-78</t>
        </is>
      </c>
      <c r="AP81" s="74" t="inlineStr">
        <is>
          <t>https://africanmarketingconfederation.org/smoke-archive/page-78</t>
        </is>
      </c>
      <c r="AQ81" s="28" t="inlineStr"/>
      <c r="AR81" s="28" t="inlineStr"/>
      <c r="AS81" s="28" t="inlineStr"/>
      <c r="AT81" s="28" t="inlineStr"/>
      <c r="AU81" s="28" t="inlineStr"/>
      <c r="AV81" s="74" t="inlineStr"/>
      <c r="AW81" s="28" t="n">
        <v>79</v>
      </c>
      <c r="AX81" s="28" t="b">
        <v>0</v>
      </c>
      <c r="AY81" s="28" t="inlineStr">
        <is>
          <t>Technical | Indexability | PSI Performance | Search Console</t>
        </is>
      </c>
      <c r="AZ81" s="28" t="n">
        <v>0</v>
      </c>
      <c r="BA81" s="28" t="b">
        <v>0</v>
      </c>
      <c r="BB81" s="28" t="b">
        <v>0</v>
      </c>
      <c r="BC81" s="28" t="inlineStr"/>
      <c r="BD81" s="28" t="inlineStr"/>
      <c r="BE81" s="74" t="inlineStr"/>
      <c r="BF81" s="28" t="inlineStr">
        <is>
          <t>Not Declared</t>
        </is>
      </c>
      <c r="BG81" s="28" t="b">
        <v>1</v>
      </c>
      <c r="BH81">
        <f>IFERROR(HYPERLINK("#'Main'!B"&amp;MATCH(TRIM(A81),'Main'!B:B,0),"Open"),HYPERLINK("#'Main'!B1","Open"))</f>
        <v/>
      </c>
    </row>
    <row r="82" ht="18" customHeight="1">
      <c r="A82" s="37" t="inlineStr">
        <is>
          <t>https://africanmarketingconfederation.org/smoke-archive/page-79</t>
        </is>
      </c>
      <c r="B82" s="30" t="inlineStr">
        <is>
          <t>Technical | Indexability | Performance | Search Console</t>
        </is>
      </c>
      <c r="C82" s="32" t="n">
        <v>200</v>
      </c>
      <c r="D82" s="30" t="inlineStr">
        <is>
          <t>Warning</t>
        </is>
      </c>
      <c r="E82" s="30" t="n">
        <v>80</v>
      </c>
      <c r="F82" s="30" t="inlineStr">
        <is>
          <t>Non-Pass</t>
        </is>
      </c>
      <c r="G82" s="30" t="n">
        <v>0</v>
      </c>
      <c r="H82" s="30" t="n">
        <v>1</v>
      </c>
      <c r="I82" s="30" t="inlineStr">
        <is>
          <t>complete</t>
        </is>
      </c>
      <c r="J82" s="30" t="inlineStr">
        <is>
          <t>rendered_browser</t>
        </is>
      </c>
      <c r="K82" s="30" t="inlineStr"/>
      <c r="L82" s="30" t="inlineStr">
        <is>
          <t>self</t>
        </is>
      </c>
      <c r="M82" s="30" t="n">
        <v>0</v>
      </c>
      <c r="N82" s="32" t="b">
        <v>0</v>
      </c>
      <c r="O82" s="30" t="inlineStr"/>
      <c r="P82" s="30" t="inlineStr"/>
      <c r="Q82" s="30" t="inlineStr"/>
      <c r="R82" s="30" t="n">
        <v>88</v>
      </c>
      <c r="S82" s="30" t="n">
        <v>88</v>
      </c>
      <c r="T82" s="30" t="n">
        <v>2.4</v>
      </c>
      <c r="U82" s="30" t="n">
        <v>0.04</v>
      </c>
      <c r="V82" s="30" t="n">
        <v>0.4</v>
      </c>
      <c r="W82" s="30" t="inlineStr">
        <is>
          <t>None</t>
        </is>
      </c>
      <c r="X82" s="30" t="n">
        <v>2.4</v>
      </c>
      <c r="Y82" s="30" t="n">
        <v>180</v>
      </c>
      <c r="Z82" s="30" t="n">
        <v>1.8</v>
      </c>
      <c r="AA82" s="30" t="n">
        <v>0.04</v>
      </c>
      <c r="AB82" s="30" t="n">
        <v>400</v>
      </c>
      <c r="AC82" s="30" t="n">
        <v>85</v>
      </c>
      <c r="AD82" s="30" t="n">
        <v>82</v>
      </c>
      <c r="AE82" s="30" t="n">
        <v>92</v>
      </c>
      <c r="AF82" s="30" t="n">
        <v>2.4</v>
      </c>
      <c r="AG82" s="30" t="n">
        <v>180</v>
      </c>
      <c r="AH82" s="30" t="n">
        <v>88</v>
      </c>
      <c r="AI82" s="30" t="n">
        <v>500</v>
      </c>
      <c r="AJ82" s="30" t="n">
        <v>842</v>
      </c>
      <c r="AK82" s="30" t="n">
        <v>1250</v>
      </c>
      <c r="AL82" s="30" t="n">
        <v>1</v>
      </c>
      <c r="AM82" s="30" t="inlineStr"/>
      <c r="AN82" s="30" t="inlineStr"/>
      <c r="AO82" s="76" t="inlineStr">
        <is>
          <t>https://africanmarketingconfederation.org/smoke-archive/page-79</t>
        </is>
      </c>
      <c r="AP82" s="76" t="inlineStr">
        <is>
          <t>https://africanmarketingconfederation.org/smoke-archive/page-79</t>
        </is>
      </c>
      <c r="AQ82" s="30" t="inlineStr"/>
      <c r="AR82" s="30" t="inlineStr"/>
      <c r="AS82" s="30" t="inlineStr"/>
      <c r="AT82" s="30" t="inlineStr"/>
      <c r="AU82" s="30" t="inlineStr"/>
      <c r="AV82" s="76" t="inlineStr"/>
      <c r="AW82" s="30" t="n">
        <v>80</v>
      </c>
      <c r="AX82" s="30" t="b">
        <v>0</v>
      </c>
      <c r="AY82" s="30" t="inlineStr">
        <is>
          <t>Technical | Indexability | PSI Performance | Search Console</t>
        </is>
      </c>
      <c r="AZ82" s="30" t="n">
        <v>0</v>
      </c>
      <c r="BA82" s="30" t="b">
        <v>0</v>
      </c>
      <c r="BB82" s="30" t="b">
        <v>0</v>
      </c>
      <c r="BC82" s="30" t="inlineStr"/>
      <c r="BD82" s="30" t="inlineStr"/>
      <c r="BE82" s="76" t="inlineStr"/>
      <c r="BF82" s="30" t="inlineStr">
        <is>
          <t>Not Declared</t>
        </is>
      </c>
      <c r="BG82" s="30" t="b">
        <v>1</v>
      </c>
      <c r="BH82" s="38">
        <f>IFERROR(HYPERLINK("#'Main'!B"&amp;MATCH(TRIM(A82),'Main'!B:B,0),"Open"),HYPERLINK("#'Main'!B1","Open"))</f>
        <v/>
      </c>
    </row>
    <row r="83" ht="18" customHeight="1">
      <c r="A83" s="35" t="inlineStr">
        <is>
          <t>https://africanmarketingconfederation.org/discovered-via-bfs-1</t>
        </is>
      </c>
      <c r="B83" s="28" t="inlineStr">
        <is>
          <t>Technical | Indexability | Performance | Search Console</t>
        </is>
      </c>
      <c r="C83" s="32" t="n">
        <v>200</v>
      </c>
      <c r="D83" s="28" t="inlineStr">
        <is>
          <t>Warning</t>
        </is>
      </c>
      <c r="E83" s="28" t="n">
        <v>70</v>
      </c>
      <c r="F83" s="28" t="inlineStr">
        <is>
          <t>Non-Pass</t>
        </is>
      </c>
      <c r="G83" s="28" t="n">
        <v>0</v>
      </c>
      <c r="H83" s="28" t="n">
        <v>2</v>
      </c>
      <c r="I83" s="28" t="inlineStr">
        <is>
          <t>complete</t>
        </is>
      </c>
      <c r="J83" s="28" t="inlineStr">
        <is>
          <t>rendered_browser</t>
        </is>
      </c>
      <c r="K83" s="28" t="inlineStr"/>
      <c r="L83" s="28" t="inlineStr">
        <is>
          <t>self</t>
        </is>
      </c>
      <c r="M83" s="28" t="n">
        <v>0</v>
      </c>
      <c r="N83" s="32" t="b">
        <v>0</v>
      </c>
      <c r="O83" s="28" t="inlineStr"/>
      <c r="P83" s="28" t="inlineStr"/>
      <c r="Q83" s="28" t="inlineStr"/>
      <c r="R83" s="28" t="n">
        <v>88</v>
      </c>
      <c r="S83" s="28" t="n">
        <v>88</v>
      </c>
      <c r="T83" s="28" t="n">
        <v>2.4</v>
      </c>
      <c r="U83" s="28" t="n">
        <v>0.04</v>
      </c>
      <c r="V83" s="28" t="n">
        <v>0.4</v>
      </c>
      <c r="W83" s="28" t="inlineStr">
        <is>
          <t>None</t>
        </is>
      </c>
      <c r="X83" s="28" t="n">
        <v>2.4</v>
      </c>
      <c r="Y83" s="28" t="n">
        <v>180</v>
      </c>
      <c r="Z83" s="28" t="n">
        <v>1.8</v>
      </c>
      <c r="AA83" s="28" t="n">
        <v>0.04</v>
      </c>
      <c r="AB83" s="28" t="n">
        <v>400</v>
      </c>
      <c r="AC83" s="28" t="n">
        <v>85</v>
      </c>
      <c r="AD83" s="28" t="n">
        <v>82</v>
      </c>
      <c r="AE83" s="28" t="n">
        <v>92</v>
      </c>
      <c r="AF83" s="28" t="n">
        <v>2.4</v>
      </c>
      <c r="AG83" s="28" t="n">
        <v>180</v>
      </c>
      <c r="AH83" s="28" t="n">
        <v>88</v>
      </c>
      <c r="AI83" s="28" t="n">
        <v>500</v>
      </c>
      <c r="AJ83" s="28" t="n">
        <v>842</v>
      </c>
      <c r="AK83" s="28" t="n">
        <v>1250</v>
      </c>
      <c r="AL83" s="28" t="n">
        <v>1</v>
      </c>
      <c r="AM83" s="28" t="inlineStr"/>
      <c r="AN83" s="28" t="inlineStr"/>
      <c r="AO83" s="74" t="inlineStr">
        <is>
          <t>https://africanmarketingconfederation.org/discovered-via-bfs-1</t>
        </is>
      </c>
      <c r="AP83" s="74" t="inlineStr">
        <is>
          <t>https://africanmarketingconfederation.org/discovered-via-bfs-1</t>
        </is>
      </c>
      <c r="AQ83" s="28" t="inlineStr"/>
      <c r="AR83" s="28" t="inlineStr"/>
      <c r="AS83" s="28" t="inlineStr"/>
      <c r="AT83" s="28" t="inlineStr"/>
      <c r="AU83" s="28" t="inlineStr"/>
      <c r="AV83" s="74" t="inlineStr">
        <is>
          <t>https://africanmarketingconfederation.org/smoke-archive/page-1</t>
        </is>
      </c>
      <c r="AW83" s="28" t="n">
        <v>81</v>
      </c>
      <c r="AX83" s="28" t="b">
        <v>0</v>
      </c>
      <c r="AY83" s="28" t="inlineStr">
        <is>
          <t>Technical | Indexability | PSI Performance | Search Console</t>
        </is>
      </c>
      <c r="AZ83" s="28" t="n">
        <v>0</v>
      </c>
      <c r="BA83" s="28" t="b">
        <v>0</v>
      </c>
      <c r="BB83" s="28" t="b">
        <v>0</v>
      </c>
      <c r="BC83" s="28" t="inlineStr"/>
      <c r="BD83" s="28" t="inlineStr"/>
      <c r="BE83" s="74" t="inlineStr"/>
      <c r="BF83" s="28" t="inlineStr">
        <is>
          <t>Not Declared</t>
        </is>
      </c>
      <c r="BG83" s="28" t="b">
        <v>1</v>
      </c>
      <c r="BH83">
        <f>IFERROR(HYPERLINK("#'Main'!B"&amp;MATCH(TRIM(A83),'Main'!B:B,0),"Open"),HYPERLINK("#'Main'!B1","Open"))</f>
        <v/>
      </c>
    </row>
    <row r="84" ht="18" customHeight="1">
      <c r="A84" s="37" t="inlineStr">
        <is>
          <t>https://africanmarketingconfederation.org/discovered-via-bfs-2</t>
        </is>
      </c>
      <c r="B84" s="30" t="inlineStr">
        <is>
          <t>Technical | Indexability | Performance | Search Console</t>
        </is>
      </c>
      <c r="C84" s="32" t="n">
        <v>200</v>
      </c>
      <c r="D84" s="30" t="inlineStr">
        <is>
          <t>Warning</t>
        </is>
      </c>
      <c r="E84" s="30" t="n">
        <v>80</v>
      </c>
      <c r="F84" s="30" t="inlineStr">
        <is>
          <t>Non-Pass</t>
        </is>
      </c>
      <c r="G84" s="30" t="n">
        <v>0</v>
      </c>
      <c r="H84" s="30" t="n">
        <v>1</v>
      </c>
      <c r="I84" s="30" t="inlineStr">
        <is>
          <t>complete</t>
        </is>
      </c>
      <c r="J84" s="30" t="inlineStr">
        <is>
          <t>rendered_browser</t>
        </is>
      </c>
      <c r="K84" s="30" t="inlineStr"/>
      <c r="L84" s="30" t="inlineStr">
        <is>
          <t>self</t>
        </is>
      </c>
      <c r="M84" s="30" t="n">
        <v>0</v>
      </c>
      <c r="N84" s="32" t="b">
        <v>0</v>
      </c>
      <c r="O84" s="30" t="inlineStr"/>
      <c r="P84" s="30" t="inlineStr"/>
      <c r="Q84" s="30" t="inlineStr"/>
      <c r="R84" s="30" t="n">
        <v>88</v>
      </c>
      <c r="S84" s="30" t="n">
        <v>88</v>
      </c>
      <c r="T84" s="30" t="n">
        <v>2.4</v>
      </c>
      <c r="U84" s="30" t="n">
        <v>0.04</v>
      </c>
      <c r="V84" s="30" t="n">
        <v>0.4</v>
      </c>
      <c r="W84" s="30" t="inlineStr">
        <is>
          <t>None</t>
        </is>
      </c>
      <c r="X84" s="30" t="n">
        <v>2.4</v>
      </c>
      <c r="Y84" s="30" t="n">
        <v>180</v>
      </c>
      <c r="Z84" s="30" t="n">
        <v>1.8</v>
      </c>
      <c r="AA84" s="30" t="n">
        <v>0.04</v>
      </c>
      <c r="AB84" s="30" t="n">
        <v>400</v>
      </c>
      <c r="AC84" s="30" t="n">
        <v>85</v>
      </c>
      <c r="AD84" s="30" t="n">
        <v>82</v>
      </c>
      <c r="AE84" s="30" t="n">
        <v>92</v>
      </c>
      <c r="AF84" s="30" t="n">
        <v>2.4</v>
      </c>
      <c r="AG84" s="30" t="n">
        <v>180</v>
      </c>
      <c r="AH84" s="30" t="n">
        <v>88</v>
      </c>
      <c r="AI84" s="30" t="n">
        <v>500</v>
      </c>
      <c r="AJ84" s="30" t="n">
        <v>842</v>
      </c>
      <c r="AK84" s="30" t="n">
        <v>1250</v>
      </c>
      <c r="AL84" s="30" t="n">
        <v>1</v>
      </c>
      <c r="AM84" s="30" t="inlineStr"/>
      <c r="AN84" s="30" t="inlineStr"/>
      <c r="AO84" s="76" t="inlineStr">
        <is>
          <t>https://africanmarketingconfederation.org/discovered-via-bfs-2</t>
        </is>
      </c>
      <c r="AP84" s="76" t="inlineStr">
        <is>
          <t>https://africanmarketingconfederation.org/discovered-via-bfs-2</t>
        </is>
      </c>
      <c r="AQ84" s="30" t="inlineStr"/>
      <c r="AR84" s="30" t="inlineStr"/>
      <c r="AS84" s="30" t="inlineStr"/>
      <c r="AT84" s="30" t="inlineStr"/>
      <c r="AU84" s="30" t="inlineStr"/>
      <c r="AV84" s="76" t="inlineStr">
        <is>
          <t>https://africanmarketingconfederation.org/smoke-archive/page-1</t>
        </is>
      </c>
      <c r="AW84" s="30" t="n">
        <v>82</v>
      </c>
      <c r="AX84" s="30" t="b">
        <v>0</v>
      </c>
      <c r="AY84" s="30" t="inlineStr">
        <is>
          <t>Technical | Indexability | PSI Performance | Search Console</t>
        </is>
      </c>
      <c r="AZ84" s="30" t="n">
        <v>0</v>
      </c>
      <c r="BA84" s="30" t="b">
        <v>0</v>
      </c>
      <c r="BB84" s="30" t="b">
        <v>0</v>
      </c>
      <c r="BC84" s="30" t="inlineStr"/>
      <c r="BD84" s="30" t="inlineStr"/>
      <c r="BE84" s="76" t="inlineStr"/>
      <c r="BF84" s="30" t="inlineStr">
        <is>
          <t>Not Declared</t>
        </is>
      </c>
      <c r="BG84" s="30" t="b">
        <v>1</v>
      </c>
      <c r="BH84" s="38">
        <f>IFERROR(HYPERLINK("#'Main'!B"&amp;MATCH(TRIM(A84),'Main'!B:B,0),"Open"),HYPERLINK("#'Main'!B1","Open"))</f>
        <v/>
      </c>
    </row>
    <row r="85" ht="18" customHeight="1">
      <c r="A85" s="35" t="inlineStr">
        <is>
          <t>https://africanmarketingconfederation.org/discovered-via-bfs-3</t>
        </is>
      </c>
      <c r="B85" s="28" t="inlineStr">
        <is>
          <t>Technical | Indexability | Performance | Search Console</t>
        </is>
      </c>
      <c r="C85" s="32" t="n">
        <v>200</v>
      </c>
      <c r="D85" s="28" t="inlineStr">
        <is>
          <t>Warning</t>
        </is>
      </c>
      <c r="E85" s="28" t="n">
        <v>80</v>
      </c>
      <c r="F85" s="28" t="inlineStr">
        <is>
          <t>Non-Pass</t>
        </is>
      </c>
      <c r="G85" s="28" t="n">
        <v>0</v>
      </c>
      <c r="H85" s="28" t="n">
        <v>1</v>
      </c>
      <c r="I85" s="28" t="inlineStr">
        <is>
          <t>complete</t>
        </is>
      </c>
      <c r="J85" s="28" t="inlineStr">
        <is>
          <t>rendered_browser</t>
        </is>
      </c>
      <c r="K85" s="28" t="inlineStr"/>
      <c r="L85" s="28" t="inlineStr">
        <is>
          <t>self</t>
        </is>
      </c>
      <c r="M85" s="28" t="n">
        <v>0</v>
      </c>
      <c r="N85" s="32" t="b">
        <v>0</v>
      </c>
      <c r="O85" s="28" t="inlineStr"/>
      <c r="P85" s="28" t="inlineStr"/>
      <c r="Q85" s="28" t="inlineStr"/>
      <c r="R85" s="28" t="n">
        <v>88</v>
      </c>
      <c r="S85" s="28" t="n">
        <v>88</v>
      </c>
      <c r="T85" s="28" t="n">
        <v>2.4</v>
      </c>
      <c r="U85" s="28" t="n">
        <v>0.04</v>
      </c>
      <c r="V85" s="28" t="n">
        <v>0.4</v>
      </c>
      <c r="W85" s="28" t="inlineStr">
        <is>
          <t>None</t>
        </is>
      </c>
      <c r="X85" s="28" t="n">
        <v>2.4</v>
      </c>
      <c r="Y85" s="28" t="n">
        <v>180</v>
      </c>
      <c r="Z85" s="28" t="n">
        <v>1.8</v>
      </c>
      <c r="AA85" s="28" t="n">
        <v>0.04</v>
      </c>
      <c r="AB85" s="28" t="n">
        <v>400</v>
      </c>
      <c r="AC85" s="28" t="n">
        <v>85</v>
      </c>
      <c r="AD85" s="28" t="n">
        <v>82</v>
      </c>
      <c r="AE85" s="28" t="n">
        <v>92</v>
      </c>
      <c r="AF85" s="28" t="n">
        <v>2.4</v>
      </c>
      <c r="AG85" s="28" t="n">
        <v>180</v>
      </c>
      <c r="AH85" s="28" t="n">
        <v>88</v>
      </c>
      <c r="AI85" s="28" t="n">
        <v>500</v>
      </c>
      <c r="AJ85" s="28" t="n">
        <v>842</v>
      </c>
      <c r="AK85" s="28" t="n">
        <v>1250</v>
      </c>
      <c r="AL85" s="28" t="n">
        <v>1</v>
      </c>
      <c r="AM85" s="28" t="inlineStr"/>
      <c r="AN85" s="28" t="inlineStr"/>
      <c r="AO85" s="74" t="inlineStr">
        <is>
          <t>https://africanmarketingconfederation.org/discovered-via-bfs-3</t>
        </is>
      </c>
      <c r="AP85" s="74" t="inlineStr">
        <is>
          <t>https://africanmarketingconfederation.org/discovered-via-bfs-3</t>
        </is>
      </c>
      <c r="AQ85" s="28" t="inlineStr"/>
      <c r="AR85" s="28" t="inlineStr"/>
      <c r="AS85" s="28" t="inlineStr"/>
      <c r="AT85" s="28" t="inlineStr"/>
      <c r="AU85" s="28" t="inlineStr"/>
      <c r="AV85" s="74" t="inlineStr">
        <is>
          <t>https://africanmarketingconfederation.org/smoke-archive/page-1</t>
        </is>
      </c>
      <c r="AW85" s="28" t="n">
        <v>83</v>
      </c>
      <c r="AX85" s="28" t="b">
        <v>0</v>
      </c>
      <c r="AY85" s="28" t="inlineStr">
        <is>
          <t>Technical | Indexability | PSI Performance | Search Console</t>
        </is>
      </c>
      <c r="AZ85" s="28" t="n">
        <v>0</v>
      </c>
      <c r="BA85" s="28" t="b">
        <v>0</v>
      </c>
      <c r="BB85" s="28" t="b">
        <v>0</v>
      </c>
      <c r="BC85" s="28" t="inlineStr"/>
      <c r="BD85" s="28" t="inlineStr"/>
      <c r="BE85" s="74" t="inlineStr"/>
      <c r="BF85" s="28" t="inlineStr">
        <is>
          <t>Not Declared</t>
        </is>
      </c>
      <c r="BG85" s="28" t="b">
        <v>1</v>
      </c>
      <c r="BH85">
        <f>IFERROR(HYPERLINK("#'Main'!B"&amp;MATCH(TRIM(A85),'Main'!B:B,0),"Open"),HYPERLINK("#'Main'!B1","Open"))</f>
        <v/>
      </c>
    </row>
  </sheetData>
  <autoFilter ref="A2:BH85"/>
  <mergeCells count="2">
    <mergeCell ref="A1:B1"/>
    <mergeCell ref="C1:H1"/>
  </mergeCells>
  <conditionalFormatting sqref="C3:C85">
    <cfRule type="cellIs" priority="1" operator="equal" dxfId="2">
      <formula>200</formula>
    </cfRule>
    <cfRule type="cellIs" priority="2" operator="between" dxfId="29">
      <formula>300</formula>
      <formula>399</formula>
    </cfRule>
    <cfRule type="cellIs" priority="3" operator="greaterThanOrEqual" dxfId="0">
      <formula>400</formula>
    </cfRule>
  </conditionalFormatting>
  <conditionalFormatting sqref="D3:D85">
    <cfRule type="expression" priority="4" dxfId="0" stopIfTrue="1">
      <formula>LOWER(D2)="critical"</formula>
    </cfRule>
    <cfRule type="expression" priority="5" dxfId="1" stopIfTrue="1">
      <formula>LOWER(D2)="warning"</formula>
    </cfRule>
    <cfRule type="expression" priority="6" dxfId="2" stopIfTrue="1">
      <formula>OR(LOWER(D2)="pass",LOWER(D2)="observation")</formula>
    </cfRule>
    <cfRule type="expression" priority="14" dxfId="9" stopIfTrue="1">
      <formula>OR(NOT(ISERROR(SEARCH("Critical",D3))),NOT(ISERROR(SEARCH("Non-Pass",D3))),NOT(ISERROR(SEARCH("Error",D3))))</formula>
    </cfRule>
    <cfRule type="expression" priority="15" dxfId="10" stopIfTrue="1">
      <formula>OR(NOT(ISERROR(SEARCH("Warning",D3))),NOT(ISERROR(SEARCH("Needs Work",D3))))</formula>
    </cfRule>
  </conditionalFormatting>
  <conditionalFormatting sqref="A3:BG85">
    <cfRule type="expression" priority="7" dxfId="3" stopIfTrue="0">
      <formula>MOD(ROW(),2)=0</formula>
    </cfRule>
  </conditionalFormatting>
  <conditionalFormatting sqref="E3:E85">
    <cfRule type="colorScale" priority="8">
      <colorScale>
        <cfvo type="num" val="0"/>
        <cfvo type="num" val="50"/>
        <cfvo type="num" val="100"/>
        <color rgb="00F8696B"/>
        <color rgb="00FFEB84"/>
        <color rgb="0063BE7B"/>
      </colorScale>
    </cfRule>
  </conditionalFormatting>
  <conditionalFormatting sqref="R3:R85">
    <cfRule type="colorScale" priority="9">
      <colorScale>
        <cfvo type="num" val="0"/>
        <cfvo type="num" val="50"/>
        <cfvo type="num" val="100"/>
        <color rgb="00F8696B"/>
        <color rgb="00FFEB84"/>
        <color rgb="0063BE7B"/>
      </colorScale>
    </cfRule>
  </conditionalFormatting>
  <conditionalFormatting sqref="T3:T85">
    <cfRule type="colorScale" priority="10">
      <colorScale>
        <cfvo type="min"/>
        <cfvo type="percentile" val="50"/>
        <cfvo type="max"/>
        <color rgb="0063BE7B"/>
        <color rgb="00FFEB84"/>
        <color rgb="00F8696B"/>
      </colorScale>
    </cfRule>
  </conditionalFormatting>
  <conditionalFormatting sqref="V3:V85">
    <cfRule type="colorScale" priority="11">
      <colorScale>
        <cfvo type="min"/>
        <cfvo type="percentile" val="50"/>
        <cfvo type="max"/>
        <color rgb="0063BE7B"/>
        <color rgb="00FFEB84"/>
        <color rgb="00F8696B"/>
      </colorScale>
    </cfRule>
  </conditionalFormatting>
  <conditionalFormatting sqref="U3:U85">
    <cfRule type="colorScale" priority="12">
      <colorScale>
        <cfvo type="min"/>
        <cfvo type="percentile" val="50"/>
        <cfvo type="max"/>
        <color rgb="0063BE7B"/>
        <color rgb="00FFEB84"/>
        <color rgb="00F8696B"/>
      </colorScale>
    </cfRule>
  </conditionalFormatting>
  <conditionalFormatting sqref="M3:M85">
    <cfRule type="dataBar" priority="13">
      <dataBar showValue="1">
        <cfvo type="min"/>
        <cfvo type="max"/>
        <color rgb="00638EC6"/>
      </dataBar>
    </cfRule>
  </conditionalFormatting>
  <conditionalFormatting sqref="F3:F85">
    <cfRule type="expression" priority="16" dxfId="9" stopIfTrue="1">
      <formula>OR(NOT(ISERROR(SEARCH("Critical",F3))),NOT(ISERROR(SEARCH("Non-Pass",F3))),NOT(ISERROR(SEARCH("Error",F3))))</formula>
    </cfRule>
    <cfRule type="expression" priority="17" dxfId="10" stopIfTrue="1">
      <formula>OR(NOT(ISERROR(SEARCH("Warning",F3))),NOT(ISERROR(SEARCH("Needs Work",F3))))</formula>
    </cfRule>
  </conditionalFormatting>
  <conditionalFormatting sqref="K3:K85">
    <cfRule type="expression" priority="18" dxfId="9" stopIfTrue="1">
      <formula>OR(NOT(ISERROR(SEARCH("Critical",K3))),NOT(ISERROR(SEARCH("Non-Pass",K3))),NOT(ISERROR(SEARCH("Error",K3))))</formula>
    </cfRule>
    <cfRule type="expression" priority="19" dxfId="10" stopIfTrue="1">
      <formula>OR(NOT(ISERROR(SEARCH("Warning",K3))),NOT(ISERROR(SEARCH("Needs Work",K3))))</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tabColor rgb="008E44AD"/>
    <outlinePr summaryBelow="1" summaryRight="1"/>
    <pageSetUpPr fitToPage="1"/>
  </sheetPr>
  <dimension ref="A1:Y85"/>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23" customWidth="1" min="2" max="2"/>
    <col width="12" customWidth="1" min="3" max="3"/>
    <col width="22" customWidth="1" min="4" max="4"/>
    <col width="22" customWidth="1" min="5" max="5"/>
    <col width="19" customWidth="1" min="6" max="6"/>
    <col width="10" customWidth="1" min="7" max="7"/>
    <col width="17" customWidth="1" min="8" max="8"/>
    <col width="22" customWidth="1" min="9" max="9"/>
    <col width="21" customWidth="1" min="10" max="10"/>
    <col width="12" customWidth="1" min="11" max="11"/>
    <col width="20" customWidth="1" min="12" max="12"/>
    <col width="20" customWidth="1" min="13" max="13"/>
    <col width="21" customWidth="1" min="14" max="14"/>
    <col width="22" customWidth="1" min="15" max="15"/>
    <col width="15" customWidth="1" min="16" max="16"/>
    <col width="19" customWidth="1" min="17" max="17"/>
    <col width="13" customWidth="1" min="18" max="18"/>
    <col width="20" customWidth="1" min="19" max="19"/>
    <col width="22" customWidth="1" min="20" max="20"/>
    <col width="22" customWidth="1" min="21" max="21"/>
    <col width="15" customWidth="1" min="22" max="22"/>
    <col width="22" customWidth="1" min="23" max="23"/>
    <col width="23" customWidth="1" min="24" max="24"/>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6" t="inlineStr">
        <is>
          <t>Content Category</t>
        </is>
      </c>
      <c r="C2" s="27" t="inlineStr">
        <is>
          <t>Word Count</t>
        </is>
      </c>
      <c r="D2" s="26" t="inlineStr">
        <is>
          <t>Readability (Rough Flesch)</t>
        </is>
      </c>
      <c r="E2" s="26" t="inlineStr">
        <is>
          <t>Flesch-Kincaid Grade (Est.)</t>
        </is>
      </c>
      <c r="F2" s="26" t="inlineStr">
        <is>
          <t>Thin Content Flag</t>
        </is>
      </c>
      <c r="G2" s="27" t="inlineStr">
        <is>
          <t>H1 Count</t>
        </is>
      </c>
      <c r="H2" s="26" t="inlineStr">
        <is>
          <t>Missing H1 Flag</t>
        </is>
      </c>
      <c r="I2" s="26" t="inlineStr">
        <is>
          <t>Meta Description Missing</t>
        </is>
      </c>
      <c r="J2" s="27" t="inlineStr">
        <is>
          <t>AEO Readiness Score</t>
        </is>
      </c>
      <c r="K2" s="26" t="inlineStr">
        <is>
          <t>AEO Badge</t>
        </is>
      </c>
      <c r="L2" s="27" t="inlineStr">
        <is>
          <t>Schema Types Count</t>
        </is>
      </c>
      <c r="M2" s="26" t="inlineStr">
        <is>
          <t>Schema Types Found</t>
        </is>
      </c>
      <c r="N2" s="26" t="inlineStr">
        <is>
          <t>Schema Parse Errors</t>
        </is>
      </c>
      <c r="O2" s="27" t="inlineStr">
        <is>
          <t>Question Heading Count</t>
        </is>
      </c>
      <c r="P2" s="26" t="inlineStr">
        <is>
          <t>Answer Blocks</t>
        </is>
      </c>
      <c r="Q2" s="27" t="inlineStr">
        <is>
          <t>FAQ Section Count</t>
        </is>
      </c>
      <c r="R2" s="27" t="inlineStr">
        <is>
          <t>Image Count</t>
        </is>
      </c>
      <c r="S2" s="26" t="inlineStr">
        <is>
          <t>Images Missing Alt</t>
        </is>
      </c>
      <c r="T2" s="27" t="inlineStr">
        <is>
          <t>Image Alt Coverage (%)</t>
        </is>
      </c>
      <c r="U2" s="27" t="inlineStr">
        <is>
          <t>AEO Extractability Score</t>
        </is>
      </c>
      <c r="V2" s="26" t="inlineStr">
        <is>
          <t>Title Missing</t>
        </is>
      </c>
      <c r="W2" s="26" t="inlineStr">
        <is>
          <t>Media Mixed Content Detected</t>
        </is>
      </c>
      <c r="X2" s="26" t="inlineStr">
        <is>
          <t>Source Legacy Tab</t>
        </is>
      </c>
      <c r="Y2" s="26" t="inlineStr">
        <is>
          <t>Open in Main</t>
        </is>
      </c>
    </row>
    <row r="3" ht="18" customHeight="1">
      <c r="A3" s="35" t="inlineStr">
        <is>
          <t>https://africanmarketingconfederation.org/</t>
        </is>
      </c>
      <c r="B3" s="28" t="inlineStr">
        <is>
          <t>Content | AEO | Media</t>
        </is>
      </c>
      <c r="C3" s="28" t="n">
        <v>320</v>
      </c>
      <c r="D3" s="28" t="inlineStr"/>
      <c r="E3" s="28" t="n">
        <v>8</v>
      </c>
      <c r="F3" s="28" t="b">
        <v>0</v>
      </c>
      <c r="G3" s="28" t="n">
        <v>1</v>
      </c>
      <c r="H3" s="32" t="b">
        <v>0</v>
      </c>
      <c r="I3" s="32" t="b">
        <v>0</v>
      </c>
      <c r="J3" s="28" t="n">
        <v>100</v>
      </c>
      <c r="K3" s="28" t="inlineStr">
        <is>
          <t>Strong</t>
        </is>
      </c>
      <c r="L3" s="28" t="n">
        <v>0</v>
      </c>
      <c r="M3" s="28" t="inlineStr"/>
      <c r="N3" s="28" t="n">
        <v>0</v>
      </c>
      <c r="O3" s="28" t="n">
        <v>3</v>
      </c>
      <c r="P3" s="28" t="n">
        <v>2</v>
      </c>
      <c r="Q3" s="28" t="n">
        <v>0</v>
      </c>
      <c r="R3" s="28" t="n">
        <v>0</v>
      </c>
      <c r="S3" s="28" t="n">
        <v>0</v>
      </c>
      <c r="T3" s="40" t="n">
        <v>95</v>
      </c>
      <c r="U3" s="28" t="n">
        <v>25</v>
      </c>
      <c r="V3" s="28" t="b">
        <v>0</v>
      </c>
      <c r="W3" s="32" t="b">
        <v>0</v>
      </c>
      <c r="X3" s="28" t="inlineStr">
        <is>
          <t>Content | AEO | Media</t>
        </is>
      </c>
      <c r="Y3">
        <f>IFERROR(HYPERLINK("#'Main'!B"&amp;MATCH(TRIM(A3),'Main'!B:B,0),"Open"),HYPERLINK("#'Main'!B1","Open"))</f>
        <v/>
      </c>
    </row>
    <row r="4" ht="18" customHeight="1">
      <c r="A4" s="37" t="inlineStr">
        <is>
          <t>https://africanmarketingconfederation.org/smoke-archive/page-1</t>
        </is>
      </c>
      <c r="B4" s="30" t="inlineStr">
        <is>
          <t>Content | AEO | Media</t>
        </is>
      </c>
      <c r="C4" s="30" t="n">
        <v>321</v>
      </c>
      <c r="D4" s="30" t="inlineStr"/>
      <c r="E4" s="30" t="n">
        <v>8</v>
      </c>
      <c r="F4" s="30" t="b">
        <v>0</v>
      </c>
      <c r="G4" s="30" t="n">
        <v>1</v>
      </c>
      <c r="H4" s="32" t="b">
        <v>0</v>
      </c>
      <c r="I4" s="32" t="b">
        <v>0</v>
      </c>
      <c r="J4" s="30" t="n">
        <v>100</v>
      </c>
      <c r="K4" s="30" t="inlineStr">
        <is>
          <t>Strong</t>
        </is>
      </c>
      <c r="L4" s="30" t="n">
        <v>0</v>
      </c>
      <c r="M4" s="30" t="inlineStr"/>
      <c r="N4" s="30" t="n">
        <v>0</v>
      </c>
      <c r="O4" s="30" t="n">
        <v>3</v>
      </c>
      <c r="P4" s="30" t="n">
        <v>2</v>
      </c>
      <c r="Q4" s="30" t="n">
        <v>0</v>
      </c>
      <c r="R4" s="30" t="n">
        <v>0</v>
      </c>
      <c r="S4" s="30" t="n">
        <v>0</v>
      </c>
      <c r="T4" s="40" t="n">
        <v>95</v>
      </c>
      <c r="U4" s="30" t="n">
        <v>25</v>
      </c>
      <c r="V4" s="30" t="b">
        <v>0</v>
      </c>
      <c r="W4" s="32" t="b">
        <v>0</v>
      </c>
      <c r="X4" s="30" t="inlineStr">
        <is>
          <t>Content | AEO | Media</t>
        </is>
      </c>
      <c r="Y4" s="38">
        <f>IFERROR(HYPERLINK("#'Main'!B"&amp;MATCH(TRIM(A4),'Main'!B:B,0),"Open"),HYPERLINK("#'Main'!B1","Open"))</f>
        <v/>
      </c>
    </row>
    <row r="5" ht="18" customHeight="1">
      <c r="A5" s="35" t="inlineStr">
        <is>
          <t>https://africanmarketingconfederation.org/smoke-archive/page-2</t>
        </is>
      </c>
      <c r="B5" s="28" t="inlineStr">
        <is>
          <t>Content | AEO | Media</t>
        </is>
      </c>
      <c r="C5" s="28" t="n">
        <v>322</v>
      </c>
      <c r="D5" s="28" t="inlineStr"/>
      <c r="E5" s="28" t="n">
        <v>8</v>
      </c>
      <c r="F5" s="28" t="b">
        <v>0</v>
      </c>
      <c r="G5" s="28" t="n">
        <v>1</v>
      </c>
      <c r="H5" s="32" t="b">
        <v>0</v>
      </c>
      <c r="I5" s="32" t="b">
        <v>0</v>
      </c>
      <c r="J5" s="28" t="n">
        <v>100</v>
      </c>
      <c r="K5" s="28" t="inlineStr">
        <is>
          <t>Strong</t>
        </is>
      </c>
      <c r="L5" s="28" t="n">
        <v>0</v>
      </c>
      <c r="M5" s="28" t="inlineStr"/>
      <c r="N5" s="28" t="n">
        <v>0</v>
      </c>
      <c r="O5" s="28" t="n">
        <v>3</v>
      </c>
      <c r="P5" s="28" t="n">
        <v>2</v>
      </c>
      <c r="Q5" s="28" t="n">
        <v>0</v>
      </c>
      <c r="R5" s="28" t="n">
        <v>0</v>
      </c>
      <c r="S5" s="28" t="n">
        <v>0</v>
      </c>
      <c r="T5" s="40" t="n">
        <v>95</v>
      </c>
      <c r="U5" s="28" t="n">
        <v>25</v>
      </c>
      <c r="V5" s="28" t="b">
        <v>0</v>
      </c>
      <c r="W5" s="32" t="b">
        <v>0</v>
      </c>
      <c r="X5" s="28" t="inlineStr">
        <is>
          <t>Content | AEO | Media</t>
        </is>
      </c>
      <c r="Y5">
        <f>IFERROR(HYPERLINK("#'Main'!B"&amp;MATCH(TRIM(A5),'Main'!B:B,0),"Open"),HYPERLINK("#'Main'!B1","Open"))</f>
        <v/>
      </c>
    </row>
    <row r="6" ht="18" customHeight="1">
      <c r="A6" s="37" t="inlineStr">
        <is>
          <t>https://africanmarketingconfederation.org/smoke-archive/page-3</t>
        </is>
      </c>
      <c r="B6" s="30" t="inlineStr">
        <is>
          <t>Content | AEO | Media</t>
        </is>
      </c>
      <c r="C6" s="30" t="n">
        <v>323</v>
      </c>
      <c r="D6" s="30" t="inlineStr"/>
      <c r="E6" s="30" t="n">
        <v>8</v>
      </c>
      <c r="F6" s="30" t="b">
        <v>0</v>
      </c>
      <c r="G6" s="30" t="n">
        <v>1</v>
      </c>
      <c r="H6" s="32" t="b">
        <v>0</v>
      </c>
      <c r="I6" s="32" t="b">
        <v>0</v>
      </c>
      <c r="J6" s="30" t="n">
        <v>100</v>
      </c>
      <c r="K6" s="30" t="inlineStr">
        <is>
          <t>Strong</t>
        </is>
      </c>
      <c r="L6" s="30" t="n">
        <v>0</v>
      </c>
      <c r="M6" s="30" t="inlineStr"/>
      <c r="N6" s="30" t="n">
        <v>0</v>
      </c>
      <c r="O6" s="30" t="n">
        <v>3</v>
      </c>
      <c r="P6" s="30" t="n">
        <v>2</v>
      </c>
      <c r="Q6" s="30" t="n">
        <v>0</v>
      </c>
      <c r="R6" s="30" t="n">
        <v>0</v>
      </c>
      <c r="S6" s="30" t="n">
        <v>0</v>
      </c>
      <c r="T6" s="40" t="n">
        <v>95</v>
      </c>
      <c r="U6" s="30" t="n">
        <v>25</v>
      </c>
      <c r="V6" s="30" t="b">
        <v>0</v>
      </c>
      <c r="W6" s="32" t="b">
        <v>0</v>
      </c>
      <c r="X6" s="30" t="inlineStr">
        <is>
          <t>Content | AEO | Media</t>
        </is>
      </c>
      <c r="Y6" s="38">
        <f>IFERROR(HYPERLINK("#'Main'!B"&amp;MATCH(TRIM(A6),'Main'!B:B,0),"Open"),HYPERLINK("#'Main'!B1","Open"))</f>
        <v/>
      </c>
    </row>
    <row r="7" ht="18" customHeight="1">
      <c r="A7" s="35" t="inlineStr">
        <is>
          <t>https://africanmarketingconfederation.org/smoke-archive/page-4</t>
        </is>
      </c>
      <c r="B7" s="28" t="inlineStr">
        <is>
          <t>Content | AEO | Media</t>
        </is>
      </c>
      <c r="C7" s="28" t="n">
        <v>324</v>
      </c>
      <c r="D7" s="28" t="inlineStr"/>
      <c r="E7" s="28" t="n">
        <v>8</v>
      </c>
      <c r="F7" s="28" t="b">
        <v>0</v>
      </c>
      <c r="G7" s="28" t="n">
        <v>1</v>
      </c>
      <c r="H7" s="32" t="b">
        <v>0</v>
      </c>
      <c r="I7" s="32" t="b">
        <v>0</v>
      </c>
      <c r="J7" s="28" t="n">
        <v>100</v>
      </c>
      <c r="K7" s="28" t="inlineStr">
        <is>
          <t>Strong</t>
        </is>
      </c>
      <c r="L7" s="28" t="n">
        <v>0</v>
      </c>
      <c r="M7" s="28" t="inlineStr"/>
      <c r="N7" s="28" t="n">
        <v>0</v>
      </c>
      <c r="O7" s="28" t="n">
        <v>3</v>
      </c>
      <c r="P7" s="28" t="n">
        <v>2</v>
      </c>
      <c r="Q7" s="28" t="n">
        <v>0</v>
      </c>
      <c r="R7" s="28" t="n">
        <v>0</v>
      </c>
      <c r="S7" s="28" t="n">
        <v>0</v>
      </c>
      <c r="T7" s="40" t="n">
        <v>95</v>
      </c>
      <c r="U7" s="28" t="n">
        <v>25</v>
      </c>
      <c r="V7" s="28" t="b">
        <v>0</v>
      </c>
      <c r="W7" s="32" t="b">
        <v>0</v>
      </c>
      <c r="X7" s="28" t="inlineStr">
        <is>
          <t>Content | AEO | Media</t>
        </is>
      </c>
      <c r="Y7">
        <f>IFERROR(HYPERLINK("#'Main'!B"&amp;MATCH(TRIM(A7),'Main'!B:B,0),"Open"),HYPERLINK("#'Main'!B1","Open"))</f>
        <v/>
      </c>
    </row>
    <row r="8" ht="18" customHeight="1">
      <c r="A8" s="37" t="inlineStr">
        <is>
          <t>https://africanmarketingconfederation.org/smoke-archive/page-5</t>
        </is>
      </c>
      <c r="B8" s="30" t="inlineStr">
        <is>
          <t>Content | AEO | Media</t>
        </is>
      </c>
      <c r="C8" s="30" t="n">
        <v>325</v>
      </c>
      <c r="D8" s="30" t="inlineStr"/>
      <c r="E8" s="30" t="n">
        <v>8</v>
      </c>
      <c r="F8" s="30" t="b">
        <v>0</v>
      </c>
      <c r="G8" s="30" t="n">
        <v>1</v>
      </c>
      <c r="H8" s="32" t="b">
        <v>0</v>
      </c>
      <c r="I8" s="34" t="b">
        <v>1</v>
      </c>
      <c r="J8" s="30" t="n">
        <v>100</v>
      </c>
      <c r="K8" s="30" t="inlineStr">
        <is>
          <t>Strong</t>
        </is>
      </c>
      <c r="L8" s="30" t="n">
        <v>0</v>
      </c>
      <c r="M8" s="30" t="inlineStr"/>
      <c r="N8" s="30" t="n">
        <v>0</v>
      </c>
      <c r="O8" s="30" t="n">
        <v>3</v>
      </c>
      <c r="P8" s="30" t="n">
        <v>2</v>
      </c>
      <c r="Q8" s="30" t="n">
        <v>0</v>
      </c>
      <c r="R8" s="30" t="n">
        <v>0</v>
      </c>
      <c r="S8" s="30" t="n">
        <v>0</v>
      </c>
      <c r="T8" s="40" t="n">
        <v>95</v>
      </c>
      <c r="U8" s="30" t="n">
        <v>25</v>
      </c>
      <c r="V8" s="30" t="b">
        <v>0</v>
      </c>
      <c r="W8" s="32" t="b">
        <v>0</v>
      </c>
      <c r="X8" s="30" t="inlineStr">
        <is>
          <t>Content | AEO | Media</t>
        </is>
      </c>
      <c r="Y8" s="38">
        <f>IFERROR(HYPERLINK("#'Main'!B"&amp;MATCH(TRIM(A8),'Main'!B:B,0),"Open"),HYPERLINK("#'Main'!B1","Open"))</f>
        <v/>
      </c>
    </row>
    <row r="9" ht="18" customHeight="1">
      <c r="A9" s="35" t="inlineStr">
        <is>
          <t>https://africanmarketingconfederation.org/smoke-archive/page-6</t>
        </is>
      </c>
      <c r="B9" s="28" t="inlineStr">
        <is>
          <t>Content | AEO | Media</t>
        </is>
      </c>
      <c r="C9" s="28" t="n">
        <v>326</v>
      </c>
      <c r="D9" s="28" t="inlineStr"/>
      <c r="E9" s="28" t="n">
        <v>8</v>
      </c>
      <c r="F9" s="28" t="b">
        <v>0</v>
      </c>
      <c r="G9" s="28" t="n">
        <v>1</v>
      </c>
      <c r="H9" s="32" t="b">
        <v>0</v>
      </c>
      <c r="I9" s="32" t="b">
        <v>0</v>
      </c>
      <c r="J9" s="28" t="n">
        <v>100</v>
      </c>
      <c r="K9" s="28" t="inlineStr">
        <is>
          <t>Strong</t>
        </is>
      </c>
      <c r="L9" s="28" t="n">
        <v>0</v>
      </c>
      <c r="M9" s="28" t="inlineStr"/>
      <c r="N9" s="28" t="n">
        <v>0</v>
      </c>
      <c r="O9" s="28" t="n">
        <v>3</v>
      </c>
      <c r="P9" s="28" t="n">
        <v>2</v>
      </c>
      <c r="Q9" s="28" t="n">
        <v>0</v>
      </c>
      <c r="R9" s="28" t="n">
        <v>0</v>
      </c>
      <c r="S9" s="28" t="n">
        <v>0</v>
      </c>
      <c r="T9" s="34" t="n">
        <v>60</v>
      </c>
      <c r="U9" s="28" t="n">
        <v>25</v>
      </c>
      <c r="V9" s="28" t="b">
        <v>0</v>
      </c>
      <c r="W9" s="32" t="b">
        <v>0</v>
      </c>
      <c r="X9" s="28" t="inlineStr">
        <is>
          <t>Content | AEO | Media</t>
        </is>
      </c>
      <c r="Y9">
        <f>IFERROR(HYPERLINK("#'Main'!B"&amp;MATCH(TRIM(A9),'Main'!B:B,0),"Open"),HYPERLINK("#'Main'!B1","Open"))</f>
        <v/>
      </c>
    </row>
    <row r="10" ht="18" customHeight="1">
      <c r="A10" s="37" t="inlineStr">
        <is>
          <t>https://africanmarketingconfederation.org/smoke-archive/page-7</t>
        </is>
      </c>
      <c r="B10" s="30" t="inlineStr">
        <is>
          <t>Content | AEO | Media</t>
        </is>
      </c>
      <c r="C10" s="30" t="n">
        <v>327</v>
      </c>
      <c r="D10" s="30" t="inlineStr"/>
      <c r="E10" s="30" t="n">
        <v>8</v>
      </c>
      <c r="F10" s="30" t="b">
        <v>0</v>
      </c>
      <c r="G10" s="30" t="n">
        <v>1</v>
      </c>
      <c r="H10" s="32" t="b">
        <v>0</v>
      </c>
      <c r="I10" s="32" t="b">
        <v>0</v>
      </c>
      <c r="J10" s="30" t="n">
        <v>100</v>
      </c>
      <c r="K10" s="30" t="inlineStr">
        <is>
          <t>Strong</t>
        </is>
      </c>
      <c r="L10" s="30" t="n">
        <v>0</v>
      </c>
      <c r="M10" s="30" t="inlineStr"/>
      <c r="N10" s="30" t="n">
        <v>0</v>
      </c>
      <c r="O10" s="30" t="n">
        <v>3</v>
      </c>
      <c r="P10" s="30" t="n">
        <v>2</v>
      </c>
      <c r="Q10" s="30" t="n">
        <v>0</v>
      </c>
      <c r="R10" s="30" t="n">
        <v>0</v>
      </c>
      <c r="S10" s="30" t="n">
        <v>0</v>
      </c>
      <c r="T10" s="40" t="n">
        <v>95</v>
      </c>
      <c r="U10" s="30" t="n">
        <v>25</v>
      </c>
      <c r="V10" s="30" t="b">
        <v>0</v>
      </c>
      <c r="W10" s="32" t="b">
        <v>0</v>
      </c>
      <c r="X10" s="30" t="inlineStr">
        <is>
          <t>Content | AEO | Media</t>
        </is>
      </c>
      <c r="Y10" s="38">
        <f>IFERROR(HYPERLINK("#'Main'!B"&amp;MATCH(TRIM(A10),'Main'!B:B,0),"Open"),HYPERLINK("#'Main'!B1","Open"))</f>
        <v/>
      </c>
    </row>
    <row r="11" ht="18" customHeight="1">
      <c r="A11" s="35" t="inlineStr">
        <is>
          <t>https://africanmarketingconfederation.org/smoke-archive/page-8</t>
        </is>
      </c>
      <c r="B11" s="28" t="inlineStr">
        <is>
          <t>Content | AEO | Media</t>
        </is>
      </c>
      <c r="C11" s="28" t="n">
        <v>328</v>
      </c>
      <c r="D11" s="28" t="inlineStr"/>
      <c r="E11" s="28" t="n">
        <v>8</v>
      </c>
      <c r="F11" s="28" t="b">
        <v>0</v>
      </c>
      <c r="G11" s="28" t="n">
        <v>1</v>
      </c>
      <c r="H11" s="32" t="b">
        <v>0</v>
      </c>
      <c r="I11" s="32" t="b">
        <v>0</v>
      </c>
      <c r="J11" s="28" t="n">
        <v>100</v>
      </c>
      <c r="K11" s="28" t="inlineStr">
        <is>
          <t>Strong</t>
        </is>
      </c>
      <c r="L11" s="28" t="n">
        <v>0</v>
      </c>
      <c r="M11" s="28" t="inlineStr"/>
      <c r="N11" s="28" t="n">
        <v>0</v>
      </c>
      <c r="O11" s="28" t="n">
        <v>3</v>
      </c>
      <c r="P11" s="28" t="n">
        <v>2</v>
      </c>
      <c r="Q11" s="28" t="n">
        <v>0</v>
      </c>
      <c r="R11" s="28" t="n">
        <v>0</v>
      </c>
      <c r="S11" s="28" t="n">
        <v>0</v>
      </c>
      <c r="T11" s="40" t="n">
        <v>95</v>
      </c>
      <c r="U11" s="28" t="n">
        <v>25</v>
      </c>
      <c r="V11" s="28" t="b">
        <v>0</v>
      </c>
      <c r="W11" s="32" t="b">
        <v>0</v>
      </c>
      <c r="X11" s="28" t="inlineStr">
        <is>
          <t>Content | AEO | Media</t>
        </is>
      </c>
      <c r="Y11">
        <f>IFERROR(HYPERLINK("#'Main'!B"&amp;MATCH(TRIM(A11),'Main'!B:B,0),"Open"),HYPERLINK("#'Main'!B1","Open"))</f>
        <v/>
      </c>
    </row>
    <row r="12" ht="18" customHeight="1">
      <c r="A12" s="37" t="inlineStr">
        <is>
          <t>https://africanmarketingconfederation.org/smoke-archive/page-9</t>
        </is>
      </c>
      <c r="B12" s="30" t="inlineStr">
        <is>
          <t>Content | AEO | Media</t>
        </is>
      </c>
      <c r="C12" s="30" t="n">
        <v>329</v>
      </c>
      <c r="D12" s="30" t="inlineStr"/>
      <c r="E12" s="30" t="n">
        <v>8</v>
      </c>
      <c r="F12" s="30" t="b">
        <v>0</v>
      </c>
      <c r="G12" s="30" t="n">
        <v>1</v>
      </c>
      <c r="H12" s="32" t="b">
        <v>0</v>
      </c>
      <c r="I12" s="32" t="b">
        <v>0</v>
      </c>
      <c r="J12" s="30" t="n">
        <v>30</v>
      </c>
      <c r="K12" s="30" t="inlineStr">
        <is>
          <t>Needs Work</t>
        </is>
      </c>
      <c r="L12" s="30" t="n">
        <v>0</v>
      </c>
      <c r="M12" s="30" t="inlineStr"/>
      <c r="N12" s="30" t="n">
        <v>0</v>
      </c>
      <c r="O12" s="30" t="n">
        <v>0</v>
      </c>
      <c r="P12" s="30" t="n">
        <v>0</v>
      </c>
      <c r="Q12" s="30" t="n">
        <v>0</v>
      </c>
      <c r="R12" s="30" t="n">
        <v>0</v>
      </c>
      <c r="S12" s="30" t="n">
        <v>0</v>
      </c>
      <c r="T12" s="40" t="n">
        <v>95</v>
      </c>
      <c r="U12" s="30" t="n">
        <v>25</v>
      </c>
      <c r="V12" s="30" t="b">
        <v>0</v>
      </c>
      <c r="W12" s="32" t="b">
        <v>0</v>
      </c>
      <c r="X12" s="30" t="inlineStr">
        <is>
          <t>Content | AEO | Media</t>
        </is>
      </c>
      <c r="Y12" s="38">
        <f>IFERROR(HYPERLINK("#'Main'!B"&amp;MATCH(TRIM(A12),'Main'!B:B,0),"Open"),HYPERLINK("#'Main'!B1","Open"))</f>
        <v/>
      </c>
    </row>
    <row r="13" ht="18" customHeight="1">
      <c r="A13" s="35" t="inlineStr">
        <is>
          <t>https://africanmarketingconfederation.org/smoke-archive/page-10</t>
        </is>
      </c>
      <c r="B13" s="28" t="inlineStr">
        <is>
          <t>Content | AEO | Media</t>
        </is>
      </c>
      <c r="C13" s="28" t="n">
        <v>330</v>
      </c>
      <c r="D13" s="28" t="inlineStr"/>
      <c r="E13" s="28" t="n">
        <v>8</v>
      </c>
      <c r="F13" s="28" t="b">
        <v>0</v>
      </c>
      <c r="G13" s="28" t="n">
        <v>1</v>
      </c>
      <c r="H13" s="32" t="b">
        <v>0</v>
      </c>
      <c r="I13" s="34" t="b">
        <v>1</v>
      </c>
      <c r="J13" s="28" t="n">
        <v>100</v>
      </c>
      <c r="K13" s="28" t="inlineStr">
        <is>
          <t>Strong</t>
        </is>
      </c>
      <c r="L13" s="28" t="n">
        <v>0</v>
      </c>
      <c r="M13" s="28" t="inlineStr"/>
      <c r="N13" s="28" t="n">
        <v>0</v>
      </c>
      <c r="O13" s="28" t="n">
        <v>3</v>
      </c>
      <c r="P13" s="28" t="n">
        <v>2</v>
      </c>
      <c r="Q13" s="28" t="n">
        <v>0</v>
      </c>
      <c r="R13" s="28" t="n">
        <v>0</v>
      </c>
      <c r="S13" s="28" t="n">
        <v>0</v>
      </c>
      <c r="T13" s="40" t="n">
        <v>95</v>
      </c>
      <c r="U13" s="28" t="n">
        <v>25</v>
      </c>
      <c r="V13" s="28" t="b">
        <v>0</v>
      </c>
      <c r="W13" s="32" t="b">
        <v>0</v>
      </c>
      <c r="X13" s="28" t="inlineStr">
        <is>
          <t>Content | AEO | Media</t>
        </is>
      </c>
      <c r="Y13">
        <f>IFERROR(HYPERLINK("#'Main'!B"&amp;MATCH(TRIM(A13),'Main'!B:B,0),"Open"),HYPERLINK("#'Main'!B1","Open"))</f>
        <v/>
      </c>
    </row>
    <row r="14" ht="18" customHeight="1">
      <c r="A14" s="37" t="inlineStr">
        <is>
          <t>https://africanmarketingconfederation.org/smoke-archive/page-11</t>
        </is>
      </c>
      <c r="B14" s="30" t="inlineStr">
        <is>
          <t>Content | AEO | Media</t>
        </is>
      </c>
      <c r="C14" s="30" t="n">
        <v>331</v>
      </c>
      <c r="D14" s="30" t="inlineStr"/>
      <c r="E14" s="30" t="n">
        <v>8</v>
      </c>
      <c r="F14" s="30" t="b">
        <v>0</v>
      </c>
      <c r="G14" s="30" t="n">
        <v>1</v>
      </c>
      <c r="H14" s="32" t="b">
        <v>0</v>
      </c>
      <c r="I14" s="32" t="b">
        <v>0</v>
      </c>
      <c r="J14" s="30" t="n">
        <v>100</v>
      </c>
      <c r="K14" s="30" t="inlineStr">
        <is>
          <t>Strong</t>
        </is>
      </c>
      <c r="L14" s="30" t="n">
        <v>0</v>
      </c>
      <c r="M14" s="30" t="inlineStr"/>
      <c r="N14" s="30" t="n">
        <v>0</v>
      </c>
      <c r="O14" s="30" t="n">
        <v>3</v>
      </c>
      <c r="P14" s="30" t="n">
        <v>2</v>
      </c>
      <c r="Q14" s="30" t="n">
        <v>0</v>
      </c>
      <c r="R14" s="30" t="n">
        <v>0</v>
      </c>
      <c r="S14" s="30" t="n">
        <v>0</v>
      </c>
      <c r="T14" s="40" t="n">
        <v>95</v>
      </c>
      <c r="U14" s="30" t="n">
        <v>25</v>
      </c>
      <c r="V14" s="30" t="b">
        <v>0</v>
      </c>
      <c r="W14" s="32" t="b">
        <v>0</v>
      </c>
      <c r="X14" s="30" t="inlineStr">
        <is>
          <t>Content | AEO | Media</t>
        </is>
      </c>
      <c r="Y14" s="38">
        <f>IFERROR(HYPERLINK("#'Main'!B"&amp;MATCH(TRIM(A14),'Main'!B:B,0),"Open"),HYPERLINK("#'Main'!B1","Open"))</f>
        <v/>
      </c>
    </row>
    <row r="15" ht="18" customHeight="1">
      <c r="A15" s="35" t="inlineStr">
        <is>
          <t>https://africanmarketingconfederation.org/smoke-archive/page-12</t>
        </is>
      </c>
      <c r="B15" s="28" t="inlineStr">
        <is>
          <t>Content | AEO | Media</t>
        </is>
      </c>
      <c r="C15" s="28" t="n">
        <v>332</v>
      </c>
      <c r="D15" s="28" t="inlineStr"/>
      <c r="E15" s="28" t="n">
        <v>8</v>
      </c>
      <c r="F15" s="28" t="b">
        <v>0</v>
      </c>
      <c r="G15" s="28" t="n">
        <v>1</v>
      </c>
      <c r="H15" s="32" t="b">
        <v>0</v>
      </c>
      <c r="I15" s="32" t="b">
        <v>0</v>
      </c>
      <c r="J15" s="28" t="n">
        <v>100</v>
      </c>
      <c r="K15" s="28" t="inlineStr">
        <is>
          <t>Strong</t>
        </is>
      </c>
      <c r="L15" s="28" t="n">
        <v>0</v>
      </c>
      <c r="M15" s="28" t="inlineStr"/>
      <c r="N15" s="28" t="n">
        <v>0</v>
      </c>
      <c r="O15" s="28" t="n">
        <v>3</v>
      </c>
      <c r="P15" s="28" t="n">
        <v>2</v>
      </c>
      <c r="Q15" s="28" t="n">
        <v>0</v>
      </c>
      <c r="R15" s="28" t="n">
        <v>0</v>
      </c>
      <c r="S15" s="28" t="n">
        <v>0</v>
      </c>
      <c r="T15" s="34" t="n">
        <v>60</v>
      </c>
      <c r="U15" s="28" t="n">
        <v>25</v>
      </c>
      <c r="V15" s="28" t="b">
        <v>0</v>
      </c>
      <c r="W15" s="32" t="b">
        <v>0</v>
      </c>
      <c r="X15" s="28" t="inlineStr">
        <is>
          <t>Content | AEO | Media</t>
        </is>
      </c>
      <c r="Y15">
        <f>IFERROR(HYPERLINK("#'Main'!B"&amp;MATCH(TRIM(A15),'Main'!B:B,0),"Open"),HYPERLINK("#'Main'!B1","Open"))</f>
        <v/>
      </c>
    </row>
    <row r="16" ht="18" customHeight="1">
      <c r="A16" s="37" t="inlineStr">
        <is>
          <t>https://africanmarketingconfederation.org/smoke-archive/page-13</t>
        </is>
      </c>
      <c r="B16" s="30" t="inlineStr">
        <is>
          <t>Content | AEO | Media</t>
        </is>
      </c>
      <c r="C16" s="30" t="n">
        <v>333</v>
      </c>
      <c r="D16" s="30" t="inlineStr"/>
      <c r="E16" s="30" t="n">
        <v>8</v>
      </c>
      <c r="F16" s="30" t="b">
        <v>0</v>
      </c>
      <c r="G16" s="30" t="n">
        <v>1</v>
      </c>
      <c r="H16" s="32" t="b">
        <v>0</v>
      </c>
      <c r="I16" s="32" t="b">
        <v>0</v>
      </c>
      <c r="J16" s="30" t="n">
        <v>100</v>
      </c>
      <c r="K16" s="30" t="inlineStr">
        <is>
          <t>Strong</t>
        </is>
      </c>
      <c r="L16" s="30" t="n">
        <v>0</v>
      </c>
      <c r="M16" s="30" t="inlineStr"/>
      <c r="N16" s="30" t="n">
        <v>0</v>
      </c>
      <c r="O16" s="30" t="n">
        <v>3</v>
      </c>
      <c r="P16" s="30" t="n">
        <v>2</v>
      </c>
      <c r="Q16" s="30" t="n">
        <v>0</v>
      </c>
      <c r="R16" s="30" t="n">
        <v>0</v>
      </c>
      <c r="S16" s="30" t="n">
        <v>0</v>
      </c>
      <c r="T16" s="40" t="n">
        <v>95</v>
      </c>
      <c r="U16" s="30" t="n">
        <v>25</v>
      </c>
      <c r="V16" s="30" t="b">
        <v>0</v>
      </c>
      <c r="W16" s="32" t="b">
        <v>0</v>
      </c>
      <c r="X16" s="30" t="inlineStr">
        <is>
          <t>Content | AEO | Media</t>
        </is>
      </c>
      <c r="Y16" s="38">
        <f>IFERROR(HYPERLINK("#'Main'!B"&amp;MATCH(TRIM(A16),'Main'!B:B,0),"Open"),HYPERLINK("#'Main'!B1","Open"))</f>
        <v/>
      </c>
    </row>
    <row r="17" ht="18" customHeight="1">
      <c r="A17" s="35" t="inlineStr">
        <is>
          <t>https://africanmarketingconfederation.org/smoke-archive/page-14</t>
        </is>
      </c>
      <c r="B17" s="28" t="inlineStr">
        <is>
          <t>Content | AEO | Media</t>
        </is>
      </c>
      <c r="C17" s="28" t="n">
        <v>334</v>
      </c>
      <c r="D17" s="28" t="inlineStr"/>
      <c r="E17" s="28" t="n">
        <v>8</v>
      </c>
      <c r="F17" s="28" t="b">
        <v>0</v>
      </c>
      <c r="G17" s="28" t="n">
        <v>1</v>
      </c>
      <c r="H17" s="32" t="b">
        <v>0</v>
      </c>
      <c r="I17" s="32" t="b">
        <v>0</v>
      </c>
      <c r="J17" s="28" t="n">
        <v>100</v>
      </c>
      <c r="K17" s="28" t="inlineStr">
        <is>
          <t>Strong</t>
        </is>
      </c>
      <c r="L17" s="28" t="n">
        <v>0</v>
      </c>
      <c r="M17" s="28" t="inlineStr"/>
      <c r="N17" s="28" t="n">
        <v>0</v>
      </c>
      <c r="O17" s="28" t="n">
        <v>3</v>
      </c>
      <c r="P17" s="28" t="n">
        <v>2</v>
      </c>
      <c r="Q17" s="28" t="n">
        <v>0</v>
      </c>
      <c r="R17" s="28" t="n">
        <v>0</v>
      </c>
      <c r="S17" s="28" t="n">
        <v>0</v>
      </c>
      <c r="T17" s="40" t="n">
        <v>95</v>
      </c>
      <c r="U17" s="28" t="n">
        <v>25</v>
      </c>
      <c r="V17" s="28" t="b">
        <v>0</v>
      </c>
      <c r="W17" s="32" t="b">
        <v>0</v>
      </c>
      <c r="X17" s="28" t="inlineStr">
        <is>
          <t>Content | AEO | Media</t>
        </is>
      </c>
      <c r="Y17">
        <f>IFERROR(HYPERLINK("#'Main'!B"&amp;MATCH(TRIM(A17),'Main'!B:B,0),"Open"),HYPERLINK("#'Main'!B1","Open"))</f>
        <v/>
      </c>
    </row>
    <row r="18" ht="18" customHeight="1">
      <c r="A18" s="37" t="inlineStr">
        <is>
          <t>https://africanmarketingconfederation.org/smoke-archive/page-15</t>
        </is>
      </c>
      <c r="B18" s="30" t="inlineStr">
        <is>
          <t>Content | AEO | Media</t>
        </is>
      </c>
      <c r="C18" s="30" t="n">
        <v>335</v>
      </c>
      <c r="D18" s="30" t="inlineStr"/>
      <c r="E18" s="30" t="n">
        <v>8</v>
      </c>
      <c r="F18" s="30" t="b">
        <v>0</v>
      </c>
      <c r="G18" s="30" t="n">
        <v>1</v>
      </c>
      <c r="H18" s="32" t="b">
        <v>0</v>
      </c>
      <c r="I18" s="34" t="b">
        <v>1</v>
      </c>
      <c r="J18" s="30" t="n">
        <v>100</v>
      </c>
      <c r="K18" s="30" t="inlineStr">
        <is>
          <t>Strong</t>
        </is>
      </c>
      <c r="L18" s="30" t="n">
        <v>0</v>
      </c>
      <c r="M18" s="30" t="inlineStr"/>
      <c r="N18" s="30" t="n">
        <v>0</v>
      </c>
      <c r="O18" s="30" t="n">
        <v>3</v>
      </c>
      <c r="P18" s="30" t="n">
        <v>2</v>
      </c>
      <c r="Q18" s="30" t="n">
        <v>0</v>
      </c>
      <c r="R18" s="30" t="n">
        <v>0</v>
      </c>
      <c r="S18" s="30" t="n">
        <v>0</v>
      </c>
      <c r="T18" s="40" t="n">
        <v>95</v>
      </c>
      <c r="U18" s="30" t="n">
        <v>25</v>
      </c>
      <c r="V18" s="30" t="b">
        <v>0</v>
      </c>
      <c r="W18" s="32" t="b">
        <v>0</v>
      </c>
      <c r="X18" s="30" t="inlineStr">
        <is>
          <t>Content | AEO | Media</t>
        </is>
      </c>
      <c r="Y18" s="38">
        <f>IFERROR(HYPERLINK("#'Main'!B"&amp;MATCH(TRIM(A18),'Main'!B:B,0),"Open"),HYPERLINK("#'Main'!B1","Open"))</f>
        <v/>
      </c>
    </row>
    <row r="19" ht="18" customHeight="1">
      <c r="A19" s="35" t="inlineStr">
        <is>
          <t>https://africanmarketingconfederation.org/smoke-archive/page-16</t>
        </is>
      </c>
      <c r="B19" s="28" t="inlineStr">
        <is>
          <t>Content | AEO | Media</t>
        </is>
      </c>
      <c r="C19" s="28" t="n">
        <v>336</v>
      </c>
      <c r="D19" s="28" t="inlineStr"/>
      <c r="E19" s="28" t="n">
        <v>8</v>
      </c>
      <c r="F19" s="28" t="b">
        <v>0</v>
      </c>
      <c r="G19" s="28" t="n">
        <v>1</v>
      </c>
      <c r="H19" s="32" t="b">
        <v>0</v>
      </c>
      <c r="I19" s="32" t="b">
        <v>0</v>
      </c>
      <c r="J19" s="28" t="n">
        <v>100</v>
      </c>
      <c r="K19" s="28" t="inlineStr">
        <is>
          <t>Strong</t>
        </is>
      </c>
      <c r="L19" s="28" t="n">
        <v>0</v>
      </c>
      <c r="M19" s="28" t="inlineStr"/>
      <c r="N19" s="28" t="n">
        <v>0</v>
      </c>
      <c r="O19" s="28" t="n">
        <v>3</v>
      </c>
      <c r="P19" s="28" t="n">
        <v>2</v>
      </c>
      <c r="Q19" s="28" t="n">
        <v>0</v>
      </c>
      <c r="R19" s="28" t="n">
        <v>0</v>
      </c>
      <c r="S19" s="28" t="n">
        <v>0</v>
      </c>
      <c r="T19" s="40" t="n">
        <v>95</v>
      </c>
      <c r="U19" s="28" t="n">
        <v>25</v>
      </c>
      <c r="V19" s="28" t="b">
        <v>0</v>
      </c>
      <c r="W19" s="32" t="b">
        <v>0</v>
      </c>
      <c r="X19" s="28" t="inlineStr">
        <is>
          <t>Content | AEO | Media</t>
        </is>
      </c>
      <c r="Y19">
        <f>IFERROR(HYPERLINK("#'Main'!B"&amp;MATCH(TRIM(A19),'Main'!B:B,0),"Open"),HYPERLINK("#'Main'!B1","Open"))</f>
        <v/>
      </c>
    </row>
    <row r="20" ht="18" customHeight="1">
      <c r="A20" s="37" t="inlineStr">
        <is>
          <t>https://africanmarketingconfederation.org/smoke-archive/page-17</t>
        </is>
      </c>
      <c r="B20" s="30" t="inlineStr">
        <is>
          <t>Content | AEO | Media</t>
        </is>
      </c>
      <c r="C20" s="30" t="n">
        <v>337</v>
      </c>
      <c r="D20" s="30" t="inlineStr"/>
      <c r="E20" s="30" t="n">
        <v>8</v>
      </c>
      <c r="F20" s="30" t="b">
        <v>0</v>
      </c>
      <c r="G20" s="30" t="n">
        <v>1</v>
      </c>
      <c r="H20" s="32" t="b">
        <v>0</v>
      </c>
      <c r="I20" s="32" t="b">
        <v>0</v>
      </c>
      <c r="J20" s="30" t="n">
        <v>100</v>
      </c>
      <c r="K20" s="30" t="inlineStr">
        <is>
          <t>Strong</t>
        </is>
      </c>
      <c r="L20" s="30" t="n">
        <v>0</v>
      </c>
      <c r="M20" s="30" t="inlineStr"/>
      <c r="N20" s="30" t="n">
        <v>0</v>
      </c>
      <c r="O20" s="30" t="n">
        <v>3</v>
      </c>
      <c r="P20" s="30" t="n">
        <v>2</v>
      </c>
      <c r="Q20" s="30" t="n">
        <v>0</v>
      </c>
      <c r="R20" s="30" t="n">
        <v>0</v>
      </c>
      <c r="S20" s="30" t="n">
        <v>0</v>
      </c>
      <c r="T20" s="40" t="n">
        <v>95</v>
      </c>
      <c r="U20" s="30" t="n">
        <v>25</v>
      </c>
      <c r="V20" s="30" t="b">
        <v>0</v>
      </c>
      <c r="W20" s="32" t="b">
        <v>0</v>
      </c>
      <c r="X20" s="30" t="inlineStr">
        <is>
          <t>Content | AEO | Media</t>
        </is>
      </c>
      <c r="Y20" s="38">
        <f>IFERROR(HYPERLINK("#'Main'!B"&amp;MATCH(TRIM(A20),'Main'!B:B,0),"Open"),HYPERLINK("#'Main'!B1","Open"))</f>
        <v/>
      </c>
    </row>
    <row r="21" ht="18" customHeight="1">
      <c r="A21" s="35" t="inlineStr">
        <is>
          <t>https://africanmarketingconfederation.org/smoke-archive/page-18</t>
        </is>
      </c>
      <c r="B21" s="28" t="inlineStr">
        <is>
          <t>Content | AEO | Media</t>
        </is>
      </c>
      <c r="C21" s="28" t="n">
        <v>338</v>
      </c>
      <c r="D21" s="28" t="inlineStr"/>
      <c r="E21" s="28" t="n">
        <v>8</v>
      </c>
      <c r="F21" s="28" t="b">
        <v>0</v>
      </c>
      <c r="G21" s="28" t="n">
        <v>1</v>
      </c>
      <c r="H21" s="32" t="b">
        <v>0</v>
      </c>
      <c r="I21" s="32" t="b">
        <v>0</v>
      </c>
      <c r="J21" s="28" t="n">
        <v>30</v>
      </c>
      <c r="K21" s="28" t="inlineStr">
        <is>
          <t>Needs Work</t>
        </is>
      </c>
      <c r="L21" s="28" t="n">
        <v>0</v>
      </c>
      <c r="M21" s="28" t="inlineStr"/>
      <c r="N21" s="28" t="n">
        <v>0</v>
      </c>
      <c r="O21" s="28" t="n">
        <v>0</v>
      </c>
      <c r="P21" s="28" t="n">
        <v>0</v>
      </c>
      <c r="Q21" s="28" t="n">
        <v>0</v>
      </c>
      <c r="R21" s="28" t="n">
        <v>0</v>
      </c>
      <c r="S21" s="28" t="n">
        <v>0</v>
      </c>
      <c r="T21" s="34" t="n">
        <v>60</v>
      </c>
      <c r="U21" s="28" t="n">
        <v>25</v>
      </c>
      <c r="V21" s="28" t="b">
        <v>0</v>
      </c>
      <c r="W21" s="32" t="b">
        <v>0</v>
      </c>
      <c r="X21" s="28" t="inlineStr">
        <is>
          <t>Content | AEO | Media</t>
        </is>
      </c>
      <c r="Y21">
        <f>IFERROR(HYPERLINK("#'Main'!B"&amp;MATCH(TRIM(A21),'Main'!B:B,0),"Open"),HYPERLINK("#'Main'!B1","Open"))</f>
        <v/>
      </c>
    </row>
    <row r="22" ht="18" customHeight="1">
      <c r="A22" s="37" t="inlineStr">
        <is>
          <t>https://africanmarketingconfederation.org/smoke-archive/page-19</t>
        </is>
      </c>
      <c r="B22" s="30" t="inlineStr">
        <is>
          <t>Content | AEO | Media</t>
        </is>
      </c>
      <c r="C22" s="30" t="n">
        <v>339</v>
      </c>
      <c r="D22" s="30" t="inlineStr"/>
      <c r="E22" s="30" t="n">
        <v>8</v>
      </c>
      <c r="F22" s="30" t="b">
        <v>0</v>
      </c>
      <c r="G22" s="30" t="n">
        <v>1</v>
      </c>
      <c r="H22" s="32" t="b">
        <v>0</v>
      </c>
      <c r="I22" s="32" t="b">
        <v>0</v>
      </c>
      <c r="J22" s="30" t="n">
        <v>100</v>
      </c>
      <c r="K22" s="30" t="inlineStr">
        <is>
          <t>Strong</t>
        </is>
      </c>
      <c r="L22" s="30" t="n">
        <v>0</v>
      </c>
      <c r="M22" s="30" t="inlineStr"/>
      <c r="N22" s="30" t="n">
        <v>0</v>
      </c>
      <c r="O22" s="30" t="n">
        <v>3</v>
      </c>
      <c r="P22" s="30" t="n">
        <v>2</v>
      </c>
      <c r="Q22" s="30" t="n">
        <v>0</v>
      </c>
      <c r="R22" s="30" t="n">
        <v>0</v>
      </c>
      <c r="S22" s="30" t="n">
        <v>0</v>
      </c>
      <c r="T22" s="40" t="n">
        <v>95</v>
      </c>
      <c r="U22" s="30" t="n">
        <v>25</v>
      </c>
      <c r="V22" s="30" t="b">
        <v>0</v>
      </c>
      <c r="W22" s="32" t="b">
        <v>0</v>
      </c>
      <c r="X22" s="30" t="inlineStr">
        <is>
          <t>Content | AEO | Media</t>
        </is>
      </c>
      <c r="Y22" s="38">
        <f>IFERROR(HYPERLINK("#'Main'!B"&amp;MATCH(TRIM(A22),'Main'!B:B,0),"Open"),HYPERLINK("#'Main'!B1","Open"))</f>
        <v/>
      </c>
    </row>
    <row r="23" ht="18" customHeight="1">
      <c r="A23" s="35" t="inlineStr">
        <is>
          <t>https://africanmarketingconfederation.org/smoke-archive/page-20</t>
        </is>
      </c>
      <c r="B23" s="28" t="inlineStr">
        <is>
          <t>Content | AEO | Media</t>
        </is>
      </c>
      <c r="C23" s="28" t="n">
        <v>340</v>
      </c>
      <c r="D23" s="28" t="inlineStr"/>
      <c r="E23" s="28" t="n">
        <v>8</v>
      </c>
      <c r="F23" s="28" t="b">
        <v>0</v>
      </c>
      <c r="G23" s="28" t="n">
        <v>1</v>
      </c>
      <c r="H23" s="32" t="b">
        <v>0</v>
      </c>
      <c r="I23" s="34" t="b">
        <v>1</v>
      </c>
      <c r="J23" s="28" t="n">
        <v>100</v>
      </c>
      <c r="K23" s="28" t="inlineStr">
        <is>
          <t>Strong</t>
        </is>
      </c>
      <c r="L23" s="28" t="n">
        <v>0</v>
      </c>
      <c r="M23" s="28" t="inlineStr"/>
      <c r="N23" s="28" t="n">
        <v>0</v>
      </c>
      <c r="O23" s="28" t="n">
        <v>3</v>
      </c>
      <c r="P23" s="28" t="n">
        <v>2</v>
      </c>
      <c r="Q23" s="28" t="n">
        <v>0</v>
      </c>
      <c r="R23" s="28" t="n">
        <v>0</v>
      </c>
      <c r="S23" s="28" t="n">
        <v>0</v>
      </c>
      <c r="T23" s="40" t="n">
        <v>95</v>
      </c>
      <c r="U23" s="28" t="n">
        <v>25</v>
      </c>
      <c r="V23" s="28" t="b">
        <v>0</v>
      </c>
      <c r="W23" s="32" t="b">
        <v>0</v>
      </c>
      <c r="X23" s="28" t="inlineStr">
        <is>
          <t>Content | AEO | Media</t>
        </is>
      </c>
      <c r="Y23">
        <f>IFERROR(HYPERLINK("#'Main'!B"&amp;MATCH(TRIM(A23),'Main'!B:B,0),"Open"),HYPERLINK("#'Main'!B1","Open"))</f>
        <v/>
      </c>
    </row>
    <row r="24" ht="18" customHeight="1">
      <c r="A24" s="37" t="inlineStr">
        <is>
          <t>https://africanmarketingconfederation.org/smoke-archive/page-21</t>
        </is>
      </c>
      <c r="B24" s="30" t="inlineStr">
        <is>
          <t>Content | AEO | Media</t>
        </is>
      </c>
      <c r="C24" s="30" t="n">
        <v>341</v>
      </c>
      <c r="D24" s="30" t="inlineStr"/>
      <c r="E24" s="30" t="n">
        <v>8</v>
      </c>
      <c r="F24" s="30" t="b">
        <v>0</v>
      </c>
      <c r="G24" s="30" t="n">
        <v>1</v>
      </c>
      <c r="H24" s="32" t="b">
        <v>0</v>
      </c>
      <c r="I24" s="32" t="b">
        <v>0</v>
      </c>
      <c r="J24" s="30" t="n">
        <v>100</v>
      </c>
      <c r="K24" s="30" t="inlineStr">
        <is>
          <t>Strong</t>
        </is>
      </c>
      <c r="L24" s="30" t="n">
        <v>0</v>
      </c>
      <c r="M24" s="30" t="inlineStr"/>
      <c r="N24" s="30" t="n">
        <v>0</v>
      </c>
      <c r="O24" s="30" t="n">
        <v>3</v>
      </c>
      <c r="P24" s="30" t="n">
        <v>2</v>
      </c>
      <c r="Q24" s="30" t="n">
        <v>0</v>
      </c>
      <c r="R24" s="30" t="n">
        <v>0</v>
      </c>
      <c r="S24" s="30" t="n">
        <v>0</v>
      </c>
      <c r="T24" s="40" t="n">
        <v>95</v>
      </c>
      <c r="U24" s="30" t="n">
        <v>25</v>
      </c>
      <c r="V24" s="30" t="b">
        <v>0</v>
      </c>
      <c r="W24" s="32" t="b">
        <v>0</v>
      </c>
      <c r="X24" s="30" t="inlineStr">
        <is>
          <t>Content | AEO | Media</t>
        </is>
      </c>
      <c r="Y24" s="38">
        <f>IFERROR(HYPERLINK("#'Main'!B"&amp;MATCH(TRIM(A24),'Main'!B:B,0),"Open"),HYPERLINK("#'Main'!B1","Open"))</f>
        <v/>
      </c>
    </row>
    <row r="25" ht="18" customHeight="1">
      <c r="A25" s="35" t="inlineStr">
        <is>
          <t>https://africanmarketingconfederation.org/smoke-archive/page-22</t>
        </is>
      </c>
      <c r="B25" s="28" t="inlineStr">
        <is>
          <t>Content | AEO | Media</t>
        </is>
      </c>
      <c r="C25" s="28" t="n">
        <v>342</v>
      </c>
      <c r="D25" s="28" t="inlineStr"/>
      <c r="E25" s="28" t="n">
        <v>8</v>
      </c>
      <c r="F25" s="28" t="b">
        <v>0</v>
      </c>
      <c r="G25" s="28" t="n">
        <v>1</v>
      </c>
      <c r="H25" s="32" t="b">
        <v>0</v>
      </c>
      <c r="I25" s="32" t="b">
        <v>0</v>
      </c>
      <c r="J25" s="28" t="n">
        <v>100</v>
      </c>
      <c r="K25" s="28" t="inlineStr">
        <is>
          <t>Strong</t>
        </is>
      </c>
      <c r="L25" s="28" t="n">
        <v>0</v>
      </c>
      <c r="M25" s="28" t="inlineStr"/>
      <c r="N25" s="28" t="n">
        <v>0</v>
      </c>
      <c r="O25" s="28" t="n">
        <v>3</v>
      </c>
      <c r="P25" s="28" t="n">
        <v>2</v>
      </c>
      <c r="Q25" s="28" t="n">
        <v>0</v>
      </c>
      <c r="R25" s="28" t="n">
        <v>0</v>
      </c>
      <c r="S25" s="28" t="n">
        <v>0</v>
      </c>
      <c r="T25" s="40" t="n">
        <v>95</v>
      </c>
      <c r="U25" s="28" t="n">
        <v>25</v>
      </c>
      <c r="V25" s="28" t="b">
        <v>0</v>
      </c>
      <c r="W25" s="32" t="b">
        <v>0</v>
      </c>
      <c r="X25" s="28" t="inlineStr">
        <is>
          <t>Content | AEO | Media</t>
        </is>
      </c>
      <c r="Y25">
        <f>IFERROR(HYPERLINK("#'Main'!B"&amp;MATCH(TRIM(A25),'Main'!B:B,0),"Open"),HYPERLINK("#'Main'!B1","Open"))</f>
        <v/>
      </c>
    </row>
    <row r="26" ht="18" customHeight="1">
      <c r="A26" s="37" t="inlineStr">
        <is>
          <t>https://africanmarketingconfederation.org/smoke-archive/page-23</t>
        </is>
      </c>
      <c r="B26" s="30" t="inlineStr">
        <is>
          <t>Content | AEO | Media</t>
        </is>
      </c>
      <c r="C26" s="30" t="n">
        <v>343</v>
      </c>
      <c r="D26" s="30" t="inlineStr"/>
      <c r="E26" s="30" t="n">
        <v>8</v>
      </c>
      <c r="F26" s="30" t="b">
        <v>0</v>
      </c>
      <c r="G26" s="30" t="n">
        <v>1</v>
      </c>
      <c r="H26" s="32" t="b">
        <v>0</v>
      </c>
      <c r="I26" s="32" t="b">
        <v>0</v>
      </c>
      <c r="J26" s="30" t="n">
        <v>100</v>
      </c>
      <c r="K26" s="30" t="inlineStr">
        <is>
          <t>Strong</t>
        </is>
      </c>
      <c r="L26" s="30" t="n">
        <v>0</v>
      </c>
      <c r="M26" s="30" t="inlineStr"/>
      <c r="N26" s="30" t="n">
        <v>0</v>
      </c>
      <c r="O26" s="30" t="n">
        <v>3</v>
      </c>
      <c r="P26" s="30" t="n">
        <v>2</v>
      </c>
      <c r="Q26" s="30" t="n">
        <v>0</v>
      </c>
      <c r="R26" s="30" t="n">
        <v>0</v>
      </c>
      <c r="S26" s="30" t="n">
        <v>0</v>
      </c>
      <c r="T26" s="40" t="n">
        <v>95</v>
      </c>
      <c r="U26" s="30" t="n">
        <v>25</v>
      </c>
      <c r="V26" s="30" t="b">
        <v>0</v>
      </c>
      <c r="W26" s="32" t="b">
        <v>0</v>
      </c>
      <c r="X26" s="30" t="inlineStr">
        <is>
          <t>Content | AEO | Media</t>
        </is>
      </c>
      <c r="Y26" s="38">
        <f>IFERROR(HYPERLINK("#'Main'!B"&amp;MATCH(TRIM(A26),'Main'!B:B,0),"Open"),HYPERLINK("#'Main'!B1","Open"))</f>
        <v/>
      </c>
    </row>
    <row r="27" ht="18" customHeight="1">
      <c r="A27" s="35" t="inlineStr">
        <is>
          <t>https://africanmarketingconfederation.org/smoke-archive/page-24</t>
        </is>
      </c>
      <c r="B27" s="28" t="inlineStr">
        <is>
          <t>Content | AEO | Media</t>
        </is>
      </c>
      <c r="C27" s="28" t="n">
        <v>344</v>
      </c>
      <c r="D27" s="28" t="inlineStr"/>
      <c r="E27" s="28" t="n">
        <v>8</v>
      </c>
      <c r="F27" s="28" t="b">
        <v>0</v>
      </c>
      <c r="G27" s="28" t="n">
        <v>1</v>
      </c>
      <c r="H27" s="32" t="b">
        <v>0</v>
      </c>
      <c r="I27" s="32" t="b">
        <v>0</v>
      </c>
      <c r="J27" s="28" t="n">
        <v>100</v>
      </c>
      <c r="K27" s="28" t="inlineStr">
        <is>
          <t>Strong</t>
        </is>
      </c>
      <c r="L27" s="28" t="n">
        <v>0</v>
      </c>
      <c r="M27" s="28" t="inlineStr"/>
      <c r="N27" s="28" t="n">
        <v>0</v>
      </c>
      <c r="O27" s="28" t="n">
        <v>3</v>
      </c>
      <c r="P27" s="28" t="n">
        <v>2</v>
      </c>
      <c r="Q27" s="28" t="n">
        <v>0</v>
      </c>
      <c r="R27" s="28" t="n">
        <v>0</v>
      </c>
      <c r="S27" s="28" t="n">
        <v>0</v>
      </c>
      <c r="T27" s="34" t="n">
        <v>60</v>
      </c>
      <c r="U27" s="28" t="n">
        <v>25</v>
      </c>
      <c r="V27" s="28" t="b">
        <v>0</v>
      </c>
      <c r="W27" s="32" t="b">
        <v>0</v>
      </c>
      <c r="X27" s="28" t="inlineStr">
        <is>
          <t>Content | AEO | Media</t>
        </is>
      </c>
      <c r="Y27">
        <f>IFERROR(HYPERLINK("#'Main'!B"&amp;MATCH(TRIM(A27),'Main'!B:B,0),"Open"),HYPERLINK("#'Main'!B1","Open"))</f>
        <v/>
      </c>
    </row>
    <row r="28" ht="18" customHeight="1">
      <c r="A28" s="37" t="inlineStr">
        <is>
          <t>https://africanmarketingconfederation.org/smoke-archive/page-25</t>
        </is>
      </c>
      <c r="B28" s="30" t="inlineStr">
        <is>
          <t>Content | AEO | Media</t>
        </is>
      </c>
      <c r="C28" s="30" t="n">
        <v>345</v>
      </c>
      <c r="D28" s="30" t="inlineStr"/>
      <c r="E28" s="30" t="n">
        <v>8</v>
      </c>
      <c r="F28" s="30" t="b">
        <v>0</v>
      </c>
      <c r="G28" s="30" t="n">
        <v>1</v>
      </c>
      <c r="H28" s="32" t="b">
        <v>0</v>
      </c>
      <c r="I28" s="34" t="b">
        <v>1</v>
      </c>
      <c r="J28" s="30" t="n">
        <v>100</v>
      </c>
      <c r="K28" s="30" t="inlineStr">
        <is>
          <t>Strong</t>
        </is>
      </c>
      <c r="L28" s="30" t="n">
        <v>0</v>
      </c>
      <c r="M28" s="30" t="inlineStr"/>
      <c r="N28" s="30" t="n">
        <v>0</v>
      </c>
      <c r="O28" s="30" t="n">
        <v>3</v>
      </c>
      <c r="P28" s="30" t="n">
        <v>2</v>
      </c>
      <c r="Q28" s="30" t="n">
        <v>0</v>
      </c>
      <c r="R28" s="30" t="n">
        <v>0</v>
      </c>
      <c r="S28" s="30" t="n">
        <v>0</v>
      </c>
      <c r="T28" s="40" t="n">
        <v>95</v>
      </c>
      <c r="U28" s="30" t="n">
        <v>25</v>
      </c>
      <c r="V28" s="30" t="b">
        <v>0</v>
      </c>
      <c r="W28" s="32" t="b">
        <v>0</v>
      </c>
      <c r="X28" s="30" t="inlineStr">
        <is>
          <t>Content | AEO | Media</t>
        </is>
      </c>
      <c r="Y28" s="38">
        <f>IFERROR(HYPERLINK("#'Main'!B"&amp;MATCH(TRIM(A28),'Main'!B:B,0),"Open"),HYPERLINK("#'Main'!B1","Open"))</f>
        <v/>
      </c>
    </row>
    <row r="29" ht="18" customHeight="1">
      <c r="A29" s="35" t="inlineStr">
        <is>
          <t>https://africanmarketingconfederation.org/smoke-archive/page-26</t>
        </is>
      </c>
      <c r="B29" s="28" t="inlineStr">
        <is>
          <t>Content | AEO | Media</t>
        </is>
      </c>
      <c r="C29" s="28" t="n">
        <v>346</v>
      </c>
      <c r="D29" s="28" t="inlineStr"/>
      <c r="E29" s="28" t="n">
        <v>8</v>
      </c>
      <c r="F29" s="28" t="b">
        <v>0</v>
      </c>
      <c r="G29" s="28" t="n">
        <v>1</v>
      </c>
      <c r="H29" s="32" t="b">
        <v>0</v>
      </c>
      <c r="I29" s="32" t="b">
        <v>0</v>
      </c>
      <c r="J29" s="28" t="n">
        <v>100</v>
      </c>
      <c r="K29" s="28" t="inlineStr">
        <is>
          <t>Strong</t>
        </is>
      </c>
      <c r="L29" s="28" t="n">
        <v>0</v>
      </c>
      <c r="M29" s="28" t="inlineStr"/>
      <c r="N29" s="28" t="n">
        <v>0</v>
      </c>
      <c r="O29" s="28" t="n">
        <v>3</v>
      </c>
      <c r="P29" s="28" t="n">
        <v>2</v>
      </c>
      <c r="Q29" s="28" t="n">
        <v>0</v>
      </c>
      <c r="R29" s="28" t="n">
        <v>0</v>
      </c>
      <c r="S29" s="28" t="n">
        <v>0</v>
      </c>
      <c r="T29" s="40" t="n">
        <v>95</v>
      </c>
      <c r="U29" s="28" t="n">
        <v>25</v>
      </c>
      <c r="V29" s="28" t="b">
        <v>0</v>
      </c>
      <c r="W29" s="32" t="b">
        <v>0</v>
      </c>
      <c r="X29" s="28" t="inlineStr">
        <is>
          <t>Content | AEO | Media</t>
        </is>
      </c>
      <c r="Y29">
        <f>IFERROR(HYPERLINK("#'Main'!B"&amp;MATCH(TRIM(A29),'Main'!B:B,0),"Open"),HYPERLINK("#'Main'!B1","Open"))</f>
        <v/>
      </c>
    </row>
    <row r="30" ht="18" customHeight="1">
      <c r="A30" s="37" t="inlineStr">
        <is>
          <t>https://africanmarketingconfederation.org/smoke-archive/page-27</t>
        </is>
      </c>
      <c r="B30" s="30" t="inlineStr">
        <is>
          <t>Content | AEO | Media</t>
        </is>
      </c>
      <c r="C30" s="30" t="n">
        <v>347</v>
      </c>
      <c r="D30" s="30" t="inlineStr"/>
      <c r="E30" s="30" t="n">
        <v>8</v>
      </c>
      <c r="F30" s="30" t="b">
        <v>0</v>
      </c>
      <c r="G30" s="30" t="n">
        <v>1</v>
      </c>
      <c r="H30" s="32" t="b">
        <v>0</v>
      </c>
      <c r="I30" s="32" t="b">
        <v>0</v>
      </c>
      <c r="J30" s="30" t="n">
        <v>30</v>
      </c>
      <c r="K30" s="30" t="inlineStr">
        <is>
          <t>Needs Work</t>
        </is>
      </c>
      <c r="L30" s="30" t="n">
        <v>0</v>
      </c>
      <c r="M30" s="30" t="inlineStr"/>
      <c r="N30" s="30" t="n">
        <v>0</v>
      </c>
      <c r="O30" s="30" t="n">
        <v>0</v>
      </c>
      <c r="P30" s="30" t="n">
        <v>0</v>
      </c>
      <c r="Q30" s="30" t="n">
        <v>0</v>
      </c>
      <c r="R30" s="30" t="n">
        <v>0</v>
      </c>
      <c r="S30" s="30" t="n">
        <v>0</v>
      </c>
      <c r="T30" s="40" t="n">
        <v>95</v>
      </c>
      <c r="U30" s="30" t="n">
        <v>25</v>
      </c>
      <c r="V30" s="30" t="b">
        <v>0</v>
      </c>
      <c r="W30" s="32" t="b">
        <v>0</v>
      </c>
      <c r="X30" s="30" t="inlineStr">
        <is>
          <t>Content | AEO | Media</t>
        </is>
      </c>
      <c r="Y30" s="38">
        <f>IFERROR(HYPERLINK("#'Main'!B"&amp;MATCH(TRIM(A30),'Main'!B:B,0),"Open"),HYPERLINK("#'Main'!B1","Open"))</f>
        <v/>
      </c>
    </row>
    <row r="31" ht="18" customHeight="1">
      <c r="A31" s="35" t="inlineStr">
        <is>
          <t>https://africanmarketingconfederation.org/smoke-archive/page-28</t>
        </is>
      </c>
      <c r="B31" s="28" t="inlineStr">
        <is>
          <t>Content | AEO | Media</t>
        </is>
      </c>
      <c r="C31" s="28" t="n">
        <v>348</v>
      </c>
      <c r="D31" s="28" t="inlineStr"/>
      <c r="E31" s="28" t="n">
        <v>8</v>
      </c>
      <c r="F31" s="28" t="b">
        <v>0</v>
      </c>
      <c r="G31" s="28" t="n">
        <v>1</v>
      </c>
      <c r="H31" s="32" t="b">
        <v>0</v>
      </c>
      <c r="I31" s="32" t="b">
        <v>0</v>
      </c>
      <c r="J31" s="28" t="n">
        <v>100</v>
      </c>
      <c r="K31" s="28" t="inlineStr">
        <is>
          <t>Strong</t>
        </is>
      </c>
      <c r="L31" s="28" t="n">
        <v>0</v>
      </c>
      <c r="M31" s="28" t="inlineStr"/>
      <c r="N31" s="28" t="n">
        <v>0</v>
      </c>
      <c r="O31" s="28" t="n">
        <v>3</v>
      </c>
      <c r="P31" s="28" t="n">
        <v>2</v>
      </c>
      <c r="Q31" s="28" t="n">
        <v>0</v>
      </c>
      <c r="R31" s="28" t="n">
        <v>0</v>
      </c>
      <c r="S31" s="28" t="n">
        <v>0</v>
      </c>
      <c r="T31" s="40" t="n">
        <v>95</v>
      </c>
      <c r="U31" s="28" t="n">
        <v>25</v>
      </c>
      <c r="V31" s="28" t="b">
        <v>0</v>
      </c>
      <c r="W31" s="32" t="b">
        <v>0</v>
      </c>
      <c r="X31" s="28" t="inlineStr">
        <is>
          <t>Content | AEO | Media</t>
        </is>
      </c>
      <c r="Y31">
        <f>IFERROR(HYPERLINK("#'Main'!B"&amp;MATCH(TRIM(A31),'Main'!B:B,0),"Open"),HYPERLINK("#'Main'!B1","Open"))</f>
        <v/>
      </c>
    </row>
    <row r="32" ht="18" customHeight="1">
      <c r="A32" s="37" t="inlineStr">
        <is>
          <t>https://africanmarketingconfederation.org/smoke-archive/page-29</t>
        </is>
      </c>
      <c r="B32" s="30" t="inlineStr">
        <is>
          <t>Content | AEO | Media</t>
        </is>
      </c>
      <c r="C32" s="30" t="n">
        <v>349</v>
      </c>
      <c r="D32" s="30" t="inlineStr"/>
      <c r="E32" s="30" t="n">
        <v>8</v>
      </c>
      <c r="F32" s="30" t="b">
        <v>0</v>
      </c>
      <c r="G32" s="30" t="n">
        <v>1</v>
      </c>
      <c r="H32" s="32" t="b">
        <v>0</v>
      </c>
      <c r="I32" s="32" t="b">
        <v>0</v>
      </c>
      <c r="J32" s="30" t="n">
        <v>100</v>
      </c>
      <c r="K32" s="30" t="inlineStr">
        <is>
          <t>Strong</t>
        </is>
      </c>
      <c r="L32" s="30" t="n">
        <v>0</v>
      </c>
      <c r="M32" s="30" t="inlineStr"/>
      <c r="N32" s="30" t="n">
        <v>0</v>
      </c>
      <c r="O32" s="30" t="n">
        <v>3</v>
      </c>
      <c r="P32" s="30" t="n">
        <v>2</v>
      </c>
      <c r="Q32" s="30" t="n">
        <v>0</v>
      </c>
      <c r="R32" s="30" t="n">
        <v>0</v>
      </c>
      <c r="S32" s="30" t="n">
        <v>0</v>
      </c>
      <c r="T32" s="40" t="n">
        <v>95</v>
      </c>
      <c r="U32" s="30" t="n">
        <v>25</v>
      </c>
      <c r="V32" s="30" t="b">
        <v>0</v>
      </c>
      <c r="W32" s="32" t="b">
        <v>0</v>
      </c>
      <c r="X32" s="30" t="inlineStr">
        <is>
          <t>Content | AEO | Media</t>
        </is>
      </c>
      <c r="Y32" s="38">
        <f>IFERROR(HYPERLINK("#'Main'!B"&amp;MATCH(TRIM(A32),'Main'!B:B,0),"Open"),HYPERLINK("#'Main'!B1","Open"))</f>
        <v/>
      </c>
    </row>
    <row r="33" ht="18" customHeight="1">
      <c r="A33" s="35" t="inlineStr">
        <is>
          <t>https://africanmarketingconfederation.org/smoke-archive/page-30</t>
        </is>
      </c>
      <c r="B33" s="28" t="inlineStr">
        <is>
          <t>Content | AEO | Media</t>
        </is>
      </c>
      <c r="C33" s="28" t="n">
        <v>350</v>
      </c>
      <c r="D33" s="28" t="inlineStr"/>
      <c r="E33" s="28" t="n">
        <v>8</v>
      </c>
      <c r="F33" s="28" t="b">
        <v>0</v>
      </c>
      <c r="G33" s="28" t="n">
        <v>1</v>
      </c>
      <c r="H33" s="32" t="b">
        <v>0</v>
      </c>
      <c r="I33" s="34" t="b">
        <v>1</v>
      </c>
      <c r="J33" s="28" t="n">
        <v>100</v>
      </c>
      <c r="K33" s="28" t="inlineStr">
        <is>
          <t>Strong</t>
        </is>
      </c>
      <c r="L33" s="28" t="n">
        <v>0</v>
      </c>
      <c r="M33" s="28" t="inlineStr"/>
      <c r="N33" s="28" t="n">
        <v>0</v>
      </c>
      <c r="O33" s="28" t="n">
        <v>3</v>
      </c>
      <c r="P33" s="28" t="n">
        <v>2</v>
      </c>
      <c r="Q33" s="28" t="n">
        <v>0</v>
      </c>
      <c r="R33" s="28" t="n">
        <v>0</v>
      </c>
      <c r="S33" s="28" t="n">
        <v>0</v>
      </c>
      <c r="T33" s="34" t="n">
        <v>60</v>
      </c>
      <c r="U33" s="28" t="n">
        <v>25</v>
      </c>
      <c r="V33" s="28" t="b">
        <v>0</v>
      </c>
      <c r="W33" s="32" t="b">
        <v>0</v>
      </c>
      <c r="X33" s="28" t="inlineStr">
        <is>
          <t>Content | AEO | Media</t>
        </is>
      </c>
      <c r="Y33">
        <f>IFERROR(HYPERLINK("#'Main'!B"&amp;MATCH(TRIM(A33),'Main'!B:B,0),"Open"),HYPERLINK("#'Main'!B1","Open"))</f>
        <v/>
      </c>
    </row>
    <row r="34" ht="18" customHeight="1">
      <c r="A34" s="37" t="inlineStr">
        <is>
          <t>https://africanmarketingconfederation.org/smoke-archive/page-31</t>
        </is>
      </c>
      <c r="B34" s="30" t="inlineStr">
        <is>
          <t>Content | AEO | Media</t>
        </is>
      </c>
      <c r="C34" s="30" t="n">
        <v>351</v>
      </c>
      <c r="D34" s="30" t="inlineStr"/>
      <c r="E34" s="30" t="n">
        <v>8</v>
      </c>
      <c r="F34" s="30" t="b">
        <v>0</v>
      </c>
      <c r="G34" s="30" t="n">
        <v>1</v>
      </c>
      <c r="H34" s="32" t="b">
        <v>0</v>
      </c>
      <c r="I34" s="32" t="b">
        <v>0</v>
      </c>
      <c r="J34" s="30" t="n">
        <v>100</v>
      </c>
      <c r="K34" s="30" t="inlineStr">
        <is>
          <t>Strong</t>
        </is>
      </c>
      <c r="L34" s="30" t="n">
        <v>0</v>
      </c>
      <c r="M34" s="30" t="inlineStr"/>
      <c r="N34" s="30" t="n">
        <v>0</v>
      </c>
      <c r="O34" s="30" t="n">
        <v>3</v>
      </c>
      <c r="P34" s="30" t="n">
        <v>2</v>
      </c>
      <c r="Q34" s="30" t="n">
        <v>0</v>
      </c>
      <c r="R34" s="30" t="n">
        <v>0</v>
      </c>
      <c r="S34" s="30" t="n">
        <v>0</v>
      </c>
      <c r="T34" s="40" t="n">
        <v>95</v>
      </c>
      <c r="U34" s="30" t="n">
        <v>25</v>
      </c>
      <c r="V34" s="30" t="b">
        <v>0</v>
      </c>
      <c r="W34" s="32" t="b">
        <v>0</v>
      </c>
      <c r="X34" s="30" t="inlineStr">
        <is>
          <t>Content | AEO | Media</t>
        </is>
      </c>
      <c r="Y34" s="38">
        <f>IFERROR(HYPERLINK("#'Main'!B"&amp;MATCH(TRIM(A34),'Main'!B:B,0),"Open"),HYPERLINK("#'Main'!B1","Open"))</f>
        <v/>
      </c>
    </row>
    <row r="35" ht="18" customHeight="1">
      <c r="A35" s="35" t="inlineStr">
        <is>
          <t>https://africanmarketingconfederation.org/smoke-archive/page-32</t>
        </is>
      </c>
      <c r="B35" s="28" t="inlineStr">
        <is>
          <t>Content | AEO | Media</t>
        </is>
      </c>
      <c r="C35" s="28" t="n">
        <v>352</v>
      </c>
      <c r="D35" s="28" t="inlineStr"/>
      <c r="E35" s="28" t="n">
        <v>8</v>
      </c>
      <c r="F35" s="28" t="b">
        <v>0</v>
      </c>
      <c r="G35" s="28" t="n">
        <v>1</v>
      </c>
      <c r="H35" s="32" t="b">
        <v>0</v>
      </c>
      <c r="I35" s="32" t="b">
        <v>0</v>
      </c>
      <c r="J35" s="28" t="n">
        <v>100</v>
      </c>
      <c r="K35" s="28" t="inlineStr">
        <is>
          <t>Strong</t>
        </is>
      </c>
      <c r="L35" s="28" t="n">
        <v>0</v>
      </c>
      <c r="M35" s="28" t="inlineStr"/>
      <c r="N35" s="28" t="n">
        <v>0</v>
      </c>
      <c r="O35" s="28" t="n">
        <v>3</v>
      </c>
      <c r="P35" s="28" t="n">
        <v>2</v>
      </c>
      <c r="Q35" s="28" t="n">
        <v>0</v>
      </c>
      <c r="R35" s="28" t="n">
        <v>0</v>
      </c>
      <c r="S35" s="28" t="n">
        <v>0</v>
      </c>
      <c r="T35" s="40" t="n">
        <v>95</v>
      </c>
      <c r="U35" s="28" t="n">
        <v>25</v>
      </c>
      <c r="V35" s="28" t="b">
        <v>0</v>
      </c>
      <c r="W35" s="32" t="b">
        <v>0</v>
      </c>
      <c r="X35" s="28" t="inlineStr">
        <is>
          <t>Content | AEO | Media</t>
        </is>
      </c>
      <c r="Y35">
        <f>IFERROR(HYPERLINK("#'Main'!B"&amp;MATCH(TRIM(A35),'Main'!B:B,0),"Open"),HYPERLINK("#'Main'!B1","Open"))</f>
        <v/>
      </c>
    </row>
    <row r="36" ht="18" customHeight="1">
      <c r="A36" s="37" t="inlineStr">
        <is>
          <t>https://africanmarketingconfederation.org/smoke-archive/page-33</t>
        </is>
      </c>
      <c r="B36" s="30" t="inlineStr">
        <is>
          <t>Content | AEO | Media</t>
        </is>
      </c>
      <c r="C36" s="30" t="n">
        <v>353</v>
      </c>
      <c r="D36" s="30" t="inlineStr"/>
      <c r="E36" s="30" t="n">
        <v>8</v>
      </c>
      <c r="F36" s="30" t="b">
        <v>0</v>
      </c>
      <c r="G36" s="30" t="n">
        <v>1</v>
      </c>
      <c r="H36" s="32" t="b">
        <v>0</v>
      </c>
      <c r="I36" s="32" t="b">
        <v>0</v>
      </c>
      <c r="J36" s="30" t="n">
        <v>100</v>
      </c>
      <c r="K36" s="30" t="inlineStr">
        <is>
          <t>Strong</t>
        </is>
      </c>
      <c r="L36" s="30" t="n">
        <v>0</v>
      </c>
      <c r="M36" s="30" t="inlineStr"/>
      <c r="N36" s="30" t="n">
        <v>0</v>
      </c>
      <c r="O36" s="30" t="n">
        <v>3</v>
      </c>
      <c r="P36" s="30" t="n">
        <v>2</v>
      </c>
      <c r="Q36" s="30" t="n">
        <v>0</v>
      </c>
      <c r="R36" s="30" t="n">
        <v>0</v>
      </c>
      <c r="S36" s="30" t="n">
        <v>0</v>
      </c>
      <c r="T36" s="40" t="n">
        <v>95</v>
      </c>
      <c r="U36" s="30" t="n">
        <v>25</v>
      </c>
      <c r="V36" s="30" t="b">
        <v>0</v>
      </c>
      <c r="W36" s="32" t="b">
        <v>0</v>
      </c>
      <c r="X36" s="30" t="inlineStr">
        <is>
          <t>Content | AEO | Media</t>
        </is>
      </c>
      <c r="Y36" s="38">
        <f>IFERROR(HYPERLINK("#'Main'!B"&amp;MATCH(TRIM(A36),'Main'!B:B,0),"Open"),HYPERLINK("#'Main'!B1","Open"))</f>
        <v/>
      </c>
    </row>
    <row r="37" ht="18" customHeight="1">
      <c r="A37" s="35" t="inlineStr">
        <is>
          <t>https://africanmarketingconfederation.org/smoke-archive/page-34</t>
        </is>
      </c>
      <c r="B37" s="28" t="inlineStr">
        <is>
          <t>Content | AEO | Media</t>
        </is>
      </c>
      <c r="C37" s="28" t="n">
        <v>354</v>
      </c>
      <c r="D37" s="28" t="inlineStr"/>
      <c r="E37" s="28" t="n">
        <v>8</v>
      </c>
      <c r="F37" s="28" t="b">
        <v>0</v>
      </c>
      <c r="G37" s="28" t="n">
        <v>1</v>
      </c>
      <c r="H37" s="32" t="b">
        <v>0</v>
      </c>
      <c r="I37" s="32" t="b">
        <v>0</v>
      </c>
      <c r="J37" s="28" t="n">
        <v>100</v>
      </c>
      <c r="K37" s="28" t="inlineStr">
        <is>
          <t>Strong</t>
        </is>
      </c>
      <c r="L37" s="28" t="n">
        <v>0</v>
      </c>
      <c r="M37" s="28" t="inlineStr"/>
      <c r="N37" s="28" t="n">
        <v>0</v>
      </c>
      <c r="O37" s="28" t="n">
        <v>3</v>
      </c>
      <c r="P37" s="28" t="n">
        <v>2</v>
      </c>
      <c r="Q37" s="28" t="n">
        <v>0</v>
      </c>
      <c r="R37" s="28" t="n">
        <v>0</v>
      </c>
      <c r="S37" s="28" t="n">
        <v>0</v>
      </c>
      <c r="T37" s="40" t="n">
        <v>95</v>
      </c>
      <c r="U37" s="28" t="n">
        <v>25</v>
      </c>
      <c r="V37" s="28" t="b">
        <v>0</v>
      </c>
      <c r="W37" s="32" t="b">
        <v>0</v>
      </c>
      <c r="X37" s="28" t="inlineStr">
        <is>
          <t>Content | AEO | Media</t>
        </is>
      </c>
      <c r="Y37">
        <f>IFERROR(HYPERLINK("#'Main'!B"&amp;MATCH(TRIM(A37),'Main'!B:B,0),"Open"),HYPERLINK("#'Main'!B1","Open"))</f>
        <v/>
      </c>
    </row>
    <row r="38" ht="18" customHeight="1">
      <c r="A38" s="37" t="inlineStr">
        <is>
          <t>https://africanmarketingconfederation.org/smoke-archive/page-35</t>
        </is>
      </c>
      <c r="B38" s="30" t="inlineStr">
        <is>
          <t>Content | AEO | Media</t>
        </is>
      </c>
      <c r="C38" s="30" t="n">
        <v>355</v>
      </c>
      <c r="D38" s="30" t="inlineStr"/>
      <c r="E38" s="30" t="n">
        <v>8</v>
      </c>
      <c r="F38" s="30" t="b">
        <v>0</v>
      </c>
      <c r="G38" s="30" t="n">
        <v>1</v>
      </c>
      <c r="H38" s="32" t="b">
        <v>0</v>
      </c>
      <c r="I38" s="34" t="b">
        <v>1</v>
      </c>
      <c r="J38" s="30" t="n">
        <v>100</v>
      </c>
      <c r="K38" s="30" t="inlineStr">
        <is>
          <t>Strong</t>
        </is>
      </c>
      <c r="L38" s="30" t="n">
        <v>0</v>
      </c>
      <c r="M38" s="30" t="inlineStr"/>
      <c r="N38" s="30" t="n">
        <v>0</v>
      </c>
      <c r="O38" s="30" t="n">
        <v>3</v>
      </c>
      <c r="P38" s="30" t="n">
        <v>2</v>
      </c>
      <c r="Q38" s="30" t="n">
        <v>0</v>
      </c>
      <c r="R38" s="30" t="n">
        <v>0</v>
      </c>
      <c r="S38" s="30" t="n">
        <v>0</v>
      </c>
      <c r="T38" s="40" t="n">
        <v>95</v>
      </c>
      <c r="U38" s="30" t="n">
        <v>25</v>
      </c>
      <c r="V38" s="30" t="b">
        <v>0</v>
      </c>
      <c r="W38" s="32" t="b">
        <v>0</v>
      </c>
      <c r="X38" s="30" t="inlineStr">
        <is>
          <t>Content | AEO | Media</t>
        </is>
      </c>
      <c r="Y38" s="38">
        <f>IFERROR(HYPERLINK("#'Main'!B"&amp;MATCH(TRIM(A38),'Main'!B:B,0),"Open"),HYPERLINK("#'Main'!B1","Open"))</f>
        <v/>
      </c>
    </row>
    <row r="39" ht="18" customHeight="1">
      <c r="A39" s="35" t="inlineStr">
        <is>
          <t>https://africanmarketingconfederation.org/smoke-archive/page-36</t>
        </is>
      </c>
      <c r="B39" s="28" t="inlineStr">
        <is>
          <t>Content | AEO | Media</t>
        </is>
      </c>
      <c r="C39" s="28" t="n">
        <v>356</v>
      </c>
      <c r="D39" s="28" t="inlineStr"/>
      <c r="E39" s="28" t="n">
        <v>8</v>
      </c>
      <c r="F39" s="28" t="b">
        <v>0</v>
      </c>
      <c r="G39" s="28" t="n">
        <v>1</v>
      </c>
      <c r="H39" s="32" t="b">
        <v>0</v>
      </c>
      <c r="I39" s="32" t="b">
        <v>0</v>
      </c>
      <c r="J39" s="28" t="n">
        <v>30</v>
      </c>
      <c r="K39" s="28" t="inlineStr">
        <is>
          <t>Needs Work</t>
        </is>
      </c>
      <c r="L39" s="28" t="n">
        <v>0</v>
      </c>
      <c r="M39" s="28" t="inlineStr"/>
      <c r="N39" s="28" t="n">
        <v>0</v>
      </c>
      <c r="O39" s="28" t="n">
        <v>0</v>
      </c>
      <c r="P39" s="28" t="n">
        <v>0</v>
      </c>
      <c r="Q39" s="28" t="n">
        <v>0</v>
      </c>
      <c r="R39" s="28" t="n">
        <v>0</v>
      </c>
      <c r="S39" s="28" t="n">
        <v>0</v>
      </c>
      <c r="T39" s="34" t="n">
        <v>60</v>
      </c>
      <c r="U39" s="28" t="n">
        <v>25</v>
      </c>
      <c r="V39" s="28" t="b">
        <v>0</v>
      </c>
      <c r="W39" s="32" t="b">
        <v>0</v>
      </c>
      <c r="X39" s="28" t="inlineStr">
        <is>
          <t>Content | AEO | Media</t>
        </is>
      </c>
      <c r="Y39">
        <f>IFERROR(HYPERLINK("#'Main'!B"&amp;MATCH(TRIM(A39),'Main'!B:B,0),"Open"),HYPERLINK("#'Main'!B1","Open"))</f>
        <v/>
      </c>
    </row>
    <row r="40" ht="18" customHeight="1">
      <c r="A40" s="37" t="inlineStr">
        <is>
          <t>https://africanmarketingconfederation.org/smoke-archive/page-37</t>
        </is>
      </c>
      <c r="B40" s="30" t="inlineStr">
        <is>
          <t>Content | AEO | Media</t>
        </is>
      </c>
      <c r="C40" s="30" t="n">
        <v>357</v>
      </c>
      <c r="D40" s="30" t="inlineStr"/>
      <c r="E40" s="30" t="n">
        <v>8</v>
      </c>
      <c r="F40" s="30" t="b">
        <v>0</v>
      </c>
      <c r="G40" s="30" t="n">
        <v>1</v>
      </c>
      <c r="H40" s="32" t="b">
        <v>0</v>
      </c>
      <c r="I40" s="32" t="b">
        <v>0</v>
      </c>
      <c r="J40" s="30" t="n">
        <v>100</v>
      </c>
      <c r="K40" s="30" t="inlineStr">
        <is>
          <t>Strong</t>
        </is>
      </c>
      <c r="L40" s="30" t="n">
        <v>0</v>
      </c>
      <c r="M40" s="30" t="inlineStr"/>
      <c r="N40" s="30" t="n">
        <v>0</v>
      </c>
      <c r="O40" s="30" t="n">
        <v>3</v>
      </c>
      <c r="P40" s="30" t="n">
        <v>2</v>
      </c>
      <c r="Q40" s="30" t="n">
        <v>0</v>
      </c>
      <c r="R40" s="30" t="n">
        <v>0</v>
      </c>
      <c r="S40" s="30" t="n">
        <v>0</v>
      </c>
      <c r="T40" s="40" t="n">
        <v>95</v>
      </c>
      <c r="U40" s="30" t="n">
        <v>25</v>
      </c>
      <c r="V40" s="30" t="b">
        <v>0</v>
      </c>
      <c r="W40" s="32" t="b">
        <v>0</v>
      </c>
      <c r="X40" s="30" t="inlineStr">
        <is>
          <t>Content | AEO | Media</t>
        </is>
      </c>
      <c r="Y40" s="38">
        <f>IFERROR(HYPERLINK("#'Main'!B"&amp;MATCH(TRIM(A40),'Main'!B:B,0),"Open"),HYPERLINK("#'Main'!B1","Open"))</f>
        <v/>
      </c>
    </row>
    <row r="41" ht="18" customHeight="1">
      <c r="A41" s="35" t="inlineStr">
        <is>
          <t>https://africanmarketingconfederation.org/smoke-archive/page-38</t>
        </is>
      </c>
      <c r="B41" s="28" t="inlineStr">
        <is>
          <t>Content | AEO | Media</t>
        </is>
      </c>
      <c r="C41" s="28" t="n">
        <v>358</v>
      </c>
      <c r="D41" s="28" t="inlineStr"/>
      <c r="E41" s="28" t="n">
        <v>8</v>
      </c>
      <c r="F41" s="28" t="b">
        <v>0</v>
      </c>
      <c r="G41" s="28" t="n">
        <v>1</v>
      </c>
      <c r="H41" s="32" t="b">
        <v>0</v>
      </c>
      <c r="I41" s="32" t="b">
        <v>0</v>
      </c>
      <c r="J41" s="28" t="n">
        <v>100</v>
      </c>
      <c r="K41" s="28" t="inlineStr">
        <is>
          <t>Strong</t>
        </is>
      </c>
      <c r="L41" s="28" t="n">
        <v>0</v>
      </c>
      <c r="M41" s="28" t="inlineStr"/>
      <c r="N41" s="28" t="n">
        <v>0</v>
      </c>
      <c r="O41" s="28" t="n">
        <v>3</v>
      </c>
      <c r="P41" s="28" t="n">
        <v>2</v>
      </c>
      <c r="Q41" s="28" t="n">
        <v>0</v>
      </c>
      <c r="R41" s="28" t="n">
        <v>0</v>
      </c>
      <c r="S41" s="28" t="n">
        <v>0</v>
      </c>
      <c r="T41" s="40" t="n">
        <v>95</v>
      </c>
      <c r="U41" s="28" t="n">
        <v>25</v>
      </c>
      <c r="V41" s="28" t="b">
        <v>0</v>
      </c>
      <c r="W41" s="32" t="b">
        <v>0</v>
      </c>
      <c r="X41" s="28" t="inlineStr">
        <is>
          <t>Content | AEO | Media</t>
        </is>
      </c>
      <c r="Y41">
        <f>IFERROR(HYPERLINK("#'Main'!B"&amp;MATCH(TRIM(A41),'Main'!B:B,0),"Open"),HYPERLINK("#'Main'!B1","Open"))</f>
        <v/>
      </c>
    </row>
    <row r="42" ht="18" customHeight="1">
      <c r="A42" s="37" t="inlineStr">
        <is>
          <t>https://africanmarketingconfederation.org/smoke-archive/page-39</t>
        </is>
      </c>
      <c r="B42" s="30" t="inlineStr">
        <is>
          <t>Content | AEO | Media</t>
        </is>
      </c>
      <c r="C42" s="30" t="n">
        <v>359</v>
      </c>
      <c r="D42" s="30" t="inlineStr"/>
      <c r="E42" s="30" t="n">
        <v>8</v>
      </c>
      <c r="F42" s="30" t="b">
        <v>0</v>
      </c>
      <c r="G42" s="30" t="n">
        <v>1</v>
      </c>
      <c r="H42" s="32" t="b">
        <v>0</v>
      </c>
      <c r="I42" s="32" t="b">
        <v>0</v>
      </c>
      <c r="J42" s="30" t="n">
        <v>100</v>
      </c>
      <c r="K42" s="30" t="inlineStr">
        <is>
          <t>Strong</t>
        </is>
      </c>
      <c r="L42" s="30" t="n">
        <v>0</v>
      </c>
      <c r="M42" s="30" t="inlineStr"/>
      <c r="N42" s="30" t="n">
        <v>0</v>
      </c>
      <c r="O42" s="30" t="n">
        <v>3</v>
      </c>
      <c r="P42" s="30" t="n">
        <v>2</v>
      </c>
      <c r="Q42" s="30" t="n">
        <v>0</v>
      </c>
      <c r="R42" s="30" t="n">
        <v>0</v>
      </c>
      <c r="S42" s="30" t="n">
        <v>0</v>
      </c>
      <c r="T42" s="40" t="n">
        <v>95</v>
      </c>
      <c r="U42" s="30" t="n">
        <v>25</v>
      </c>
      <c r="V42" s="30" t="b">
        <v>0</v>
      </c>
      <c r="W42" s="32" t="b">
        <v>0</v>
      </c>
      <c r="X42" s="30" t="inlineStr">
        <is>
          <t>Content | AEO | Media</t>
        </is>
      </c>
      <c r="Y42" s="38">
        <f>IFERROR(HYPERLINK("#'Main'!B"&amp;MATCH(TRIM(A42),'Main'!B:B,0),"Open"),HYPERLINK("#'Main'!B1","Open"))</f>
        <v/>
      </c>
    </row>
    <row r="43" ht="18" customHeight="1">
      <c r="A43" s="35" t="inlineStr">
        <is>
          <t>https://africanmarketingconfederation.org/smoke-archive/page-40</t>
        </is>
      </c>
      <c r="B43" s="28" t="inlineStr">
        <is>
          <t>Content | AEO | Media</t>
        </is>
      </c>
      <c r="C43" s="28" t="n">
        <v>360</v>
      </c>
      <c r="D43" s="28" t="inlineStr"/>
      <c r="E43" s="28" t="n">
        <v>8</v>
      </c>
      <c r="F43" s="28" t="b">
        <v>0</v>
      </c>
      <c r="G43" s="28" t="n">
        <v>1</v>
      </c>
      <c r="H43" s="32" t="b">
        <v>0</v>
      </c>
      <c r="I43" s="34" t="b">
        <v>1</v>
      </c>
      <c r="J43" s="28" t="n">
        <v>100</v>
      </c>
      <c r="K43" s="28" t="inlineStr">
        <is>
          <t>Strong</t>
        </is>
      </c>
      <c r="L43" s="28" t="n">
        <v>0</v>
      </c>
      <c r="M43" s="28" t="inlineStr"/>
      <c r="N43" s="28" t="n">
        <v>0</v>
      </c>
      <c r="O43" s="28" t="n">
        <v>3</v>
      </c>
      <c r="P43" s="28" t="n">
        <v>2</v>
      </c>
      <c r="Q43" s="28" t="n">
        <v>0</v>
      </c>
      <c r="R43" s="28" t="n">
        <v>0</v>
      </c>
      <c r="S43" s="28" t="n">
        <v>0</v>
      </c>
      <c r="T43" s="40" t="n">
        <v>95</v>
      </c>
      <c r="U43" s="28" t="n">
        <v>25</v>
      </c>
      <c r="V43" s="28" t="b">
        <v>0</v>
      </c>
      <c r="W43" s="32" t="b">
        <v>0</v>
      </c>
      <c r="X43" s="28" t="inlineStr">
        <is>
          <t>Content | AEO | Media</t>
        </is>
      </c>
      <c r="Y43">
        <f>IFERROR(HYPERLINK("#'Main'!B"&amp;MATCH(TRIM(A43),'Main'!B:B,0),"Open"),HYPERLINK("#'Main'!B1","Open"))</f>
        <v/>
      </c>
    </row>
    <row r="44" ht="18" customHeight="1">
      <c r="A44" s="37" t="inlineStr">
        <is>
          <t>https://africanmarketingconfederation.org/smoke-archive/page-41</t>
        </is>
      </c>
      <c r="B44" s="30" t="inlineStr">
        <is>
          <t>Content | AEO | Media</t>
        </is>
      </c>
      <c r="C44" s="30" t="n">
        <v>361</v>
      </c>
      <c r="D44" s="30" t="inlineStr"/>
      <c r="E44" s="30" t="n">
        <v>8</v>
      </c>
      <c r="F44" s="30" t="b">
        <v>0</v>
      </c>
      <c r="G44" s="30" t="n">
        <v>1</v>
      </c>
      <c r="H44" s="32" t="b">
        <v>0</v>
      </c>
      <c r="I44" s="32" t="b">
        <v>0</v>
      </c>
      <c r="J44" s="30" t="n">
        <v>100</v>
      </c>
      <c r="K44" s="30" t="inlineStr">
        <is>
          <t>Strong</t>
        </is>
      </c>
      <c r="L44" s="30" t="n">
        <v>0</v>
      </c>
      <c r="M44" s="30" t="inlineStr"/>
      <c r="N44" s="30" t="n">
        <v>0</v>
      </c>
      <c r="O44" s="30" t="n">
        <v>3</v>
      </c>
      <c r="P44" s="30" t="n">
        <v>2</v>
      </c>
      <c r="Q44" s="30" t="n">
        <v>0</v>
      </c>
      <c r="R44" s="30" t="n">
        <v>0</v>
      </c>
      <c r="S44" s="30" t="n">
        <v>0</v>
      </c>
      <c r="T44" s="40" t="n">
        <v>95</v>
      </c>
      <c r="U44" s="30" t="n">
        <v>25</v>
      </c>
      <c r="V44" s="30" t="b">
        <v>0</v>
      </c>
      <c r="W44" s="32" t="b">
        <v>0</v>
      </c>
      <c r="X44" s="30" t="inlineStr">
        <is>
          <t>Content | AEO | Media</t>
        </is>
      </c>
      <c r="Y44" s="38">
        <f>IFERROR(HYPERLINK("#'Main'!B"&amp;MATCH(TRIM(A44),'Main'!B:B,0),"Open"),HYPERLINK("#'Main'!B1","Open"))</f>
        <v/>
      </c>
    </row>
    <row r="45" ht="18" customHeight="1">
      <c r="A45" s="35" t="inlineStr">
        <is>
          <t>https://africanmarketingconfederation.org/smoke-archive/page-42</t>
        </is>
      </c>
      <c r="B45" s="28" t="inlineStr">
        <is>
          <t>Content | AEO | Media</t>
        </is>
      </c>
      <c r="C45" s="28" t="n">
        <v>362</v>
      </c>
      <c r="D45" s="28" t="inlineStr"/>
      <c r="E45" s="28" t="n">
        <v>8</v>
      </c>
      <c r="F45" s="28" t="b">
        <v>0</v>
      </c>
      <c r="G45" s="28" t="n">
        <v>1</v>
      </c>
      <c r="H45" s="32" t="b">
        <v>0</v>
      </c>
      <c r="I45" s="32" t="b">
        <v>0</v>
      </c>
      <c r="J45" s="28" t="n">
        <v>100</v>
      </c>
      <c r="K45" s="28" t="inlineStr">
        <is>
          <t>Strong</t>
        </is>
      </c>
      <c r="L45" s="28" t="n">
        <v>0</v>
      </c>
      <c r="M45" s="28" t="inlineStr"/>
      <c r="N45" s="28" t="n">
        <v>0</v>
      </c>
      <c r="O45" s="28" t="n">
        <v>3</v>
      </c>
      <c r="P45" s="28" t="n">
        <v>2</v>
      </c>
      <c r="Q45" s="28" t="n">
        <v>0</v>
      </c>
      <c r="R45" s="28" t="n">
        <v>0</v>
      </c>
      <c r="S45" s="28" t="n">
        <v>0</v>
      </c>
      <c r="T45" s="34" t="n">
        <v>60</v>
      </c>
      <c r="U45" s="28" t="n">
        <v>25</v>
      </c>
      <c r="V45" s="28" t="b">
        <v>0</v>
      </c>
      <c r="W45" s="32" t="b">
        <v>0</v>
      </c>
      <c r="X45" s="28" t="inlineStr">
        <is>
          <t>Content | AEO | Media</t>
        </is>
      </c>
      <c r="Y45">
        <f>IFERROR(HYPERLINK("#'Main'!B"&amp;MATCH(TRIM(A45),'Main'!B:B,0),"Open"),HYPERLINK("#'Main'!B1","Open"))</f>
        <v/>
      </c>
    </row>
    <row r="46" ht="18" customHeight="1">
      <c r="A46" s="37" t="inlineStr">
        <is>
          <t>https://africanmarketingconfederation.org/smoke-archive/page-43</t>
        </is>
      </c>
      <c r="B46" s="30" t="inlineStr">
        <is>
          <t>Content | AEO | Media</t>
        </is>
      </c>
      <c r="C46" s="30" t="n">
        <v>363</v>
      </c>
      <c r="D46" s="30" t="inlineStr"/>
      <c r="E46" s="30" t="n">
        <v>8</v>
      </c>
      <c r="F46" s="30" t="b">
        <v>0</v>
      </c>
      <c r="G46" s="30" t="n">
        <v>1</v>
      </c>
      <c r="H46" s="32" t="b">
        <v>0</v>
      </c>
      <c r="I46" s="32" t="b">
        <v>0</v>
      </c>
      <c r="J46" s="30" t="n">
        <v>100</v>
      </c>
      <c r="K46" s="30" t="inlineStr">
        <is>
          <t>Strong</t>
        </is>
      </c>
      <c r="L46" s="30" t="n">
        <v>0</v>
      </c>
      <c r="M46" s="30" t="inlineStr"/>
      <c r="N46" s="30" t="n">
        <v>0</v>
      </c>
      <c r="O46" s="30" t="n">
        <v>3</v>
      </c>
      <c r="P46" s="30" t="n">
        <v>2</v>
      </c>
      <c r="Q46" s="30" t="n">
        <v>0</v>
      </c>
      <c r="R46" s="30" t="n">
        <v>0</v>
      </c>
      <c r="S46" s="30" t="n">
        <v>0</v>
      </c>
      <c r="T46" s="40" t="n">
        <v>95</v>
      </c>
      <c r="U46" s="30" t="n">
        <v>25</v>
      </c>
      <c r="V46" s="30" t="b">
        <v>0</v>
      </c>
      <c r="W46" s="32" t="b">
        <v>0</v>
      </c>
      <c r="X46" s="30" t="inlineStr">
        <is>
          <t>Content | AEO | Media</t>
        </is>
      </c>
      <c r="Y46" s="38">
        <f>IFERROR(HYPERLINK("#'Main'!B"&amp;MATCH(TRIM(A46),'Main'!B:B,0),"Open"),HYPERLINK("#'Main'!B1","Open"))</f>
        <v/>
      </c>
    </row>
    <row r="47" ht="18" customHeight="1">
      <c r="A47" s="35" t="inlineStr">
        <is>
          <t>https://africanmarketingconfederation.org/smoke-archive/page-44</t>
        </is>
      </c>
      <c r="B47" s="28" t="inlineStr">
        <is>
          <t>Content | AEO | Media</t>
        </is>
      </c>
      <c r="C47" s="28" t="n">
        <v>364</v>
      </c>
      <c r="D47" s="28" t="inlineStr"/>
      <c r="E47" s="28" t="n">
        <v>8</v>
      </c>
      <c r="F47" s="28" t="b">
        <v>0</v>
      </c>
      <c r="G47" s="28" t="n">
        <v>1</v>
      </c>
      <c r="H47" s="32" t="b">
        <v>0</v>
      </c>
      <c r="I47" s="32" t="b">
        <v>0</v>
      </c>
      <c r="J47" s="28" t="n">
        <v>100</v>
      </c>
      <c r="K47" s="28" t="inlineStr">
        <is>
          <t>Strong</t>
        </is>
      </c>
      <c r="L47" s="28" t="n">
        <v>0</v>
      </c>
      <c r="M47" s="28" t="inlineStr"/>
      <c r="N47" s="28" t="n">
        <v>0</v>
      </c>
      <c r="O47" s="28" t="n">
        <v>3</v>
      </c>
      <c r="P47" s="28" t="n">
        <v>2</v>
      </c>
      <c r="Q47" s="28" t="n">
        <v>0</v>
      </c>
      <c r="R47" s="28" t="n">
        <v>0</v>
      </c>
      <c r="S47" s="28" t="n">
        <v>0</v>
      </c>
      <c r="T47" s="40" t="n">
        <v>95</v>
      </c>
      <c r="U47" s="28" t="n">
        <v>25</v>
      </c>
      <c r="V47" s="28" t="b">
        <v>0</v>
      </c>
      <c r="W47" s="32" t="b">
        <v>0</v>
      </c>
      <c r="X47" s="28" t="inlineStr">
        <is>
          <t>Content | AEO | Media</t>
        </is>
      </c>
      <c r="Y47">
        <f>IFERROR(HYPERLINK("#'Main'!B"&amp;MATCH(TRIM(A47),'Main'!B:B,0),"Open"),HYPERLINK("#'Main'!B1","Open"))</f>
        <v/>
      </c>
    </row>
    <row r="48" ht="18" customHeight="1">
      <c r="A48" s="37" t="inlineStr">
        <is>
          <t>https://africanmarketingconfederation.org/smoke-archive/page-45</t>
        </is>
      </c>
      <c r="B48" s="30" t="inlineStr">
        <is>
          <t>Content | AEO | Media</t>
        </is>
      </c>
      <c r="C48" s="30" t="n">
        <v>365</v>
      </c>
      <c r="D48" s="30" t="inlineStr"/>
      <c r="E48" s="30" t="n">
        <v>8</v>
      </c>
      <c r="F48" s="30" t="b">
        <v>0</v>
      </c>
      <c r="G48" s="30" t="n">
        <v>1</v>
      </c>
      <c r="H48" s="32" t="b">
        <v>0</v>
      </c>
      <c r="I48" s="34" t="b">
        <v>1</v>
      </c>
      <c r="J48" s="30" t="n">
        <v>30</v>
      </c>
      <c r="K48" s="30" t="inlineStr">
        <is>
          <t>Needs Work</t>
        </is>
      </c>
      <c r="L48" s="30" t="n">
        <v>0</v>
      </c>
      <c r="M48" s="30" t="inlineStr"/>
      <c r="N48" s="30" t="n">
        <v>0</v>
      </c>
      <c r="O48" s="30" t="n">
        <v>0</v>
      </c>
      <c r="P48" s="30" t="n">
        <v>0</v>
      </c>
      <c r="Q48" s="30" t="n">
        <v>0</v>
      </c>
      <c r="R48" s="30" t="n">
        <v>0</v>
      </c>
      <c r="S48" s="30" t="n">
        <v>0</v>
      </c>
      <c r="T48" s="40" t="n">
        <v>95</v>
      </c>
      <c r="U48" s="30" t="n">
        <v>25</v>
      </c>
      <c r="V48" s="30" t="b">
        <v>0</v>
      </c>
      <c r="W48" s="32" t="b">
        <v>0</v>
      </c>
      <c r="X48" s="30" t="inlineStr">
        <is>
          <t>Content | AEO | Media</t>
        </is>
      </c>
      <c r="Y48" s="38">
        <f>IFERROR(HYPERLINK("#'Main'!B"&amp;MATCH(TRIM(A48),'Main'!B:B,0),"Open"),HYPERLINK("#'Main'!B1","Open"))</f>
        <v/>
      </c>
    </row>
    <row r="49" ht="18" customHeight="1">
      <c r="A49" s="35" t="inlineStr">
        <is>
          <t>https://africanmarketingconfederation.org/smoke-archive/page-46</t>
        </is>
      </c>
      <c r="B49" s="28" t="inlineStr">
        <is>
          <t>Content | AEO | Media</t>
        </is>
      </c>
      <c r="C49" s="28" t="n">
        <v>366</v>
      </c>
      <c r="D49" s="28" t="inlineStr"/>
      <c r="E49" s="28" t="n">
        <v>8</v>
      </c>
      <c r="F49" s="28" t="b">
        <v>0</v>
      </c>
      <c r="G49" s="28" t="n">
        <v>1</v>
      </c>
      <c r="H49" s="32" t="b">
        <v>0</v>
      </c>
      <c r="I49" s="32" t="b">
        <v>0</v>
      </c>
      <c r="J49" s="28" t="n">
        <v>100</v>
      </c>
      <c r="K49" s="28" t="inlineStr">
        <is>
          <t>Strong</t>
        </is>
      </c>
      <c r="L49" s="28" t="n">
        <v>0</v>
      </c>
      <c r="M49" s="28" t="inlineStr"/>
      <c r="N49" s="28" t="n">
        <v>0</v>
      </c>
      <c r="O49" s="28" t="n">
        <v>3</v>
      </c>
      <c r="P49" s="28" t="n">
        <v>2</v>
      </c>
      <c r="Q49" s="28" t="n">
        <v>0</v>
      </c>
      <c r="R49" s="28" t="n">
        <v>0</v>
      </c>
      <c r="S49" s="28" t="n">
        <v>0</v>
      </c>
      <c r="T49" s="40" t="n">
        <v>95</v>
      </c>
      <c r="U49" s="28" t="n">
        <v>25</v>
      </c>
      <c r="V49" s="28" t="b">
        <v>0</v>
      </c>
      <c r="W49" s="32" t="b">
        <v>0</v>
      </c>
      <c r="X49" s="28" t="inlineStr">
        <is>
          <t>Content | AEO | Media</t>
        </is>
      </c>
      <c r="Y49">
        <f>IFERROR(HYPERLINK("#'Main'!B"&amp;MATCH(TRIM(A49),'Main'!B:B,0),"Open"),HYPERLINK("#'Main'!B1","Open"))</f>
        <v/>
      </c>
    </row>
    <row r="50" ht="18" customHeight="1">
      <c r="A50" s="37" t="inlineStr">
        <is>
          <t>https://africanmarketingconfederation.org/smoke-archive/page-47</t>
        </is>
      </c>
      <c r="B50" s="30" t="inlineStr">
        <is>
          <t>Content | AEO | Media</t>
        </is>
      </c>
      <c r="C50" s="30" t="n">
        <v>367</v>
      </c>
      <c r="D50" s="30" t="inlineStr"/>
      <c r="E50" s="30" t="n">
        <v>8</v>
      </c>
      <c r="F50" s="30" t="b">
        <v>0</v>
      </c>
      <c r="G50" s="30" t="n">
        <v>1</v>
      </c>
      <c r="H50" s="32" t="b">
        <v>0</v>
      </c>
      <c r="I50" s="32" t="b">
        <v>0</v>
      </c>
      <c r="J50" s="30" t="n">
        <v>100</v>
      </c>
      <c r="K50" s="30" t="inlineStr">
        <is>
          <t>Strong</t>
        </is>
      </c>
      <c r="L50" s="30" t="n">
        <v>0</v>
      </c>
      <c r="M50" s="30" t="inlineStr"/>
      <c r="N50" s="30" t="n">
        <v>0</v>
      </c>
      <c r="O50" s="30" t="n">
        <v>3</v>
      </c>
      <c r="P50" s="30" t="n">
        <v>2</v>
      </c>
      <c r="Q50" s="30" t="n">
        <v>0</v>
      </c>
      <c r="R50" s="30" t="n">
        <v>0</v>
      </c>
      <c r="S50" s="30" t="n">
        <v>0</v>
      </c>
      <c r="T50" s="40" t="n">
        <v>95</v>
      </c>
      <c r="U50" s="30" t="n">
        <v>25</v>
      </c>
      <c r="V50" s="30" t="b">
        <v>0</v>
      </c>
      <c r="W50" s="32" t="b">
        <v>0</v>
      </c>
      <c r="X50" s="30" t="inlineStr">
        <is>
          <t>Content | AEO | Media</t>
        </is>
      </c>
      <c r="Y50" s="38">
        <f>IFERROR(HYPERLINK("#'Main'!B"&amp;MATCH(TRIM(A50),'Main'!B:B,0),"Open"),HYPERLINK("#'Main'!B1","Open"))</f>
        <v/>
      </c>
    </row>
    <row r="51" ht="18" customHeight="1">
      <c r="A51" s="35" t="inlineStr">
        <is>
          <t>https://africanmarketingconfederation.org/smoke-archive/page-48</t>
        </is>
      </c>
      <c r="B51" s="28" t="inlineStr">
        <is>
          <t>Content | AEO | Media</t>
        </is>
      </c>
      <c r="C51" s="28" t="n">
        <v>368</v>
      </c>
      <c r="D51" s="28" t="inlineStr"/>
      <c r="E51" s="28" t="n">
        <v>8</v>
      </c>
      <c r="F51" s="28" t="b">
        <v>0</v>
      </c>
      <c r="G51" s="28" t="n">
        <v>1</v>
      </c>
      <c r="H51" s="32" t="b">
        <v>0</v>
      </c>
      <c r="I51" s="32" t="b">
        <v>0</v>
      </c>
      <c r="J51" s="28" t="n">
        <v>100</v>
      </c>
      <c r="K51" s="28" t="inlineStr">
        <is>
          <t>Strong</t>
        </is>
      </c>
      <c r="L51" s="28" t="n">
        <v>0</v>
      </c>
      <c r="M51" s="28" t="inlineStr"/>
      <c r="N51" s="28" t="n">
        <v>0</v>
      </c>
      <c r="O51" s="28" t="n">
        <v>3</v>
      </c>
      <c r="P51" s="28" t="n">
        <v>2</v>
      </c>
      <c r="Q51" s="28" t="n">
        <v>0</v>
      </c>
      <c r="R51" s="28" t="n">
        <v>0</v>
      </c>
      <c r="S51" s="28" t="n">
        <v>0</v>
      </c>
      <c r="T51" s="34" t="n">
        <v>60</v>
      </c>
      <c r="U51" s="28" t="n">
        <v>25</v>
      </c>
      <c r="V51" s="28" t="b">
        <v>0</v>
      </c>
      <c r="W51" s="32" t="b">
        <v>0</v>
      </c>
      <c r="X51" s="28" t="inlineStr">
        <is>
          <t>Content | AEO | Media</t>
        </is>
      </c>
      <c r="Y51">
        <f>IFERROR(HYPERLINK("#'Main'!B"&amp;MATCH(TRIM(A51),'Main'!B:B,0),"Open"),HYPERLINK("#'Main'!B1","Open"))</f>
        <v/>
      </c>
    </row>
    <row r="52" ht="18" customHeight="1">
      <c r="A52" s="37" t="inlineStr">
        <is>
          <t>https://africanmarketingconfederation.org/smoke-archive/page-49</t>
        </is>
      </c>
      <c r="B52" s="30" t="inlineStr">
        <is>
          <t>Content | AEO | Media</t>
        </is>
      </c>
      <c r="C52" s="30" t="n">
        <v>369</v>
      </c>
      <c r="D52" s="30" t="inlineStr"/>
      <c r="E52" s="30" t="n">
        <v>8</v>
      </c>
      <c r="F52" s="30" t="b">
        <v>0</v>
      </c>
      <c r="G52" s="30" t="n">
        <v>1</v>
      </c>
      <c r="H52" s="32" t="b">
        <v>0</v>
      </c>
      <c r="I52" s="32" t="b">
        <v>0</v>
      </c>
      <c r="J52" s="30" t="n">
        <v>100</v>
      </c>
      <c r="K52" s="30" t="inlineStr">
        <is>
          <t>Strong</t>
        </is>
      </c>
      <c r="L52" s="30" t="n">
        <v>0</v>
      </c>
      <c r="M52" s="30" t="inlineStr"/>
      <c r="N52" s="30" t="n">
        <v>0</v>
      </c>
      <c r="O52" s="30" t="n">
        <v>3</v>
      </c>
      <c r="P52" s="30" t="n">
        <v>2</v>
      </c>
      <c r="Q52" s="30" t="n">
        <v>0</v>
      </c>
      <c r="R52" s="30" t="n">
        <v>0</v>
      </c>
      <c r="S52" s="30" t="n">
        <v>0</v>
      </c>
      <c r="T52" s="40" t="n">
        <v>95</v>
      </c>
      <c r="U52" s="30" t="n">
        <v>25</v>
      </c>
      <c r="V52" s="30" t="b">
        <v>0</v>
      </c>
      <c r="W52" s="32" t="b">
        <v>0</v>
      </c>
      <c r="X52" s="30" t="inlineStr">
        <is>
          <t>Content | AEO | Media</t>
        </is>
      </c>
      <c r="Y52" s="38">
        <f>IFERROR(HYPERLINK("#'Main'!B"&amp;MATCH(TRIM(A52),'Main'!B:B,0),"Open"),HYPERLINK("#'Main'!B1","Open"))</f>
        <v/>
      </c>
    </row>
    <row r="53" ht="18" customHeight="1">
      <c r="A53" s="35" t="inlineStr">
        <is>
          <t>https://africanmarketingconfederation.org/smoke-archive/page-50</t>
        </is>
      </c>
      <c r="B53" s="28" t="inlineStr">
        <is>
          <t>Content | AEO | Media</t>
        </is>
      </c>
      <c r="C53" s="28" t="n">
        <v>320</v>
      </c>
      <c r="D53" s="28" t="inlineStr"/>
      <c r="E53" s="28" t="n">
        <v>8</v>
      </c>
      <c r="F53" s="28" t="b">
        <v>0</v>
      </c>
      <c r="G53" s="28" t="n">
        <v>1</v>
      </c>
      <c r="H53" s="32" t="b">
        <v>0</v>
      </c>
      <c r="I53" s="34" t="b">
        <v>1</v>
      </c>
      <c r="J53" s="28" t="n">
        <v>100</v>
      </c>
      <c r="K53" s="28" t="inlineStr">
        <is>
          <t>Strong</t>
        </is>
      </c>
      <c r="L53" s="28" t="n">
        <v>0</v>
      </c>
      <c r="M53" s="28" t="inlineStr"/>
      <c r="N53" s="28" t="n">
        <v>0</v>
      </c>
      <c r="O53" s="28" t="n">
        <v>3</v>
      </c>
      <c r="P53" s="28" t="n">
        <v>2</v>
      </c>
      <c r="Q53" s="28" t="n">
        <v>0</v>
      </c>
      <c r="R53" s="28" t="n">
        <v>0</v>
      </c>
      <c r="S53" s="28" t="n">
        <v>0</v>
      </c>
      <c r="T53" s="40" t="n">
        <v>95</v>
      </c>
      <c r="U53" s="28" t="n">
        <v>25</v>
      </c>
      <c r="V53" s="28" t="b">
        <v>0</v>
      </c>
      <c r="W53" s="32" t="b">
        <v>0</v>
      </c>
      <c r="X53" s="28" t="inlineStr">
        <is>
          <t>Content | AEO | Media</t>
        </is>
      </c>
      <c r="Y53">
        <f>IFERROR(HYPERLINK("#'Main'!B"&amp;MATCH(TRIM(A53),'Main'!B:B,0),"Open"),HYPERLINK("#'Main'!B1","Open"))</f>
        <v/>
      </c>
    </row>
    <row r="54" ht="18" customHeight="1">
      <c r="A54" s="37" t="inlineStr">
        <is>
          <t>https://africanmarketingconfederation.org/smoke-archive/page-51</t>
        </is>
      </c>
      <c r="B54" s="30" t="inlineStr">
        <is>
          <t>Content | AEO | Media</t>
        </is>
      </c>
      <c r="C54" s="30" t="n">
        <v>321</v>
      </c>
      <c r="D54" s="30" t="inlineStr"/>
      <c r="E54" s="30" t="n">
        <v>8</v>
      </c>
      <c r="F54" s="30" t="b">
        <v>0</v>
      </c>
      <c r="G54" s="30" t="n">
        <v>1</v>
      </c>
      <c r="H54" s="32" t="b">
        <v>0</v>
      </c>
      <c r="I54" s="32" t="b">
        <v>0</v>
      </c>
      <c r="J54" s="30" t="n">
        <v>100</v>
      </c>
      <c r="K54" s="30" t="inlineStr">
        <is>
          <t>Strong</t>
        </is>
      </c>
      <c r="L54" s="30" t="n">
        <v>0</v>
      </c>
      <c r="M54" s="30" t="inlineStr"/>
      <c r="N54" s="30" t="n">
        <v>0</v>
      </c>
      <c r="O54" s="30" t="n">
        <v>3</v>
      </c>
      <c r="P54" s="30" t="n">
        <v>2</v>
      </c>
      <c r="Q54" s="30" t="n">
        <v>0</v>
      </c>
      <c r="R54" s="30" t="n">
        <v>0</v>
      </c>
      <c r="S54" s="30" t="n">
        <v>0</v>
      </c>
      <c r="T54" s="40" t="n">
        <v>95</v>
      </c>
      <c r="U54" s="30" t="n">
        <v>25</v>
      </c>
      <c r="V54" s="30" t="b">
        <v>0</v>
      </c>
      <c r="W54" s="32" t="b">
        <v>0</v>
      </c>
      <c r="X54" s="30" t="inlineStr">
        <is>
          <t>Content | AEO | Media</t>
        </is>
      </c>
      <c r="Y54" s="38">
        <f>IFERROR(HYPERLINK("#'Main'!B"&amp;MATCH(TRIM(A54),'Main'!B:B,0),"Open"),HYPERLINK("#'Main'!B1","Open"))</f>
        <v/>
      </c>
    </row>
    <row r="55" ht="18" customHeight="1">
      <c r="A55" s="35" t="inlineStr">
        <is>
          <t>https://africanmarketingconfederation.org/smoke-archive/page-52</t>
        </is>
      </c>
      <c r="B55" s="28" t="inlineStr">
        <is>
          <t>Content | AEO | Media</t>
        </is>
      </c>
      <c r="C55" s="28" t="n">
        <v>322</v>
      </c>
      <c r="D55" s="28" t="inlineStr"/>
      <c r="E55" s="28" t="n">
        <v>8</v>
      </c>
      <c r="F55" s="28" t="b">
        <v>0</v>
      </c>
      <c r="G55" s="28" t="n">
        <v>1</v>
      </c>
      <c r="H55" s="32" t="b">
        <v>0</v>
      </c>
      <c r="I55" s="32" t="b">
        <v>0</v>
      </c>
      <c r="J55" s="28" t="n">
        <v>100</v>
      </c>
      <c r="K55" s="28" t="inlineStr">
        <is>
          <t>Strong</t>
        </is>
      </c>
      <c r="L55" s="28" t="n">
        <v>0</v>
      </c>
      <c r="M55" s="28" t="inlineStr"/>
      <c r="N55" s="28" t="n">
        <v>0</v>
      </c>
      <c r="O55" s="28" t="n">
        <v>3</v>
      </c>
      <c r="P55" s="28" t="n">
        <v>2</v>
      </c>
      <c r="Q55" s="28" t="n">
        <v>0</v>
      </c>
      <c r="R55" s="28" t="n">
        <v>0</v>
      </c>
      <c r="S55" s="28" t="n">
        <v>0</v>
      </c>
      <c r="T55" s="40" t="n">
        <v>95</v>
      </c>
      <c r="U55" s="28" t="n">
        <v>25</v>
      </c>
      <c r="V55" s="28" t="b">
        <v>0</v>
      </c>
      <c r="W55" s="32" t="b">
        <v>0</v>
      </c>
      <c r="X55" s="28" t="inlineStr">
        <is>
          <t>Content | AEO | Media</t>
        </is>
      </c>
      <c r="Y55">
        <f>IFERROR(HYPERLINK("#'Main'!B"&amp;MATCH(TRIM(A55),'Main'!B:B,0),"Open"),HYPERLINK("#'Main'!B1","Open"))</f>
        <v/>
      </c>
    </row>
    <row r="56" ht="18" customHeight="1">
      <c r="A56" s="37" t="inlineStr">
        <is>
          <t>https://africanmarketingconfederation.org/smoke-archive/page-53</t>
        </is>
      </c>
      <c r="B56" s="30" t="inlineStr">
        <is>
          <t>Content | AEO | Media</t>
        </is>
      </c>
      <c r="C56" s="30" t="n">
        <v>323</v>
      </c>
      <c r="D56" s="30" t="inlineStr"/>
      <c r="E56" s="30" t="n">
        <v>8</v>
      </c>
      <c r="F56" s="30" t="b">
        <v>0</v>
      </c>
      <c r="G56" s="30" t="n">
        <v>1</v>
      </c>
      <c r="H56" s="32" t="b">
        <v>0</v>
      </c>
      <c r="I56" s="32" t="b">
        <v>0</v>
      </c>
      <c r="J56" s="30" t="n">
        <v>100</v>
      </c>
      <c r="K56" s="30" t="inlineStr">
        <is>
          <t>Strong</t>
        </is>
      </c>
      <c r="L56" s="30" t="n">
        <v>0</v>
      </c>
      <c r="M56" s="30" t="inlineStr"/>
      <c r="N56" s="30" t="n">
        <v>0</v>
      </c>
      <c r="O56" s="30" t="n">
        <v>3</v>
      </c>
      <c r="P56" s="30" t="n">
        <v>2</v>
      </c>
      <c r="Q56" s="30" t="n">
        <v>0</v>
      </c>
      <c r="R56" s="30" t="n">
        <v>0</v>
      </c>
      <c r="S56" s="30" t="n">
        <v>0</v>
      </c>
      <c r="T56" s="40" t="n">
        <v>95</v>
      </c>
      <c r="U56" s="30" t="n">
        <v>25</v>
      </c>
      <c r="V56" s="30" t="b">
        <v>0</v>
      </c>
      <c r="W56" s="32" t="b">
        <v>0</v>
      </c>
      <c r="X56" s="30" t="inlineStr">
        <is>
          <t>Content | AEO | Media</t>
        </is>
      </c>
      <c r="Y56" s="38">
        <f>IFERROR(HYPERLINK("#'Main'!B"&amp;MATCH(TRIM(A56),'Main'!B:B,0),"Open"),HYPERLINK("#'Main'!B1","Open"))</f>
        <v/>
      </c>
    </row>
    <row r="57" ht="18" customHeight="1">
      <c r="A57" s="35" t="inlineStr">
        <is>
          <t>https://africanmarketingconfederation.org/smoke-archive/page-54</t>
        </is>
      </c>
      <c r="B57" s="28" t="inlineStr">
        <is>
          <t>Content | AEO | Media</t>
        </is>
      </c>
      <c r="C57" s="28" t="n">
        <v>324</v>
      </c>
      <c r="D57" s="28" t="inlineStr"/>
      <c r="E57" s="28" t="n">
        <v>8</v>
      </c>
      <c r="F57" s="28" t="b">
        <v>0</v>
      </c>
      <c r="G57" s="28" t="n">
        <v>1</v>
      </c>
      <c r="H57" s="32" t="b">
        <v>0</v>
      </c>
      <c r="I57" s="32" t="b">
        <v>0</v>
      </c>
      <c r="J57" s="28" t="n">
        <v>30</v>
      </c>
      <c r="K57" s="28" t="inlineStr">
        <is>
          <t>Needs Work</t>
        </is>
      </c>
      <c r="L57" s="28" t="n">
        <v>0</v>
      </c>
      <c r="M57" s="28" t="inlineStr"/>
      <c r="N57" s="28" t="n">
        <v>0</v>
      </c>
      <c r="O57" s="28" t="n">
        <v>0</v>
      </c>
      <c r="P57" s="28" t="n">
        <v>0</v>
      </c>
      <c r="Q57" s="28" t="n">
        <v>0</v>
      </c>
      <c r="R57" s="28" t="n">
        <v>0</v>
      </c>
      <c r="S57" s="28" t="n">
        <v>0</v>
      </c>
      <c r="T57" s="34" t="n">
        <v>60</v>
      </c>
      <c r="U57" s="28" t="n">
        <v>25</v>
      </c>
      <c r="V57" s="28" t="b">
        <v>0</v>
      </c>
      <c r="W57" s="32" t="b">
        <v>0</v>
      </c>
      <c r="X57" s="28" t="inlineStr">
        <is>
          <t>Content | AEO | Media</t>
        </is>
      </c>
      <c r="Y57">
        <f>IFERROR(HYPERLINK("#'Main'!B"&amp;MATCH(TRIM(A57),'Main'!B:B,0),"Open"),HYPERLINK("#'Main'!B1","Open"))</f>
        <v/>
      </c>
    </row>
    <row r="58" ht="18" customHeight="1">
      <c r="A58" s="37" t="inlineStr">
        <is>
          <t>https://africanmarketingconfederation.org/smoke-archive/page-55</t>
        </is>
      </c>
      <c r="B58" s="30" t="inlineStr">
        <is>
          <t>Content | AEO | Media</t>
        </is>
      </c>
      <c r="C58" s="30" t="n">
        <v>325</v>
      </c>
      <c r="D58" s="30" t="inlineStr"/>
      <c r="E58" s="30" t="n">
        <v>8</v>
      </c>
      <c r="F58" s="30" t="b">
        <v>0</v>
      </c>
      <c r="G58" s="30" t="n">
        <v>1</v>
      </c>
      <c r="H58" s="32" t="b">
        <v>0</v>
      </c>
      <c r="I58" s="34" t="b">
        <v>1</v>
      </c>
      <c r="J58" s="30" t="n">
        <v>100</v>
      </c>
      <c r="K58" s="30" t="inlineStr">
        <is>
          <t>Strong</t>
        </is>
      </c>
      <c r="L58" s="30" t="n">
        <v>0</v>
      </c>
      <c r="M58" s="30" t="inlineStr"/>
      <c r="N58" s="30" t="n">
        <v>0</v>
      </c>
      <c r="O58" s="30" t="n">
        <v>3</v>
      </c>
      <c r="P58" s="30" t="n">
        <v>2</v>
      </c>
      <c r="Q58" s="30" t="n">
        <v>0</v>
      </c>
      <c r="R58" s="30" t="n">
        <v>0</v>
      </c>
      <c r="S58" s="30" t="n">
        <v>0</v>
      </c>
      <c r="T58" s="40" t="n">
        <v>95</v>
      </c>
      <c r="U58" s="30" t="n">
        <v>25</v>
      </c>
      <c r="V58" s="30" t="b">
        <v>0</v>
      </c>
      <c r="W58" s="32" t="b">
        <v>0</v>
      </c>
      <c r="X58" s="30" t="inlineStr">
        <is>
          <t>Content | AEO | Media</t>
        </is>
      </c>
      <c r="Y58" s="38">
        <f>IFERROR(HYPERLINK("#'Main'!B"&amp;MATCH(TRIM(A58),'Main'!B:B,0),"Open"),HYPERLINK("#'Main'!B1","Open"))</f>
        <v/>
      </c>
    </row>
    <row r="59" ht="18" customHeight="1">
      <c r="A59" s="35" t="inlineStr">
        <is>
          <t>https://africanmarketingconfederation.org/smoke-archive/page-56</t>
        </is>
      </c>
      <c r="B59" s="28" t="inlineStr">
        <is>
          <t>Content | AEO | Media</t>
        </is>
      </c>
      <c r="C59" s="28" t="n">
        <v>326</v>
      </c>
      <c r="D59" s="28" t="inlineStr"/>
      <c r="E59" s="28" t="n">
        <v>8</v>
      </c>
      <c r="F59" s="28" t="b">
        <v>0</v>
      </c>
      <c r="G59" s="28" t="n">
        <v>1</v>
      </c>
      <c r="H59" s="32" t="b">
        <v>0</v>
      </c>
      <c r="I59" s="32" t="b">
        <v>0</v>
      </c>
      <c r="J59" s="28" t="n">
        <v>100</v>
      </c>
      <c r="K59" s="28" t="inlineStr">
        <is>
          <t>Strong</t>
        </is>
      </c>
      <c r="L59" s="28" t="n">
        <v>0</v>
      </c>
      <c r="M59" s="28" t="inlineStr"/>
      <c r="N59" s="28" t="n">
        <v>0</v>
      </c>
      <c r="O59" s="28" t="n">
        <v>3</v>
      </c>
      <c r="P59" s="28" t="n">
        <v>2</v>
      </c>
      <c r="Q59" s="28" t="n">
        <v>0</v>
      </c>
      <c r="R59" s="28" t="n">
        <v>0</v>
      </c>
      <c r="S59" s="28" t="n">
        <v>0</v>
      </c>
      <c r="T59" s="40" t="n">
        <v>95</v>
      </c>
      <c r="U59" s="28" t="n">
        <v>25</v>
      </c>
      <c r="V59" s="28" t="b">
        <v>0</v>
      </c>
      <c r="W59" s="32" t="b">
        <v>0</v>
      </c>
      <c r="X59" s="28" t="inlineStr">
        <is>
          <t>Content | AEO | Media</t>
        </is>
      </c>
      <c r="Y59">
        <f>IFERROR(HYPERLINK("#'Main'!B"&amp;MATCH(TRIM(A59),'Main'!B:B,0),"Open"),HYPERLINK("#'Main'!B1","Open"))</f>
        <v/>
      </c>
    </row>
    <row r="60" ht="18" customHeight="1">
      <c r="A60" s="37" t="inlineStr">
        <is>
          <t>https://africanmarketingconfederation.org/smoke-archive/page-57</t>
        </is>
      </c>
      <c r="B60" s="30" t="inlineStr">
        <is>
          <t>Content | AEO | Media</t>
        </is>
      </c>
      <c r="C60" s="30" t="n">
        <v>327</v>
      </c>
      <c r="D60" s="30" t="inlineStr"/>
      <c r="E60" s="30" t="n">
        <v>8</v>
      </c>
      <c r="F60" s="30" t="b">
        <v>0</v>
      </c>
      <c r="G60" s="30" t="n">
        <v>1</v>
      </c>
      <c r="H60" s="32" t="b">
        <v>0</v>
      </c>
      <c r="I60" s="32" t="b">
        <v>0</v>
      </c>
      <c r="J60" s="30" t="n">
        <v>100</v>
      </c>
      <c r="K60" s="30" t="inlineStr">
        <is>
          <t>Strong</t>
        </is>
      </c>
      <c r="L60" s="30" t="n">
        <v>0</v>
      </c>
      <c r="M60" s="30" t="inlineStr"/>
      <c r="N60" s="30" t="n">
        <v>0</v>
      </c>
      <c r="O60" s="30" t="n">
        <v>3</v>
      </c>
      <c r="P60" s="30" t="n">
        <v>2</v>
      </c>
      <c r="Q60" s="30" t="n">
        <v>0</v>
      </c>
      <c r="R60" s="30" t="n">
        <v>0</v>
      </c>
      <c r="S60" s="30" t="n">
        <v>0</v>
      </c>
      <c r="T60" s="40" t="n">
        <v>95</v>
      </c>
      <c r="U60" s="30" t="n">
        <v>25</v>
      </c>
      <c r="V60" s="30" t="b">
        <v>0</v>
      </c>
      <c r="W60" s="32" t="b">
        <v>0</v>
      </c>
      <c r="X60" s="30" t="inlineStr">
        <is>
          <t>Content | AEO | Media</t>
        </is>
      </c>
      <c r="Y60" s="38">
        <f>IFERROR(HYPERLINK("#'Main'!B"&amp;MATCH(TRIM(A60),'Main'!B:B,0),"Open"),HYPERLINK("#'Main'!B1","Open"))</f>
        <v/>
      </c>
    </row>
    <row r="61" ht="18" customHeight="1">
      <c r="A61" s="35" t="inlineStr">
        <is>
          <t>https://africanmarketingconfederation.org/smoke-archive/page-58</t>
        </is>
      </c>
      <c r="B61" s="28" t="inlineStr">
        <is>
          <t>Content | AEO | Media</t>
        </is>
      </c>
      <c r="C61" s="28" t="n">
        <v>328</v>
      </c>
      <c r="D61" s="28" t="inlineStr"/>
      <c r="E61" s="28" t="n">
        <v>8</v>
      </c>
      <c r="F61" s="28" t="b">
        <v>0</v>
      </c>
      <c r="G61" s="28" t="n">
        <v>1</v>
      </c>
      <c r="H61" s="32" t="b">
        <v>0</v>
      </c>
      <c r="I61" s="32" t="b">
        <v>0</v>
      </c>
      <c r="J61" s="28" t="n">
        <v>100</v>
      </c>
      <c r="K61" s="28" t="inlineStr">
        <is>
          <t>Strong</t>
        </is>
      </c>
      <c r="L61" s="28" t="n">
        <v>0</v>
      </c>
      <c r="M61" s="28" t="inlineStr"/>
      <c r="N61" s="28" t="n">
        <v>0</v>
      </c>
      <c r="O61" s="28" t="n">
        <v>3</v>
      </c>
      <c r="P61" s="28" t="n">
        <v>2</v>
      </c>
      <c r="Q61" s="28" t="n">
        <v>0</v>
      </c>
      <c r="R61" s="28" t="n">
        <v>0</v>
      </c>
      <c r="S61" s="28" t="n">
        <v>0</v>
      </c>
      <c r="T61" s="40" t="n">
        <v>95</v>
      </c>
      <c r="U61" s="28" t="n">
        <v>25</v>
      </c>
      <c r="V61" s="28" t="b">
        <v>0</v>
      </c>
      <c r="W61" s="32" t="b">
        <v>0</v>
      </c>
      <c r="X61" s="28" t="inlineStr">
        <is>
          <t>Content | AEO | Media</t>
        </is>
      </c>
      <c r="Y61">
        <f>IFERROR(HYPERLINK("#'Main'!B"&amp;MATCH(TRIM(A61),'Main'!B:B,0),"Open"),HYPERLINK("#'Main'!B1","Open"))</f>
        <v/>
      </c>
    </row>
    <row r="62" ht="18" customHeight="1">
      <c r="A62" s="37" t="inlineStr">
        <is>
          <t>https://africanmarketingconfederation.org/smoke-archive/page-59</t>
        </is>
      </c>
      <c r="B62" s="30" t="inlineStr">
        <is>
          <t>Content | AEO | Media</t>
        </is>
      </c>
      <c r="C62" s="30" t="n">
        <v>329</v>
      </c>
      <c r="D62" s="30" t="inlineStr"/>
      <c r="E62" s="30" t="n">
        <v>8</v>
      </c>
      <c r="F62" s="30" t="b">
        <v>0</v>
      </c>
      <c r="G62" s="30" t="n">
        <v>1</v>
      </c>
      <c r="H62" s="32" t="b">
        <v>0</v>
      </c>
      <c r="I62" s="32" t="b">
        <v>0</v>
      </c>
      <c r="J62" s="30" t="n">
        <v>100</v>
      </c>
      <c r="K62" s="30" t="inlineStr">
        <is>
          <t>Strong</t>
        </is>
      </c>
      <c r="L62" s="30" t="n">
        <v>0</v>
      </c>
      <c r="M62" s="30" t="inlineStr"/>
      <c r="N62" s="30" t="n">
        <v>0</v>
      </c>
      <c r="O62" s="30" t="n">
        <v>3</v>
      </c>
      <c r="P62" s="30" t="n">
        <v>2</v>
      </c>
      <c r="Q62" s="30" t="n">
        <v>0</v>
      </c>
      <c r="R62" s="30" t="n">
        <v>0</v>
      </c>
      <c r="S62" s="30" t="n">
        <v>0</v>
      </c>
      <c r="T62" s="40" t="n">
        <v>95</v>
      </c>
      <c r="U62" s="30" t="n">
        <v>25</v>
      </c>
      <c r="V62" s="30" t="b">
        <v>0</v>
      </c>
      <c r="W62" s="32" t="b">
        <v>0</v>
      </c>
      <c r="X62" s="30" t="inlineStr">
        <is>
          <t>Content | AEO | Media</t>
        </is>
      </c>
      <c r="Y62" s="38">
        <f>IFERROR(HYPERLINK("#'Main'!B"&amp;MATCH(TRIM(A62),'Main'!B:B,0),"Open"),HYPERLINK("#'Main'!B1","Open"))</f>
        <v/>
      </c>
    </row>
    <row r="63" ht="18" customHeight="1">
      <c r="A63" s="35" t="inlineStr">
        <is>
          <t>https://africanmarketingconfederation.org/smoke-archive/page-60</t>
        </is>
      </c>
      <c r="B63" s="28" t="inlineStr">
        <is>
          <t>Content | AEO | Media</t>
        </is>
      </c>
      <c r="C63" s="28" t="n">
        <v>330</v>
      </c>
      <c r="D63" s="28" t="inlineStr"/>
      <c r="E63" s="28" t="n">
        <v>8</v>
      </c>
      <c r="F63" s="28" t="b">
        <v>0</v>
      </c>
      <c r="G63" s="28" t="n">
        <v>1</v>
      </c>
      <c r="H63" s="32" t="b">
        <v>0</v>
      </c>
      <c r="I63" s="34" t="b">
        <v>1</v>
      </c>
      <c r="J63" s="28" t="n">
        <v>100</v>
      </c>
      <c r="K63" s="28" t="inlineStr">
        <is>
          <t>Strong</t>
        </is>
      </c>
      <c r="L63" s="28" t="n">
        <v>0</v>
      </c>
      <c r="M63" s="28" t="inlineStr"/>
      <c r="N63" s="28" t="n">
        <v>0</v>
      </c>
      <c r="O63" s="28" t="n">
        <v>3</v>
      </c>
      <c r="P63" s="28" t="n">
        <v>2</v>
      </c>
      <c r="Q63" s="28" t="n">
        <v>0</v>
      </c>
      <c r="R63" s="28" t="n">
        <v>0</v>
      </c>
      <c r="S63" s="28" t="n">
        <v>0</v>
      </c>
      <c r="T63" s="34" t="n">
        <v>60</v>
      </c>
      <c r="U63" s="28" t="n">
        <v>25</v>
      </c>
      <c r="V63" s="28" t="b">
        <v>0</v>
      </c>
      <c r="W63" s="32" t="b">
        <v>0</v>
      </c>
      <c r="X63" s="28" t="inlineStr">
        <is>
          <t>Content | AEO | Media</t>
        </is>
      </c>
      <c r="Y63">
        <f>IFERROR(HYPERLINK("#'Main'!B"&amp;MATCH(TRIM(A63),'Main'!B:B,0),"Open"),HYPERLINK("#'Main'!B1","Open"))</f>
        <v/>
      </c>
    </row>
    <row r="64" ht="18" customHeight="1">
      <c r="A64" s="37" t="inlineStr">
        <is>
          <t>https://africanmarketingconfederation.org/smoke-archive/page-61</t>
        </is>
      </c>
      <c r="B64" s="30" t="inlineStr">
        <is>
          <t>Content | AEO | Media</t>
        </is>
      </c>
      <c r="C64" s="30" t="n">
        <v>331</v>
      </c>
      <c r="D64" s="30" t="inlineStr"/>
      <c r="E64" s="30" t="n">
        <v>8</v>
      </c>
      <c r="F64" s="30" t="b">
        <v>0</v>
      </c>
      <c r="G64" s="30" t="n">
        <v>1</v>
      </c>
      <c r="H64" s="32" t="b">
        <v>0</v>
      </c>
      <c r="I64" s="32" t="b">
        <v>0</v>
      </c>
      <c r="J64" s="30" t="n">
        <v>100</v>
      </c>
      <c r="K64" s="30" t="inlineStr">
        <is>
          <t>Strong</t>
        </is>
      </c>
      <c r="L64" s="30" t="n">
        <v>0</v>
      </c>
      <c r="M64" s="30" t="inlineStr"/>
      <c r="N64" s="30" t="n">
        <v>0</v>
      </c>
      <c r="O64" s="30" t="n">
        <v>3</v>
      </c>
      <c r="P64" s="30" t="n">
        <v>2</v>
      </c>
      <c r="Q64" s="30" t="n">
        <v>0</v>
      </c>
      <c r="R64" s="30" t="n">
        <v>0</v>
      </c>
      <c r="S64" s="30" t="n">
        <v>0</v>
      </c>
      <c r="T64" s="40" t="n">
        <v>95</v>
      </c>
      <c r="U64" s="30" t="n">
        <v>25</v>
      </c>
      <c r="V64" s="30" t="b">
        <v>0</v>
      </c>
      <c r="W64" s="32" t="b">
        <v>0</v>
      </c>
      <c r="X64" s="30" t="inlineStr">
        <is>
          <t>Content | AEO | Media</t>
        </is>
      </c>
      <c r="Y64" s="38">
        <f>IFERROR(HYPERLINK("#'Main'!B"&amp;MATCH(TRIM(A64),'Main'!B:B,0),"Open"),HYPERLINK("#'Main'!B1","Open"))</f>
        <v/>
      </c>
    </row>
    <row r="65" ht="18" customHeight="1">
      <c r="A65" s="35" t="inlineStr">
        <is>
          <t>https://africanmarketingconfederation.org/smoke-archive/page-62</t>
        </is>
      </c>
      <c r="B65" s="28" t="inlineStr">
        <is>
          <t>Content | AEO | Media</t>
        </is>
      </c>
      <c r="C65" s="28" t="n">
        <v>332</v>
      </c>
      <c r="D65" s="28" t="inlineStr"/>
      <c r="E65" s="28" t="n">
        <v>8</v>
      </c>
      <c r="F65" s="28" t="b">
        <v>0</v>
      </c>
      <c r="G65" s="28" t="n">
        <v>1</v>
      </c>
      <c r="H65" s="32" t="b">
        <v>0</v>
      </c>
      <c r="I65" s="32" t="b">
        <v>0</v>
      </c>
      <c r="J65" s="28" t="n">
        <v>100</v>
      </c>
      <c r="K65" s="28" t="inlineStr">
        <is>
          <t>Strong</t>
        </is>
      </c>
      <c r="L65" s="28" t="n">
        <v>0</v>
      </c>
      <c r="M65" s="28" t="inlineStr"/>
      <c r="N65" s="28" t="n">
        <v>0</v>
      </c>
      <c r="O65" s="28" t="n">
        <v>3</v>
      </c>
      <c r="P65" s="28" t="n">
        <v>2</v>
      </c>
      <c r="Q65" s="28" t="n">
        <v>0</v>
      </c>
      <c r="R65" s="28" t="n">
        <v>0</v>
      </c>
      <c r="S65" s="28" t="n">
        <v>0</v>
      </c>
      <c r="T65" s="40" t="n">
        <v>95</v>
      </c>
      <c r="U65" s="28" t="n">
        <v>25</v>
      </c>
      <c r="V65" s="28" t="b">
        <v>0</v>
      </c>
      <c r="W65" s="32" t="b">
        <v>0</v>
      </c>
      <c r="X65" s="28" t="inlineStr">
        <is>
          <t>Content | AEO | Media</t>
        </is>
      </c>
      <c r="Y65">
        <f>IFERROR(HYPERLINK("#'Main'!B"&amp;MATCH(TRIM(A65),'Main'!B:B,0),"Open"),HYPERLINK("#'Main'!B1","Open"))</f>
        <v/>
      </c>
    </row>
    <row r="66" ht="18" customHeight="1">
      <c r="A66" s="37" t="inlineStr">
        <is>
          <t>https://africanmarketingconfederation.org/smoke-archive/page-63</t>
        </is>
      </c>
      <c r="B66" s="30" t="inlineStr">
        <is>
          <t>Content | AEO | Media</t>
        </is>
      </c>
      <c r="C66" s="30" t="n">
        <v>333</v>
      </c>
      <c r="D66" s="30" t="inlineStr"/>
      <c r="E66" s="30" t="n">
        <v>8</v>
      </c>
      <c r="F66" s="30" t="b">
        <v>0</v>
      </c>
      <c r="G66" s="30" t="n">
        <v>1</v>
      </c>
      <c r="H66" s="32" t="b">
        <v>0</v>
      </c>
      <c r="I66" s="32" t="b">
        <v>0</v>
      </c>
      <c r="J66" s="30" t="n">
        <v>30</v>
      </c>
      <c r="K66" s="30" t="inlineStr">
        <is>
          <t>Needs Work</t>
        </is>
      </c>
      <c r="L66" s="30" t="n">
        <v>0</v>
      </c>
      <c r="M66" s="30" t="inlineStr"/>
      <c r="N66" s="30" t="n">
        <v>0</v>
      </c>
      <c r="O66" s="30" t="n">
        <v>0</v>
      </c>
      <c r="P66" s="30" t="n">
        <v>0</v>
      </c>
      <c r="Q66" s="30" t="n">
        <v>0</v>
      </c>
      <c r="R66" s="30" t="n">
        <v>0</v>
      </c>
      <c r="S66" s="30" t="n">
        <v>0</v>
      </c>
      <c r="T66" s="40" t="n">
        <v>95</v>
      </c>
      <c r="U66" s="30" t="n">
        <v>25</v>
      </c>
      <c r="V66" s="30" t="b">
        <v>0</v>
      </c>
      <c r="W66" s="32" t="b">
        <v>0</v>
      </c>
      <c r="X66" s="30" t="inlineStr">
        <is>
          <t>Content | AEO | Media</t>
        </is>
      </c>
      <c r="Y66" s="38">
        <f>IFERROR(HYPERLINK("#'Main'!B"&amp;MATCH(TRIM(A66),'Main'!B:B,0),"Open"),HYPERLINK("#'Main'!B1","Open"))</f>
        <v/>
      </c>
    </row>
    <row r="67" ht="18" customHeight="1">
      <c r="A67" s="35" t="inlineStr">
        <is>
          <t>https://africanmarketingconfederation.org/smoke-archive/page-64</t>
        </is>
      </c>
      <c r="B67" s="28" t="inlineStr">
        <is>
          <t>Content | AEO | Media</t>
        </is>
      </c>
      <c r="C67" s="28" t="n">
        <v>334</v>
      </c>
      <c r="D67" s="28" t="inlineStr"/>
      <c r="E67" s="28" t="n">
        <v>8</v>
      </c>
      <c r="F67" s="28" t="b">
        <v>0</v>
      </c>
      <c r="G67" s="28" t="n">
        <v>1</v>
      </c>
      <c r="H67" s="32" t="b">
        <v>0</v>
      </c>
      <c r="I67" s="32" t="b">
        <v>0</v>
      </c>
      <c r="J67" s="28" t="n">
        <v>100</v>
      </c>
      <c r="K67" s="28" t="inlineStr">
        <is>
          <t>Strong</t>
        </is>
      </c>
      <c r="L67" s="28" t="n">
        <v>0</v>
      </c>
      <c r="M67" s="28" t="inlineStr"/>
      <c r="N67" s="28" t="n">
        <v>0</v>
      </c>
      <c r="O67" s="28" t="n">
        <v>3</v>
      </c>
      <c r="P67" s="28" t="n">
        <v>2</v>
      </c>
      <c r="Q67" s="28" t="n">
        <v>0</v>
      </c>
      <c r="R67" s="28" t="n">
        <v>0</v>
      </c>
      <c r="S67" s="28" t="n">
        <v>0</v>
      </c>
      <c r="T67" s="40" t="n">
        <v>95</v>
      </c>
      <c r="U67" s="28" t="n">
        <v>25</v>
      </c>
      <c r="V67" s="28" t="b">
        <v>0</v>
      </c>
      <c r="W67" s="32" t="b">
        <v>0</v>
      </c>
      <c r="X67" s="28" t="inlineStr">
        <is>
          <t>Content | AEO | Media</t>
        </is>
      </c>
      <c r="Y67">
        <f>IFERROR(HYPERLINK("#'Main'!B"&amp;MATCH(TRIM(A67),'Main'!B:B,0),"Open"),HYPERLINK("#'Main'!B1","Open"))</f>
        <v/>
      </c>
    </row>
    <row r="68" ht="18" customHeight="1">
      <c r="A68" s="37" t="inlineStr">
        <is>
          <t>https://africanmarketingconfederation.org/smoke-archive/page-65</t>
        </is>
      </c>
      <c r="B68" s="30" t="inlineStr">
        <is>
          <t>Content | AEO | Media</t>
        </is>
      </c>
      <c r="C68" s="30" t="n">
        <v>335</v>
      </c>
      <c r="D68" s="30" t="inlineStr"/>
      <c r="E68" s="30" t="n">
        <v>8</v>
      </c>
      <c r="F68" s="30" t="b">
        <v>0</v>
      </c>
      <c r="G68" s="30" t="n">
        <v>1</v>
      </c>
      <c r="H68" s="32" t="b">
        <v>0</v>
      </c>
      <c r="I68" s="34" t="b">
        <v>1</v>
      </c>
      <c r="J68" s="30" t="n">
        <v>100</v>
      </c>
      <c r="K68" s="30" t="inlineStr">
        <is>
          <t>Strong</t>
        </is>
      </c>
      <c r="L68" s="30" t="n">
        <v>0</v>
      </c>
      <c r="M68" s="30" t="inlineStr"/>
      <c r="N68" s="30" t="n">
        <v>0</v>
      </c>
      <c r="O68" s="30" t="n">
        <v>3</v>
      </c>
      <c r="P68" s="30" t="n">
        <v>2</v>
      </c>
      <c r="Q68" s="30" t="n">
        <v>0</v>
      </c>
      <c r="R68" s="30" t="n">
        <v>0</v>
      </c>
      <c r="S68" s="30" t="n">
        <v>0</v>
      </c>
      <c r="T68" s="40" t="n">
        <v>95</v>
      </c>
      <c r="U68" s="30" t="n">
        <v>25</v>
      </c>
      <c r="V68" s="30" t="b">
        <v>0</v>
      </c>
      <c r="W68" s="32" t="b">
        <v>0</v>
      </c>
      <c r="X68" s="30" t="inlineStr">
        <is>
          <t>Content | AEO | Media</t>
        </is>
      </c>
      <c r="Y68" s="38">
        <f>IFERROR(HYPERLINK("#'Main'!B"&amp;MATCH(TRIM(A68),'Main'!B:B,0),"Open"),HYPERLINK("#'Main'!B1","Open"))</f>
        <v/>
      </c>
    </row>
    <row r="69" ht="18" customHeight="1">
      <c r="A69" s="35" t="inlineStr">
        <is>
          <t>https://africanmarketingconfederation.org/smoke-archive/page-66</t>
        </is>
      </c>
      <c r="B69" s="28" t="inlineStr">
        <is>
          <t>Content | AEO | Media</t>
        </is>
      </c>
      <c r="C69" s="28" t="n">
        <v>336</v>
      </c>
      <c r="D69" s="28" t="inlineStr"/>
      <c r="E69" s="28" t="n">
        <v>8</v>
      </c>
      <c r="F69" s="28" t="b">
        <v>0</v>
      </c>
      <c r="G69" s="28" t="n">
        <v>1</v>
      </c>
      <c r="H69" s="32" t="b">
        <v>0</v>
      </c>
      <c r="I69" s="32" t="b">
        <v>0</v>
      </c>
      <c r="J69" s="28" t="n">
        <v>100</v>
      </c>
      <c r="K69" s="28" t="inlineStr">
        <is>
          <t>Strong</t>
        </is>
      </c>
      <c r="L69" s="28" t="n">
        <v>0</v>
      </c>
      <c r="M69" s="28" t="inlineStr"/>
      <c r="N69" s="28" t="n">
        <v>0</v>
      </c>
      <c r="O69" s="28" t="n">
        <v>3</v>
      </c>
      <c r="P69" s="28" t="n">
        <v>2</v>
      </c>
      <c r="Q69" s="28" t="n">
        <v>0</v>
      </c>
      <c r="R69" s="28" t="n">
        <v>0</v>
      </c>
      <c r="S69" s="28" t="n">
        <v>0</v>
      </c>
      <c r="T69" s="34" t="n">
        <v>60</v>
      </c>
      <c r="U69" s="28" t="n">
        <v>25</v>
      </c>
      <c r="V69" s="28" t="b">
        <v>0</v>
      </c>
      <c r="W69" s="32" t="b">
        <v>0</v>
      </c>
      <c r="X69" s="28" t="inlineStr">
        <is>
          <t>Content | AEO | Media</t>
        </is>
      </c>
      <c r="Y69">
        <f>IFERROR(HYPERLINK("#'Main'!B"&amp;MATCH(TRIM(A69),'Main'!B:B,0),"Open"),HYPERLINK("#'Main'!B1","Open"))</f>
        <v/>
      </c>
    </row>
    <row r="70" ht="18" customHeight="1">
      <c r="A70" s="37" t="inlineStr">
        <is>
          <t>https://africanmarketingconfederation.org/smoke-archive/page-67</t>
        </is>
      </c>
      <c r="B70" s="30" t="inlineStr">
        <is>
          <t>Content | AEO | Media</t>
        </is>
      </c>
      <c r="C70" s="30" t="n">
        <v>337</v>
      </c>
      <c r="D70" s="30" t="inlineStr"/>
      <c r="E70" s="30" t="n">
        <v>8</v>
      </c>
      <c r="F70" s="30" t="b">
        <v>0</v>
      </c>
      <c r="G70" s="30" t="n">
        <v>1</v>
      </c>
      <c r="H70" s="32" t="b">
        <v>0</v>
      </c>
      <c r="I70" s="32" t="b">
        <v>0</v>
      </c>
      <c r="J70" s="30" t="n">
        <v>100</v>
      </c>
      <c r="K70" s="30" t="inlineStr">
        <is>
          <t>Strong</t>
        </is>
      </c>
      <c r="L70" s="30" t="n">
        <v>0</v>
      </c>
      <c r="M70" s="30" t="inlineStr"/>
      <c r="N70" s="30" t="n">
        <v>0</v>
      </c>
      <c r="O70" s="30" t="n">
        <v>3</v>
      </c>
      <c r="P70" s="30" t="n">
        <v>2</v>
      </c>
      <c r="Q70" s="30" t="n">
        <v>0</v>
      </c>
      <c r="R70" s="30" t="n">
        <v>0</v>
      </c>
      <c r="S70" s="30" t="n">
        <v>0</v>
      </c>
      <c r="T70" s="40" t="n">
        <v>95</v>
      </c>
      <c r="U70" s="30" t="n">
        <v>25</v>
      </c>
      <c r="V70" s="30" t="b">
        <v>0</v>
      </c>
      <c r="W70" s="32" t="b">
        <v>0</v>
      </c>
      <c r="X70" s="30" t="inlineStr">
        <is>
          <t>Content | AEO | Media</t>
        </is>
      </c>
      <c r="Y70" s="38">
        <f>IFERROR(HYPERLINK("#'Main'!B"&amp;MATCH(TRIM(A70),'Main'!B:B,0),"Open"),HYPERLINK("#'Main'!B1","Open"))</f>
        <v/>
      </c>
    </row>
    <row r="71" ht="18" customHeight="1">
      <c r="A71" s="35" t="inlineStr">
        <is>
          <t>https://africanmarketingconfederation.org/smoke-archive/page-68</t>
        </is>
      </c>
      <c r="B71" s="28" t="inlineStr">
        <is>
          <t>Content | AEO | Media</t>
        </is>
      </c>
      <c r="C71" s="28" t="n">
        <v>338</v>
      </c>
      <c r="D71" s="28" t="inlineStr"/>
      <c r="E71" s="28" t="n">
        <v>8</v>
      </c>
      <c r="F71" s="28" t="b">
        <v>0</v>
      </c>
      <c r="G71" s="28" t="n">
        <v>1</v>
      </c>
      <c r="H71" s="32" t="b">
        <v>0</v>
      </c>
      <c r="I71" s="32" t="b">
        <v>0</v>
      </c>
      <c r="J71" s="28" t="n">
        <v>100</v>
      </c>
      <c r="K71" s="28" t="inlineStr">
        <is>
          <t>Strong</t>
        </is>
      </c>
      <c r="L71" s="28" t="n">
        <v>0</v>
      </c>
      <c r="M71" s="28" t="inlineStr"/>
      <c r="N71" s="28" t="n">
        <v>0</v>
      </c>
      <c r="O71" s="28" t="n">
        <v>3</v>
      </c>
      <c r="P71" s="28" t="n">
        <v>2</v>
      </c>
      <c r="Q71" s="28" t="n">
        <v>0</v>
      </c>
      <c r="R71" s="28" t="n">
        <v>0</v>
      </c>
      <c r="S71" s="28" t="n">
        <v>0</v>
      </c>
      <c r="T71" s="40" t="n">
        <v>95</v>
      </c>
      <c r="U71" s="28" t="n">
        <v>25</v>
      </c>
      <c r="V71" s="28" t="b">
        <v>0</v>
      </c>
      <c r="W71" s="32" t="b">
        <v>0</v>
      </c>
      <c r="X71" s="28" t="inlineStr">
        <is>
          <t>Content | AEO | Media</t>
        </is>
      </c>
      <c r="Y71">
        <f>IFERROR(HYPERLINK("#'Main'!B"&amp;MATCH(TRIM(A71),'Main'!B:B,0),"Open"),HYPERLINK("#'Main'!B1","Open"))</f>
        <v/>
      </c>
    </row>
    <row r="72" ht="18" customHeight="1">
      <c r="A72" s="37" t="inlineStr">
        <is>
          <t>https://africanmarketingconfederation.org/smoke-archive/page-69</t>
        </is>
      </c>
      <c r="B72" s="30" t="inlineStr">
        <is>
          <t>Content | AEO | Media</t>
        </is>
      </c>
      <c r="C72" s="30" t="n">
        <v>339</v>
      </c>
      <c r="D72" s="30" t="inlineStr"/>
      <c r="E72" s="30" t="n">
        <v>8</v>
      </c>
      <c r="F72" s="30" t="b">
        <v>0</v>
      </c>
      <c r="G72" s="30" t="n">
        <v>1</v>
      </c>
      <c r="H72" s="32" t="b">
        <v>0</v>
      </c>
      <c r="I72" s="32" t="b">
        <v>0</v>
      </c>
      <c r="J72" s="30" t="n">
        <v>100</v>
      </c>
      <c r="K72" s="30" t="inlineStr">
        <is>
          <t>Strong</t>
        </is>
      </c>
      <c r="L72" s="30" t="n">
        <v>0</v>
      </c>
      <c r="M72" s="30" t="inlineStr"/>
      <c r="N72" s="30" t="n">
        <v>0</v>
      </c>
      <c r="O72" s="30" t="n">
        <v>3</v>
      </c>
      <c r="P72" s="30" t="n">
        <v>2</v>
      </c>
      <c r="Q72" s="30" t="n">
        <v>0</v>
      </c>
      <c r="R72" s="30" t="n">
        <v>0</v>
      </c>
      <c r="S72" s="30" t="n">
        <v>0</v>
      </c>
      <c r="T72" s="40" t="n">
        <v>95</v>
      </c>
      <c r="U72" s="30" t="n">
        <v>25</v>
      </c>
      <c r="V72" s="30" t="b">
        <v>0</v>
      </c>
      <c r="W72" s="32" t="b">
        <v>0</v>
      </c>
      <c r="X72" s="30" t="inlineStr">
        <is>
          <t>Content | AEO | Media</t>
        </is>
      </c>
      <c r="Y72" s="38">
        <f>IFERROR(HYPERLINK("#'Main'!B"&amp;MATCH(TRIM(A72),'Main'!B:B,0),"Open"),HYPERLINK("#'Main'!B1","Open"))</f>
        <v/>
      </c>
    </row>
    <row r="73" ht="18" customHeight="1">
      <c r="A73" s="35" t="inlineStr">
        <is>
          <t>https://africanmarketingconfederation.org/smoke-archive/page-70</t>
        </is>
      </c>
      <c r="B73" s="28" t="inlineStr">
        <is>
          <t>Content | AEO | Media</t>
        </is>
      </c>
      <c r="C73" s="28" t="n">
        <v>340</v>
      </c>
      <c r="D73" s="28" t="inlineStr"/>
      <c r="E73" s="28" t="n">
        <v>8</v>
      </c>
      <c r="F73" s="28" t="b">
        <v>0</v>
      </c>
      <c r="G73" s="28" t="n">
        <v>1</v>
      </c>
      <c r="H73" s="32" t="b">
        <v>0</v>
      </c>
      <c r="I73" s="34" t="b">
        <v>1</v>
      </c>
      <c r="J73" s="28" t="n">
        <v>100</v>
      </c>
      <c r="K73" s="28" t="inlineStr">
        <is>
          <t>Strong</t>
        </is>
      </c>
      <c r="L73" s="28" t="n">
        <v>0</v>
      </c>
      <c r="M73" s="28" t="inlineStr"/>
      <c r="N73" s="28" t="n">
        <v>0</v>
      </c>
      <c r="O73" s="28" t="n">
        <v>3</v>
      </c>
      <c r="P73" s="28" t="n">
        <v>2</v>
      </c>
      <c r="Q73" s="28" t="n">
        <v>0</v>
      </c>
      <c r="R73" s="28" t="n">
        <v>0</v>
      </c>
      <c r="S73" s="28" t="n">
        <v>0</v>
      </c>
      <c r="T73" s="40" t="n">
        <v>95</v>
      </c>
      <c r="U73" s="28" t="n">
        <v>25</v>
      </c>
      <c r="V73" s="28" t="b">
        <v>0</v>
      </c>
      <c r="W73" s="32" t="b">
        <v>0</v>
      </c>
      <c r="X73" s="28" t="inlineStr">
        <is>
          <t>Content | AEO | Media</t>
        </is>
      </c>
      <c r="Y73">
        <f>IFERROR(HYPERLINK("#'Main'!B"&amp;MATCH(TRIM(A73),'Main'!B:B,0),"Open"),HYPERLINK("#'Main'!B1","Open"))</f>
        <v/>
      </c>
    </row>
    <row r="74" ht="18" customHeight="1">
      <c r="A74" s="37" t="inlineStr">
        <is>
          <t>https://africanmarketingconfederation.org/smoke-archive/page-71</t>
        </is>
      </c>
      <c r="B74" s="30" t="inlineStr">
        <is>
          <t>Content | AEO | Media</t>
        </is>
      </c>
      <c r="C74" s="30" t="n">
        <v>341</v>
      </c>
      <c r="D74" s="30" t="inlineStr"/>
      <c r="E74" s="30" t="n">
        <v>8</v>
      </c>
      <c r="F74" s="30" t="b">
        <v>0</v>
      </c>
      <c r="G74" s="30" t="n">
        <v>1</v>
      </c>
      <c r="H74" s="32" t="b">
        <v>0</v>
      </c>
      <c r="I74" s="32" t="b">
        <v>0</v>
      </c>
      <c r="J74" s="30" t="n">
        <v>100</v>
      </c>
      <c r="K74" s="30" t="inlineStr">
        <is>
          <t>Strong</t>
        </is>
      </c>
      <c r="L74" s="30" t="n">
        <v>0</v>
      </c>
      <c r="M74" s="30" t="inlineStr"/>
      <c r="N74" s="30" t="n">
        <v>0</v>
      </c>
      <c r="O74" s="30" t="n">
        <v>3</v>
      </c>
      <c r="P74" s="30" t="n">
        <v>2</v>
      </c>
      <c r="Q74" s="30" t="n">
        <v>0</v>
      </c>
      <c r="R74" s="30" t="n">
        <v>0</v>
      </c>
      <c r="S74" s="30" t="n">
        <v>0</v>
      </c>
      <c r="T74" s="40" t="n">
        <v>95</v>
      </c>
      <c r="U74" s="30" t="n">
        <v>25</v>
      </c>
      <c r="V74" s="30" t="b">
        <v>0</v>
      </c>
      <c r="W74" s="32" t="b">
        <v>0</v>
      </c>
      <c r="X74" s="30" t="inlineStr">
        <is>
          <t>Content | AEO | Media</t>
        </is>
      </c>
      <c r="Y74" s="38">
        <f>IFERROR(HYPERLINK("#'Main'!B"&amp;MATCH(TRIM(A74),'Main'!B:B,0),"Open"),HYPERLINK("#'Main'!B1","Open"))</f>
        <v/>
      </c>
    </row>
    <row r="75" ht="18" customHeight="1">
      <c r="A75" s="35" t="inlineStr">
        <is>
          <t>https://africanmarketingconfederation.org/smoke-archive/page-72</t>
        </is>
      </c>
      <c r="B75" s="28" t="inlineStr">
        <is>
          <t>Content | AEO | Media</t>
        </is>
      </c>
      <c r="C75" s="28" t="n">
        <v>342</v>
      </c>
      <c r="D75" s="28" t="inlineStr"/>
      <c r="E75" s="28" t="n">
        <v>8</v>
      </c>
      <c r="F75" s="28" t="b">
        <v>0</v>
      </c>
      <c r="G75" s="28" t="n">
        <v>1</v>
      </c>
      <c r="H75" s="32" t="b">
        <v>0</v>
      </c>
      <c r="I75" s="32" t="b">
        <v>0</v>
      </c>
      <c r="J75" s="28" t="n">
        <v>30</v>
      </c>
      <c r="K75" s="28" t="inlineStr">
        <is>
          <t>Needs Work</t>
        </is>
      </c>
      <c r="L75" s="28" t="n">
        <v>0</v>
      </c>
      <c r="M75" s="28" t="inlineStr"/>
      <c r="N75" s="28" t="n">
        <v>0</v>
      </c>
      <c r="O75" s="28" t="n">
        <v>0</v>
      </c>
      <c r="P75" s="28" t="n">
        <v>0</v>
      </c>
      <c r="Q75" s="28" t="n">
        <v>0</v>
      </c>
      <c r="R75" s="28" t="n">
        <v>0</v>
      </c>
      <c r="S75" s="28" t="n">
        <v>0</v>
      </c>
      <c r="T75" s="34" t="n">
        <v>60</v>
      </c>
      <c r="U75" s="28" t="n">
        <v>25</v>
      </c>
      <c r="V75" s="28" t="b">
        <v>0</v>
      </c>
      <c r="W75" s="32" t="b">
        <v>0</v>
      </c>
      <c r="X75" s="28" t="inlineStr">
        <is>
          <t>Content | AEO | Media</t>
        </is>
      </c>
      <c r="Y75">
        <f>IFERROR(HYPERLINK("#'Main'!B"&amp;MATCH(TRIM(A75),'Main'!B:B,0),"Open"),HYPERLINK("#'Main'!B1","Open"))</f>
        <v/>
      </c>
    </row>
    <row r="76" ht="18" customHeight="1">
      <c r="A76" s="37" t="inlineStr">
        <is>
          <t>https://africanmarketingconfederation.org/smoke-archive/page-73</t>
        </is>
      </c>
      <c r="B76" s="30" t="inlineStr">
        <is>
          <t>Content | AEO | Media</t>
        </is>
      </c>
      <c r="C76" s="30" t="n">
        <v>343</v>
      </c>
      <c r="D76" s="30" t="inlineStr"/>
      <c r="E76" s="30" t="n">
        <v>8</v>
      </c>
      <c r="F76" s="30" t="b">
        <v>0</v>
      </c>
      <c r="G76" s="30" t="n">
        <v>1</v>
      </c>
      <c r="H76" s="32" t="b">
        <v>0</v>
      </c>
      <c r="I76" s="32" t="b">
        <v>0</v>
      </c>
      <c r="J76" s="30" t="n">
        <v>100</v>
      </c>
      <c r="K76" s="30" t="inlineStr">
        <is>
          <t>Strong</t>
        </is>
      </c>
      <c r="L76" s="30" t="n">
        <v>0</v>
      </c>
      <c r="M76" s="30" t="inlineStr"/>
      <c r="N76" s="30" t="n">
        <v>0</v>
      </c>
      <c r="O76" s="30" t="n">
        <v>3</v>
      </c>
      <c r="P76" s="30" t="n">
        <v>2</v>
      </c>
      <c r="Q76" s="30" t="n">
        <v>0</v>
      </c>
      <c r="R76" s="30" t="n">
        <v>0</v>
      </c>
      <c r="S76" s="30" t="n">
        <v>0</v>
      </c>
      <c r="T76" s="40" t="n">
        <v>95</v>
      </c>
      <c r="U76" s="30" t="n">
        <v>25</v>
      </c>
      <c r="V76" s="30" t="b">
        <v>0</v>
      </c>
      <c r="W76" s="32" t="b">
        <v>0</v>
      </c>
      <c r="X76" s="30" t="inlineStr">
        <is>
          <t>Content | AEO | Media</t>
        </is>
      </c>
      <c r="Y76" s="38">
        <f>IFERROR(HYPERLINK("#'Main'!B"&amp;MATCH(TRIM(A76),'Main'!B:B,0),"Open"),HYPERLINK("#'Main'!B1","Open"))</f>
        <v/>
      </c>
    </row>
    <row r="77" ht="18" customHeight="1">
      <c r="A77" s="35" t="inlineStr">
        <is>
          <t>https://africanmarketingconfederation.org/smoke-archive/page-74</t>
        </is>
      </c>
      <c r="B77" s="28" t="inlineStr">
        <is>
          <t>Content | AEO | Media</t>
        </is>
      </c>
      <c r="C77" s="28" t="n">
        <v>344</v>
      </c>
      <c r="D77" s="28" t="inlineStr"/>
      <c r="E77" s="28" t="n">
        <v>8</v>
      </c>
      <c r="F77" s="28" t="b">
        <v>0</v>
      </c>
      <c r="G77" s="28" t="n">
        <v>1</v>
      </c>
      <c r="H77" s="32" t="b">
        <v>0</v>
      </c>
      <c r="I77" s="32" t="b">
        <v>0</v>
      </c>
      <c r="J77" s="28" t="n">
        <v>100</v>
      </c>
      <c r="K77" s="28" t="inlineStr">
        <is>
          <t>Strong</t>
        </is>
      </c>
      <c r="L77" s="28" t="n">
        <v>0</v>
      </c>
      <c r="M77" s="28" t="inlineStr"/>
      <c r="N77" s="28" t="n">
        <v>0</v>
      </c>
      <c r="O77" s="28" t="n">
        <v>3</v>
      </c>
      <c r="P77" s="28" t="n">
        <v>2</v>
      </c>
      <c r="Q77" s="28" t="n">
        <v>0</v>
      </c>
      <c r="R77" s="28" t="n">
        <v>0</v>
      </c>
      <c r="S77" s="28" t="n">
        <v>0</v>
      </c>
      <c r="T77" s="40" t="n">
        <v>95</v>
      </c>
      <c r="U77" s="28" t="n">
        <v>25</v>
      </c>
      <c r="V77" s="28" t="b">
        <v>0</v>
      </c>
      <c r="W77" s="32" t="b">
        <v>0</v>
      </c>
      <c r="X77" s="28" t="inlineStr">
        <is>
          <t>Content | AEO | Media</t>
        </is>
      </c>
      <c r="Y77">
        <f>IFERROR(HYPERLINK("#'Main'!B"&amp;MATCH(TRIM(A77),'Main'!B:B,0),"Open"),HYPERLINK("#'Main'!B1","Open"))</f>
        <v/>
      </c>
    </row>
    <row r="78" ht="18" customHeight="1">
      <c r="A78" s="37" t="inlineStr">
        <is>
          <t>https://africanmarketingconfederation.org/smoke-archive/page-75</t>
        </is>
      </c>
      <c r="B78" s="30" t="inlineStr">
        <is>
          <t>Content | AEO | Media</t>
        </is>
      </c>
      <c r="C78" s="30" t="n">
        <v>345</v>
      </c>
      <c r="D78" s="30" t="inlineStr"/>
      <c r="E78" s="30" t="n">
        <v>8</v>
      </c>
      <c r="F78" s="30" t="b">
        <v>0</v>
      </c>
      <c r="G78" s="30" t="n">
        <v>1</v>
      </c>
      <c r="H78" s="32" t="b">
        <v>0</v>
      </c>
      <c r="I78" s="34" t="b">
        <v>1</v>
      </c>
      <c r="J78" s="30" t="n">
        <v>100</v>
      </c>
      <c r="K78" s="30" t="inlineStr">
        <is>
          <t>Strong</t>
        </is>
      </c>
      <c r="L78" s="30" t="n">
        <v>0</v>
      </c>
      <c r="M78" s="30" t="inlineStr"/>
      <c r="N78" s="30" t="n">
        <v>0</v>
      </c>
      <c r="O78" s="30" t="n">
        <v>3</v>
      </c>
      <c r="P78" s="30" t="n">
        <v>2</v>
      </c>
      <c r="Q78" s="30" t="n">
        <v>0</v>
      </c>
      <c r="R78" s="30" t="n">
        <v>0</v>
      </c>
      <c r="S78" s="30" t="n">
        <v>0</v>
      </c>
      <c r="T78" s="40" t="n">
        <v>95</v>
      </c>
      <c r="U78" s="30" t="n">
        <v>25</v>
      </c>
      <c r="V78" s="30" t="b">
        <v>0</v>
      </c>
      <c r="W78" s="32" t="b">
        <v>0</v>
      </c>
      <c r="X78" s="30" t="inlineStr">
        <is>
          <t>Content | AEO | Media</t>
        </is>
      </c>
      <c r="Y78" s="38">
        <f>IFERROR(HYPERLINK("#'Main'!B"&amp;MATCH(TRIM(A78),'Main'!B:B,0),"Open"),HYPERLINK("#'Main'!B1","Open"))</f>
        <v/>
      </c>
    </row>
    <row r="79" ht="18" customHeight="1">
      <c r="A79" s="35" t="inlineStr">
        <is>
          <t>https://africanmarketingconfederation.org/smoke-archive/page-76</t>
        </is>
      </c>
      <c r="B79" s="28" t="inlineStr">
        <is>
          <t>Content | AEO | Media</t>
        </is>
      </c>
      <c r="C79" s="28" t="n">
        <v>346</v>
      </c>
      <c r="D79" s="28" t="inlineStr"/>
      <c r="E79" s="28" t="n">
        <v>8</v>
      </c>
      <c r="F79" s="28" t="b">
        <v>0</v>
      </c>
      <c r="G79" s="28" t="n">
        <v>1</v>
      </c>
      <c r="H79" s="32" t="b">
        <v>0</v>
      </c>
      <c r="I79" s="32" t="b">
        <v>0</v>
      </c>
      <c r="J79" s="28" t="n">
        <v>100</v>
      </c>
      <c r="K79" s="28" t="inlineStr">
        <is>
          <t>Strong</t>
        </is>
      </c>
      <c r="L79" s="28" t="n">
        <v>0</v>
      </c>
      <c r="M79" s="28" t="inlineStr"/>
      <c r="N79" s="28" t="n">
        <v>0</v>
      </c>
      <c r="O79" s="28" t="n">
        <v>3</v>
      </c>
      <c r="P79" s="28" t="n">
        <v>2</v>
      </c>
      <c r="Q79" s="28" t="n">
        <v>0</v>
      </c>
      <c r="R79" s="28" t="n">
        <v>0</v>
      </c>
      <c r="S79" s="28" t="n">
        <v>0</v>
      </c>
      <c r="T79" s="40" t="n">
        <v>95</v>
      </c>
      <c r="U79" s="28" t="n">
        <v>25</v>
      </c>
      <c r="V79" s="28" t="b">
        <v>0</v>
      </c>
      <c r="W79" s="32" t="b">
        <v>0</v>
      </c>
      <c r="X79" s="28" t="inlineStr">
        <is>
          <t>Content | AEO | Media</t>
        </is>
      </c>
      <c r="Y79">
        <f>IFERROR(HYPERLINK("#'Main'!B"&amp;MATCH(TRIM(A79),'Main'!B:B,0),"Open"),HYPERLINK("#'Main'!B1","Open"))</f>
        <v/>
      </c>
    </row>
    <row r="80" ht="18" customHeight="1">
      <c r="A80" s="37" t="inlineStr">
        <is>
          <t>https://africanmarketingconfederation.org/smoke-archive/page-77</t>
        </is>
      </c>
      <c r="B80" s="30" t="inlineStr">
        <is>
          <t>Content | AEO | Media</t>
        </is>
      </c>
      <c r="C80" s="30" t="n">
        <v>347</v>
      </c>
      <c r="D80" s="30" t="inlineStr"/>
      <c r="E80" s="30" t="n">
        <v>8</v>
      </c>
      <c r="F80" s="30" t="b">
        <v>0</v>
      </c>
      <c r="G80" s="30" t="n">
        <v>1</v>
      </c>
      <c r="H80" s="32" t="b">
        <v>0</v>
      </c>
      <c r="I80" s="32" t="b">
        <v>0</v>
      </c>
      <c r="J80" s="30" t="n">
        <v>100</v>
      </c>
      <c r="K80" s="30" t="inlineStr">
        <is>
          <t>Strong</t>
        </is>
      </c>
      <c r="L80" s="30" t="n">
        <v>0</v>
      </c>
      <c r="M80" s="30" t="inlineStr"/>
      <c r="N80" s="30" t="n">
        <v>0</v>
      </c>
      <c r="O80" s="30" t="n">
        <v>3</v>
      </c>
      <c r="P80" s="30" t="n">
        <v>2</v>
      </c>
      <c r="Q80" s="30" t="n">
        <v>0</v>
      </c>
      <c r="R80" s="30" t="n">
        <v>0</v>
      </c>
      <c r="S80" s="30" t="n">
        <v>0</v>
      </c>
      <c r="T80" s="40" t="n">
        <v>95</v>
      </c>
      <c r="U80" s="30" t="n">
        <v>25</v>
      </c>
      <c r="V80" s="30" t="b">
        <v>0</v>
      </c>
      <c r="W80" s="32" t="b">
        <v>0</v>
      </c>
      <c r="X80" s="30" t="inlineStr">
        <is>
          <t>Content | AEO | Media</t>
        </is>
      </c>
      <c r="Y80" s="38">
        <f>IFERROR(HYPERLINK("#'Main'!B"&amp;MATCH(TRIM(A80),'Main'!B:B,0),"Open"),HYPERLINK("#'Main'!B1","Open"))</f>
        <v/>
      </c>
    </row>
    <row r="81" ht="18" customHeight="1">
      <c r="A81" s="35" t="inlineStr">
        <is>
          <t>https://africanmarketingconfederation.org/smoke-archive/page-78</t>
        </is>
      </c>
      <c r="B81" s="28" t="inlineStr">
        <is>
          <t>Content | AEO | Media</t>
        </is>
      </c>
      <c r="C81" s="28" t="n">
        <v>348</v>
      </c>
      <c r="D81" s="28" t="inlineStr"/>
      <c r="E81" s="28" t="n">
        <v>8</v>
      </c>
      <c r="F81" s="28" t="b">
        <v>0</v>
      </c>
      <c r="G81" s="28" t="n">
        <v>1</v>
      </c>
      <c r="H81" s="32" t="b">
        <v>0</v>
      </c>
      <c r="I81" s="32" t="b">
        <v>0</v>
      </c>
      <c r="J81" s="28" t="n">
        <v>100</v>
      </c>
      <c r="K81" s="28" t="inlineStr">
        <is>
          <t>Strong</t>
        </is>
      </c>
      <c r="L81" s="28" t="n">
        <v>0</v>
      </c>
      <c r="M81" s="28" t="inlineStr"/>
      <c r="N81" s="28" t="n">
        <v>0</v>
      </c>
      <c r="O81" s="28" t="n">
        <v>3</v>
      </c>
      <c r="P81" s="28" t="n">
        <v>2</v>
      </c>
      <c r="Q81" s="28" t="n">
        <v>0</v>
      </c>
      <c r="R81" s="28" t="n">
        <v>0</v>
      </c>
      <c r="S81" s="28" t="n">
        <v>0</v>
      </c>
      <c r="T81" s="34" t="n">
        <v>60</v>
      </c>
      <c r="U81" s="28" t="n">
        <v>25</v>
      </c>
      <c r="V81" s="28" t="b">
        <v>0</v>
      </c>
      <c r="W81" s="32" t="b">
        <v>0</v>
      </c>
      <c r="X81" s="28" t="inlineStr">
        <is>
          <t>Content | AEO | Media</t>
        </is>
      </c>
      <c r="Y81">
        <f>IFERROR(HYPERLINK("#'Main'!B"&amp;MATCH(TRIM(A81),'Main'!B:B,0),"Open"),HYPERLINK("#'Main'!B1","Open"))</f>
        <v/>
      </c>
    </row>
    <row r="82" ht="18" customHeight="1">
      <c r="A82" s="37" t="inlineStr">
        <is>
          <t>https://africanmarketingconfederation.org/smoke-archive/page-79</t>
        </is>
      </c>
      <c r="B82" s="30" t="inlineStr">
        <is>
          <t>Content | AEO | Media</t>
        </is>
      </c>
      <c r="C82" s="30" t="n">
        <v>349</v>
      </c>
      <c r="D82" s="30" t="inlineStr"/>
      <c r="E82" s="30" t="n">
        <v>8</v>
      </c>
      <c r="F82" s="30" t="b">
        <v>0</v>
      </c>
      <c r="G82" s="30" t="n">
        <v>1</v>
      </c>
      <c r="H82" s="32" t="b">
        <v>0</v>
      </c>
      <c r="I82" s="32" t="b">
        <v>0</v>
      </c>
      <c r="J82" s="30" t="n">
        <v>100</v>
      </c>
      <c r="K82" s="30" t="inlineStr">
        <is>
          <t>Strong</t>
        </is>
      </c>
      <c r="L82" s="30" t="n">
        <v>0</v>
      </c>
      <c r="M82" s="30" t="inlineStr"/>
      <c r="N82" s="30" t="n">
        <v>0</v>
      </c>
      <c r="O82" s="30" t="n">
        <v>3</v>
      </c>
      <c r="P82" s="30" t="n">
        <v>2</v>
      </c>
      <c r="Q82" s="30" t="n">
        <v>0</v>
      </c>
      <c r="R82" s="30" t="n">
        <v>0</v>
      </c>
      <c r="S82" s="30" t="n">
        <v>0</v>
      </c>
      <c r="T82" s="40" t="n">
        <v>95</v>
      </c>
      <c r="U82" s="30" t="n">
        <v>25</v>
      </c>
      <c r="V82" s="30" t="b">
        <v>0</v>
      </c>
      <c r="W82" s="32" t="b">
        <v>0</v>
      </c>
      <c r="X82" s="30" t="inlineStr">
        <is>
          <t>Content | AEO | Media</t>
        </is>
      </c>
      <c r="Y82" s="38">
        <f>IFERROR(HYPERLINK("#'Main'!B"&amp;MATCH(TRIM(A82),'Main'!B:B,0),"Open"),HYPERLINK("#'Main'!B1","Open"))</f>
        <v/>
      </c>
    </row>
    <row r="83" ht="18" customHeight="1">
      <c r="A83" s="35" t="inlineStr">
        <is>
          <t>https://africanmarketingconfederation.org/discovered-via-bfs-1</t>
        </is>
      </c>
      <c r="B83" s="28" t="inlineStr">
        <is>
          <t>Content | AEO | Media</t>
        </is>
      </c>
      <c r="C83" s="28" t="n">
        <v>351</v>
      </c>
      <c r="D83" s="28" t="inlineStr"/>
      <c r="E83" s="28" t="n">
        <v>8</v>
      </c>
      <c r="F83" s="28" t="b">
        <v>0</v>
      </c>
      <c r="G83" s="28" t="n">
        <v>1</v>
      </c>
      <c r="H83" s="32" t="b">
        <v>0</v>
      </c>
      <c r="I83" s="32" t="b">
        <v>0</v>
      </c>
      <c r="J83" s="28" t="n">
        <v>30</v>
      </c>
      <c r="K83" s="28" t="inlineStr">
        <is>
          <t>Needs Work</t>
        </is>
      </c>
      <c r="L83" s="28" t="n">
        <v>0</v>
      </c>
      <c r="M83" s="28" t="inlineStr"/>
      <c r="N83" s="28" t="n">
        <v>0</v>
      </c>
      <c r="O83" s="28" t="n">
        <v>0</v>
      </c>
      <c r="P83" s="28" t="n">
        <v>0</v>
      </c>
      <c r="Q83" s="28" t="n">
        <v>0</v>
      </c>
      <c r="R83" s="28" t="n">
        <v>0</v>
      </c>
      <c r="S83" s="28" t="n">
        <v>0</v>
      </c>
      <c r="T83" s="40" t="n">
        <v>95</v>
      </c>
      <c r="U83" s="28" t="n">
        <v>25</v>
      </c>
      <c r="V83" s="28" t="b">
        <v>0</v>
      </c>
      <c r="W83" s="32" t="b">
        <v>0</v>
      </c>
      <c r="X83" s="28" t="inlineStr">
        <is>
          <t>Content | AEO | Media</t>
        </is>
      </c>
      <c r="Y83">
        <f>IFERROR(HYPERLINK("#'Main'!B"&amp;MATCH(TRIM(A83),'Main'!B:B,0),"Open"),HYPERLINK("#'Main'!B1","Open"))</f>
        <v/>
      </c>
    </row>
    <row r="84" ht="18" customHeight="1">
      <c r="A84" s="37" t="inlineStr">
        <is>
          <t>https://africanmarketingconfederation.org/discovered-via-bfs-2</t>
        </is>
      </c>
      <c r="B84" s="30" t="inlineStr">
        <is>
          <t>Content | AEO | Media</t>
        </is>
      </c>
      <c r="C84" s="30" t="n">
        <v>352</v>
      </c>
      <c r="D84" s="30" t="inlineStr"/>
      <c r="E84" s="30" t="n">
        <v>8</v>
      </c>
      <c r="F84" s="30" t="b">
        <v>0</v>
      </c>
      <c r="G84" s="30" t="n">
        <v>1</v>
      </c>
      <c r="H84" s="32" t="b">
        <v>0</v>
      </c>
      <c r="I84" s="32" t="b">
        <v>0</v>
      </c>
      <c r="J84" s="30" t="n">
        <v>100</v>
      </c>
      <c r="K84" s="30" t="inlineStr">
        <is>
          <t>Strong</t>
        </is>
      </c>
      <c r="L84" s="30" t="n">
        <v>0</v>
      </c>
      <c r="M84" s="30" t="inlineStr"/>
      <c r="N84" s="30" t="n">
        <v>0</v>
      </c>
      <c r="O84" s="30" t="n">
        <v>3</v>
      </c>
      <c r="P84" s="30" t="n">
        <v>2</v>
      </c>
      <c r="Q84" s="30" t="n">
        <v>0</v>
      </c>
      <c r="R84" s="30" t="n">
        <v>0</v>
      </c>
      <c r="S84" s="30" t="n">
        <v>0</v>
      </c>
      <c r="T84" s="40" t="n">
        <v>95</v>
      </c>
      <c r="U84" s="30" t="n">
        <v>25</v>
      </c>
      <c r="V84" s="30" t="b">
        <v>0</v>
      </c>
      <c r="W84" s="32" t="b">
        <v>0</v>
      </c>
      <c r="X84" s="30" t="inlineStr">
        <is>
          <t>Content | AEO | Media</t>
        </is>
      </c>
      <c r="Y84" s="38">
        <f>IFERROR(HYPERLINK("#'Main'!B"&amp;MATCH(TRIM(A84),'Main'!B:B,0),"Open"),HYPERLINK("#'Main'!B1","Open"))</f>
        <v/>
      </c>
    </row>
    <row r="85" ht="18" customHeight="1">
      <c r="A85" s="35" t="inlineStr">
        <is>
          <t>https://africanmarketingconfederation.org/discovered-via-bfs-3</t>
        </is>
      </c>
      <c r="B85" s="28" t="inlineStr">
        <is>
          <t>Content | AEO | Media</t>
        </is>
      </c>
      <c r="C85" s="28" t="n">
        <v>353</v>
      </c>
      <c r="D85" s="28" t="inlineStr"/>
      <c r="E85" s="28" t="n">
        <v>8</v>
      </c>
      <c r="F85" s="28" t="b">
        <v>0</v>
      </c>
      <c r="G85" s="28" t="n">
        <v>1</v>
      </c>
      <c r="H85" s="32" t="b">
        <v>0</v>
      </c>
      <c r="I85" s="32" t="b">
        <v>0</v>
      </c>
      <c r="J85" s="28" t="n">
        <v>100</v>
      </c>
      <c r="K85" s="28" t="inlineStr">
        <is>
          <t>Strong</t>
        </is>
      </c>
      <c r="L85" s="28" t="n">
        <v>0</v>
      </c>
      <c r="M85" s="28" t="inlineStr"/>
      <c r="N85" s="28" t="n">
        <v>0</v>
      </c>
      <c r="O85" s="28" t="n">
        <v>3</v>
      </c>
      <c r="P85" s="28" t="n">
        <v>2</v>
      </c>
      <c r="Q85" s="28" t="n">
        <v>0</v>
      </c>
      <c r="R85" s="28" t="n">
        <v>0</v>
      </c>
      <c r="S85" s="28" t="n">
        <v>0</v>
      </c>
      <c r="T85" s="40" t="n">
        <v>95</v>
      </c>
      <c r="U85" s="28" t="n">
        <v>25</v>
      </c>
      <c r="V85" s="28" t="b">
        <v>0</v>
      </c>
      <c r="W85" s="32" t="b">
        <v>0</v>
      </c>
      <c r="X85" s="28" t="inlineStr">
        <is>
          <t>Content | AEO | Media</t>
        </is>
      </c>
      <c r="Y85">
        <f>IFERROR(HYPERLINK("#'Main'!B"&amp;MATCH(TRIM(A85),'Main'!B:B,0),"Open"),HYPERLINK("#'Main'!B1","Open"))</f>
        <v/>
      </c>
    </row>
  </sheetData>
  <autoFilter ref="A2:Y85"/>
  <mergeCells count="2">
    <mergeCell ref="A1:B1"/>
    <mergeCell ref="C1:H1"/>
  </mergeCells>
  <conditionalFormatting sqref="C3:C85">
    <cfRule type="dataBar" priority="1">
      <dataBar showValue="1">
        <cfvo type="min"/>
        <cfvo type="max"/>
        <color rgb="00638EC6"/>
      </dataBar>
    </cfRule>
    <cfRule type="dataBar" priority="5">
      <dataBar showValue="1">
        <cfvo type="min"/>
        <cfvo type="max"/>
        <color rgb="00638EC6"/>
      </dataBar>
    </cfRule>
  </conditionalFormatting>
  <conditionalFormatting sqref="J3:J85">
    <cfRule type="colorScale" priority="2">
      <colorScale>
        <cfvo type="min"/>
        <cfvo type="percentile" val="50"/>
        <cfvo type="max"/>
        <color rgb="00F8696B"/>
        <color rgb="00FFEB84"/>
        <color rgb="0063BE7B"/>
      </colorScale>
    </cfRule>
  </conditionalFormatting>
  <conditionalFormatting sqref="A3:X85">
    <cfRule type="expression" priority="3" dxfId="3" stopIfTrue="0">
      <formula>MOD(ROW(),2)=0</formula>
    </cfRule>
  </conditionalFormatting>
  <conditionalFormatting sqref="D3:D85">
    <cfRule type="colorScale" priority="4">
      <colorScale>
        <cfvo type="num" val="0"/>
        <cfvo type="num" val="50"/>
        <cfvo type="num" val="100"/>
        <color rgb="00F8696B"/>
        <color rgb="00FFEB84"/>
        <color rgb="0063BE7B"/>
      </colorScale>
    </cfRule>
  </conditionalFormatting>
  <conditionalFormatting sqref="R3:R85">
    <cfRule type="dataBar" priority="6">
      <dataBar showValue="1">
        <cfvo type="min"/>
        <cfvo type="max"/>
        <color rgb="00638EC6"/>
      </dataBar>
    </cfRule>
  </conditionalFormatting>
  <conditionalFormatting sqref="K3:K85">
    <cfRule type="expression" priority="7" dxfId="9" stopIfTrue="1">
      <formula>OR(NOT(ISERROR(SEARCH("Critical",K3))),NOT(ISERROR(SEARCH("Non-Pass",K3))),NOT(ISERROR(SEARCH("Error",K3))))</formula>
    </cfRule>
    <cfRule type="expression" priority="8" dxfId="10" stopIfTrue="1">
      <formula>OR(NOT(ISERROR(SEARCH("Warning",K3))),NOT(ISERROR(SEARCH("Needs Work",K3))))</formula>
    </cfRule>
  </conditionalFormatting>
  <conditionalFormatting sqref="F3:F85">
    <cfRule type="expression" priority="9" dxfId="9" stopIfTrue="1">
      <formula>OR(NOT(ISERROR(SEARCH("Critical",F3))),NOT(ISERROR(SEARCH("Non-Pass",F3))),NOT(ISERROR(SEARCH("Error",F3))))</formula>
    </cfRule>
    <cfRule type="expression" priority="10" dxfId="10" stopIfTrue="1">
      <formula>OR(NOT(ISERROR(SEARCH("Warning",F3))),NOT(ISERROR(SEARCH("Needs Work",F3))))</formula>
    </cfRule>
  </conditionalFormatting>
  <conditionalFormatting sqref="V3:V85">
    <cfRule type="expression" priority="11" dxfId="9" stopIfTrue="1">
      <formula>OR(NOT(ISERROR(SEARCH("Critical",V3))),NOT(ISERROR(SEARCH("Non-Pass",V3))),NOT(ISERROR(SEARCH("Error",V3))))</formula>
    </cfRule>
    <cfRule type="expression" priority="12" dxfId="10" stopIfTrue="1">
      <formula>OR(NOT(ISERROR(SEARCH("Warning",V3))),NOT(ISERROR(SEARCH("Needs Work",V3))))</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tabColor rgb="008E44AD"/>
    <outlinePr summaryBelow="1" summaryRight="1"/>
    <pageSetUpPr fitToPage="1"/>
  </sheetPr>
  <dimension ref="A1:V168"/>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13" customWidth="1" min="2" max="2"/>
    <col width="48" customWidth="1" min="3" max="3"/>
    <col width="14" customWidth="1" min="4" max="4"/>
    <col width="22" customWidth="1" min="5" max="5"/>
    <col width="11" customWidth="1" min="6" max="6"/>
    <col width="22" customWidth="1" min="7" max="7"/>
    <col width="22" customWidth="1" min="8" max="8"/>
    <col width="22" customWidth="1" min="9" max="9"/>
    <col width="22" customWidth="1" min="10" max="10"/>
    <col width="15" customWidth="1" min="11" max="11"/>
    <col width="18" customWidth="1" min="12" max="12"/>
    <col width="13" customWidth="1" min="13" max="13"/>
    <col width="19" customWidth="1" min="14" max="14"/>
    <col width="22" customWidth="1" min="15" max="15"/>
    <col width="22" customWidth="1" min="16" max="16"/>
    <col width="22" customWidth="1" min="17" max="17"/>
    <col width="55" customWidth="1" min="18" max="18"/>
    <col width="18" customWidth="1" min="19" max="19"/>
    <col width="19" customWidth="1" min="20" max="20"/>
    <col hidden="1" width="22" customWidth="1" min="21" max="21"/>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6" t="inlineStr">
        <is>
          <t>Record Type</t>
        </is>
      </c>
      <c r="C2" s="26" t="inlineStr">
        <is>
          <t>Target URL</t>
        </is>
      </c>
      <c r="D2" s="26" t="inlineStr">
        <is>
          <t>Anchor Text</t>
        </is>
      </c>
      <c r="E2" s="26" t="inlineStr">
        <is>
          <t>Target Status (if crawled)</t>
        </is>
      </c>
      <c r="F2" s="26" t="inlineStr">
        <is>
          <t>Crawlable</t>
        </is>
      </c>
      <c r="G2" s="27" t="inlineStr">
        <is>
          <t>Internal Links Count</t>
        </is>
      </c>
      <c r="H2" s="27" t="inlineStr">
        <is>
          <t>Broken Internal Links Count</t>
        </is>
      </c>
      <c r="I2" s="27" t="inlineStr">
        <is>
          <t>Unresolved Internal Links Count</t>
        </is>
      </c>
      <c r="J2" s="27" t="inlineStr">
        <is>
          <t>External Links Count</t>
        </is>
      </c>
      <c r="K2" s="27" t="inlineStr">
        <is>
          <t>Inlinks Count</t>
        </is>
      </c>
      <c r="L2" s="26" t="inlineStr">
        <is>
          <t>Orphan Candidate</t>
        </is>
      </c>
      <c r="M2" s="27" t="inlineStr">
        <is>
          <t>Click Depth</t>
        </is>
      </c>
      <c r="N2" s="27" t="inlineStr">
        <is>
          <t>Internal PageRank</t>
        </is>
      </c>
      <c r="O2" s="27" t="inlineStr">
        <is>
          <t>Generic Anchor Text Count</t>
        </is>
      </c>
      <c r="P2" s="27" t="inlineStr">
        <is>
          <t>Nofollow Internal Links Count</t>
        </is>
      </c>
      <c r="Q2" s="27" t="inlineStr">
        <is>
          <t>Nofollow External Links Count</t>
        </is>
      </c>
      <c r="R2" s="26" t="inlineStr">
        <is>
          <t>Internal Link Statuses</t>
        </is>
      </c>
      <c r="S2" s="26" t="inlineStr">
        <is>
          <t>Actionable Fixes</t>
        </is>
      </c>
      <c r="T2" s="26" t="inlineStr">
        <is>
          <t>Source Legacy Tab</t>
        </is>
      </c>
      <c r="U2" s="26" t="inlineStr">
        <is>
          <t>Broken Links (computed)</t>
        </is>
      </c>
      <c r="V2" s="26" t="inlineStr">
        <is>
          <t>Open in Main</t>
        </is>
      </c>
    </row>
    <row r="3" ht="18" customHeight="1">
      <c r="A3" s="35" t="inlineStr">
        <is>
          <t>https://africanmarketingconfederation.org/</t>
        </is>
      </c>
      <c r="B3" s="28" t="inlineStr">
        <is>
          <t>Summary</t>
        </is>
      </c>
      <c r="C3" s="20" t="inlineStr"/>
      <c r="D3" s="28" t="inlineStr"/>
      <c r="E3" s="28" t="inlineStr"/>
      <c r="F3" s="28" t="inlineStr"/>
      <c r="G3" s="28" t="n">
        <v>0</v>
      </c>
      <c r="H3" s="28">
        <f>SUMPRODUCT(('Link Inventory'!$A$2:$A$100000=$A2)*('Link Inventory'!$E$2:$E$100000="Internal")*('Link Inventory'!$F$2:$F$100000&gt;=400)*('Link Inventory'!$F$2:$F$100000&lt;600))</f>
        <v/>
      </c>
      <c r="I3" s="28" t="n">
        <v>0</v>
      </c>
      <c r="J3" s="28" t="n">
        <v>0</v>
      </c>
      <c r="K3" s="28" t="n">
        <v>0</v>
      </c>
      <c r="L3" s="28" t="b">
        <v>1</v>
      </c>
      <c r="M3" s="28" t="n">
        <v>0</v>
      </c>
      <c r="N3" s="28" t="n">
        <v>0.012048</v>
      </c>
      <c r="O3" s="32" t="n">
        <v>0</v>
      </c>
      <c r="P3" s="28" t="n">
        <v>0</v>
      </c>
      <c r="Q3" s="28" t="n">
        <v>0</v>
      </c>
      <c r="R3" s="28" t="inlineStr"/>
      <c r="S3" s="28">
        <f>IF(H2&gt;0,"Fix "&amp;H2&amp;" broken links (See Link Inventory tab for details).","")</f>
        <v/>
      </c>
      <c r="T3" s="28" t="inlineStr">
        <is>
          <t>Links</t>
        </is>
      </c>
      <c r="U3" s="28" t="n">
        <v>0</v>
      </c>
      <c r="V3">
        <f>IFERROR(HYPERLINK("#'Main'!B"&amp;MATCH(TRIM(A3),'Main'!B:B,0),"Open"),HYPERLINK("#'Main'!B1","Open"))</f>
        <v/>
      </c>
    </row>
    <row r="4" ht="75" customHeight="1">
      <c r="A4" s="37" t="inlineStr">
        <is>
          <t>https://africanmarketingconfederation.org/smoke-archive/page-1</t>
        </is>
      </c>
      <c r="B4" s="30" t="inlineStr">
        <is>
          <t>Summary</t>
        </is>
      </c>
      <c r="C4" s="31" t="inlineStr"/>
      <c r="D4" s="30" t="inlineStr"/>
      <c r="E4" s="30" t="inlineStr"/>
      <c r="F4" s="30" t="inlineStr"/>
      <c r="G4" s="30" t="n">
        <v>0</v>
      </c>
      <c r="H4" s="30">
        <f>SUMPRODUCT(('Link Inventory'!$A$2:$A$100000=$A3)*('Link Inventory'!$E$2:$E$100000="Internal")*('Link Inventory'!$F$2:$F$100000&gt;=400)*('Link Inventory'!$F$2:$F$100000&lt;600))</f>
        <v/>
      </c>
      <c r="I4" s="30" t="n">
        <v>0</v>
      </c>
      <c r="J4" s="30" t="n">
        <v>0</v>
      </c>
      <c r="K4" s="30" t="n">
        <v>0</v>
      </c>
      <c r="L4" s="30" t="b">
        <v>1</v>
      </c>
      <c r="M4" s="30" t="n">
        <v>-1</v>
      </c>
      <c r="N4" s="30" t="n">
        <v>0.012048</v>
      </c>
      <c r="O4" s="32" t="n">
        <v>0</v>
      </c>
      <c r="P4" s="30" t="n">
        <v>0</v>
      </c>
      <c r="Q4" s="30" t="n">
        <v>0</v>
      </c>
      <c r="R4" s="30" t="inlineStr">
        <is>
          <t>https://africanmarketingconfederation.org/discovered-via-bfs-1/ =&gt; 200 | https://africanmarketingconfederation.org/discovered-via-bfs-2/ =&gt; 200 | https://africanmarketingconfederation.org/discovered-via-bfs-3/ =&gt; 200</t>
        </is>
      </c>
      <c r="S4" s="30">
        <f>IF(H3&gt;0,"Fix "&amp;H3&amp;" broken links (See Link Inventory tab for details).","")</f>
        <v/>
      </c>
      <c r="T4" s="30" t="inlineStr">
        <is>
          <t>Links</t>
        </is>
      </c>
      <c r="U4" s="30" t="n">
        <v>0</v>
      </c>
      <c r="V4" s="38">
        <f>IFERROR(HYPERLINK("#'Main'!B"&amp;MATCH(TRIM(A4),'Main'!B:B,0),"Open"),HYPERLINK("#'Main'!B1","Open"))</f>
        <v/>
      </c>
    </row>
    <row r="5" ht="18" customHeight="1">
      <c r="A5" s="35" t="inlineStr">
        <is>
          <t>https://africanmarketingconfederation.org/smoke-archive/page-2</t>
        </is>
      </c>
      <c r="B5" s="28" t="inlineStr">
        <is>
          <t>Summary</t>
        </is>
      </c>
      <c r="C5" s="20" t="inlineStr"/>
      <c r="D5" s="28" t="inlineStr"/>
      <c r="E5" s="28" t="inlineStr"/>
      <c r="F5" s="28" t="inlineStr"/>
      <c r="G5" s="28" t="n">
        <v>0</v>
      </c>
      <c r="H5" s="28">
        <f>SUMPRODUCT(('Link Inventory'!$A$2:$A$100000=$A4)*('Link Inventory'!$E$2:$E$100000="Internal")*('Link Inventory'!$F$2:$F$100000&gt;=400)*('Link Inventory'!$F$2:$F$100000&lt;600))</f>
        <v/>
      </c>
      <c r="I5" s="28" t="n">
        <v>0</v>
      </c>
      <c r="J5" s="28" t="n">
        <v>0</v>
      </c>
      <c r="K5" s="28" t="n">
        <v>0</v>
      </c>
      <c r="L5" s="28" t="b">
        <v>1</v>
      </c>
      <c r="M5" s="28" t="n">
        <v>-1</v>
      </c>
      <c r="N5" s="28" t="n">
        <v>0.012048</v>
      </c>
      <c r="O5" s="32" t="n">
        <v>0</v>
      </c>
      <c r="P5" s="28" t="n">
        <v>0</v>
      </c>
      <c r="Q5" s="28" t="n">
        <v>0</v>
      </c>
      <c r="R5" s="28" t="inlineStr"/>
      <c r="S5" s="28">
        <f>IF(H4&gt;0,"Fix "&amp;H4&amp;" broken links (See Link Inventory tab for details).","")</f>
        <v/>
      </c>
      <c r="T5" s="28" t="inlineStr">
        <is>
          <t>Links</t>
        </is>
      </c>
      <c r="U5" s="28" t="n">
        <v>0</v>
      </c>
      <c r="V5">
        <f>IFERROR(HYPERLINK("#'Main'!B"&amp;MATCH(TRIM(A5),'Main'!B:B,0),"Open"),HYPERLINK("#'Main'!B1","Open"))</f>
        <v/>
      </c>
    </row>
    <row r="6" ht="18" customHeight="1">
      <c r="A6" s="37" t="inlineStr">
        <is>
          <t>https://africanmarketingconfederation.org/smoke-archive/page-3</t>
        </is>
      </c>
      <c r="B6" s="30" t="inlineStr">
        <is>
          <t>Summary</t>
        </is>
      </c>
      <c r="C6" s="31" t="inlineStr"/>
      <c r="D6" s="30" t="inlineStr"/>
      <c r="E6" s="30" t="inlineStr"/>
      <c r="F6" s="30" t="inlineStr"/>
      <c r="G6" s="30" t="n">
        <v>0</v>
      </c>
      <c r="H6" s="30">
        <f>SUMPRODUCT(('Link Inventory'!$A$2:$A$100000=$A5)*('Link Inventory'!$E$2:$E$100000="Internal")*('Link Inventory'!$F$2:$F$100000&gt;=400)*('Link Inventory'!$F$2:$F$100000&lt;600))</f>
        <v/>
      </c>
      <c r="I6" s="30" t="n">
        <v>0</v>
      </c>
      <c r="J6" s="30" t="n">
        <v>0</v>
      </c>
      <c r="K6" s="30" t="n">
        <v>0</v>
      </c>
      <c r="L6" s="30" t="b">
        <v>1</v>
      </c>
      <c r="M6" s="30" t="n">
        <v>-1</v>
      </c>
      <c r="N6" s="30" t="n">
        <v>0.012048</v>
      </c>
      <c r="O6" s="32" t="n">
        <v>0</v>
      </c>
      <c r="P6" s="30" t="n">
        <v>0</v>
      </c>
      <c r="Q6" s="30" t="n">
        <v>0</v>
      </c>
      <c r="R6" s="30" t="inlineStr"/>
      <c r="S6" s="30">
        <f>IF(H5&gt;0,"Fix "&amp;H5&amp;" broken links (See Link Inventory tab for details).","")</f>
        <v/>
      </c>
      <c r="T6" s="30" t="inlineStr">
        <is>
          <t>Links</t>
        </is>
      </c>
      <c r="U6" s="30" t="n">
        <v>0</v>
      </c>
      <c r="V6" s="38">
        <f>IFERROR(HYPERLINK("#'Main'!B"&amp;MATCH(TRIM(A6),'Main'!B:B,0),"Open"),HYPERLINK("#'Main'!B1","Open"))</f>
        <v/>
      </c>
    </row>
    <row r="7" ht="18" customHeight="1">
      <c r="A7" s="35" t="inlineStr">
        <is>
          <t>https://africanmarketingconfederation.org/smoke-archive/page-4</t>
        </is>
      </c>
      <c r="B7" s="28" t="inlineStr">
        <is>
          <t>Summary</t>
        </is>
      </c>
      <c r="C7" s="20" t="inlineStr"/>
      <c r="D7" s="28" t="inlineStr"/>
      <c r="E7" s="28" t="inlineStr"/>
      <c r="F7" s="28" t="inlineStr"/>
      <c r="G7" s="28" t="n">
        <v>0</v>
      </c>
      <c r="H7" s="28">
        <f>SUMPRODUCT(('Link Inventory'!$A$2:$A$100000=$A6)*('Link Inventory'!$E$2:$E$100000="Internal")*('Link Inventory'!$F$2:$F$100000&gt;=400)*('Link Inventory'!$F$2:$F$100000&lt;600))</f>
        <v/>
      </c>
      <c r="I7" s="28" t="n">
        <v>0</v>
      </c>
      <c r="J7" s="28" t="n">
        <v>0</v>
      </c>
      <c r="K7" s="28" t="n">
        <v>0</v>
      </c>
      <c r="L7" s="28" t="b">
        <v>1</v>
      </c>
      <c r="M7" s="28" t="n">
        <v>-1</v>
      </c>
      <c r="N7" s="28" t="n">
        <v>0.012048</v>
      </c>
      <c r="O7" s="32" t="n">
        <v>0</v>
      </c>
      <c r="P7" s="28" t="n">
        <v>0</v>
      </c>
      <c r="Q7" s="28" t="n">
        <v>0</v>
      </c>
      <c r="R7" s="28" t="inlineStr"/>
      <c r="S7" s="28">
        <f>IF(H6&gt;0,"Fix "&amp;H6&amp;" broken links (See Link Inventory tab for details).","")</f>
        <v/>
      </c>
      <c r="T7" s="28" t="inlineStr">
        <is>
          <t>Links</t>
        </is>
      </c>
      <c r="U7" s="28" t="n">
        <v>0</v>
      </c>
      <c r="V7">
        <f>IFERROR(HYPERLINK("#'Main'!B"&amp;MATCH(TRIM(A7),'Main'!B:B,0),"Open"),HYPERLINK("#'Main'!B1","Open"))</f>
        <v/>
      </c>
    </row>
    <row r="8" ht="18" customHeight="1">
      <c r="A8" s="37" t="inlineStr">
        <is>
          <t>https://africanmarketingconfederation.org/smoke-archive/page-5</t>
        </is>
      </c>
      <c r="B8" s="30" t="inlineStr">
        <is>
          <t>Summary</t>
        </is>
      </c>
      <c r="C8" s="31" t="inlineStr"/>
      <c r="D8" s="30" t="inlineStr"/>
      <c r="E8" s="30" t="inlineStr"/>
      <c r="F8" s="30" t="inlineStr"/>
      <c r="G8" s="30" t="n">
        <v>0</v>
      </c>
      <c r="H8" s="30">
        <f>SUMPRODUCT(('Link Inventory'!$A$2:$A$100000=$A7)*('Link Inventory'!$E$2:$E$100000="Internal")*('Link Inventory'!$F$2:$F$100000&gt;=400)*('Link Inventory'!$F$2:$F$100000&lt;600))</f>
        <v/>
      </c>
      <c r="I8" s="30" t="n">
        <v>0</v>
      </c>
      <c r="J8" s="30" t="n">
        <v>0</v>
      </c>
      <c r="K8" s="30" t="n">
        <v>0</v>
      </c>
      <c r="L8" s="30" t="b">
        <v>1</v>
      </c>
      <c r="M8" s="30" t="n">
        <v>-1</v>
      </c>
      <c r="N8" s="30" t="n">
        <v>0.012048</v>
      </c>
      <c r="O8" s="32" t="n">
        <v>0</v>
      </c>
      <c r="P8" s="30" t="n">
        <v>0</v>
      </c>
      <c r="Q8" s="30" t="n">
        <v>0</v>
      </c>
      <c r="R8" s="30" t="inlineStr"/>
      <c r="S8" s="30">
        <f>IF(H7&gt;0,"Fix "&amp;H7&amp;" broken links (See Link Inventory tab for details).","")</f>
        <v/>
      </c>
      <c r="T8" s="30" t="inlineStr">
        <is>
          <t>Links</t>
        </is>
      </c>
      <c r="U8" s="30" t="n">
        <v>0</v>
      </c>
      <c r="V8" s="38">
        <f>IFERROR(HYPERLINK("#'Main'!B"&amp;MATCH(TRIM(A8),'Main'!B:B,0),"Open"),HYPERLINK("#'Main'!B1","Open"))</f>
        <v/>
      </c>
    </row>
    <row r="9" ht="18" customHeight="1">
      <c r="A9" s="35" t="inlineStr">
        <is>
          <t>https://africanmarketingconfederation.org/smoke-archive/page-6</t>
        </is>
      </c>
      <c r="B9" s="28" t="inlineStr">
        <is>
          <t>Summary</t>
        </is>
      </c>
      <c r="C9" s="20" t="inlineStr"/>
      <c r="D9" s="28" t="inlineStr"/>
      <c r="E9" s="28" t="inlineStr"/>
      <c r="F9" s="28" t="inlineStr"/>
      <c r="G9" s="28" t="n">
        <v>0</v>
      </c>
      <c r="H9" s="28">
        <f>SUMPRODUCT(('Link Inventory'!$A$2:$A$100000=$A8)*('Link Inventory'!$E$2:$E$100000="Internal")*('Link Inventory'!$F$2:$F$100000&gt;=400)*('Link Inventory'!$F$2:$F$100000&lt;600))</f>
        <v/>
      </c>
      <c r="I9" s="28" t="n">
        <v>0</v>
      </c>
      <c r="J9" s="28" t="n">
        <v>0</v>
      </c>
      <c r="K9" s="28" t="n">
        <v>0</v>
      </c>
      <c r="L9" s="28" t="b">
        <v>1</v>
      </c>
      <c r="M9" s="28" t="n">
        <v>-1</v>
      </c>
      <c r="N9" s="28" t="n">
        <v>0.012048</v>
      </c>
      <c r="O9" s="32" t="n">
        <v>0</v>
      </c>
      <c r="P9" s="28" t="n">
        <v>0</v>
      </c>
      <c r="Q9" s="28" t="n">
        <v>0</v>
      </c>
      <c r="R9" s="28" t="inlineStr"/>
      <c r="S9" s="28">
        <f>IF(H8&gt;0,"Fix "&amp;H8&amp;" broken links (See Link Inventory tab for details).","")</f>
        <v/>
      </c>
      <c r="T9" s="28" t="inlineStr">
        <is>
          <t>Links</t>
        </is>
      </c>
      <c r="U9" s="28" t="n">
        <v>0</v>
      </c>
      <c r="V9">
        <f>IFERROR(HYPERLINK("#'Main'!B"&amp;MATCH(TRIM(A9),'Main'!B:B,0),"Open"),HYPERLINK("#'Main'!B1","Open"))</f>
        <v/>
      </c>
    </row>
    <row r="10" ht="18" customHeight="1">
      <c r="A10" s="37" t="inlineStr">
        <is>
          <t>https://africanmarketingconfederation.org/smoke-archive/page-7</t>
        </is>
      </c>
      <c r="B10" s="30" t="inlineStr">
        <is>
          <t>Summary</t>
        </is>
      </c>
      <c r="C10" s="31" t="inlineStr"/>
      <c r="D10" s="30" t="inlineStr"/>
      <c r="E10" s="30" t="inlineStr"/>
      <c r="F10" s="30" t="inlineStr"/>
      <c r="G10" s="30" t="n">
        <v>0</v>
      </c>
      <c r="H10" s="30">
        <f>SUMPRODUCT(('Link Inventory'!$A$2:$A$100000=$A9)*('Link Inventory'!$E$2:$E$100000="Internal")*('Link Inventory'!$F$2:$F$100000&gt;=400)*('Link Inventory'!$F$2:$F$100000&lt;600))</f>
        <v/>
      </c>
      <c r="I10" s="30" t="n">
        <v>0</v>
      </c>
      <c r="J10" s="30" t="n">
        <v>0</v>
      </c>
      <c r="K10" s="30" t="n">
        <v>0</v>
      </c>
      <c r="L10" s="30" t="b">
        <v>1</v>
      </c>
      <c r="M10" s="30" t="n">
        <v>-1</v>
      </c>
      <c r="N10" s="30" t="n">
        <v>0.012048</v>
      </c>
      <c r="O10" s="32" t="n">
        <v>0</v>
      </c>
      <c r="P10" s="30" t="n">
        <v>0</v>
      </c>
      <c r="Q10" s="30" t="n">
        <v>0</v>
      </c>
      <c r="R10" s="30" t="inlineStr"/>
      <c r="S10" s="30">
        <f>IF(H9&gt;0,"Fix "&amp;H9&amp;" broken links (See Link Inventory tab for details).","")</f>
        <v/>
      </c>
      <c r="T10" s="30" t="inlineStr">
        <is>
          <t>Links</t>
        </is>
      </c>
      <c r="U10" s="30" t="n">
        <v>0</v>
      </c>
      <c r="V10" s="38">
        <f>IFERROR(HYPERLINK("#'Main'!B"&amp;MATCH(TRIM(A10),'Main'!B:B,0),"Open"),HYPERLINK("#'Main'!B1","Open"))</f>
        <v/>
      </c>
    </row>
    <row r="11" ht="18" customHeight="1">
      <c r="A11" s="35" t="inlineStr">
        <is>
          <t>https://africanmarketingconfederation.org/smoke-archive/page-8</t>
        </is>
      </c>
      <c r="B11" s="28" t="inlineStr">
        <is>
          <t>Summary</t>
        </is>
      </c>
      <c r="C11" s="20" t="inlineStr"/>
      <c r="D11" s="28" t="inlineStr"/>
      <c r="E11" s="28" t="inlineStr"/>
      <c r="F11" s="28" t="inlineStr"/>
      <c r="G11" s="28" t="n">
        <v>0</v>
      </c>
      <c r="H11" s="28">
        <f>SUMPRODUCT(('Link Inventory'!$A$2:$A$100000=$A10)*('Link Inventory'!$E$2:$E$100000="Internal")*('Link Inventory'!$F$2:$F$100000&gt;=400)*('Link Inventory'!$F$2:$F$100000&lt;600))</f>
        <v/>
      </c>
      <c r="I11" s="28" t="n">
        <v>0</v>
      </c>
      <c r="J11" s="28" t="n">
        <v>0</v>
      </c>
      <c r="K11" s="28" t="n">
        <v>0</v>
      </c>
      <c r="L11" s="28" t="b">
        <v>1</v>
      </c>
      <c r="M11" s="28" t="n">
        <v>-1</v>
      </c>
      <c r="N11" s="28" t="n">
        <v>0.012048</v>
      </c>
      <c r="O11" s="32" t="n">
        <v>0</v>
      </c>
      <c r="P11" s="28" t="n">
        <v>0</v>
      </c>
      <c r="Q11" s="28" t="n">
        <v>0</v>
      </c>
      <c r="R11" s="28" t="inlineStr"/>
      <c r="S11" s="28">
        <f>IF(H10&gt;0,"Fix "&amp;H10&amp;" broken links (See Link Inventory tab for details).","")</f>
        <v/>
      </c>
      <c r="T11" s="28" t="inlineStr">
        <is>
          <t>Links</t>
        </is>
      </c>
      <c r="U11" s="28" t="n">
        <v>0</v>
      </c>
      <c r="V11">
        <f>IFERROR(HYPERLINK("#'Main'!B"&amp;MATCH(TRIM(A11),'Main'!B:B,0),"Open"),HYPERLINK("#'Main'!B1","Open"))</f>
        <v/>
      </c>
    </row>
    <row r="12" ht="18" customHeight="1">
      <c r="A12" s="37" t="inlineStr">
        <is>
          <t>https://africanmarketingconfederation.org/smoke-archive/page-9</t>
        </is>
      </c>
      <c r="B12" s="30" t="inlineStr">
        <is>
          <t>Summary</t>
        </is>
      </c>
      <c r="C12" s="31" t="inlineStr"/>
      <c r="D12" s="30" t="inlineStr"/>
      <c r="E12" s="30" t="inlineStr"/>
      <c r="F12" s="30" t="inlineStr"/>
      <c r="G12" s="30" t="n">
        <v>0</v>
      </c>
      <c r="H12" s="30">
        <f>SUMPRODUCT(('Link Inventory'!$A$2:$A$100000=$A11)*('Link Inventory'!$E$2:$E$100000="Internal")*('Link Inventory'!$F$2:$F$100000&gt;=400)*('Link Inventory'!$F$2:$F$100000&lt;600))</f>
        <v/>
      </c>
      <c r="I12" s="30" t="n">
        <v>0</v>
      </c>
      <c r="J12" s="30" t="n">
        <v>0</v>
      </c>
      <c r="K12" s="30" t="n">
        <v>0</v>
      </c>
      <c r="L12" s="30" t="b">
        <v>1</v>
      </c>
      <c r="M12" s="30" t="n">
        <v>-1</v>
      </c>
      <c r="N12" s="30" t="n">
        <v>0.012048</v>
      </c>
      <c r="O12" s="32" t="n">
        <v>0</v>
      </c>
      <c r="P12" s="30" t="n">
        <v>0</v>
      </c>
      <c r="Q12" s="30" t="n">
        <v>0</v>
      </c>
      <c r="R12" s="30" t="inlineStr"/>
      <c r="S12" s="30">
        <f>IF(H11&gt;0,"Fix "&amp;H11&amp;" broken links (See Link Inventory tab for details).","")</f>
        <v/>
      </c>
      <c r="T12" s="30" t="inlineStr">
        <is>
          <t>Links</t>
        </is>
      </c>
      <c r="U12" s="30" t="n">
        <v>0</v>
      </c>
      <c r="V12" s="38">
        <f>IFERROR(HYPERLINK("#'Main'!B"&amp;MATCH(TRIM(A12),'Main'!B:B,0),"Open"),HYPERLINK("#'Main'!B1","Open"))</f>
        <v/>
      </c>
    </row>
    <row r="13" ht="18" customHeight="1">
      <c r="A13" s="35" t="inlineStr">
        <is>
          <t>https://africanmarketingconfederation.org/smoke-archive/page-10</t>
        </is>
      </c>
      <c r="B13" s="28" t="inlineStr">
        <is>
          <t>Summary</t>
        </is>
      </c>
      <c r="C13" s="20" t="inlineStr"/>
      <c r="D13" s="28" t="inlineStr"/>
      <c r="E13" s="28" t="inlineStr"/>
      <c r="F13" s="28" t="inlineStr"/>
      <c r="G13" s="28" t="n">
        <v>0</v>
      </c>
      <c r="H13" s="28">
        <f>SUMPRODUCT(('Link Inventory'!$A$2:$A$100000=$A12)*('Link Inventory'!$E$2:$E$100000="Internal")*('Link Inventory'!$F$2:$F$100000&gt;=400)*('Link Inventory'!$F$2:$F$100000&lt;600))</f>
        <v/>
      </c>
      <c r="I13" s="28" t="n">
        <v>0</v>
      </c>
      <c r="J13" s="28" t="n">
        <v>0</v>
      </c>
      <c r="K13" s="28" t="n">
        <v>0</v>
      </c>
      <c r="L13" s="28" t="b">
        <v>1</v>
      </c>
      <c r="M13" s="28" t="n">
        <v>-1</v>
      </c>
      <c r="N13" s="28" t="n">
        <v>0.012048</v>
      </c>
      <c r="O13" s="32" t="n">
        <v>0</v>
      </c>
      <c r="P13" s="28" t="n">
        <v>0</v>
      </c>
      <c r="Q13" s="28" t="n">
        <v>0</v>
      </c>
      <c r="R13" s="28" t="inlineStr"/>
      <c r="S13" s="28">
        <f>IF(H12&gt;0,"Fix "&amp;H12&amp;" broken links (See Link Inventory tab for details).","")</f>
        <v/>
      </c>
      <c r="T13" s="28" t="inlineStr">
        <is>
          <t>Links</t>
        </is>
      </c>
      <c r="U13" s="28" t="n">
        <v>0</v>
      </c>
      <c r="V13">
        <f>IFERROR(HYPERLINK("#'Main'!B"&amp;MATCH(TRIM(A13),'Main'!B:B,0),"Open"),HYPERLINK("#'Main'!B1","Open"))</f>
        <v/>
      </c>
    </row>
    <row r="14" ht="18" customHeight="1">
      <c r="A14" s="37" t="inlineStr">
        <is>
          <t>https://africanmarketingconfederation.org/smoke-archive/page-11</t>
        </is>
      </c>
      <c r="B14" s="30" t="inlineStr">
        <is>
          <t>Summary</t>
        </is>
      </c>
      <c r="C14" s="31" t="inlineStr"/>
      <c r="D14" s="30" t="inlineStr"/>
      <c r="E14" s="30" t="inlineStr"/>
      <c r="F14" s="30" t="inlineStr"/>
      <c r="G14" s="30" t="n">
        <v>0</v>
      </c>
      <c r="H14" s="30">
        <f>SUMPRODUCT(('Link Inventory'!$A$2:$A$100000=$A13)*('Link Inventory'!$E$2:$E$100000="Internal")*('Link Inventory'!$F$2:$F$100000&gt;=400)*('Link Inventory'!$F$2:$F$100000&lt;600))</f>
        <v/>
      </c>
      <c r="I14" s="30" t="n">
        <v>0</v>
      </c>
      <c r="J14" s="30" t="n">
        <v>0</v>
      </c>
      <c r="K14" s="30" t="n">
        <v>0</v>
      </c>
      <c r="L14" s="30" t="b">
        <v>1</v>
      </c>
      <c r="M14" s="30" t="n">
        <v>-1</v>
      </c>
      <c r="N14" s="30" t="n">
        <v>0.012048</v>
      </c>
      <c r="O14" s="32" t="n">
        <v>0</v>
      </c>
      <c r="P14" s="30" t="n">
        <v>0</v>
      </c>
      <c r="Q14" s="30" t="n">
        <v>0</v>
      </c>
      <c r="R14" s="30" t="inlineStr"/>
      <c r="S14" s="30">
        <f>IF(H13&gt;0,"Fix "&amp;H13&amp;" broken links (See Link Inventory tab for details).","")</f>
        <v/>
      </c>
      <c r="T14" s="30" t="inlineStr">
        <is>
          <t>Links</t>
        </is>
      </c>
      <c r="U14" s="30" t="n">
        <v>0</v>
      </c>
      <c r="V14" s="38">
        <f>IFERROR(HYPERLINK("#'Main'!B"&amp;MATCH(TRIM(A14),'Main'!B:B,0),"Open"),HYPERLINK("#'Main'!B1","Open"))</f>
        <v/>
      </c>
    </row>
    <row r="15" ht="18" customHeight="1">
      <c r="A15" s="35" t="inlineStr">
        <is>
          <t>https://africanmarketingconfederation.org/smoke-archive/page-12</t>
        </is>
      </c>
      <c r="B15" s="28" t="inlineStr">
        <is>
          <t>Summary</t>
        </is>
      </c>
      <c r="C15" s="20" t="inlineStr"/>
      <c r="D15" s="28" t="inlineStr"/>
      <c r="E15" s="28" t="inlineStr"/>
      <c r="F15" s="28" t="inlineStr"/>
      <c r="G15" s="28" t="n">
        <v>0</v>
      </c>
      <c r="H15" s="28">
        <f>SUMPRODUCT(('Link Inventory'!$A$2:$A$100000=$A14)*('Link Inventory'!$E$2:$E$100000="Internal")*('Link Inventory'!$F$2:$F$100000&gt;=400)*('Link Inventory'!$F$2:$F$100000&lt;600))</f>
        <v/>
      </c>
      <c r="I15" s="28" t="n">
        <v>0</v>
      </c>
      <c r="J15" s="28" t="n">
        <v>0</v>
      </c>
      <c r="K15" s="28" t="n">
        <v>0</v>
      </c>
      <c r="L15" s="28" t="b">
        <v>1</v>
      </c>
      <c r="M15" s="28" t="n">
        <v>-1</v>
      </c>
      <c r="N15" s="28" t="n">
        <v>0.012048</v>
      </c>
      <c r="O15" s="32" t="n">
        <v>0</v>
      </c>
      <c r="P15" s="28" t="n">
        <v>0</v>
      </c>
      <c r="Q15" s="28" t="n">
        <v>0</v>
      </c>
      <c r="R15" s="28" t="inlineStr"/>
      <c r="S15" s="28">
        <f>IF(H14&gt;0,"Fix "&amp;H14&amp;" broken links (See Link Inventory tab for details).","")</f>
        <v/>
      </c>
      <c r="T15" s="28" t="inlineStr">
        <is>
          <t>Links</t>
        </is>
      </c>
      <c r="U15" s="28" t="n">
        <v>0</v>
      </c>
      <c r="V15">
        <f>IFERROR(HYPERLINK("#'Main'!B"&amp;MATCH(TRIM(A15),'Main'!B:B,0),"Open"),HYPERLINK("#'Main'!B1","Open"))</f>
        <v/>
      </c>
    </row>
    <row r="16" ht="18" customHeight="1">
      <c r="A16" s="37" t="inlineStr">
        <is>
          <t>https://africanmarketingconfederation.org/smoke-archive/page-13</t>
        </is>
      </c>
      <c r="B16" s="30" t="inlineStr">
        <is>
          <t>Summary</t>
        </is>
      </c>
      <c r="C16" s="31" t="inlineStr"/>
      <c r="D16" s="30" t="inlineStr"/>
      <c r="E16" s="30" t="inlineStr"/>
      <c r="F16" s="30" t="inlineStr"/>
      <c r="G16" s="30" t="n">
        <v>0</v>
      </c>
      <c r="H16" s="30">
        <f>SUMPRODUCT(('Link Inventory'!$A$2:$A$100000=$A15)*('Link Inventory'!$E$2:$E$100000="Internal")*('Link Inventory'!$F$2:$F$100000&gt;=400)*('Link Inventory'!$F$2:$F$100000&lt;600))</f>
        <v/>
      </c>
      <c r="I16" s="30" t="n">
        <v>0</v>
      </c>
      <c r="J16" s="30" t="n">
        <v>0</v>
      </c>
      <c r="K16" s="30" t="n">
        <v>0</v>
      </c>
      <c r="L16" s="30" t="b">
        <v>1</v>
      </c>
      <c r="M16" s="30" t="n">
        <v>-1</v>
      </c>
      <c r="N16" s="30" t="n">
        <v>0.012048</v>
      </c>
      <c r="O16" s="32" t="n">
        <v>0</v>
      </c>
      <c r="P16" s="30" t="n">
        <v>0</v>
      </c>
      <c r="Q16" s="30" t="n">
        <v>0</v>
      </c>
      <c r="R16" s="30" t="inlineStr"/>
      <c r="S16" s="30">
        <f>IF(H15&gt;0,"Fix "&amp;H15&amp;" broken links (See Link Inventory tab for details).","")</f>
        <v/>
      </c>
      <c r="T16" s="30" t="inlineStr">
        <is>
          <t>Links</t>
        </is>
      </c>
      <c r="U16" s="30" t="n">
        <v>0</v>
      </c>
      <c r="V16" s="38">
        <f>IFERROR(HYPERLINK("#'Main'!B"&amp;MATCH(TRIM(A16),'Main'!B:B,0),"Open"),HYPERLINK("#'Main'!B1","Open"))</f>
        <v/>
      </c>
    </row>
    <row r="17" ht="18" customHeight="1">
      <c r="A17" s="35" t="inlineStr">
        <is>
          <t>https://africanmarketingconfederation.org/smoke-archive/page-14</t>
        </is>
      </c>
      <c r="B17" s="28" t="inlineStr">
        <is>
          <t>Summary</t>
        </is>
      </c>
      <c r="C17" s="20" t="inlineStr"/>
      <c r="D17" s="28" t="inlineStr"/>
      <c r="E17" s="28" t="inlineStr"/>
      <c r="F17" s="28" t="inlineStr"/>
      <c r="G17" s="28" t="n">
        <v>0</v>
      </c>
      <c r="H17" s="28">
        <f>SUMPRODUCT(('Link Inventory'!$A$2:$A$100000=$A16)*('Link Inventory'!$E$2:$E$100000="Internal")*('Link Inventory'!$F$2:$F$100000&gt;=400)*('Link Inventory'!$F$2:$F$100000&lt;600))</f>
        <v/>
      </c>
      <c r="I17" s="28" t="n">
        <v>0</v>
      </c>
      <c r="J17" s="28" t="n">
        <v>0</v>
      </c>
      <c r="K17" s="28" t="n">
        <v>0</v>
      </c>
      <c r="L17" s="28" t="b">
        <v>1</v>
      </c>
      <c r="M17" s="28" t="n">
        <v>-1</v>
      </c>
      <c r="N17" s="28" t="n">
        <v>0.012048</v>
      </c>
      <c r="O17" s="32" t="n">
        <v>0</v>
      </c>
      <c r="P17" s="28" t="n">
        <v>0</v>
      </c>
      <c r="Q17" s="28" t="n">
        <v>0</v>
      </c>
      <c r="R17" s="28" t="inlineStr"/>
      <c r="S17" s="28">
        <f>IF(H16&gt;0,"Fix "&amp;H16&amp;" broken links (See Link Inventory tab for details).","")</f>
        <v/>
      </c>
      <c r="T17" s="28" t="inlineStr">
        <is>
          <t>Links</t>
        </is>
      </c>
      <c r="U17" s="28" t="n">
        <v>0</v>
      </c>
      <c r="V17">
        <f>IFERROR(HYPERLINK("#'Main'!B"&amp;MATCH(TRIM(A17),'Main'!B:B,0),"Open"),HYPERLINK("#'Main'!B1","Open"))</f>
        <v/>
      </c>
    </row>
    <row r="18" ht="18" customHeight="1">
      <c r="A18" s="37" t="inlineStr">
        <is>
          <t>https://africanmarketingconfederation.org/smoke-archive/page-15</t>
        </is>
      </c>
      <c r="B18" s="30" t="inlineStr">
        <is>
          <t>Summary</t>
        </is>
      </c>
      <c r="C18" s="31" t="inlineStr"/>
      <c r="D18" s="30" t="inlineStr"/>
      <c r="E18" s="30" t="inlineStr"/>
      <c r="F18" s="30" t="inlineStr"/>
      <c r="G18" s="30" t="n">
        <v>0</v>
      </c>
      <c r="H18" s="30">
        <f>SUMPRODUCT(('Link Inventory'!$A$2:$A$100000=$A17)*('Link Inventory'!$E$2:$E$100000="Internal")*('Link Inventory'!$F$2:$F$100000&gt;=400)*('Link Inventory'!$F$2:$F$100000&lt;600))</f>
        <v/>
      </c>
      <c r="I18" s="30" t="n">
        <v>0</v>
      </c>
      <c r="J18" s="30" t="n">
        <v>0</v>
      </c>
      <c r="K18" s="30" t="n">
        <v>0</v>
      </c>
      <c r="L18" s="30" t="b">
        <v>1</v>
      </c>
      <c r="M18" s="30" t="n">
        <v>-1</v>
      </c>
      <c r="N18" s="30" t="n">
        <v>0.012048</v>
      </c>
      <c r="O18" s="32" t="n">
        <v>0</v>
      </c>
      <c r="P18" s="30" t="n">
        <v>0</v>
      </c>
      <c r="Q18" s="30" t="n">
        <v>0</v>
      </c>
      <c r="R18" s="30" t="inlineStr"/>
      <c r="S18" s="30">
        <f>IF(H17&gt;0,"Fix "&amp;H17&amp;" broken links (See Link Inventory tab for details).","")</f>
        <v/>
      </c>
      <c r="T18" s="30" t="inlineStr">
        <is>
          <t>Links</t>
        </is>
      </c>
      <c r="U18" s="30" t="n">
        <v>0</v>
      </c>
      <c r="V18" s="38">
        <f>IFERROR(HYPERLINK("#'Main'!B"&amp;MATCH(TRIM(A18),'Main'!B:B,0),"Open"),HYPERLINK("#'Main'!B1","Open"))</f>
        <v/>
      </c>
    </row>
    <row r="19" ht="18" customHeight="1">
      <c r="A19" s="35" t="inlineStr">
        <is>
          <t>https://africanmarketingconfederation.org/smoke-archive/page-16</t>
        </is>
      </c>
      <c r="B19" s="28" t="inlineStr">
        <is>
          <t>Summary</t>
        </is>
      </c>
      <c r="C19" s="20" t="inlineStr"/>
      <c r="D19" s="28" t="inlineStr"/>
      <c r="E19" s="28" t="inlineStr"/>
      <c r="F19" s="28" t="inlineStr"/>
      <c r="G19" s="28" t="n">
        <v>0</v>
      </c>
      <c r="H19" s="28">
        <f>SUMPRODUCT(('Link Inventory'!$A$2:$A$100000=$A18)*('Link Inventory'!$E$2:$E$100000="Internal")*('Link Inventory'!$F$2:$F$100000&gt;=400)*('Link Inventory'!$F$2:$F$100000&lt;600))</f>
        <v/>
      </c>
      <c r="I19" s="28" t="n">
        <v>0</v>
      </c>
      <c r="J19" s="28" t="n">
        <v>0</v>
      </c>
      <c r="K19" s="28" t="n">
        <v>0</v>
      </c>
      <c r="L19" s="28" t="b">
        <v>1</v>
      </c>
      <c r="M19" s="28" t="n">
        <v>-1</v>
      </c>
      <c r="N19" s="28" t="n">
        <v>0.012048</v>
      </c>
      <c r="O19" s="32" t="n">
        <v>0</v>
      </c>
      <c r="P19" s="28" t="n">
        <v>0</v>
      </c>
      <c r="Q19" s="28" t="n">
        <v>0</v>
      </c>
      <c r="R19" s="28" t="inlineStr"/>
      <c r="S19" s="28">
        <f>IF(H18&gt;0,"Fix "&amp;H18&amp;" broken links (See Link Inventory tab for details).","")</f>
        <v/>
      </c>
      <c r="T19" s="28" t="inlineStr">
        <is>
          <t>Links</t>
        </is>
      </c>
      <c r="U19" s="28" t="n">
        <v>0</v>
      </c>
      <c r="V19">
        <f>IFERROR(HYPERLINK("#'Main'!B"&amp;MATCH(TRIM(A19),'Main'!B:B,0),"Open"),HYPERLINK("#'Main'!B1","Open"))</f>
        <v/>
      </c>
    </row>
    <row r="20" ht="18" customHeight="1">
      <c r="A20" s="37" t="inlineStr">
        <is>
          <t>https://africanmarketingconfederation.org/smoke-archive/page-17</t>
        </is>
      </c>
      <c r="B20" s="30" t="inlineStr">
        <is>
          <t>Summary</t>
        </is>
      </c>
      <c r="C20" s="31" t="inlineStr"/>
      <c r="D20" s="30" t="inlineStr"/>
      <c r="E20" s="30" t="inlineStr"/>
      <c r="F20" s="30" t="inlineStr"/>
      <c r="G20" s="30" t="n">
        <v>0</v>
      </c>
      <c r="H20" s="30">
        <f>SUMPRODUCT(('Link Inventory'!$A$2:$A$100000=$A19)*('Link Inventory'!$E$2:$E$100000="Internal")*('Link Inventory'!$F$2:$F$100000&gt;=400)*('Link Inventory'!$F$2:$F$100000&lt;600))</f>
        <v/>
      </c>
      <c r="I20" s="30" t="n">
        <v>0</v>
      </c>
      <c r="J20" s="30" t="n">
        <v>0</v>
      </c>
      <c r="K20" s="30" t="n">
        <v>0</v>
      </c>
      <c r="L20" s="30" t="b">
        <v>1</v>
      </c>
      <c r="M20" s="30" t="n">
        <v>-1</v>
      </c>
      <c r="N20" s="30" t="n">
        <v>0.012048</v>
      </c>
      <c r="O20" s="32" t="n">
        <v>0</v>
      </c>
      <c r="P20" s="30" t="n">
        <v>0</v>
      </c>
      <c r="Q20" s="30" t="n">
        <v>0</v>
      </c>
      <c r="R20" s="30" t="inlineStr"/>
      <c r="S20" s="30">
        <f>IF(H19&gt;0,"Fix "&amp;H19&amp;" broken links (See Link Inventory tab for details).","")</f>
        <v/>
      </c>
      <c r="T20" s="30" t="inlineStr">
        <is>
          <t>Links</t>
        </is>
      </c>
      <c r="U20" s="30" t="n">
        <v>0</v>
      </c>
      <c r="V20" s="38">
        <f>IFERROR(HYPERLINK("#'Main'!B"&amp;MATCH(TRIM(A20),'Main'!B:B,0),"Open"),HYPERLINK("#'Main'!B1","Open"))</f>
        <v/>
      </c>
    </row>
    <row r="21" ht="18" customHeight="1">
      <c r="A21" s="35" t="inlineStr">
        <is>
          <t>https://africanmarketingconfederation.org/smoke-archive/page-18</t>
        </is>
      </c>
      <c r="B21" s="28" t="inlineStr">
        <is>
          <t>Summary</t>
        </is>
      </c>
      <c r="C21" s="20" t="inlineStr"/>
      <c r="D21" s="28" t="inlineStr"/>
      <c r="E21" s="28" t="inlineStr"/>
      <c r="F21" s="28" t="inlineStr"/>
      <c r="G21" s="28" t="n">
        <v>0</v>
      </c>
      <c r="H21" s="28">
        <f>SUMPRODUCT(('Link Inventory'!$A$2:$A$100000=$A20)*('Link Inventory'!$E$2:$E$100000="Internal")*('Link Inventory'!$F$2:$F$100000&gt;=400)*('Link Inventory'!$F$2:$F$100000&lt;600))</f>
        <v/>
      </c>
      <c r="I21" s="28" t="n">
        <v>0</v>
      </c>
      <c r="J21" s="28" t="n">
        <v>0</v>
      </c>
      <c r="K21" s="28" t="n">
        <v>0</v>
      </c>
      <c r="L21" s="28" t="b">
        <v>1</v>
      </c>
      <c r="M21" s="28" t="n">
        <v>-1</v>
      </c>
      <c r="N21" s="28" t="n">
        <v>0.012048</v>
      </c>
      <c r="O21" s="32" t="n">
        <v>0</v>
      </c>
      <c r="P21" s="28" t="n">
        <v>0</v>
      </c>
      <c r="Q21" s="28" t="n">
        <v>0</v>
      </c>
      <c r="R21" s="28" t="inlineStr"/>
      <c r="S21" s="28">
        <f>IF(H20&gt;0,"Fix "&amp;H20&amp;" broken links (See Link Inventory tab for details).","")</f>
        <v/>
      </c>
      <c r="T21" s="28" t="inlineStr">
        <is>
          <t>Links</t>
        </is>
      </c>
      <c r="U21" s="28" t="n">
        <v>0</v>
      </c>
      <c r="V21">
        <f>IFERROR(HYPERLINK("#'Main'!B"&amp;MATCH(TRIM(A21),'Main'!B:B,0),"Open"),HYPERLINK("#'Main'!B1","Open"))</f>
        <v/>
      </c>
    </row>
    <row r="22" ht="18" customHeight="1">
      <c r="A22" s="37" t="inlineStr">
        <is>
          <t>https://africanmarketingconfederation.org/smoke-archive/page-19</t>
        </is>
      </c>
      <c r="B22" s="30" t="inlineStr">
        <is>
          <t>Summary</t>
        </is>
      </c>
      <c r="C22" s="31" t="inlineStr"/>
      <c r="D22" s="30" t="inlineStr"/>
      <c r="E22" s="30" t="inlineStr"/>
      <c r="F22" s="30" t="inlineStr"/>
      <c r="G22" s="30" t="n">
        <v>0</v>
      </c>
      <c r="H22" s="30">
        <f>SUMPRODUCT(('Link Inventory'!$A$2:$A$100000=$A21)*('Link Inventory'!$E$2:$E$100000="Internal")*('Link Inventory'!$F$2:$F$100000&gt;=400)*('Link Inventory'!$F$2:$F$100000&lt;600))</f>
        <v/>
      </c>
      <c r="I22" s="30" t="n">
        <v>0</v>
      </c>
      <c r="J22" s="30" t="n">
        <v>0</v>
      </c>
      <c r="K22" s="30" t="n">
        <v>0</v>
      </c>
      <c r="L22" s="30" t="b">
        <v>1</v>
      </c>
      <c r="M22" s="30" t="n">
        <v>-1</v>
      </c>
      <c r="N22" s="30" t="n">
        <v>0.012048</v>
      </c>
      <c r="O22" s="32" t="n">
        <v>0</v>
      </c>
      <c r="P22" s="30" t="n">
        <v>0</v>
      </c>
      <c r="Q22" s="30" t="n">
        <v>0</v>
      </c>
      <c r="R22" s="30" t="inlineStr"/>
      <c r="S22" s="30">
        <f>IF(H21&gt;0,"Fix "&amp;H21&amp;" broken links (See Link Inventory tab for details).","")</f>
        <v/>
      </c>
      <c r="T22" s="30" t="inlineStr">
        <is>
          <t>Links</t>
        </is>
      </c>
      <c r="U22" s="30" t="n">
        <v>0</v>
      </c>
      <c r="V22" s="38">
        <f>IFERROR(HYPERLINK("#'Main'!B"&amp;MATCH(TRIM(A22),'Main'!B:B,0),"Open"),HYPERLINK("#'Main'!B1","Open"))</f>
        <v/>
      </c>
    </row>
    <row r="23" ht="18" customHeight="1">
      <c r="A23" s="35" t="inlineStr">
        <is>
          <t>https://africanmarketingconfederation.org/smoke-archive/page-20</t>
        </is>
      </c>
      <c r="B23" s="28" t="inlineStr">
        <is>
          <t>Summary</t>
        </is>
      </c>
      <c r="C23" s="20" t="inlineStr"/>
      <c r="D23" s="28" t="inlineStr"/>
      <c r="E23" s="28" t="inlineStr"/>
      <c r="F23" s="28" t="inlineStr"/>
      <c r="G23" s="28" t="n">
        <v>0</v>
      </c>
      <c r="H23" s="28">
        <f>SUMPRODUCT(('Link Inventory'!$A$2:$A$100000=$A22)*('Link Inventory'!$E$2:$E$100000="Internal")*('Link Inventory'!$F$2:$F$100000&gt;=400)*('Link Inventory'!$F$2:$F$100000&lt;600))</f>
        <v/>
      </c>
      <c r="I23" s="28" t="n">
        <v>0</v>
      </c>
      <c r="J23" s="28" t="n">
        <v>0</v>
      </c>
      <c r="K23" s="28" t="n">
        <v>0</v>
      </c>
      <c r="L23" s="28" t="b">
        <v>1</v>
      </c>
      <c r="M23" s="28" t="n">
        <v>-1</v>
      </c>
      <c r="N23" s="28" t="n">
        <v>0.012048</v>
      </c>
      <c r="O23" s="32" t="n">
        <v>0</v>
      </c>
      <c r="P23" s="28" t="n">
        <v>0</v>
      </c>
      <c r="Q23" s="28" t="n">
        <v>0</v>
      </c>
      <c r="R23" s="28" t="inlineStr"/>
      <c r="S23" s="28">
        <f>IF(H22&gt;0,"Fix "&amp;H22&amp;" broken links (See Link Inventory tab for details).","")</f>
        <v/>
      </c>
      <c r="T23" s="28" t="inlineStr">
        <is>
          <t>Links</t>
        </is>
      </c>
      <c r="U23" s="28" t="n">
        <v>0</v>
      </c>
      <c r="V23">
        <f>IFERROR(HYPERLINK("#'Main'!B"&amp;MATCH(TRIM(A23),'Main'!B:B,0),"Open"),HYPERLINK("#'Main'!B1","Open"))</f>
        <v/>
      </c>
    </row>
    <row r="24" ht="18" customHeight="1">
      <c r="A24" s="37" t="inlineStr">
        <is>
          <t>https://africanmarketingconfederation.org/smoke-archive/page-21</t>
        </is>
      </c>
      <c r="B24" s="30" t="inlineStr">
        <is>
          <t>Summary</t>
        </is>
      </c>
      <c r="C24" s="31" t="inlineStr"/>
      <c r="D24" s="30" t="inlineStr"/>
      <c r="E24" s="30" t="inlineStr"/>
      <c r="F24" s="30" t="inlineStr"/>
      <c r="G24" s="30" t="n">
        <v>0</v>
      </c>
      <c r="H24" s="30">
        <f>SUMPRODUCT(('Link Inventory'!$A$2:$A$100000=$A23)*('Link Inventory'!$E$2:$E$100000="Internal")*('Link Inventory'!$F$2:$F$100000&gt;=400)*('Link Inventory'!$F$2:$F$100000&lt;600))</f>
        <v/>
      </c>
      <c r="I24" s="30" t="n">
        <v>0</v>
      </c>
      <c r="J24" s="30" t="n">
        <v>0</v>
      </c>
      <c r="K24" s="30" t="n">
        <v>0</v>
      </c>
      <c r="L24" s="30" t="b">
        <v>1</v>
      </c>
      <c r="M24" s="30" t="n">
        <v>-1</v>
      </c>
      <c r="N24" s="30" t="n">
        <v>0.012048</v>
      </c>
      <c r="O24" s="32" t="n">
        <v>0</v>
      </c>
      <c r="P24" s="30" t="n">
        <v>0</v>
      </c>
      <c r="Q24" s="30" t="n">
        <v>0</v>
      </c>
      <c r="R24" s="30" t="inlineStr"/>
      <c r="S24" s="30">
        <f>IF(H23&gt;0,"Fix "&amp;H23&amp;" broken links (See Link Inventory tab for details).","")</f>
        <v/>
      </c>
      <c r="T24" s="30" t="inlineStr">
        <is>
          <t>Links</t>
        </is>
      </c>
      <c r="U24" s="30" t="n">
        <v>0</v>
      </c>
      <c r="V24" s="38">
        <f>IFERROR(HYPERLINK("#'Main'!B"&amp;MATCH(TRIM(A24),'Main'!B:B,0),"Open"),HYPERLINK("#'Main'!B1","Open"))</f>
        <v/>
      </c>
    </row>
    <row r="25" ht="18" customHeight="1">
      <c r="A25" s="35" t="inlineStr">
        <is>
          <t>https://africanmarketingconfederation.org/smoke-archive/page-22</t>
        </is>
      </c>
      <c r="B25" s="28" t="inlineStr">
        <is>
          <t>Summary</t>
        </is>
      </c>
      <c r="C25" s="20" t="inlineStr"/>
      <c r="D25" s="28" t="inlineStr"/>
      <c r="E25" s="28" t="inlineStr"/>
      <c r="F25" s="28" t="inlineStr"/>
      <c r="G25" s="28" t="n">
        <v>0</v>
      </c>
      <c r="H25" s="28">
        <f>SUMPRODUCT(('Link Inventory'!$A$2:$A$100000=$A24)*('Link Inventory'!$E$2:$E$100000="Internal")*('Link Inventory'!$F$2:$F$100000&gt;=400)*('Link Inventory'!$F$2:$F$100000&lt;600))</f>
        <v/>
      </c>
      <c r="I25" s="28" t="n">
        <v>0</v>
      </c>
      <c r="J25" s="28" t="n">
        <v>0</v>
      </c>
      <c r="K25" s="28" t="n">
        <v>0</v>
      </c>
      <c r="L25" s="28" t="b">
        <v>1</v>
      </c>
      <c r="M25" s="28" t="n">
        <v>-1</v>
      </c>
      <c r="N25" s="28" t="n">
        <v>0.012048</v>
      </c>
      <c r="O25" s="32" t="n">
        <v>0</v>
      </c>
      <c r="P25" s="28" t="n">
        <v>0</v>
      </c>
      <c r="Q25" s="28" t="n">
        <v>0</v>
      </c>
      <c r="R25" s="28" t="inlineStr"/>
      <c r="S25" s="28">
        <f>IF(H24&gt;0,"Fix "&amp;H24&amp;" broken links (See Link Inventory tab for details).","")</f>
        <v/>
      </c>
      <c r="T25" s="28" t="inlineStr">
        <is>
          <t>Links</t>
        </is>
      </c>
      <c r="U25" s="28" t="n">
        <v>0</v>
      </c>
      <c r="V25">
        <f>IFERROR(HYPERLINK("#'Main'!B"&amp;MATCH(TRIM(A25),'Main'!B:B,0),"Open"),HYPERLINK("#'Main'!B1","Open"))</f>
        <v/>
      </c>
    </row>
    <row r="26" ht="30" customHeight="1">
      <c r="A26" s="37" t="inlineStr">
        <is>
          <t>https://africanmarketingconfederation.org/smoke-archive/page-23</t>
        </is>
      </c>
      <c r="B26" s="30" t="inlineStr">
        <is>
          <t>Summary</t>
        </is>
      </c>
      <c r="C26" s="31" t="inlineStr"/>
      <c r="D26" s="30" t="inlineStr"/>
      <c r="E26" s="30" t="inlineStr"/>
      <c r="F26" s="30" t="inlineStr"/>
      <c r="G26" s="30" t="n">
        <v>0</v>
      </c>
      <c r="H26" s="30">
        <f>SUMPRODUCT(('Link Inventory'!$A$2:$A$100000=$A25)*('Link Inventory'!$E$2:$E$100000="Internal")*('Link Inventory'!$F$2:$F$100000&gt;=400)*('Link Inventory'!$F$2:$F$100000&lt;600))</f>
        <v/>
      </c>
      <c r="I26" s="30" t="n">
        <v>0</v>
      </c>
      <c r="J26" s="30" t="n">
        <v>0</v>
      </c>
      <c r="K26" s="30" t="n">
        <v>0</v>
      </c>
      <c r="L26" s="30" t="b">
        <v>1</v>
      </c>
      <c r="M26" s="30" t="n">
        <v>-1</v>
      </c>
      <c r="N26" s="30" t="n">
        <v>0.012048</v>
      </c>
      <c r="O26" s="32" t="n">
        <v>0</v>
      </c>
      <c r="P26" s="30" t="n">
        <v>0</v>
      </c>
      <c r="Q26" s="30" t="n">
        <v>0</v>
      </c>
      <c r="R26" s="30" t="inlineStr">
        <is>
          <t>https://africanmarketingconfederation.org/smoke-archive/page-22/ =&gt; 301</t>
        </is>
      </c>
      <c r="S26" s="30">
        <f>IF(H25&gt;0,"Fix "&amp;H25&amp;" broken links (See Link Inventory tab for details).","")</f>
        <v/>
      </c>
      <c r="T26" s="30" t="inlineStr">
        <is>
          <t>Links</t>
        </is>
      </c>
      <c r="U26" s="30" t="n">
        <v>0</v>
      </c>
      <c r="V26" s="38">
        <f>IFERROR(HYPERLINK("#'Main'!B"&amp;MATCH(TRIM(A26),'Main'!B:B,0),"Open"),HYPERLINK("#'Main'!B1","Open"))</f>
        <v/>
      </c>
    </row>
    <row r="27" ht="18" customHeight="1">
      <c r="A27" s="35" t="inlineStr">
        <is>
          <t>https://africanmarketingconfederation.org/smoke-archive/page-24</t>
        </is>
      </c>
      <c r="B27" s="28" t="inlineStr">
        <is>
          <t>Summary</t>
        </is>
      </c>
      <c r="C27" s="20" t="inlineStr"/>
      <c r="D27" s="28" t="inlineStr"/>
      <c r="E27" s="28" t="inlineStr"/>
      <c r="F27" s="28" t="inlineStr"/>
      <c r="G27" s="28" t="n">
        <v>0</v>
      </c>
      <c r="H27" s="28">
        <f>SUMPRODUCT(('Link Inventory'!$A$2:$A$100000=$A26)*('Link Inventory'!$E$2:$E$100000="Internal")*('Link Inventory'!$F$2:$F$100000&gt;=400)*('Link Inventory'!$F$2:$F$100000&lt;600))</f>
        <v/>
      </c>
      <c r="I27" s="28" t="n">
        <v>0</v>
      </c>
      <c r="J27" s="28" t="n">
        <v>0</v>
      </c>
      <c r="K27" s="28" t="n">
        <v>0</v>
      </c>
      <c r="L27" s="28" t="b">
        <v>1</v>
      </c>
      <c r="M27" s="28" t="n">
        <v>-1</v>
      </c>
      <c r="N27" s="28" t="n">
        <v>0.012048</v>
      </c>
      <c r="O27" s="32" t="n">
        <v>0</v>
      </c>
      <c r="P27" s="28" t="n">
        <v>0</v>
      </c>
      <c r="Q27" s="28" t="n">
        <v>0</v>
      </c>
      <c r="R27" s="28" t="inlineStr"/>
      <c r="S27" s="28">
        <f>IF(H26&gt;0,"Fix "&amp;H26&amp;" broken links (See Link Inventory tab for details).","")</f>
        <v/>
      </c>
      <c r="T27" s="28" t="inlineStr">
        <is>
          <t>Links</t>
        </is>
      </c>
      <c r="U27" s="28" t="n">
        <v>0</v>
      </c>
      <c r="V27">
        <f>IFERROR(HYPERLINK("#'Main'!B"&amp;MATCH(TRIM(A27),'Main'!B:B,0),"Open"),HYPERLINK("#'Main'!B1","Open"))</f>
        <v/>
      </c>
    </row>
    <row r="28" ht="18" customHeight="1">
      <c r="A28" s="37" t="inlineStr">
        <is>
          <t>https://africanmarketingconfederation.org/smoke-archive/page-25</t>
        </is>
      </c>
      <c r="B28" s="30" t="inlineStr">
        <is>
          <t>Summary</t>
        </is>
      </c>
      <c r="C28" s="31" t="inlineStr"/>
      <c r="D28" s="30" t="inlineStr"/>
      <c r="E28" s="30" t="inlineStr"/>
      <c r="F28" s="30" t="inlineStr"/>
      <c r="G28" s="30" t="n">
        <v>0</v>
      </c>
      <c r="H28" s="30">
        <f>SUMPRODUCT(('Link Inventory'!$A$2:$A$100000=$A27)*('Link Inventory'!$E$2:$E$100000="Internal")*('Link Inventory'!$F$2:$F$100000&gt;=400)*('Link Inventory'!$F$2:$F$100000&lt;600))</f>
        <v/>
      </c>
      <c r="I28" s="30" t="n">
        <v>0</v>
      </c>
      <c r="J28" s="30" t="n">
        <v>0</v>
      </c>
      <c r="K28" s="30" t="n">
        <v>0</v>
      </c>
      <c r="L28" s="30" t="b">
        <v>1</v>
      </c>
      <c r="M28" s="30" t="n">
        <v>-1</v>
      </c>
      <c r="N28" s="30" t="n">
        <v>0.012048</v>
      </c>
      <c r="O28" s="32" t="n">
        <v>0</v>
      </c>
      <c r="P28" s="30" t="n">
        <v>0</v>
      </c>
      <c r="Q28" s="30" t="n">
        <v>0</v>
      </c>
      <c r="R28" s="30" t="inlineStr"/>
      <c r="S28" s="30">
        <f>IF(H27&gt;0,"Fix "&amp;H27&amp;" broken links (See Link Inventory tab for details).","")</f>
        <v/>
      </c>
      <c r="T28" s="30" t="inlineStr">
        <is>
          <t>Links</t>
        </is>
      </c>
      <c r="U28" s="30" t="n">
        <v>0</v>
      </c>
      <c r="V28" s="38">
        <f>IFERROR(HYPERLINK("#'Main'!B"&amp;MATCH(TRIM(A28),'Main'!B:B,0),"Open"),HYPERLINK("#'Main'!B1","Open"))</f>
        <v/>
      </c>
    </row>
    <row r="29" ht="18" customHeight="1">
      <c r="A29" s="35" t="inlineStr">
        <is>
          <t>https://africanmarketingconfederation.org/smoke-archive/page-26</t>
        </is>
      </c>
      <c r="B29" s="28" t="inlineStr">
        <is>
          <t>Summary</t>
        </is>
      </c>
      <c r="C29" s="20" t="inlineStr"/>
      <c r="D29" s="28" t="inlineStr"/>
      <c r="E29" s="28" t="inlineStr"/>
      <c r="F29" s="28" t="inlineStr"/>
      <c r="G29" s="28" t="n">
        <v>0</v>
      </c>
      <c r="H29" s="28">
        <f>SUMPRODUCT(('Link Inventory'!$A$2:$A$100000=$A28)*('Link Inventory'!$E$2:$E$100000="Internal")*('Link Inventory'!$F$2:$F$100000&gt;=400)*('Link Inventory'!$F$2:$F$100000&lt;600))</f>
        <v/>
      </c>
      <c r="I29" s="28" t="n">
        <v>0</v>
      </c>
      <c r="J29" s="28" t="n">
        <v>0</v>
      </c>
      <c r="K29" s="28" t="n">
        <v>0</v>
      </c>
      <c r="L29" s="28" t="b">
        <v>1</v>
      </c>
      <c r="M29" s="28" t="n">
        <v>-1</v>
      </c>
      <c r="N29" s="28" t="n">
        <v>0.012048</v>
      </c>
      <c r="O29" s="32" t="n">
        <v>0</v>
      </c>
      <c r="P29" s="28" t="n">
        <v>0</v>
      </c>
      <c r="Q29" s="28" t="n">
        <v>0</v>
      </c>
      <c r="R29" s="28" t="inlineStr"/>
      <c r="S29" s="28">
        <f>IF(H28&gt;0,"Fix "&amp;H28&amp;" broken links (See Link Inventory tab for details).","")</f>
        <v/>
      </c>
      <c r="T29" s="28" t="inlineStr">
        <is>
          <t>Links</t>
        </is>
      </c>
      <c r="U29" s="28" t="n">
        <v>0</v>
      </c>
      <c r="V29">
        <f>IFERROR(HYPERLINK("#'Main'!B"&amp;MATCH(TRIM(A29),'Main'!B:B,0),"Open"),HYPERLINK("#'Main'!B1","Open"))</f>
        <v/>
      </c>
    </row>
    <row r="30" ht="18" customHeight="1">
      <c r="A30" s="37" t="inlineStr">
        <is>
          <t>https://africanmarketingconfederation.org/smoke-archive/page-27</t>
        </is>
      </c>
      <c r="B30" s="30" t="inlineStr">
        <is>
          <t>Summary</t>
        </is>
      </c>
      <c r="C30" s="31" t="inlineStr"/>
      <c r="D30" s="30" t="inlineStr"/>
      <c r="E30" s="30" t="inlineStr"/>
      <c r="F30" s="30" t="inlineStr"/>
      <c r="G30" s="30" t="n">
        <v>0</v>
      </c>
      <c r="H30" s="30">
        <f>SUMPRODUCT(('Link Inventory'!$A$2:$A$100000=$A29)*('Link Inventory'!$E$2:$E$100000="Internal")*('Link Inventory'!$F$2:$F$100000&gt;=400)*('Link Inventory'!$F$2:$F$100000&lt;600))</f>
        <v/>
      </c>
      <c r="I30" s="30" t="n">
        <v>0</v>
      </c>
      <c r="J30" s="30" t="n">
        <v>0</v>
      </c>
      <c r="K30" s="30" t="n">
        <v>0</v>
      </c>
      <c r="L30" s="30" t="b">
        <v>1</v>
      </c>
      <c r="M30" s="30" t="n">
        <v>-1</v>
      </c>
      <c r="N30" s="30" t="n">
        <v>0.012048</v>
      </c>
      <c r="O30" s="32" t="n">
        <v>0</v>
      </c>
      <c r="P30" s="30" t="n">
        <v>0</v>
      </c>
      <c r="Q30" s="30" t="n">
        <v>0</v>
      </c>
      <c r="R30" s="30" t="inlineStr"/>
      <c r="S30" s="30">
        <f>IF(H29&gt;0,"Fix "&amp;H29&amp;" broken links (See Link Inventory tab for details).","")</f>
        <v/>
      </c>
      <c r="T30" s="30" t="inlineStr">
        <is>
          <t>Links</t>
        </is>
      </c>
      <c r="U30" s="30" t="n">
        <v>0</v>
      </c>
      <c r="V30" s="38">
        <f>IFERROR(HYPERLINK("#'Main'!B"&amp;MATCH(TRIM(A30),'Main'!B:B,0),"Open"),HYPERLINK("#'Main'!B1","Open"))</f>
        <v/>
      </c>
    </row>
    <row r="31" ht="18" customHeight="1">
      <c r="A31" s="35" t="inlineStr">
        <is>
          <t>https://africanmarketingconfederation.org/smoke-archive/page-28</t>
        </is>
      </c>
      <c r="B31" s="28" t="inlineStr">
        <is>
          <t>Summary</t>
        </is>
      </c>
      <c r="C31" s="20" t="inlineStr"/>
      <c r="D31" s="28" t="inlineStr"/>
      <c r="E31" s="28" t="inlineStr"/>
      <c r="F31" s="28" t="inlineStr"/>
      <c r="G31" s="28" t="n">
        <v>0</v>
      </c>
      <c r="H31" s="28">
        <f>SUMPRODUCT(('Link Inventory'!$A$2:$A$100000=$A30)*('Link Inventory'!$E$2:$E$100000="Internal")*('Link Inventory'!$F$2:$F$100000&gt;=400)*('Link Inventory'!$F$2:$F$100000&lt;600))</f>
        <v/>
      </c>
      <c r="I31" s="28" t="n">
        <v>0</v>
      </c>
      <c r="J31" s="28" t="n">
        <v>0</v>
      </c>
      <c r="K31" s="28" t="n">
        <v>0</v>
      </c>
      <c r="L31" s="28" t="b">
        <v>1</v>
      </c>
      <c r="M31" s="28" t="n">
        <v>-1</v>
      </c>
      <c r="N31" s="28" t="n">
        <v>0.012048</v>
      </c>
      <c r="O31" s="32" t="n">
        <v>0</v>
      </c>
      <c r="P31" s="28" t="n">
        <v>0</v>
      </c>
      <c r="Q31" s="28" t="n">
        <v>0</v>
      </c>
      <c r="R31" s="28" t="inlineStr"/>
      <c r="S31" s="28">
        <f>IF(H30&gt;0,"Fix "&amp;H30&amp;" broken links (See Link Inventory tab for details).","")</f>
        <v/>
      </c>
      <c r="T31" s="28" t="inlineStr">
        <is>
          <t>Links</t>
        </is>
      </c>
      <c r="U31" s="28" t="n">
        <v>0</v>
      </c>
      <c r="V31">
        <f>IFERROR(HYPERLINK("#'Main'!B"&amp;MATCH(TRIM(A31),'Main'!B:B,0),"Open"),HYPERLINK("#'Main'!B1","Open"))</f>
        <v/>
      </c>
    </row>
    <row r="32" ht="18" customHeight="1">
      <c r="A32" s="37" t="inlineStr">
        <is>
          <t>https://africanmarketingconfederation.org/smoke-archive/page-29</t>
        </is>
      </c>
      <c r="B32" s="30" t="inlineStr">
        <is>
          <t>Summary</t>
        </is>
      </c>
      <c r="C32" s="31" t="inlineStr"/>
      <c r="D32" s="30" t="inlineStr"/>
      <c r="E32" s="30" t="inlineStr"/>
      <c r="F32" s="30" t="inlineStr"/>
      <c r="G32" s="30" t="n">
        <v>0</v>
      </c>
      <c r="H32" s="30">
        <f>SUMPRODUCT(('Link Inventory'!$A$2:$A$100000=$A31)*('Link Inventory'!$E$2:$E$100000="Internal")*('Link Inventory'!$F$2:$F$100000&gt;=400)*('Link Inventory'!$F$2:$F$100000&lt;600))</f>
        <v/>
      </c>
      <c r="I32" s="30" t="n">
        <v>0</v>
      </c>
      <c r="J32" s="30" t="n">
        <v>0</v>
      </c>
      <c r="K32" s="30" t="n">
        <v>0</v>
      </c>
      <c r="L32" s="30" t="b">
        <v>1</v>
      </c>
      <c r="M32" s="30" t="n">
        <v>-1</v>
      </c>
      <c r="N32" s="30" t="n">
        <v>0.012048</v>
      </c>
      <c r="O32" s="32" t="n">
        <v>0</v>
      </c>
      <c r="P32" s="30" t="n">
        <v>0</v>
      </c>
      <c r="Q32" s="30" t="n">
        <v>0</v>
      </c>
      <c r="R32" s="30" t="inlineStr"/>
      <c r="S32" s="30">
        <f>IF(H31&gt;0,"Fix "&amp;H31&amp;" broken links (See Link Inventory tab for details).","")</f>
        <v/>
      </c>
      <c r="T32" s="30" t="inlineStr">
        <is>
          <t>Links</t>
        </is>
      </c>
      <c r="U32" s="30" t="n">
        <v>0</v>
      </c>
      <c r="V32" s="38">
        <f>IFERROR(HYPERLINK("#'Main'!B"&amp;MATCH(TRIM(A32),'Main'!B:B,0),"Open"),HYPERLINK("#'Main'!B1","Open"))</f>
        <v/>
      </c>
    </row>
    <row r="33" ht="18" customHeight="1">
      <c r="A33" s="35" t="inlineStr">
        <is>
          <t>https://africanmarketingconfederation.org/smoke-archive/page-30</t>
        </is>
      </c>
      <c r="B33" s="28" t="inlineStr">
        <is>
          <t>Summary</t>
        </is>
      </c>
      <c r="C33" s="20" t="inlineStr"/>
      <c r="D33" s="28" t="inlineStr"/>
      <c r="E33" s="28" t="inlineStr"/>
      <c r="F33" s="28" t="inlineStr"/>
      <c r="G33" s="28" t="n">
        <v>0</v>
      </c>
      <c r="H33" s="28">
        <f>SUMPRODUCT(('Link Inventory'!$A$2:$A$100000=$A32)*('Link Inventory'!$E$2:$E$100000="Internal")*('Link Inventory'!$F$2:$F$100000&gt;=400)*('Link Inventory'!$F$2:$F$100000&lt;600))</f>
        <v/>
      </c>
      <c r="I33" s="28" t="n">
        <v>0</v>
      </c>
      <c r="J33" s="28" t="n">
        <v>0</v>
      </c>
      <c r="K33" s="28" t="n">
        <v>0</v>
      </c>
      <c r="L33" s="28" t="b">
        <v>1</v>
      </c>
      <c r="M33" s="28" t="n">
        <v>-1</v>
      </c>
      <c r="N33" s="28" t="n">
        <v>0.012048</v>
      </c>
      <c r="O33" s="32" t="n">
        <v>0</v>
      </c>
      <c r="P33" s="28" t="n">
        <v>0</v>
      </c>
      <c r="Q33" s="28" t="n">
        <v>0</v>
      </c>
      <c r="R33" s="28" t="inlineStr"/>
      <c r="S33" s="28">
        <f>IF(H32&gt;0,"Fix "&amp;H32&amp;" broken links (See Link Inventory tab for details).","")</f>
        <v/>
      </c>
      <c r="T33" s="28" t="inlineStr">
        <is>
          <t>Links</t>
        </is>
      </c>
      <c r="U33" s="28" t="n">
        <v>0</v>
      </c>
      <c r="V33">
        <f>IFERROR(HYPERLINK("#'Main'!B"&amp;MATCH(TRIM(A33),'Main'!B:B,0),"Open"),HYPERLINK("#'Main'!B1","Open"))</f>
        <v/>
      </c>
    </row>
    <row r="34" ht="18" customHeight="1">
      <c r="A34" s="37" t="inlineStr">
        <is>
          <t>https://africanmarketingconfederation.org/smoke-archive/page-31</t>
        </is>
      </c>
      <c r="B34" s="30" t="inlineStr">
        <is>
          <t>Summary</t>
        </is>
      </c>
      <c r="C34" s="31" t="inlineStr"/>
      <c r="D34" s="30" t="inlineStr"/>
      <c r="E34" s="30" t="inlineStr"/>
      <c r="F34" s="30" t="inlineStr"/>
      <c r="G34" s="30" t="n">
        <v>0</v>
      </c>
      <c r="H34" s="30">
        <f>SUMPRODUCT(('Link Inventory'!$A$2:$A$100000=$A33)*('Link Inventory'!$E$2:$E$100000="Internal")*('Link Inventory'!$F$2:$F$100000&gt;=400)*('Link Inventory'!$F$2:$F$100000&lt;600))</f>
        <v/>
      </c>
      <c r="I34" s="30" t="n">
        <v>0</v>
      </c>
      <c r="J34" s="30" t="n">
        <v>0</v>
      </c>
      <c r="K34" s="30" t="n">
        <v>0</v>
      </c>
      <c r="L34" s="30" t="b">
        <v>1</v>
      </c>
      <c r="M34" s="30" t="n">
        <v>-1</v>
      </c>
      <c r="N34" s="30" t="n">
        <v>0.012048</v>
      </c>
      <c r="O34" s="32" t="n">
        <v>0</v>
      </c>
      <c r="P34" s="30" t="n">
        <v>0</v>
      </c>
      <c r="Q34" s="30" t="n">
        <v>0</v>
      </c>
      <c r="R34" s="30" t="inlineStr"/>
      <c r="S34" s="30">
        <f>IF(H33&gt;0,"Fix "&amp;H33&amp;" broken links (See Link Inventory tab for details).","")</f>
        <v/>
      </c>
      <c r="T34" s="30" t="inlineStr">
        <is>
          <t>Links</t>
        </is>
      </c>
      <c r="U34" s="30" t="n">
        <v>0</v>
      </c>
      <c r="V34" s="38">
        <f>IFERROR(HYPERLINK("#'Main'!B"&amp;MATCH(TRIM(A34),'Main'!B:B,0),"Open"),HYPERLINK("#'Main'!B1","Open"))</f>
        <v/>
      </c>
    </row>
    <row r="35" ht="18" customHeight="1">
      <c r="A35" s="35" t="inlineStr">
        <is>
          <t>https://africanmarketingconfederation.org/smoke-archive/page-32</t>
        </is>
      </c>
      <c r="B35" s="28" t="inlineStr">
        <is>
          <t>Summary</t>
        </is>
      </c>
      <c r="C35" s="20" t="inlineStr"/>
      <c r="D35" s="28" t="inlineStr"/>
      <c r="E35" s="28" t="inlineStr"/>
      <c r="F35" s="28" t="inlineStr"/>
      <c r="G35" s="28" t="n">
        <v>0</v>
      </c>
      <c r="H35" s="28">
        <f>SUMPRODUCT(('Link Inventory'!$A$2:$A$100000=$A34)*('Link Inventory'!$E$2:$E$100000="Internal")*('Link Inventory'!$F$2:$F$100000&gt;=400)*('Link Inventory'!$F$2:$F$100000&lt;600))</f>
        <v/>
      </c>
      <c r="I35" s="28" t="n">
        <v>0</v>
      </c>
      <c r="J35" s="28" t="n">
        <v>0</v>
      </c>
      <c r="K35" s="28" t="n">
        <v>0</v>
      </c>
      <c r="L35" s="28" t="b">
        <v>1</v>
      </c>
      <c r="M35" s="28" t="n">
        <v>-1</v>
      </c>
      <c r="N35" s="28" t="n">
        <v>0.012048</v>
      </c>
      <c r="O35" s="32" t="n">
        <v>0</v>
      </c>
      <c r="P35" s="28" t="n">
        <v>0</v>
      </c>
      <c r="Q35" s="28" t="n">
        <v>0</v>
      </c>
      <c r="R35" s="28" t="inlineStr"/>
      <c r="S35" s="28">
        <f>IF(H34&gt;0,"Fix "&amp;H34&amp;" broken links (See Link Inventory tab for details).","")</f>
        <v/>
      </c>
      <c r="T35" s="28" t="inlineStr">
        <is>
          <t>Links</t>
        </is>
      </c>
      <c r="U35" s="28" t="n">
        <v>0</v>
      </c>
      <c r="V35">
        <f>IFERROR(HYPERLINK("#'Main'!B"&amp;MATCH(TRIM(A35),'Main'!B:B,0),"Open"),HYPERLINK("#'Main'!B1","Open"))</f>
        <v/>
      </c>
    </row>
    <row r="36" ht="18" customHeight="1">
      <c r="A36" s="37" t="inlineStr">
        <is>
          <t>https://africanmarketingconfederation.org/smoke-archive/page-33</t>
        </is>
      </c>
      <c r="B36" s="30" t="inlineStr">
        <is>
          <t>Summary</t>
        </is>
      </c>
      <c r="C36" s="31" t="inlineStr"/>
      <c r="D36" s="30" t="inlineStr"/>
      <c r="E36" s="30" t="inlineStr"/>
      <c r="F36" s="30" t="inlineStr"/>
      <c r="G36" s="30" t="n">
        <v>0</v>
      </c>
      <c r="H36" s="30">
        <f>SUMPRODUCT(('Link Inventory'!$A$2:$A$100000=$A35)*('Link Inventory'!$E$2:$E$100000="Internal")*('Link Inventory'!$F$2:$F$100000&gt;=400)*('Link Inventory'!$F$2:$F$100000&lt;600))</f>
        <v/>
      </c>
      <c r="I36" s="30" t="n">
        <v>0</v>
      </c>
      <c r="J36" s="30" t="n">
        <v>0</v>
      </c>
      <c r="K36" s="30" t="n">
        <v>0</v>
      </c>
      <c r="L36" s="30" t="b">
        <v>1</v>
      </c>
      <c r="M36" s="30" t="n">
        <v>-1</v>
      </c>
      <c r="N36" s="30" t="n">
        <v>0.012048</v>
      </c>
      <c r="O36" s="32" t="n">
        <v>0</v>
      </c>
      <c r="P36" s="30" t="n">
        <v>0</v>
      </c>
      <c r="Q36" s="30" t="n">
        <v>0</v>
      </c>
      <c r="R36" s="30" t="inlineStr"/>
      <c r="S36" s="30">
        <f>IF(H35&gt;0,"Fix "&amp;H35&amp;" broken links (See Link Inventory tab for details).","")</f>
        <v/>
      </c>
      <c r="T36" s="30" t="inlineStr">
        <is>
          <t>Links</t>
        </is>
      </c>
      <c r="U36" s="30" t="n">
        <v>0</v>
      </c>
      <c r="V36" s="38">
        <f>IFERROR(HYPERLINK("#'Main'!B"&amp;MATCH(TRIM(A36),'Main'!B:B,0),"Open"),HYPERLINK("#'Main'!B1","Open"))</f>
        <v/>
      </c>
    </row>
    <row r="37" ht="18" customHeight="1">
      <c r="A37" s="35" t="inlineStr">
        <is>
          <t>https://africanmarketingconfederation.org/smoke-archive/page-34</t>
        </is>
      </c>
      <c r="B37" s="28" t="inlineStr">
        <is>
          <t>Summary</t>
        </is>
      </c>
      <c r="C37" s="20" t="inlineStr"/>
      <c r="D37" s="28" t="inlineStr"/>
      <c r="E37" s="28" t="inlineStr"/>
      <c r="F37" s="28" t="inlineStr"/>
      <c r="G37" s="28" t="n">
        <v>0</v>
      </c>
      <c r="H37" s="28">
        <f>SUMPRODUCT(('Link Inventory'!$A$2:$A$100000=$A36)*('Link Inventory'!$E$2:$E$100000="Internal")*('Link Inventory'!$F$2:$F$100000&gt;=400)*('Link Inventory'!$F$2:$F$100000&lt;600))</f>
        <v/>
      </c>
      <c r="I37" s="28" t="n">
        <v>0</v>
      </c>
      <c r="J37" s="28" t="n">
        <v>0</v>
      </c>
      <c r="K37" s="28" t="n">
        <v>0</v>
      </c>
      <c r="L37" s="28" t="b">
        <v>1</v>
      </c>
      <c r="M37" s="28" t="n">
        <v>-1</v>
      </c>
      <c r="N37" s="28" t="n">
        <v>0.012048</v>
      </c>
      <c r="O37" s="32" t="n">
        <v>0</v>
      </c>
      <c r="P37" s="28" t="n">
        <v>0</v>
      </c>
      <c r="Q37" s="28" t="n">
        <v>0</v>
      </c>
      <c r="R37" s="28" t="inlineStr"/>
      <c r="S37" s="28">
        <f>IF(H36&gt;0,"Fix "&amp;H36&amp;" broken links (See Link Inventory tab for details).","")</f>
        <v/>
      </c>
      <c r="T37" s="28" t="inlineStr">
        <is>
          <t>Links</t>
        </is>
      </c>
      <c r="U37" s="28" t="n">
        <v>0</v>
      </c>
      <c r="V37">
        <f>IFERROR(HYPERLINK("#'Main'!B"&amp;MATCH(TRIM(A37),'Main'!B:B,0),"Open"),HYPERLINK("#'Main'!B1","Open"))</f>
        <v/>
      </c>
    </row>
    <row r="38" ht="18" customHeight="1">
      <c r="A38" s="37" t="inlineStr">
        <is>
          <t>https://africanmarketingconfederation.org/smoke-archive/page-35</t>
        </is>
      </c>
      <c r="B38" s="30" t="inlineStr">
        <is>
          <t>Summary</t>
        </is>
      </c>
      <c r="C38" s="31" t="inlineStr"/>
      <c r="D38" s="30" t="inlineStr"/>
      <c r="E38" s="30" t="inlineStr"/>
      <c r="F38" s="30" t="inlineStr"/>
      <c r="G38" s="30" t="n">
        <v>0</v>
      </c>
      <c r="H38" s="30">
        <f>SUMPRODUCT(('Link Inventory'!$A$2:$A$100000=$A37)*('Link Inventory'!$E$2:$E$100000="Internal")*('Link Inventory'!$F$2:$F$100000&gt;=400)*('Link Inventory'!$F$2:$F$100000&lt;600))</f>
        <v/>
      </c>
      <c r="I38" s="30" t="n">
        <v>0</v>
      </c>
      <c r="J38" s="30" t="n">
        <v>0</v>
      </c>
      <c r="K38" s="30" t="n">
        <v>0</v>
      </c>
      <c r="L38" s="30" t="b">
        <v>1</v>
      </c>
      <c r="M38" s="30" t="n">
        <v>-1</v>
      </c>
      <c r="N38" s="30" t="n">
        <v>0.012048</v>
      </c>
      <c r="O38" s="32" t="n">
        <v>0</v>
      </c>
      <c r="P38" s="30" t="n">
        <v>0</v>
      </c>
      <c r="Q38" s="30" t="n">
        <v>0</v>
      </c>
      <c r="R38" s="30" t="inlineStr"/>
      <c r="S38" s="30">
        <f>IF(H37&gt;0,"Fix "&amp;H37&amp;" broken links (See Link Inventory tab for details).","")</f>
        <v/>
      </c>
      <c r="T38" s="30" t="inlineStr">
        <is>
          <t>Links</t>
        </is>
      </c>
      <c r="U38" s="30" t="n">
        <v>0</v>
      </c>
      <c r="V38" s="38">
        <f>IFERROR(HYPERLINK("#'Main'!B"&amp;MATCH(TRIM(A38),'Main'!B:B,0),"Open"),HYPERLINK("#'Main'!B1","Open"))</f>
        <v/>
      </c>
    </row>
    <row r="39" ht="18" customHeight="1">
      <c r="A39" s="35" t="inlineStr">
        <is>
          <t>https://africanmarketingconfederation.org/smoke-archive/page-36</t>
        </is>
      </c>
      <c r="B39" s="28" t="inlineStr">
        <is>
          <t>Summary</t>
        </is>
      </c>
      <c r="C39" s="20" t="inlineStr"/>
      <c r="D39" s="28" t="inlineStr"/>
      <c r="E39" s="28" t="inlineStr"/>
      <c r="F39" s="28" t="inlineStr"/>
      <c r="G39" s="28" t="n">
        <v>0</v>
      </c>
      <c r="H39" s="28">
        <f>SUMPRODUCT(('Link Inventory'!$A$2:$A$100000=$A38)*('Link Inventory'!$E$2:$E$100000="Internal")*('Link Inventory'!$F$2:$F$100000&gt;=400)*('Link Inventory'!$F$2:$F$100000&lt;600))</f>
        <v/>
      </c>
      <c r="I39" s="28" t="n">
        <v>0</v>
      </c>
      <c r="J39" s="28" t="n">
        <v>0</v>
      </c>
      <c r="K39" s="28" t="n">
        <v>0</v>
      </c>
      <c r="L39" s="28" t="b">
        <v>1</v>
      </c>
      <c r="M39" s="28" t="n">
        <v>-1</v>
      </c>
      <c r="N39" s="28" t="n">
        <v>0.012048</v>
      </c>
      <c r="O39" s="32" t="n">
        <v>0</v>
      </c>
      <c r="P39" s="28" t="n">
        <v>0</v>
      </c>
      <c r="Q39" s="28" t="n">
        <v>0</v>
      </c>
      <c r="R39" s="28" t="inlineStr"/>
      <c r="S39" s="28">
        <f>IF(H38&gt;0,"Fix "&amp;H38&amp;" broken links (See Link Inventory tab for details).","")</f>
        <v/>
      </c>
      <c r="T39" s="28" t="inlineStr">
        <is>
          <t>Links</t>
        </is>
      </c>
      <c r="U39" s="28" t="n">
        <v>0</v>
      </c>
      <c r="V39">
        <f>IFERROR(HYPERLINK("#'Main'!B"&amp;MATCH(TRIM(A39),'Main'!B:B,0),"Open"),HYPERLINK("#'Main'!B1","Open"))</f>
        <v/>
      </c>
    </row>
    <row r="40" ht="18" customHeight="1">
      <c r="A40" s="37" t="inlineStr">
        <is>
          <t>https://africanmarketingconfederation.org/smoke-archive/page-37</t>
        </is>
      </c>
      <c r="B40" s="30" t="inlineStr">
        <is>
          <t>Summary</t>
        </is>
      </c>
      <c r="C40" s="31" t="inlineStr"/>
      <c r="D40" s="30" t="inlineStr"/>
      <c r="E40" s="30" t="inlineStr"/>
      <c r="F40" s="30" t="inlineStr"/>
      <c r="G40" s="30" t="n">
        <v>0</v>
      </c>
      <c r="H40" s="30">
        <f>SUMPRODUCT(('Link Inventory'!$A$2:$A$100000=$A39)*('Link Inventory'!$E$2:$E$100000="Internal")*('Link Inventory'!$F$2:$F$100000&gt;=400)*('Link Inventory'!$F$2:$F$100000&lt;600))</f>
        <v/>
      </c>
      <c r="I40" s="30" t="n">
        <v>0</v>
      </c>
      <c r="J40" s="30" t="n">
        <v>0</v>
      </c>
      <c r="K40" s="30" t="n">
        <v>0</v>
      </c>
      <c r="L40" s="30" t="b">
        <v>1</v>
      </c>
      <c r="M40" s="30" t="n">
        <v>-1</v>
      </c>
      <c r="N40" s="30" t="n">
        <v>0.012048</v>
      </c>
      <c r="O40" s="32" t="n">
        <v>0</v>
      </c>
      <c r="P40" s="30" t="n">
        <v>0</v>
      </c>
      <c r="Q40" s="30" t="n">
        <v>0</v>
      </c>
      <c r="R40" s="30" t="inlineStr"/>
      <c r="S40" s="30">
        <f>IF(H39&gt;0,"Fix "&amp;H39&amp;" broken links (See Link Inventory tab for details).","")</f>
        <v/>
      </c>
      <c r="T40" s="30" t="inlineStr">
        <is>
          <t>Links</t>
        </is>
      </c>
      <c r="U40" s="30" t="n">
        <v>0</v>
      </c>
      <c r="V40" s="38">
        <f>IFERROR(HYPERLINK("#'Main'!B"&amp;MATCH(TRIM(A40),'Main'!B:B,0),"Open"),HYPERLINK("#'Main'!B1","Open"))</f>
        <v/>
      </c>
    </row>
    <row r="41" ht="18" customHeight="1">
      <c r="A41" s="35" t="inlineStr">
        <is>
          <t>https://africanmarketingconfederation.org/smoke-archive/page-38</t>
        </is>
      </c>
      <c r="B41" s="28" t="inlineStr">
        <is>
          <t>Summary</t>
        </is>
      </c>
      <c r="C41" s="20" t="inlineStr"/>
      <c r="D41" s="28" t="inlineStr"/>
      <c r="E41" s="28" t="inlineStr"/>
      <c r="F41" s="28" t="inlineStr"/>
      <c r="G41" s="28" t="n">
        <v>0</v>
      </c>
      <c r="H41" s="28">
        <f>SUMPRODUCT(('Link Inventory'!$A$2:$A$100000=$A40)*('Link Inventory'!$E$2:$E$100000="Internal")*('Link Inventory'!$F$2:$F$100000&gt;=400)*('Link Inventory'!$F$2:$F$100000&lt;600))</f>
        <v/>
      </c>
      <c r="I41" s="28" t="n">
        <v>0</v>
      </c>
      <c r="J41" s="28" t="n">
        <v>0</v>
      </c>
      <c r="K41" s="28" t="n">
        <v>0</v>
      </c>
      <c r="L41" s="28" t="b">
        <v>1</v>
      </c>
      <c r="M41" s="28" t="n">
        <v>-1</v>
      </c>
      <c r="N41" s="28" t="n">
        <v>0.012048</v>
      </c>
      <c r="O41" s="32" t="n">
        <v>0</v>
      </c>
      <c r="P41" s="28" t="n">
        <v>0</v>
      </c>
      <c r="Q41" s="28" t="n">
        <v>0</v>
      </c>
      <c r="R41" s="28" t="inlineStr"/>
      <c r="S41" s="28">
        <f>IF(H40&gt;0,"Fix "&amp;H40&amp;" broken links (See Link Inventory tab for details).","")</f>
        <v/>
      </c>
      <c r="T41" s="28" t="inlineStr">
        <is>
          <t>Links</t>
        </is>
      </c>
      <c r="U41" s="28" t="n">
        <v>0</v>
      </c>
      <c r="V41">
        <f>IFERROR(HYPERLINK("#'Main'!B"&amp;MATCH(TRIM(A41),'Main'!B:B,0),"Open"),HYPERLINK("#'Main'!B1","Open"))</f>
        <v/>
      </c>
    </row>
    <row r="42" ht="18" customHeight="1">
      <c r="A42" s="37" t="inlineStr">
        <is>
          <t>https://africanmarketingconfederation.org/smoke-archive/page-39</t>
        </is>
      </c>
      <c r="B42" s="30" t="inlineStr">
        <is>
          <t>Summary</t>
        </is>
      </c>
      <c r="C42" s="31" t="inlineStr"/>
      <c r="D42" s="30" t="inlineStr"/>
      <c r="E42" s="30" t="inlineStr"/>
      <c r="F42" s="30" t="inlineStr"/>
      <c r="G42" s="30" t="n">
        <v>0</v>
      </c>
      <c r="H42" s="30">
        <f>SUMPRODUCT(('Link Inventory'!$A$2:$A$100000=$A41)*('Link Inventory'!$E$2:$E$100000="Internal")*('Link Inventory'!$F$2:$F$100000&gt;=400)*('Link Inventory'!$F$2:$F$100000&lt;600))</f>
        <v/>
      </c>
      <c r="I42" s="30" t="n">
        <v>0</v>
      </c>
      <c r="J42" s="30" t="n">
        <v>0</v>
      </c>
      <c r="K42" s="30" t="n">
        <v>0</v>
      </c>
      <c r="L42" s="30" t="b">
        <v>1</v>
      </c>
      <c r="M42" s="30" t="n">
        <v>-1</v>
      </c>
      <c r="N42" s="30" t="n">
        <v>0.012048</v>
      </c>
      <c r="O42" s="32" t="n">
        <v>0</v>
      </c>
      <c r="P42" s="30" t="n">
        <v>0</v>
      </c>
      <c r="Q42" s="30" t="n">
        <v>0</v>
      </c>
      <c r="R42" s="30" t="inlineStr"/>
      <c r="S42" s="30">
        <f>IF(H41&gt;0,"Fix "&amp;H41&amp;" broken links (See Link Inventory tab for details).","")</f>
        <v/>
      </c>
      <c r="T42" s="30" t="inlineStr">
        <is>
          <t>Links</t>
        </is>
      </c>
      <c r="U42" s="30" t="n">
        <v>0</v>
      </c>
      <c r="V42" s="38">
        <f>IFERROR(HYPERLINK("#'Main'!B"&amp;MATCH(TRIM(A42),'Main'!B:B,0),"Open"),HYPERLINK("#'Main'!B1","Open"))</f>
        <v/>
      </c>
    </row>
    <row r="43" ht="18" customHeight="1">
      <c r="A43" s="35" t="inlineStr">
        <is>
          <t>https://africanmarketingconfederation.org/smoke-archive/page-40</t>
        </is>
      </c>
      <c r="B43" s="28" t="inlineStr">
        <is>
          <t>Summary</t>
        </is>
      </c>
      <c r="C43" s="20" t="inlineStr"/>
      <c r="D43" s="28" t="inlineStr"/>
      <c r="E43" s="28" t="inlineStr"/>
      <c r="F43" s="28" t="inlineStr"/>
      <c r="G43" s="28" t="n">
        <v>0</v>
      </c>
      <c r="H43" s="28">
        <f>SUMPRODUCT(('Link Inventory'!$A$2:$A$100000=$A42)*('Link Inventory'!$E$2:$E$100000="Internal")*('Link Inventory'!$F$2:$F$100000&gt;=400)*('Link Inventory'!$F$2:$F$100000&lt;600))</f>
        <v/>
      </c>
      <c r="I43" s="28" t="n">
        <v>0</v>
      </c>
      <c r="J43" s="28" t="n">
        <v>0</v>
      </c>
      <c r="K43" s="28" t="n">
        <v>0</v>
      </c>
      <c r="L43" s="28" t="b">
        <v>1</v>
      </c>
      <c r="M43" s="28" t="n">
        <v>-1</v>
      </c>
      <c r="N43" s="28" t="n">
        <v>0.012048</v>
      </c>
      <c r="O43" s="32" t="n">
        <v>0</v>
      </c>
      <c r="P43" s="28" t="n">
        <v>0</v>
      </c>
      <c r="Q43" s="28" t="n">
        <v>0</v>
      </c>
      <c r="R43" s="28" t="inlineStr"/>
      <c r="S43" s="28">
        <f>IF(H42&gt;0,"Fix "&amp;H42&amp;" broken links (See Link Inventory tab for details).","")</f>
        <v/>
      </c>
      <c r="T43" s="28" t="inlineStr">
        <is>
          <t>Links</t>
        </is>
      </c>
      <c r="U43" s="28" t="n">
        <v>0</v>
      </c>
      <c r="V43">
        <f>IFERROR(HYPERLINK("#'Main'!B"&amp;MATCH(TRIM(A43),'Main'!B:B,0),"Open"),HYPERLINK("#'Main'!B1","Open"))</f>
        <v/>
      </c>
    </row>
    <row r="44" ht="18" customHeight="1">
      <c r="A44" s="37" t="inlineStr">
        <is>
          <t>https://africanmarketingconfederation.org/smoke-archive/page-41</t>
        </is>
      </c>
      <c r="B44" s="30" t="inlineStr">
        <is>
          <t>Summary</t>
        </is>
      </c>
      <c r="C44" s="31" t="inlineStr"/>
      <c r="D44" s="30" t="inlineStr"/>
      <c r="E44" s="30" t="inlineStr"/>
      <c r="F44" s="30" t="inlineStr"/>
      <c r="G44" s="30" t="n">
        <v>0</v>
      </c>
      <c r="H44" s="30">
        <f>SUMPRODUCT(('Link Inventory'!$A$2:$A$100000=$A43)*('Link Inventory'!$E$2:$E$100000="Internal")*('Link Inventory'!$F$2:$F$100000&gt;=400)*('Link Inventory'!$F$2:$F$100000&lt;600))</f>
        <v/>
      </c>
      <c r="I44" s="30" t="n">
        <v>0</v>
      </c>
      <c r="J44" s="30" t="n">
        <v>0</v>
      </c>
      <c r="K44" s="30" t="n">
        <v>0</v>
      </c>
      <c r="L44" s="30" t="b">
        <v>1</v>
      </c>
      <c r="M44" s="30" t="n">
        <v>-1</v>
      </c>
      <c r="N44" s="30" t="n">
        <v>0.012048</v>
      </c>
      <c r="O44" s="32" t="n">
        <v>0</v>
      </c>
      <c r="P44" s="30" t="n">
        <v>0</v>
      </c>
      <c r="Q44" s="30" t="n">
        <v>0</v>
      </c>
      <c r="R44" s="30" t="inlineStr"/>
      <c r="S44" s="30">
        <f>IF(H43&gt;0,"Fix "&amp;H43&amp;" broken links (See Link Inventory tab for details).","")</f>
        <v/>
      </c>
      <c r="T44" s="30" t="inlineStr">
        <is>
          <t>Links</t>
        </is>
      </c>
      <c r="U44" s="30" t="n">
        <v>0</v>
      </c>
      <c r="V44" s="38">
        <f>IFERROR(HYPERLINK("#'Main'!B"&amp;MATCH(TRIM(A44),'Main'!B:B,0),"Open"),HYPERLINK("#'Main'!B1","Open"))</f>
        <v/>
      </c>
    </row>
    <row r="45" ht="18" customHeight="1">
      <c r="A45" s="35" t="inlineStr">
        <is>
          <t>https://africanmarketingconfederation.org/smoke-archive/page-42</t>
        </is>
      </c>
      <c r="B45" s="28" t="inlineStr">
        <is>
          <t>Summary</t>
        </is>
      </c>
      <c r="C45" s="20" t="inlineStr"/>
      <c r="D45" s="28" t="inlineStr"/>
      <c r="E45" s="28" t="inlineStr"/>
      <c r="F45" s="28" t="inlineStr"/>
      <c r="G45" s="28" t="n">
        <v>0</v>
      </c>
      <c r="H45" s="28">
        <f>SUMPRODUCT(('Link Inventory'!$A$2:$A$100000=$A44)*('Link Inventory'!$E$2:$E$100000="Internal")*('Link Inventory'!$F$2:$F$100000&gt;=400)*('Link Inventory'!$F$2:$F$100000&lt;600))</f>
        <v/>
      </c>
      <c r="I45" s="28" t="n">
        <v>0</v>
      </c>
      <c r="J45" s="28" t="n">
        <v>0</v>
      </c>
      <c r="K45" s="28" t="n">
        <v>0</v>
      </c>
      <c r="L45" s="28" t="b">
        <v>1</v>
      </c>
      <c r="M45" s="28" t="n">
        <v>-1</v>
      </c>
      <c r="N45" s="28" t="n">
        <v>0.012048</v>
      </c>
      <c r="O45" s="32" t="n">
        <v>0</v>
      </c>
      <c r="P45" s="28" t="n">
        <v>0</v>
      </c>
      <c r="Q45" s="28" t="n">
        <v>0</v>
      </c>
      <c r="R45" s="28" t="inlineStr"/>
      <c r="S45" s="28">
        <f>IF(H44&gt;0,"Fix "&amp;H44&amp;" broken links (See Link Inventory tab for details).","")</f>
        <v/>
      </c>
      <c r="T45" s="28" t="inlineStr">
        <is>
          <t>Links</t>
        </is>
      </c>
      <c r="U45" s="28" t="n">
        <v>0</v>
      </c>
      <c r="V45">
        <f>IFERROR(HYPERLINK("#'Main'!B"&amp;MATCH(TRIM(A45),'Main'!B:B,0),"Open"),HYPERLINK("#'Main'!B1","Open"))</f>
        <v/>
      </c>
    </row>
    <row r="46" ht="18" customHeight="1">
      <c r="A46" s="37" t="inlineStr">
        <is>
          <t>https://africanmarketingconfederation.org/smoke-archive/page-43</t>
        </is>
      </c>
      <c r="B46" s="30" t="inlineStr">
        <is>
          <t>Summary</t>
        </is>
      </c>
      <c r="C46" s="31" t="inlineStr"/>
      <c r="D46" s="30" t="inlineStr"/>
      <c r="E46" s="30" t="inlineStr"/>
      <c r="F46" s="30" t="inlineStr"/>
      <c r="G46" s="30" t="n">
        <v>0</v>
      </c>
      <c r="H46" s="30">
        <f>SUMPRODUCT(('Link Inventory'!$A$2:$A$100000=$A45)*('Link Inventory'!$E$2:$E$100000="Internal")*('Link Inventory'!$F$2:$F$100000&gt;=400)*('Link Inventory'!$F$2:$F$100000&lt;600))</f>
        <v/>
      </c>
      <c r="I46" s="30" t="n">
        <v>0</v>
      </c>
      <c r="J46" s="30" t="n">
        <v>0</v>
      </c>
      <c r="K46" s="30" t="n">
        <v>0</v>
      </c>
      <c r="L46" s="30" t="b">
        <v>1</v>
      </c>
      <c r="M46" s="30" t="n">
        <v>-1</v>
      </c>
      <c r="N46" s="30" t="n">
        <v>0.012048</v>
      </c>
      <c r="O46" s="32" t="n">
        <v>0</v>
      </c>
      <c r="P46" s="30" t="n">
        <v>0</v>
      </c>
      <c r="Q46" s="30" t="n">
        <v>0</v>
      </c>
      <c r="R46" s="30" t="inlineStr"/>
      <c r="S46" s="30">
        <f>IF(H45&gt;0,"Fix "&amp;H45&amp;" broken links (See Link Inventory tab for details).","")</f>
        <v/>
      </c>
      <c r="T46" s="30" t="inlineStr">
        <is>
          <t>Links</t>
        </is>
      </c>
      <c r="U46" s="30" t="n">
        <v>0</v>
      </c>
      <c r="V46" s="38">
        <f>IFERROR(HYPERLINK("#'Main'!B"&amp;MATCH(TRIM(A46),'Main'!B:B,0),"Open"),HYPERLINK("#'Main'!B1","Open"))</f>
        <v/>
      </c>
    </row>
    <row r="47" ht="18" customHeight="1">
      <c r="A47" s="35" t="inlineStr">
        <is>
          <t>https://africanmarketingconfederation.org/smoke-archive/page-44</t>
        </is>
      </c>
      <c r="B47" s="28" t="inlineStr">
        <is>
          <t>Summary</t>
        </is>
      </c>
      <c r="C47" s="20" t="inlineStr"/>
      <c r="D47" s="28" t="inlineStr"/>
      <c r="E47" s="28" t="inlineStr"/>
      <c r="F47" s="28" t="inlineStr"/>
      <c r="G47" s="28" t="n">
        <v>0</v>
      </c>
      <c r="H47" s="28">
        <f>SUMPRODUCT(('Link Inventory'!$A$2:$A$100000=$A46)*('Link Inventory'!$E$2:$E$100000="Internal")*('Link Inventory'!$F$2:$F$100000&gt;=400)*('Link Inventory'!$F$2:$F$100000&lt;600))</f>
        <v/>
      </c>
      <c r="I47" s="28" t="n">
        <v>0</v>
      </c>
      <c r="J47" s="28" t="n">
        <v>0</v>
      </c>
      <c r="K47" s="28" t="n">
        <v>0</v>
      </c>
      <c r="L47" s="28" t="b">
        <v>1</v>
      </c>
      <c r="M47" s="28" t="n">
        <v>-1</v>
      </c>
      <c r="N47" s="28" t="n">
        <v>0.012048</v>
      </c>
      <c r="O47" s="32" t="n">
        <v>0</v>
      </c>
      <c r="P47" s="28" t="n">
        <v>0</v>
      </c>
      <c r="Q47" s="28" t="n">
        <v>0</v>
      </c>
      <c r="R47" s="28" t="inlineStr"/>
      <c r="S47" s="28">
        <f>IF(H46&gt;0,"Fix "&amp;H46&amp;" broken links (See Link Inventory tab for details).","")</f>
        <v/>
      </c>
      <c r="T47" s="28" t="inlineStr">
        <is>
          <t>Links</t>
        </is>
      </c>
      <c r="U47" s="28" t="n">
        <v>0</v>
      </c>
      <c r="V47">
        <f>IFERROR(HYPERLINK("#'Main'!B"&amp;MATCH(TRIM(A47),'Main'!B:B,0),"Open"),HYPERLINK("#'Main'!B1","Open"))</f>
        <v/>
      </c>
    </row>
    <row r="48" ht="18" customHeight="1">
      <c r="A48" s="37" t="inlineStr">
        <is>
          <t>https://africanmarketingconfederation.org/smoke-archive/page-45</t>
        </is>
      </c>
      <c r="B48" s="30" t="inlineStr">
        <is>
          <t>Summary</t>
        </is>
      </c>
      <c r="C48" s="31" t="inlineStr"/>
      <c r="D48" s="30" t="inlineStr"/>
      <c r="E48" s="30" t="inlineStr"/>
      <c r="F48" s="30" t="inlineStr"/>
      <c r="G48" s="30" t="n">
        <v>0</v>
      </c>
      <c r="H48" s="30">
        <f>SUMPRODUCT(('Link Inventory'!$A$2:$A$100000=$A47)*('Link Inventory'!$E$2:$E$100000="Internal")*('Link Inventory'!$F$2:$F$100000&gt;=400)*('Link Inventory'!$F$2:$F$100000&lt;600))</f>
        <v/>
      </c>
      <c r="I48" s="30" t="n">
        <v>0</v>
      </c>
      <c r="J48" s="30" t="n">
        <v>0</v>
      </c>
      <c r="K48" s="30" t="n">
        <v>0</v>
      </c>
      <c r="L48" s="30" t="b">
        <v>1</v>
      </c>
      <c r="M48" s="30" t="n">
        <v>-1</v>
      </c>
      <c r="N48" s="30" t="n">
        <v>0.012048</v>
      </c>
      <c r="O48" s="32" t="n">
        <v>0</v>
      </c>
      <c r="P48" s="30" t="n">
        <v>0</v>
      </c>
      <c r="Q48" s="30" t="n">
        <v>0</v>
      </c>
      <c r="R48" s="30" t="inlineStr"/>
      <c r="S48" s="30">
        <f>IF(H47&gt;0,"Fix "&amp;H47&amp;" broken links (See Link Inventory tab for details).","")</f>
        <v/>
      </c>
      <c r="T48" s="30" t="inlineStr">
        <is>
          <t>Links</t>
        </is>
      </c>
      <c r="U48" s="30" t="n">
        <v>0</v>
      </c>
      <c r="V48" s="38">
        <f>IFERROR(HYPERLINK("#'Main'!B"&amp;MATCH(TRIM(A48),'Main'!B:B,0),"Open"),HYPERLINK("#'Main'!B1","Open"))</f>
        <v/>
      </c>
    </row>
    <row r="49" ht="30" customHeight="1">
      <c r="A49" s="35" t="inlineStr">
        <is>
          <t>https://africanmarketingconfederation.org/smoke-archive/page-46</t>
        </is>
      </c>
      <c r="B49" s="28" t="inlineStr">
        <is>
          <t>Summary</t>
        </is>
      </c>
      <c r="C49" s="20" t="inlineStr"/>
      <c r="D49" s="28" t="inlineStr"/>
      <c r="E49" s="28" t="inlineStr"/>
      <c r="F49" s="28" t="inlineStr"/>
      <c r="G49" s="28" t="n">
        <v>0</v>
      </c>
      <c r="H49" s="28">
        <f>SUMPRODUCT(('Link Inventory'!$A$2:$A$100000=$A48)*('Link Inventory'!$E$2:$E$100000="Internal")*('Link Inventory'!$F$2:$F$100000&gt;=400)*('Link Inventory'!$F$2:$F$100000&lt;600))</f>
        <v/>
      </c>
      <c r="I49" s="28" t="n">
        <v>0</v>
      </c>
      <c r="J49" s="28" t="n">
        <v>0</v>
      </c>
      <c r="K49" s="28" t="n">
        <v>0</v>
      </c>
      <c r="L49" s="28" t="b">
        <v>1</v>
      </c>
      <c r="M49" s="28" t="n">
        <v>-1</v>
      </c>
      <c r="N49" s="28" t="n">
        <v>0.012048</v>
      </c>
      <c r="O49" s="32" t="n">
        <v>0</v>
      </c>
      <c r="P49" s="28" t="n">
        <v>0</v>
      </c>
      <c r="Q49" s="28" t="n">
        <v>0</v>
      </c>
      <c r="R49" s="28" t="inlineStr">
        <is>
          <t>https://africanmarketingconfederation.org/smoke-archive/page-45/ =&gt; 200</t>
        </is>
      </c>
      <c r="S49" s="28">
        <f>IF(H48&gt;0,"Fix "&amp;H48&amp;" broken links (See Link Inventory tab for details).","")</f>
        <v/>
      </c>
      <c r="T49" s="28" t="inlineStr">
        <is>
          <t>Links</t>
        </is>
      </c>
      <c r="U49" s="28" t="n">
        <v>0</v>
      </c>
      <c r="V49">
        <f>IFERROR(HYPERLINK("#'Main'!B"&amp;MATCH(TRIM(A49),'Main'!B:B,0),"Open"),HYPERLINK("#'Main'!B1","Open"))</f>
        <v/>
      </c>
    </row>
    <row r="50" ht="18" customHeight="1">
      <c r="A50" s="37" t="inlineStr">
        <is>
          <t>https://africanmarketingconfederation.org/smoke-archive/page-47</t>
        </is>
      </c>
      <c r="B50" s="30" t="inlineStr">
        <is>
          <t>Summary</t>
        </is>
      </c>
      <c r="C50" s="31" t="inlineStr"/>
      <c r="D50" s="30" t="inlineStr"/>
      <c r="E50" s="30" t="inlineStr"/>
      <c r="F50" s="30" t="inlineStr"/>
      <c r="G50" s="30" t="n">
        <v>0</v>
      </c>
      <c r="H50" s="30">
        <f>SUMPRODUCT(('Link Inventory'!$A$2:$A$100000=$A49)*('Link Inventory'!$E$2:$E$100000="Internal")*('Link Inventory'!$F$2:$F$100000&gt;=400)*('Link Inventory'!$F$2:$F$100000&lt;600))</f>
        <v/>
      </c>
      <c r="I50" s="30" t="n">
        <v>0</v>
      </c>
      <c r="J50" s="30" t="n">
        <v>0</v>
      </c>
      <c r="K50" s="30" t="n">
        <v>0</v>
      </c>
      <c r="L50" s="30" t="b">
        <v>1</v>
      </c>
      <c r="M50" s="30" t="n">
        <v>-1</v>
      </c>
      <c r="N50" s="30" t="n">
        <v>0.012048</v>
      </c>
      <c r="O50" s="32" t="n">
        <v>0</v>
      </c>
      <c r="P50" s="30" t="n">
        <v>0</v>
      </c>
      <c r="Q50" s="30" t="n">
        <v>0</v>
      </c>
      <c r="R50" s="30" t="inlineStr"/>
      <c r="S50" s="30">
        <f>IF(H49&gt;0,"Fix "&amp;H49&amp;" broken links (See Link Inventory tab for details).","")</f>
        <v/>
      </c>
      <c r="T50" s="30" t="inlineStr">
        <is>
          <t>Links</t>
        </is>
      </c>
      <c r="U50" s="30" t="n">
        <v>0</v>
      </c>
      <c r="V50" s="38">
        <f>IFERROR(HYPERLINK("#'Main'!B"&amp;MATCH(TRIM(A50),'Main'!B:B,0),"Open"),HYPERLINK("#'Main'!B1","Open"))</f>
        <v/>
      </c>
    </row>
    <row r="51" ht="18" customHeight="1">
      <c r="A51" s="35" t="inlineStr">
        <is>
          <t>https://africanmarketingconfederation.org/smoke-archive/page-48</t>
        </is>
      </c>
      <c r="B51" s="28" t="inlineStr">
        <is>
          <t>Summary</t>
        </is>
      </c>
      <c r="C51" s="20" t="inlineStr"/>
      <c r="D51" s="28" t="inlineStr"/>
      <c r="E51" s="28" t="inlineStr"/>
      <c r="F51" s="28" t="inlineStr"/>
      <c r="G51" s="28" t="n">
        <v>0</v>
      </c>
      <c r="H51" s="28">
        <f>SUMPRODUCT(('Link Inventory'!$A$2:$A$100000=$A50)*('Link Inventory'!$E$2:$E$100000="Internal")*('Link Inventory'!$F$2:$F$100000&gt;=400)*('Link Inventory'!$F$2:$F$100000&lt;600))</f>
        <v/>
      </c>
      <c r="I51" s="28" t="n">
        <v>0</v>
      </c>
      <c r="J51" s="28" t="n">
        <v>0</v>
      </c>
      <c r="K51" s="28" t="n">
        <v>0</v>
      </c>
      <c r="L51" s="28" t="b">
        <v>1</v>
      </c>
      <c r="M51" s="28" t="n">
        <v>-1</v>
      </c>
      <c r="N51" s="28" t="n">
        <v>0.012048</v>
      </c>
      <c r="O51" s="32" t="n">
        <v>0</v>
      </c>
      <c r="P51" s="28" t="n">
        <v>0</v>
      </c>
      <c r="Q51" s="28" t="n">
        <v>0</v>
      </c>
      <c r="R51" s="28" t="inlineStr"/>
      <c r="S51" s="28">
        <f>IF(H50&gt;0,"Fix "&amp;H50&amp;" broken links (See Link Inventory tab for details).","")</f>
        <v/>
      </c>
      <c r="T51" s="28" t="inlineStr">
        <is>
          <t>Links</t>
        </is>
      </c>
      <c r="U51" s="28" t="n">
        <v>0</v>
      </c>
      <c r="V51">
        <f>IFERROR(HYPERLINK("#'Main'!B"&amp;MATCH(TRIM(A51),'Main'!B:B,0),"Open"),HYPERLINK("#'Main'!B1","Open"))</f>
        <v/>
      </c>
    </row>
    <row r="52" ht="18" customHeight="1">
      <c r="A52" s="37" t="inlineStr">
        <is>
          <t>https://africanmarketingconfederation.org/smoke-archive/page-49</t>
        </is>
      </c>
      <c r="B52" s="30" t="inlineStr">
        <is>
          <t>Summary</t>
        </is>
      </c>
      <c r="C52" s="31" t="inlineStr"/>
      <c r="D52" s="30" t="inlineStr"/>
      <c r="E52" s="30" t="inlineStr"/>
      <c r="F52" s="30" t="inlineStr"/>
      <c r="G52" s="30" t="n">
        <v>0</v>
      </c>
      <c r="H52" s="30">
        <f>SUMPRODUCT(('Link Inventory'!$A$2:$A$100000=$A51)*('Link Inventory'!$E$2:$E$100000="Internal")*('Link Inventory'!$F$2:$F$100000&gt;=400)*('Link Inventory'!$F$2:$F$100000&lt;600))</f>
        <v/>
      </c>
      <c r="I52" s="30" t="n">
        <v>0</v>
      </c>
      <c r="J52" s="30" t="n">
        <v>0</v>
      </c>
      <c r="K52" s="30" t="n">
        <v>0</v>
      </c>
      <c r="L52" s="30" t="b">
        <v>1</v>
      </c>
      <c r="M52" s="30" t="n">
        <v>-1</v>
      </c>
      <c r="N52" s="30" t="n">
        <v>0.012048</v>
      </c>
      <c r="O52" s="32" t="n">
        <v>0</v>
      </c>
      <c r="P52" s="30" t="n">
        <v>0</v>
      </c>
      <c r="Q52" s="30" t="n">
        <v>0</v>
      </c>
      <c r="R52" s="30" t="inlineStr"/>
      <c r="S52" s="30">
        <f>IF(H51&gt;0,"Fix "&amp;H51&amp;" broken links (See Link Inventory tab for details).","")</f>
        <v/>
      </c>
      <c r="T52" s="30" t="inlineStr">
        <is>
          <t>Links</t>
        </is>
      </c>
      <c r="U52" s="30" t="n">
        <v>0</v>
      </c>
      <c r="V52" s="38">
        <f>IFERROR(HYPERLINK("#'Main'!B"&amp;MATCH(TRIM(A52),'Main'!B:B,0),"Open"),HYPERLINK("#'Main'!B1","Open"))</f>
        <v/>
      </c>
    </row>
    <row r="53" ht="18" customHeight="1">
      <c r="A53" s="35" t="inlineStr">
        <is>
          <t>https://africanmarketingconfederation.org/smoke-archive/page-50</t>
        </is>
      </c>
      <c r="B53" s="28" t="inlineStr">
        <is>
          <t>Summary</t>
        </is>
      </c>
      <c r="C53" s="20" t="inlineStr"/>
      <c r="D53" s="28" t="inlineStr"/>
      <c r="E53" s="28" t="inlineStr"/>
      <c r="F53" s="28" t="inlineStr"/>
      <c r="G53" s="28" t="n">
        <v>0</v>
      </c>
      <c r="H53" s="28">
        <f>SUMPRODUCT(('Link Inventory'!$A$2:$A$100000=$A52)*('Link Inventory'!$E$2:$E$100000="Internal")*('Link Inventory'!$F$2:$F$100000&gt;=400)*('Link Inventory'!$F$2:$F$100000&lt;600))</f>
        <v/>
      </c>
      <c r="I53" s="28" t="n">
        <v>0</v>
      </c>
      <c r="J53" s="28" t="n">
        <v>0</v>
      </c>
      <c r="K53" s="28" t="n">
        <v>0</v>
      </c>
      <c r="L53" s="28" t="b">
        <v>1</v>
      </c>
      <c r="M53" s="28" t="n">
        <v>-1</v>
      </c>
      <c r="N53" s="28" t="n">
        <v>0.012048</v>
      </c>
      <c r="O53" s="32" t="n">
        <v>0</v>
      </c>
      <c r="P53" s="28" t="n">
        <v>0</v>
      </c>
      <c r="Q53" s="28" t="n">
        <v>0</v>
      </c>
      <c r="R53" s="28" t="inlineStr"/>
      <c r="S53" s="28">
        <f>IF(H52&gt;0,"Fix "&amp;H52&amp;" broken links (See Link Inventory tab for details).","")</f>
        <v/>
      </c>
      <c r="T53" s="28" t="inlineStr">
        <is>
          <t>Links</t>
        </is>
      </c>
      <c r="U53" s="28" t="n">
        <v>0</v>
      </c>
      <c r="V53">
        <f>IFERROR(HYPERLINK("#'Main'!B"&amp;MATCH(TRIM(A53),'Main'!B:B,0),"Open"),HYPERLINK("#'Main'!B1","Open"))</f>
        <v/>
      </c>
    </row>
    <row r="54" ht="18" customHeight="1">
      <c r="A54" s="37" t="inlineStr">
        <is>
          <t>https://africanmarketingconfederation.org/smoke-archive/page-51</t>
        </is>
      </c>
      <c r="B54" s="30" t="inlineStr">
        <is>
          <t>Summary</t>
        </is>
      </c>
      <c r="C54" s="31" t="inlineStr"/>
      <c r="D54" s="30" t="inlineStr"/>
      <c r="E54" s="30" t="inlineStr"/>
      <c r="F54" s="30" t="inlineStr"/>
      <c r="G54" s="30" t="n">
        <v>0</v>
      </c>
      <c r="H54" s="30">
        <f>SUMPRODUCT(('Link Inventory'!$A$2:$A$100000=$A53)*('Link Inventory'!$E$2:$E$100000="Internal")*('Link Inventory'!$F$2:$F$100000&gt;=400)*('Link Inventory'!$F$2:$F$100000&lt;600))</f>
        <v/>
      </c>
      <c r="I54" s="30" t="n">
        <v>0</v>
      </c>
      <c r="J54" s="30" t="n">
        <v>0</v>
      </c>
      <c r="K54" s="30" t="n">
        <v>0</v>
      </c>
      <c r="L54" s="30" t="b">
        <v>1</v>
      </c>
      <c r="M54" s="30" t="n">
        <v>-1</v>
      </c>
      <c r="N54" s="30" t="n">
        <v>0.012048</v>
      </c>
      <c r="O54" s="32" t="n">
        <v>0</v>
      </c>
      <c r="P54" s="30" t="n">
        <v>0</v>
      </c>
      <c r="Q54" s="30" t="n">
        <v>0</v>
      </c>
      <c r="R54" s="30" t="inlineStr"/>
      <c r="S54" s="30">
        <f>IF(H53&gt;0,"Fix "&amp;H53&amp;" broken links (See Link Inventory tab for details).","")</f>
        <v/>
      </c>
      <c r="T54" s="30" t="inlineStr">
        <is>
          <t>Links</t>
        </is>
      </c>
      <c r="U54" s="30" t="n">
        <v>0</v>
      </c>
      <c r="V54" s="38">
        <f>IFERROR(HYPERLINK("#'Main'!B"&amp;MATCH(TRIM(A54),'Main'!B:B,0),"Open"),HYPERLINK("#'Main'!B1","Open"))</f>
        <v/>
      </c>
    </row>
    <row r="55" ht="18" customHeight="1">
      <c r="A55" s="35" t="inlineStr">
        <is>
          <t>https://africanmarketingconfederation.org/smoke-archive/page-52</t>
        </is>
      </c>
      <c r="B55" s="28" t="inlineStr">
        <is>
          <t>Summary</t>
        </is>
      </c>
      <c r="C55" s="20" t="inlineStr"/>
      <c r="D55" s="28" t="inlineStr"/>
      <c r="E55" s="28" t="inlineStr"/>
      <c r="F55" s="28" t="inlineStr"/>
      <c r="G55" s="28" t="n">
        <v>0</v>
      </c>
      <c r="H55" s="28">
        <f>SUMPRODUCT(('Link Inventory'!$A$2:$A$100000=$A54)*('Link Inventory'!$E$2:$E$100000="Internal")*('Link Inventory'!$F$2:$F$100000&gt;=400)*('Link Inventory'!$F$2:$F$100000&lt;600))</f>
        <v/>
      </c>
      <c r="I55" s="28" t="n">
        <v>0</v>
      </c>
      <c r="J55" s="28" t="n">
        <v>0</v>
      </c>
      <c r="K55" s="28" t="n">
        <v>0</v>
      </c>
      <c r="L55" s="28" t="b">
        <v>1</v>
      </c>
      <c r="M55" s="28" t="n">
        <v>-1</v>
      </c>
      <c r="N55" s="28" t="n">
        <v>0.012048</v>
      </c>
      <c r="O55" s="32" t="n">
        <v>0</v>
      </c>
      <c r="P55" s="28" t="n">
        <v>0</v>
      </c>
      <c r="Q55" s="28" t="n">
        <v>0</v>
      </c>
      <c r="R55" s="28" t="inlineStr"/>
      <c r="S55" s="28">
        <f>IF(H54&gt;0,"Fix "&amp;H54&amp;" broken links (See Link Inventory tab for details).","")</f>
        <v/>
      </c>
      <c r="T55" s="28" t="inlineStr">
        <is>
          <t>Links</t>
        </is>
      </c>
      <c r="U55" s="28" t="n">
        <v>0</v>
      </c>
      <c r="V55">
        <f>IFERROR(HYPERLINK("#'Main'!B"&amp;MATCH(TRIM(A55),'Main'!B:B,0),"Open"),HYPERLINK("#'Main'!B1","Open"))</f>
        <v/>
      </c>
    </row>
    <row r="56" ht="18" customHeight="1">
      <c r="A56" s="37" t="inlineStr">
        <is>
          <t>https://africanmarketingconfederation.org/smoke-archive/page-53</t>
        </is>
      </c>
      <c r="B56" s="30" t="inlineStr">
        <is>
          <t>Summary</t>
        </is>
      </c>
      <c r="C56" s="31" t="inlineStr"/>
      <c r="D56" s="30" t="inlineStr"/>
      <c r="E56" s="30" t="inlineStr"/>
      <c r="F56" s="30" t="inlineStr"/>
      <c r="G56" s="30" t="n">
        <v>0</v>
      </c>
      <c r="H56" s="30">
        <f>SUMPRODUCT(('Link Inventory'!$A$2:$A$100000=$A55)*('Link Inventory'!$E$2:$E$100000="Internal")*('Link Inventory'!$F$2:$F$100000&gt;=400)*('Link Inventory'!$F$2:$F$100000&lt;600))</f>
        <v/>
      </c>
      <c r="I56" s="30" t="n">
        <v>0</v>
      </c>
      <c r="J56" s="30" t="n">
        <v>0</v>
      </c>
      <c r="K56" s="30" t="n">
        <v>0</v>
      </c>
      <c r="L56" s="30" t="b">
        <v>1</v>
      </c>
      <c r="M56" s="30" t="n">
        <v>-1</v>
      </c>
      <c r="N56" s="30" t="n">
        <v>0.012048</v>
      </c>
      <c r="O56" s="32" t="n">
        <v>0</v>
      </c>
      <c r="P56" s="30" t="n">
        <v>0</v>
      </c>
      <c r="Q56" s="30" t="n">
        <v>0</v>
      </c>
      <c r="R56" s="30" t="inlineStr"/>
      <c r="S56" s="30">
        <f>IF(H55&gt;0,"Fix "&amp;H55&amp;" broken links (See Link Inventory tab for details).","")</f>
        <v/>
      </c>
      <c r="T56" s="30" t="inlineStr">
        <is>
          <t>Links</t>
        </is>
      </c>
      <c r="U56" s="30" t="n">
        <v>0</v>
      </c>
      <c r="V56" s="38">
        <f>IFERROR(HYPERLINK("#'Main'!B"&amp;MATCH(TRIM(A56),'Main'!B:B,0),"Open"),HYPERLINK("#'Main'!B1","Open"))</f>
        <v/>
      </c>
    </row>
    <row r="57" ht="18" customHeight="1">
      <c r="A57" s="35" t="inlineStr">
        <is>
          <t>https://africanmarketingconfederation.org/smoke-archive/page-54</t>
        </is>
      </c>
      <c r="B57" s="28" t="inlineStr">
        <is>
          <t>Summary</t>
        </is>
      </c>
      <c r="C57" s="20" t="inlineStr"/>
      <c r="D57" s="28" t="inlineStr"/>
      <c r="E57" s="28" t="inlineStr"/>
      <c r="F57" s="28" t="inlineStr"/>
      <c r="G57" s="28" t="n">
        <v>0</v>
      </c>
      <c r="H57" s="28">
        <f>SUMPRODUCT(('Link Inventory'!$A$2:$A$100000=$A56)*('Link Inventory'!$E$2:$E$100000="Internal")*('Link Inventory'!$F$2:$F$100000&gt;=400)*('Link Inventory'!$F$2:$F$100000&lt;600))</f>
        <v/>
      </c>
      <c r="I57" s="28" t="n">
        <v>0</v>
      </c>
      <c r="J57" s="28" t="n">
        <v>0</v>
      </c>
      <c r="K57" s="28" t="n">
        <v>0</v>
      </c>
      <c r="L57" s="28" t="b">
        <v>1</v>
      </c>
      <c r="M57" s="28" t="n">
        <v>-1</v>
      </c>
      <c r="N57" s="28" t="n">
        <v>0.012048</v>
      </c>
      <c r="O57" s="32" t="n">
        <v>0</v>
      </c>
      <c r="P57" s="28" t="n">
        <v>0</v>
      </c>
      <c r="Q57" s="28" t="n">
        <v>0</v>
      </c>
      <c r="R57" s="28" t="inlineStr"/>
      <c r="S57" s="28">
        <f>IF(H56&gt;0,"Fix "&amp;H56&amp;" broken links (See Link Inventory tab for details).","")</f>
        <v/>
      </c>
      <c r="T57" s="28" t="inlineStr">
        <is>
          <t>Links</t>
        </is>
      </c>
      <c r="U57" s="28" t="n">
        <v>0</v>
      </c>
      <c r="V57">
        <f>IFERROR(HYPERLINK("#'Main'!B"&amp;MATCH(TRIM(A57),'Main'!B:B,0),"Open"),HYPERLINK("#'Main'!B1","Open"))</f>
        <v/>
      </c>
    </row>
    <row r="58" ht="18" customHeight="1">
      <c r="A58" s="37" t="inlineStr">
        <is>
          <t>https://africanmarketingconfederation.org/smoke-archive/page-55</t>
        </is>
      </c>
      <c r="B58" s="30" t="inlineStr">
        <is>
          <t>Summary</t>
        </is>
      </c>
      <c r="C58" s="31" t="inlineStr"/>
      <c r="D58" s="30" t="inlineStr"/>
      <c r="E58" s="30" t="inlineStr"/>
      <c r="F58" s="30" t="inlineStr"/>
      <c r="G58" s="30" t="n">
        <v>0</v>
      </c>
      <c r="H58" s="30">
        <f>SUMPRODUCT(('Link Inventory'!$A$2:$A$100000=$A57)*('Link Inventory'!$E$2:$E$100000="Internal")*('Link Inventory'!$F$2:$F$100000&gt;=400)*('Link Inventory'!$F$2:$F$100000&lt;600))</f>
        <v/>
      </c>
      <c r="I58" s="30" t="n">
        <v>0</v>
      </c>
      <c r="J58" s="30" t="n">
        <v>0</v>
      </c>
      <c r="K58" s="30" t="n">
        <v>0</v>
      </c>
      <c r="L58" s="30" t="b">
        <v>1</v>
      </c>
      <c r="M58" s="30" t="n">
        <v>-1</v>
      </c>
      <c r="N58" s="30" t="n">
        <v>0.012048</v>
      </c>
      <c r="O58" s="32" t="n">
        <v>0</v>
      </c>
      <c r="P58" s="30" t="n">
        <v>0</v>
      </c>
      <c r="Q58" s="30" t="n">
        <v>0</v>
      </c>
      <c r="R58" s="30" t="inlineStr"/>
      <c r="S58" s="30">
        <f>IF(H57&gt;0,"Fix "&amp;H57&amp;" broken links (See Link Inventory tab for details).","")</f>
        <v/>
      </c>
      <c r="T58" s="30" t="inlineStr">
        <is>
          <t>Links</t>
        </is>
      </c>
      <c r="U58" s="30" t="n">
        <v>0</v>
      </c>
      <c r="V58" s="38">
        <f>IFERROR(HYPERLINK("#'Main'!B"&amp;MATCH(TRIM(A58),'Main'!B:B,0),"Open"),HYPERLINK("#'Main'!B1","Open"))</f>
        <v/>
      </c>
    </row>
    <row r="59" ht="18" customHeight="1">
      <c r="A59" s="35" t="inlineStr">
        <is>
          <t>https://africanmarketingconfederation.org/smoke-archive/page-56</t>
        </is>
      </c>
      <c r="B59" s="28" t="inlineStr">
        <is>
          <t>Summary</t>
        </is>
      </c>
      <c r="C59" s="20" t="inlineStr"/>
      <c r="D59" s="28" t="inlineStr"/>
      <c r="E59" s="28" t="inlineStr"/>
      <c r="F59" s="28" t="inlineStr"/>
      <c r="G59" s="28" t="n">
        <v>0</v>
      </c>
      <c r="H59" s="28">
        <f>SUMPRODUCT(('Link Inventory'!$A$2:$A$100000=$A58)*('Link Inventory'!$E$2:$E$100000="Internal")*('Link Inventory'!$F$2:$F$100000&gt;=400)*('Link Inventory'!$F$2:$F$100000&lt;600))</f>
        <v/>
      </c>
      <c r="I59" s="28" t="n">
        <v>0</v>
      </c>
      <c r="J59" s="28" t="n">
        <v>0</v>
      </c>
      <c r="K59" s="28" t="n">
        <v>0</v>
      </c>
      <c r="L59" s="28" t="b">
        <v>1</v>
      </c>
      <c r="M59" s="28" t="n">
        <v>-1</v>
      </c>
      <c r="N59" s="28" t="n">
        <v>0.012048</v>
      </c>
      <c r="O59" s="32" t="n">
        <v>0</v>
      </c>
      <c r="P59" s="28" t="n">
        <v>0</v>
      </c>
      <c r="Q59" s="28" t="n">
        <v>0</v>
      </c>
      <c r="R59" s="28" t="inlineStr"/>
      <c r="S59" s="28">
        <f>IF(H58&gt;0,"Fix "&amp;H58&amp;" broken links (See Link Inventory tab for details).","")</f>
        <v/>
      </c>
      <c r="T59" s="28" t="inlineStr">
        <is>
          <t>Links</t>
        </is>
      </c>
      <c r="U59" s="28" t="n">
        <v>0</v>
      </c>
      <c r="V59">
        <f>IFERROR(HYPERLINK("#'Main'!B"&amp;MATCH(TRIM(A59),'Main'!B:B,0),"Open"),HYPERLINK("#'Main'!B1","Open"))</f>
        <v/>
      </c>
    </row>
    <row r="60" ht="18" customHeight="1">
      <c r="A60" s="37" t="inlineStr">
        <is>
          <t>https://africanmarketingconfederation.org/smoke-archive/page-57</t>
        </is>
      </c>
      <c r="B60" s="30" t="inlineStr">
        <is>
          <t>Summary</t>
        </is>
      </c>
      <c r="C60" s="31" t="inlineStr"/>
      <c r="D60" s="30" t="inlineStr"/>
      <c r="E60" s="30" t="inlineStr"/>
      <c r="F60" s="30" t="inlineStr"/>
      <c r="G60" s="30" t="n">
        <v>0</v>
      </c>
      <c r="H60" s="30">
        <f>SUMPRODUCT(('Link Inventory'!$A$2:$A$100000=$A59)*('Link Inventory'!$E$2:$E$100000="Internal")*('Link Inventory'!$F$2:$F$100000&gt;=400)*('Link Inventory'!$F$2:$F$100000&lt;600))</f>
        <v/>
      </c>
      <c r="I60" s="30" t="n">
        <v>0</v>
      </c>
      <c r="J60" s="30" t="n">
        <v>0</v>
      </c>
      <c r="K60" s="30" t="n">
        <v>0</v>
      </c>
      <c r="L60" s="30" t="b">
        <v>1</v>
      </c>
      <c r="M60" s="30" t="n">
        <v>-1</v>
      </c>
      <c r="N60" s="30" t="n">
        <v>0.012048</v>
      </c>
      <c r="O60" s="32" t="n">
        <v>0</v>
      </c>
      <c r="P60" s="30" t="n">
        <v>0</v>
      </c>
      <c r="Q60" s="30" t="n">
        <v>0</v>
      </c>
      <c r="R60" s="30" t="inlineStr"/>
      <c r="S60" s="30">
        <f>IF(H59&gt;0,"Fix "&amp;H59&amp;" broken links (See Link Inventory tab for details).","")</f>
        <v/>
      </c>
      <c r="T60" s="30" t="inlineStr">
        <is>
          <t>Links</t>
        </is>
      </c>
      <c r="U60" s="30" t="n">
        <v>0</v>
      </c>
      <c r="V60" s="38">
        <f>IFERROR(HYPERLINK("#'Main'!B"&amp;MATCH(TRIM(A60),'Main'!B:B,0),"Open"),HYPERLINK("#'Main'!B1","Open"))</f>
        <v/>
      </c>
    </row>
    <row r="61" ht="18" customHeight="1">
      <c r="A61" s="35" t="inlineStr">
        <is>
          <t>https://africanmarketingconfederation.org/smoke-archive/page-58</t>
        </is>
      </c>
      <c r="B61" s="28" t="inlineStr">
        <is>
          <t>Summary</t>
        </is>
      </c>
      <c r="C61" s="20" t="inlineStr"/>
      <c r="D61" s="28" t="inlineStr"/>
      <c r="E61" s="28" t="inlineStr"/>
      <c r="F61" s="28" t="inlineStr"/>
      <c r="G61" s="28" t="n">
        <v>0</v>
      </c>
      <c r="H61" s="28">
        <f>SUMPRODUCT(('Link Inventory'!$A$2:$A$100000=$A60)*('Link Inventory'!$E$2:$E$100000="Internal")*('Link Inventory'!$F$2:$F$100000&gt;=400)*('Link Inventory'!$F$2:$F$100000&lt;600))</f>
        <v/>
      </c>
      <c r="I61" s="28" t="n">
        <v>0</v>
      </c>
      <c r="J61" s="28" t="n">
        <v>0</v>
      </c>
      <c r="K61" s="28" t="n">
        <v>0</v>
      </c>
      <c r="L61" s="28" t="b">
        <v>1</v>
      </c>
      <c r="M61" s="28" t="n">
        <v>-1</v>
      </c>
      <c r="N61" s="28" t="n">
        <v>0.012048</v>
      </c>
      <c r="O61" s="32" t="n">
        <v>0</v>
      </c>
      <c r="P61" s="28" t="n">
        <v>0</v>
      </c>
      <c r="Q61" s="28" t="n">
        <v>0</v>
      </c>
      <c r="R61" s="28" t="inlineStr"/>
      <c r="S61" s="28">
        <f>IF(H60&gt;0,"Fix "&amp;H60&amp;" broken links (See Link Inventory tab for details).","")</f>
        <v/>
      </c>
      <c r="T61" s="28" t="inlineStr">
        <is>
          <t>Links</t>
        </is>
      </c>
      <c r="U61" s="28" t="n">
        <v>0</v>
      </c>
      <c r="V61">
        <f>IFERROR(HYPERLINK("#'Main'!B"&amp;MATCH(TRIM(A61),'Main'!B:B,0),"Open"),HYPERLINK("#'Main'!B1","Open"))</f>
        <v/>
      </c>
    </row>
    <row r="62" ht="18" customHeight="1">
      <c r="A62" s="37" t="inlineStr">
        <is>
          <t>https://africanmarketingconfederation.org/smoke-archive/page-59</t>
        </is>
      </c>
      <c r="B62" s="30" t="inlineStr">
        <is>
          <t>Summary</t>
        </is>
      </c>
      <c r="C62" s="31" t="inlineStr"/>
      <c r="D62" s="30" t="inlineStr"/>
      <c r="E62" s="30" t="inlineStr"/>
      <c r="F62" s="30" t="inlineStr"/>
      <c r="G62" s="30" t="n">
        <v>0</v>
      </c>
      <c r="H62" s="30">
        <f>SUMPRODUCT(('Link Inventory'!$A$2:$A$100000=$A61)*('Link Inventory'!$E$2:$E$100000="Internal")*('Link Inventory'!$F$2:$F$100000&gt;=400)*('Link Inventory'!$F$2:$F$100000&lt;600))</f>
        <v/>
      </c>
      <c r="I62" s="30" t="n">
        <v>0</v>
      </c>
      <c r="J62" s="30" t="n">
        <v>0</v>
      </c>
      <c r="K62" s="30" t="n">
        <v>0</v>
      </c>
      <c r="L62" s="30" t="b">
        <v>1</v>
      </c>
      <c r="M62" s="30" t="n">
        <v>-1</v>
      </c>
      <c r="N62" s="30" t="n">
        <v>0.012048</v>
      </c>
      <c r="O62" s="32" t="n">
        <v>0</v>
      </c>
      <c r="P62" s="30" t="n">
        <v>0</v>
      </c>
      <c r="Q62" s="30" t="n">
        <v>0</v>
      </c>
      <c r="R62" s="30" t="inlineStr"/>
      <c r="S62" s="30">
        <f>IF(H61&gt;0,"Fix "&amp;H61&amp;" broken links (See Link Inventory tab for details).","")</f>
        <v/>
      </c>
      <c r="T62" s="30" t="inlineStr">
        <is>
          <t>Links</t>
        </is>
      </c>
      <c r="U62" s="30" t="n">
        <v>0</v>
      </c>
      <c r="V62" s="38">
        <f>IFERROR(HYPERLINK("#'Main'!B"&amp;MATCH(TRIM(A62),'Main'!B:B,0),"Open"),HYPERLINK("#'Main'!B1","Open"))</f>
        <v/>
      </c>
    </row>
    <row r="63" ht="18" customHeight="1">
      <c r="A63" s="35" t="inlineStr">
        <is>
          <t>https://africanmarketingconfederation.org/smoke-archive/page-60</t>
        </is>
      </c>
      <c r="B63" s="28" t="inlineStr">
        <is>
          <t>Summary</t>
        </is>
      </c>
      <c r="C63" s="20" t="inlineStr"/>
      <c r="D63" s="28" t="inlineStr"/>
      <c r="E63" s="28" t="inlineStr"/>
      <c r="F63" s="28" t="inlineStr"/>
      <c r="G63" s="28" t="n">
        <v>0</v>
      </c>
      <c r="H63" s="28">
        <f>SUMPRODUCT(('Link Inventory'!$A$2:$A$100000=$A62)*('Link Inventory'!$E$2:$E$100000="Internal")*('Link Inventory'!$F$2:$F$100000&gt;=400)*('Link Inventory'!$F$2:$F$100000&lt;600))</f>
        <v/>
      </c>
      <c r="I63" s="28" t="n">
        <v>0</v>
      </c>
      <c r="J63" s="28" t="n">
        <v>0</v>
      </c>
      <c r="K63" s="28" t="n">
        <v>0</v>
      </c>
      <c r="L63" s="28" t="b">
        <v>1</v>
      </c>
      <c r="M63" s="28" t="n">
        <v>-1</v>
      </c>
      <c r="N63" s="28" t="n">
        <v>0.012048</v>
      </c>
      <c r="O63" s="32" t="n">
        <v>0</v>
      </c>
      <c r="P63" s="28" t="n">
        <v>0</v>
      </c>
      <c r="Q63" s="28" t="n">
        <v>0</v>
      </c>
      <c r="R63" s="28" t="inlineStr"/>
      <c r="S63" s="28">
        <f>IF(H62&gt;0,"Fix "&amp;H62&amp;" broken links (See Link Inventory tab for details).","")</f>
        <v/>
      </c>
      <c r="T63" s="28" t="inlineStr">
        <is>
          <t>Links</t>
        </is>
      </c>
      <c r="U63" s="28" t="n">
        <v>0</v>
      </c>
      <c r="V63">
        <f>IFERROR(HYPERLINK("#'Main'!B"&amp;MATCH(TRIM(A63),'Main'!B:B,0),"Open"),HYPERLINK("#'Main'!B1","Open"))</f>
        <v/>
      </c>
    </row>
    <row r="64" ht="18" customHeight="1">
      <c r="A64" s="37" t="inlineStr">
        <is>
          <t>https://africanmarketingconfederation.org/smoke-archive/page-61</t>
        </is>
      </c>
      <c r="B64" s="30" t="inlineStr">
        <is>
          <t>Summary</t>
        </is>
      </c>
      <c r="C64" s="31" t="inlineStr"/>
      <c r="D64" s="30" t="inlineStr"/>
      <c r="E64" s="30" t="inlineStr"/>
      <c r="F64" s="30" t="inlineStr"/>
      <c r="G64" s="30" t="n">
        <v>0</v>
      </c>
      <c r="H64" s="30">
        <f>SUMPRODUCT(('Link Inventory'!$A$2:$A$100000=$A63)*('Link Inventory'!$E$2:$E$100000="Internal")*('Link Inventory'!$F$2:$F$100000&gt;=400)*('Link Inventory'!$F$2:$F$100000&lt;600))</f>
        <v/>
      </c>
      <c r="I64" s="30" t="n">
        <v>0</v>
      </c>
      <c r="J64" s="30" t="n">
        <v>0</v>
      </c>
      <c r="K64" s="30" t="n">
        <v>0</v>
      </c>
      <c r="L64" s="30" t="b">
        <v>1</v>
      </c>
      <c r="M64" s="30" t="n">
        <v>-1</v>
      </c>
      <c r="N64" s="30" t="n">
        <v>0.012048</v>
      </c>
      <c r="O64" s="32" t="n">
        <v>0</v>
      </c>
      <c r="P64" s="30" t="n">
        <v>0</v>
      </c>
      <c r="Q64" s="30" t="n">
        <v>0</v>
      </c>
      <c r="R64" s="30" t="inlineStr"/>
      <c r="S64" s="30">
        <f>IF(H63&gt;0,"Fix "&amp;H63&amp;" broken links (See Link Inventory tab for details).","")</f>
        <v/>
      </c>
      <c r="T64" s="30" t="inlineStr">
        <is>
          <t>Links</t>
        </is>
      </c>
      <c r="U64" s="30" t="n">
        <v>0</v>
      </c>
      <c r="V64" s="38">
        <f>IFERROR(HYPERLINK("#'Main'!B"&amp;MATCH(TRIM(A64),'Main'!B:B,0),"Open"),HYPERLINK("#'Main'!B1","Open"))</f>
        <v/>
      </c>
    </row>
    <row r="65" ht="18" customHeight="1">
      <c r="A65" s="35" t="inlineStr">
        <is>
          <t>https://africanmarketingconfederation.org/smoke-archive/page-62</t>
        </is>
      </c>
      <c r="B65" s="28" t="inlineStr">
        <is>
          <t>Summary</t>
        </is>
      </c>
      <c r="C65" s="20" t="inlineStr"/>
      <c r="D65" s="28" t="inlineStr"/>
      <c r="E65" s="28" t="inlineStr"/>
      <c r="F65" s="28" t="inlineStr"/>
      <c r="G65" s="28" t="n">
        <v>0</v>
      </c>
      <c r="H65" s="28">
        <f>SUMPRODUCT(('Link Inventory'!$A$2:$A$100000=$A64)*('Link Inventory'!$E$2:$E$100000="Internal")*('Link Inventory'!$F$2:$F$100000&gt;=400)*('Link Inventory'!$F$2:$F$100000&lt;600))</f>
        <v/>
      </c>
      <c r="I65" s="28" t="n">
        <v>0</v>
      </c>
      <c r="J65" s="28" t="n">
        <v>0</v>
      </c>
      <c r="K65" s="28" t="n">
        <v>0</v>
      </c>
      <c r="L65" s="28" t="b">
        <v>1</v>
      </c>
      <c r="M65" s="28" t="n">
        <v>-1</v>
      </c>
      <c r="N65" s="28" t="n">
        <v>0.012048</v>
      </c>
      <c r="O65" s="32" t="n">
        <v>0</v>
      </c>
      <c r="P65" s="28" t="n">
        <v>0</v>
      </c>
      <c r="Q65" s="28" t="n">
        <v>0</v>
      </c>
      <c r="R65" s="28" t="inlineStr"/>
      <c r="S65" s="28">
        <f>IF(H64&gt;0,"Fix "&amp;H64&amp;" broken links (See Link Inventory tab for details).","")</f>
        <v/>
      </c>
      <c r="T65" s="28" t="inlineStr">
        <is>
          <t>Links</t>
        </is>
      </c>
      <c r="U65" s="28" t="n">
        <v>0</v>
      </c>
      <c r="V65">
        <f>IFERROR(HYPERLINK("#'Main'!B"&amp;MATCH(TRIM(A65),'Main'!B:B,0),"Open"),HYPERLINK("#'Main'!B1","Open"))</f>
        <v/>
      </c>
    </row>
    <row r="66" ht="18" customHeight="1">
      <c r="A66" s="37" t="inlineStr">
        <is>
          <t>https://africanmarketingconfederation.org/smoke-archive/page-63</t>
        </is>
      </c>
      <c r="B66" s="30" t="inlineStr">
        <is>
          <t>Summary</t>
        </is>
      </c>
      <c r="C66" s="31" t="inlineStr"/>
      <c r="D66" s="30" t="inlineStr"/>
      <c r="E66" s="30" t="inlineStr"/>
      <c r="F66" s="30" t="inlineStr"/>
      <c r="G66" s="30" t="n">
        <v>0</v>
      </c>
      <c r="H66" s="30">
        <f>SUMPRODUCT(('Link Inventory'!$A$2:$A$100000=$A65)*('Link Inventory'!$E$2:$E$100000="Internal")*('Link Inventory'!$F$2:$F$100000&gt;=400)*('Link Inventory'!$F$2:$F$100000&lt;600))</f>
        <v/>
      </c>
      <c r="I66" s="30" t="n">
        <v>0</v>
      </c>
      <c r="J66" s="30" t="n">
        <v>0</v>
      </c>
      <c r="K66" s="30" t="n">
        <v>0</v>
      </c>
      <c r="L66" s="30" t="b">
        <v>1</v>
      </c>
      <c r="M66" s="30" t="n">
        <v>-1</v>
      </c>
      <c r="N66" s="30" t="n">
        <v>0.012048</v>
      </c>
      <c r="O66" s="32" t="n">
        <v>0</v>
      </c>
      <c r="P66" s="30" t="n">
        <v>0</v>
      </c>
      <c r="Q66" s="30" t="n">
        <v>0</v>
      </c>
      <c r="R66" s="30" t="inlineStr"/>
      <c r="S66" s="30">
        <f>IF(H65&gt;0,"Fix "&amp;H65&amp;" broken links (See Link Inventory tab for details).","")</f>
        <v/>
      </c>
      <c r="T66" s="30" t="inlineStr">
        <is>
          <t>Links</t>
        </is>
      </c>
      <c r="U66" s="30" t="n">
        <v>0</v>
      </c>
      <c r="V66" s="38">
        <f>IFERROR(HYPERLINK("#'Main'!B"&amp;MATCH(TRIM(A66),'Main'!B:B,0),"Open"),HYPERLINK("#'Main'!B1","Open"))</f>
        <v/>
      </c>
    </row>
    <row r="67" ht="18" customHeight="1">
      <c r="A67" s="35" t="inlineStr">
        <is>
          <t>https://africanmarketingconfederation.org/smoke-archive/page-64</t>
        </is>
      </c>
      <c r="B67" s="28" t="inlineStr">
        <is>
          <t>Summary</t>
        </is>
      </c>
      <c r="C67" s="20" t="inlineStr"/>
      <c r="D67" s="28" t="inlineStr"/>
      <c r="E67" s="28" t="inlineStr"/>
      <c r="F67" s="28" t="inlineStr"/>
      <c r="G67" s="28" t="n">
        <v>0</v>
      </c>
      <c r="H67" s="28">
        <f>SUMPRODUCT(('Link Inventory'!$A$2:$A$100000=$A66)*('Link Inventory'!$E$2:$E$100000="Internal")*('Link Inventory'!$F$2:$F$100000&gt;=400)*('Link Inventory'!$F$2:$F$100000&lt;600))</f>
        <v/>
      </c>
      <c r="I67" s="28" t="n">
        <v>0</v>
      </c>
      <c r="J67" s="28" t="n">
        <v>0</v>
      </c>
      <c r="K67" s="28" t="n">
        <v>0</v>
      </c>
      <c r="L67" s="28" t="b">
        <v>1</v>
      </c>
      <c r="M67" s="28" t="n">
        <v>-1</v>
      </c>
      <c r="N67" s="28" t="n">
        <v>0.012048</v>
      </c>
      <c r="O67" s="32" t="n">
        <v>0</v>
      </c>
      <c r="P67" s="28" t="n">
        <v>0</v>
      </c>
      <c r="Q67" s="28" t="n">
        <v>0</v>
      </c>
      <c r="R67" s="28" t="inlineStr"/>
      <c r="S67" s="28">
        <f>IF(H66&gt;0,"Fix "&amp;H66&amp;" broken links (See Link Inventory tab for details).","")</f>
        <v/>
      </c>
      <c r="T67" s="28" t="inlineStr">
        <is>
          <t>Links</t>
        </is>
      </c>
      <c r="U67" s="28" t="n">
        <v>0</v>
      </c>
      <c r="V67">
        <f>IFERROR(HYPERLINK("#'Main'!B"&amp;MATCH(TRIM(A67),'Main'!B:B,0),"Open"),HYPERLINK("#'Main'!B1","Open"))</f>
        <v/>
      </c>
    </row>
    <row r="68" ht="18" customHeight="1">
      <c r="A68" s="37" t="inlineStr">
        <is>
          <t>https://africanmarketingconfederation.org/smoke-archive/page-65</t>
        </is>
      </c>
      <c r="B68" s="30" t="inlineStr">
        <is>
          <t>Summary</t>
        </is>
      </c>
      <c r="C68" s="31" t="inlineStr"/>
      <c r="D68" s="30" t="inlineStr"/>
      <c r="E68" s="30" t="inlineStr"/>
      <c r="F68" s="30" t="inlineStr"/>
      <c r="G68" s="30" t="n">
        <v>0</v>
      </c>
      <c r="H68" s="30">
        <f>SUMPRODUCT(('Link Inventory'!$A$2:$A$100000=$A67)*('Link Inventory'!$E$2:$E$100000="Internal")*('Link Inventory'!$F$2:$F$100000&gt;=400)*('Link Inventory'!$F$2:$F$100000&lt;600))</f>
        <v/>
      </c>
      <c r="I68" s="30" t="n">
        <v>0</v>
      </c>
      <c r="J68" s="30" t="n">
        <v>0</v>
      </c>
      <c r="K68" s="30" t="n">
        <v>0</v>
      </c>
      <c r="L68" s="30" t="b">
        <v>1</v>
      </c>
      <c r="M68" s="30" t="n">
        <v>-1</v>
      </c>
      <c r="N68" s="30" t="n">
        <v>0.012048</v>
      </c>
      <c r="O68" s="32" t="n">
        <v>0</v>
      </c>
      <c r="P68" s="30" t="n">
        <v>0</v>
      </c>
      <c r="Q68" s="30" t="n">
        <v>0</v>
      </c>
      <c r="R68" s="30" t="inlineStr"/>
      <c r="S68" s="30">
        <f>IF(H67&gt;0,"Fix "&amp;H67&amp;" broken links (See Link Inventory tab for details).","")</f>
        <v/>
      </c>
      <c r="T68" s="30" t="inlineStr">
        <is>
          <t>Links</t>
        </is>
      </c>
      <c r="U68" s="30" t="n">
        <v>0</v>
      </c>
      <c r="V68" s="38">
        <f>IFERROR(HYPERLINK("#'Main'!B"&amp;MATCH(TRIM(A68),'Main'!B:B,0),"Open"),HYPERLINK("#'Main'!B1","Open"))</f>
        <v/>
      </c>
    </row>
    <row r="69" ht="18" customHeight="1">
      <c r="A69" s="35" t="inlineStr">
        <is>
          <t>https://africanmarketingconfederation.org/smoke-archive/page-66</t>
        </is>
      </c>
      <c r="B69" s="28" t="inlineStr">
        <is>
          <t>Summary</t>
        </is>
      </c>
      <c r="C69" s="20" t="inlineStr"/>
      <c r="D69" s="28" t="inlineStr"/>
      <c r="E69" s="28" t="inlineStr"/>
      <c r="F69" s="28" t="inlineStr"/>
      <c r="G69" s="28" t="n">
        <v>0</v>
      </c>
      <c r="H69" s="28">
        <f>SUMPRODUCT(('Link Inventory'!$A$2:$A$100000=$A68)*('Link Inventory'!$E$2:$E$100000="Internal")*('Link Inventory'!$F$2:$F$100000&gt;=400)*('Link Inventory'!$F$2:$F$100000&lt;600))</f>
        <v/>
      </c>
      <c r="I69" s="28" t="n">
        <v>0</v>
      </c>
      <c r="J69" s="28" t="n">
        <v>0</v>
      </c>
      <c r="K69" s="28" t="n">
        <v>0</v>
      </c>
      <c r="L69" s="28" t="b">
        <v>1</v>
      </c>
      <c r="M69" s="28" t="n">
        <v>-1</v>
      </c>
      <c r="N69" s="28" t="n">
        <v>0.012048</v>
      </c>
      <c r="O69" s="32" t="n">
        <v>0</v>
      </c>
      <c r="P69" s="28" t="n">
        <v>0</v>
      </c>
      <c r="Q69" s="28" t="n">
        <v>0</v>
      </c>
      <c r="R69" s="28" t="inlineStr"/>
      <c r="S69" s="28">
        <f>IF(H68&gt;0,"Fix "&amp;H68&amp;" broken links (See Link Inventory tab for details).","")</f>
        <v/>
      </c>
      <c r="T69" s="28" t="inlineStr">
        <is>
          <t>Links</t>
        </is>
      </c>
      <c r="U69" s="28" t="n">
        <v>0</v>
      </c>
      <c r="V69">
        <f>IFERROR(HYPERLINK("#'Main'!B"&amp;MATCH(TRIM(A69),'Main'!B:B,0),"Open"),HYPERLINK("#'Main'!B1","Open"))</f>
        <v/>
      </c>
    </row>
    <row r="70" ht="18" customHeight="1">
      <c r="A70" s="37" t="inlineStr">
        <is>
          <t>https://africanmarketingconfederation.org/smoke-archive/page-67</t>
        </is>
      </c>
      <c r="B70" s="30" t="inlineStr">
        <is>
          <t>Summary</t>
        </is>
      </c>
      <c r="C70" s="31" t="inlineStr"/>
      <c r="D70" s="30" t="inlineStr"/>
      <c r="E70" s="30" t="inlineStr"/>
      <c r="F70" s="30" t="inlineStr"/>
      <c r="G70" s="30" t="n">
        <v>0</v>
      </c>
      <c r="H70" s="30">
        <f>SUMPRODUCT(('Link Inventory'!$A$2:$A$100000=$A69)*('Link Inventory'!$E$2:$E$100000="Internal")*('Link Inventory'!$F$2:$F$100000&gt;=400)*('Link Inventory'!$F$2:$F$100000&lt;600))</f>
        <v/>
      </c>
      <c r="I70" s="30" t="n">
        <v>0</v>
      </c>
      <c r="J70" s="30" t="n">
        <v>0</v>
      </c>
      <c r="K70" s="30" t="n">
        <v>0</v>
      </c>
      <c r="L70" s="30" t="b">
        <v>1</v>
      </c>
      <c r="M70" s="30" t="n">
        <v>-1</v>
      </c>
      <c r="N70" s="30" t="n">
        <v>0.012048</v>
      </c>
      <c r="O70" s="32" t="n">
        <v>0</v>
      </c>
      <c r="P70" s="30" t="n">
        <v>0</v>
      </c>
      <c r="Q70" s="30" t="n">
        <v>0</v>
      </c>
      <c r="R70" s="30" t="inlineStr"/>
      <c r="S70" s="30">
        <f>IF(H69&gt;0,"Fix "&amp;H69&amp;" broken links (See Link Inventory tab for details).","")</f>
        <v/>
      </c>
      <c r="T70" s="30" t="inlineStr">
        <is>
          <t>Links</t>
        </is>
      </c>
      <c r="U70" s="30" t="n">
        <v>0</v>
      </c>
      <c r="V70" s="38">
        <f>IFERROR(HYPERLINK("#'Main'!B"&amp;MATCH(TRIM(A70),'Main'!B:B,0),"Open"),HYPERLINK("#'Main'!B1","Open"))</f>
        <v/>
      </c>
    </row>
    <row r="71" ht="18" customHeight="1">
      <c r="A71" s="35" t="inlineStr">
        <is>
          <t>https://africanmarketingconfederation.org/smoke-archive/page-68</t>
        </is>
      </c>
      <c r="B71" s="28" t="inlineStr">
        <is>
          <t>Summary</t>
        </is>
      </c>
      <c r="C71" s="20" t="inlineStr"/>
      <c r="D71" s="28" t="inlineStr"/>
      <c r="E71" s="28" t="inlineStr"/>
      <c r="F71" s="28" t="inlineStr"/>
      <c r="G71" s="28" t="n">
        <v>0</v>
      </c>
      <c r="H71" s="28">
        <f>SUMPRODUCT(('Link Inventory'!$A$2:$A$100000=$A70)*('Link Inventory'!$E$2:$E$100000="Internal")*('Link Inventory'!$F$2:$F$100000&gt;=400)*('Link Inventory'!$F$2:$F$100000&lt;600))</f>
        <v/>
      </c>
      <c r="I71" s="28" t="n">
        <v>0</v>
      </c>
      <c r="J71" s="28" t="n">
        <v>0</v>
      </c>
      <c r="K71" s="28" t="n">
        <v>0</v>
      </c>
      <c r="L71" s="28" t="b">
        <v>1</v>
      </c>
      <c r="M71" s="28" t="n">
        <v>-1</v>
      </c>
      <c r="N71" s="28" t="n">
        <v>0.012048</v>
      </c>
      <c r="O71" s="32" t="n">
        <v>0</v>
      </c>
      <c r="P71" s="28" t="n">
        <v>0</v>
      </c>
      <c r="Q71" s="28" t="n">
        <v>0</v>
      </c>
      <c r="R71" s="28" t="inlineStr"/>
      <c r="S71" s="28">
        <f>IF(H70&gt;0,"Fix "&amp;H70&amp;" broken links (See Link Inventory tab for details).","")</f>
        <v/>
      </c>
      <c r="T71" s="28" t="inlineStr">
        <is>
          <t>Links</t>
        </is>
      </c>
      <c r="U71" s="28" t="n">
        <v>0</v>
      </c>
      <c r="V71">
        <f>IFERROR(HYPERLINK("#'Main'!B"&amp;MATCH(TRIM(A71),'Main'!B:B,0),"Open"),HYPERLINK("#'Main'!B1","Open"))</f>
        <v/>
      </c>
    </row>
    <row r="72" ht="30" customHeight="1">
      <c r="A72" s="37" t="inlineStr">
        <is>
          <t>https://africanmarketingconfederation.org/smoke-archive/page-69</t>
        </is>
      </c>
      <c r="B72" s="30" t="inlineStr">
        <is>
          <t>Summary</t>
        </is>
      </c>
      <c r="C72" s="31" t="inlineStr"/>
      <c r="D72" s="30" t="inlineStr"/>
      <c r="E72" s="30" t="inlineStr"/>
      <c r="F72" s="30" t="inlineStr"/>
      <c r="G72" s="30" t="n">
        <v>0</v>
      </c>
      <c r="H72" s="30">
        <f>SUMPRODUCT(('Link Inventory'!$A$2:$A$100000=$A71)*('Link Inventory'!$E$2:$E$100000="Internal")*('Link Inventory'!$F$2:$F$100000&gt;=400)*('Link Inventory'!$F$2:$F$100000&lt;600))</f>
        <v/>
      </c>
      <c r="I72" s="30" t="n">
        <v>0</v>
      </c>
      <c r="J72" s="30" t="n">
        <v>0</v>
      </c>
      <c r="K72" s="30" t="n">
        <v>0</v>
      </c>
      <c r="L72" s="30" t="b">
        <v>1</v>
      </c>
      <c r="M72" s="30" t="n">
        <v>-1</v>
      </c>
      <c r="N72" s="30" t="n">
        <v>0.012048</v>
      </c>
      <c r="O72" s="32" t="n">
        <v>0</v>
      </c>
      <c r="P72" s="30" t="n">
        <v>0</v>
      </c>
      <c r="Q72" s="30" t="n">
        <v>0</v>
      </c>
      <c r="R72" s="30" t="inlineStr">
        <is>
          <t>https://africanmarketingconfederation.org/smoke-archive/page-68/ =&gt; Timeout</t>
        </is>
      </c>
      <c r="S72" s="30">
        <f>IF(H71&gt;0,"Fix "&amp;H71&amp;" broken links (See Link Inventory tab for details).","")</f>
        <v/>
      </c>
      <c r="T72" s="30" t="inlineStr">
        <is>
          <t>Links</t>
        </is>
      </c>
      <c r="U72" s="30" t="n">
        <v>0</v>
      </c>
      <c r="V72" s="38">
        <f>IFERROR(HYPERLINK("#'Main'!B"&amp;MATCH(TRIM(A72),'Main'!B:B,0),"Open"),HYPERLINK("#'Main'!B1","Open"))</f>
        <v/>
      </c>
    </row>
    <row r="73" ht="18" customHeight="1">
      <c r="A73" s="35" t="inlineStr">
        <is>
          <t>https://africanmarketingconfederation.org/smoke-archive/page-70</t>
        </is>
      </c>
      <c r="B73" s="28" t="inlineStr">
        <is>
          <t>Summary</t>
        </is>
      </c>
      <c r="C73" s="20" t="inlineStr"/>
      <c r="D73" s="28" t="inlineStr"/>
      <c r="E73" s="28" t="inlineStr"/>
      <c r="F73" s="28" t="inlineStr"/>
      <c r="G73" s="28" t="n">
        <v>0</v>
      </c>
      <c r="H73" s="28">
        <f>SUMPRODUCT(('Link Inventory'!$A$2:$A$100000=$A72)*('Link Inventory'!$E$2:$E$100000="Internal")*('Link Inventory'!$F$2:$F$100000&gt;=400)*('Link Inventory'!$F$2:$F$100000&lt;600))</f>
        <v/>
      </c>
      <c r="I73" s="28" t="n">
        <v>0</v>
      </c>
      <c r="J73" s="28" t="n">
        <v>0</v>
      </c>
      <c r="K73" s="28" t="n">
        <v>0</v>
      </c>
      <c r="L73" s="28" t="b">
        <v>1</v>
      </c>
      <c r="M73" s="28" t="n">
        <v>-1</v>
      </c>
      <c r="N73" s="28" t="n">
        <v>0.012048</v>
      </c>
      <c r="O73" s="32" t="n">
        <v>0</v>
      </c>
      <c r="P73" s="28" t="n">
        <v>0</v>
      </c>
      <c r="Q73" s="28" t="n">
        <v>0</v>
      </c>
      <c r="R73" s="28" t="inlineStr"/>
      <c r="S73" s="28">
        <f>IF(H72&gt;0,"Fix "&amp;H72&amp;" broken links (See Link Inventory tab for details).","")</f>
        <v/>
      </c>
      <c r="T73" s="28" t="inlineStr">
        <is>
          <t>Links</t>
        </is>
      </c>
      <c r="U73" s="28" t="n">
        <v>0</v>
      </c>
      <c r="V73">
        <f>IFERROR(HYPERLINK("#'Main'!B"&amp;MATCH(TRIM(A73),'Main'!B:B,0),"Open"),HYPERLINK("#'Main'!B1","Open"))</f>
        <v/>
      </c>
    </row>
    <row r="74" ht="18" customHeight="1">
      <c r="A74" s="37" t="inlineStr">
        <is>
          <t>https://africanmarketingconfederation.org/smoke-archive/page-71</t>
        </is>
      </c>
      <c r="B74" s="30" t="inlineStr">
        <is>
          <t>Summary</t>
        </is>
      </c>
      <c r="C74" s="31" t="inlineStr"/>
      <c r="D74" s="30" t="inlineStr"/>
      <c r="E74" s="30" t="inlineStr"/>
      <c r="F74" s="30" t="inlineStr"/>
      <c r="G74" s="30" t="n">
        <v>0</v>
      </c>
      <c r="H74" s="30">
        <f>SUMPRODUCT(('Link Inventory'!$A$2:$A$100000=$A73)*('Link Inventory'!$E$2:$E$100000="Internal")*('Link Inventory'!$F$2:$F$100000&gt;=400)*('Link Inventory'!$F$2:$F$100000&lt;600))</f>
        <v/>
      </c>
      <c r="I74" s="30" t="n">
        <v>0</v>
      </c>
      <c r="J74" s="30" t="n">
        <v>0</v>
      </c>
      <c r="K74" s="30" t="n">
        <v>0</v>
      </c>
      <c r="L74" s="30" t="b">
        <v>1</v>
      </c>
      <c r="M74" s="30" t="n">
        <v>-1</v>
      </c>
      <c r="N74" s="30" t="n">
        <v>0.012048</v>
      </c>
      <c r="O74" s="32" t="n">
        <v>0</v>
      </c>
      <c r="P74" s="30" t="n">
        <v>0</v>
      </c>
      <c r="Q74" s="30" t="n">
        <v>0</v>
      </c>
      <c r="R74" s="30" t="inlineStr"/>
      <c r="S74" s="30">
        <f>IF(H73&gt;0,"Fix "&amp;H73&amp;" broken links (See Link Inventory tab for details).","")</f>
        <v/>
      </c>
      <c r="T74" s="30" t="inlineStr">
        <is>
          <t>Links</t>
        </is>
      </c>
      <c r="U74" s="30" t="n">
        <v>0</v>
      </c>
      <c r="V74" s="38">
        <f>IFERROR(HYPERLINK("#'Main'!B"&amp;MATCH(TRIM(A74),'Main'!B:B,0),"Open"),HYPERLINK("#'Main'!B1","Open"))</f>
        <v/>
      </c>
    </row>
    <row r="75" ht="18" customHeight="1">
      <c r="A75" s="35" t="inlineStr">
        <is>
          <t>https://africanmarketingconfederation.org/smoke-archive/page-72</t>
        </is>
      </c>
      <c r="B75" s="28" t="inlineStr">
        <is>
          <t>Summary</t>
        </is>
      </c>
      <c r="C75" s="20" t="inlineStr"/>
      <c r="D75" s="28" t="inlineStr"/>
      <c r="E75" s="28" t="inlineStr"/>
      <c r="F75" s="28" t="inlineStr"/>
      <c r="G75" s="28" t="n">
        <v>0</v>
      </c>
      <c r="H75" s="28">
        <f>SUMPRODUCT(('Link Inventory'!$A$2:$A$100000=$A74)*('Link Inventory'!$E$2:$E$100000="Internal")*('Link Inventory'!$F$2:$F$100000&gt;=400)*('Link Inventory'!$F$2:$F$100000&lt;600))</f>
        <v/>
      </c>
      <c r="I75" s="28" t="n">
        <v>0</v>
      </c>
      <c r="J75" s="28" t="n">
        <v>0</v>
      </c>
      <c r="K75" s="28" t="n">
        <v>0</v>
      </c>
      <c r="L75" s="28" t="b">
        <v>1</v>
      </c>
      <c r="M75" s="28" t="n">
        <v>-1</v>
      </c>
      <c r="N75" s="28" t="n">
        <v>0.012048</v>
      </c>
      <c r="O75" s="32" t="n">
        <v>0</v>
      </c>
      <c r="P75" s="28" t="n">
        <v>0</v>
      </c>
      <c r="Q75" s="28" t="n">
        <v>0</v>
      </c>
      <c r="R75" s="28" t="inlineStr"/>
      <c r="S75" s="28">
        <f>IF(H74&gt;0,"Fix "&amp;H74&amp;" broken links (See Link Inventory tab for details).","")</f>
        <v/>
      </c>
      <c r="T75" s="28" t="inlineStr">
        <is>
          <t>Links</t>
        </is>
      </c>
      <c r="U75" s="28" t="n">
        <v>0</v>
      </c>
      <c r="V75">
        <f>IFERROR(HYPERLINK("#'Main'!B"&amp;MATCH(TRIM(A75),'Main'!B:B,0),"Open"),HYPERLINK("#'Main'!B1","Open"))</f>
        <v/>
      </c>
    </row>
    <row r="76" ht="18" customHeight="1">
      <c r="A76" s="37" t="inlineStr">
        <is>
          <t>https://africanmarketingconfederation.org/smoke-archive/page-73</t>
        </is>
      </c>
      <c r="B76" s="30" t="inlineStr">
        <is>
          <t>Summary</t>
        </is>
      </c>
      <c r="C76" s="31" t="inlineStr"/>
      <c r="D76" s="30" t="inlineStr"/>
      <c r="E76" s="30" t="inlineStr"/>
      <c r="F76" s="30" t="inlineStr"/>
      <c r="G76" s="30" t="n">
        <v>0</v>
      </c>
      <c r="H76" s="30">
        <f>SUMPRODUCT(('Link Inventory'!$A$2:$A$100000=$A75)*('Link Inventory'!$E$2:$E$100000="Internal")*('Link Inventory'!$F$2:$F$100000&gt;=400)*('Link Inventory'!$F$2:$F$100000&lt;600))</f>
        <v/>
      </c>
      <c r="I76" s="30" t="n">
        <v>0</v>
      </c>
      <c r="J76" s="30" t="n">
        <v>0</v>
      </c>
      <c r="K76" s="30" t="n">
        <v>0</v>
      </c>
      <c r="L76" s="30" t="b">
        <v>1</v>
      </c>
      <c r="M76" s="30" t="n">
        <v>-1</v>
      </c>
      <c r="N76" s="30" t="n">
        <v>0.012048</v>
      </c>
      <c r="O76" s="32" t="n">
        <v>0</v>
      </c>
      <c r="P76" s="30" t="n">
        <v>0</v>
      </c>
      <c r="Q76" s="30" t="n">
        <v>0</v>
      </c>
      <c r="R76" s="30" t="inlineStr"/>
      <c r="S76" s="30">
        <f>IF(H75&gt;0,"Fix "&amp;H75&amp;" broken links (See Link Inventory tab for details).","")</f>
        <v/>
      </c>
      <c r="T76" s="30" t="inlineStr">
        <is>
          <t>Links</t>
        </is>
      </c>
      <c r="U76" s="30" t="n">
        <v>0</v>
      </c>
      <c r="V76" s="38">
        <f>IFERROR(HYPERLINK("#'Main'!B"&amp;MATCH(TRIM(A76),'Main'!B:B,0),"Open"),HYPERLINK("#'Main'!B1","Open"))</f>
        <v/>
      </c>
    </row>
    <row r="77" ht="18" customHeight="1">
      <c r="A77" s="35" t="inlineStr">
        <is>
          <t>https://africanmarketingconfederation.org/smoke-archive/page-74</t>
        </is>
      </c>
      <c r="B77" s="28" t="inlineStr">
        <is>
          <t>Summary</t>
        </is>
      </c>
      <c r="C77" s="20" t="inlineStr"/>
      <c r="D77" s="28" t="inlineStr"/>
      <c r="E77" s="28" t="inlineStr"/>
      <c r="F77" s="28" t="inlineStr"/>
      <c r="G77" s="28" t="n">
        <v>0</v>
      </c>
      <c r="H77" s="28">
        <f>SUMPRODUCT(('Link Inventory'!$A$2:$A$100000=$A76)*('Link Inventory'!$E$2:$E$100000="Internal")*('Link Inventory'!$F$2:$F$100000&gt;=400)*('Link Inventory'!$F$2:$F$100000&lt;600))</f>
        <v/>
      </c>
      <c r="I77" s="28" t="n">
        <v>0</v>
      </c>
      <c r="J77" s="28" t="n">
        <v>0</v>
      </c>
      <c r="K77" s="28" t="n">
        <v>0</v>
      </c>
      <c r="L77" s="28" t="b">
        <v>1</v>
      </c>
      <c r="M77" s="28" t="n">
        <v>-1</v>
      </c>
      <c r="N77" s="28" t="n">
        <v>0.012048</v>
      </c>
      <c r="O77" s="32" t="n">
        <v>0</v>
      </c>
      <c r="P77" s="28" t="n">
        <v>0</v>
      </c>
      <c r="Q77" s="28" t="n">
        <v>0</v>
      </c>
      <c r="R77" s="28" t="inlineStr"/>
      <c r="S77" s="28">
        <f>IF(H76&gt;0,"Fix "&amp;H76&amp;" broken links (See Link Inventory tab for details).","")</f>
        <v/>
      </c>
      <c r="T77" s="28" t="inlineStr">
        <is>
          <t>Links</t>
        </is>
      </c>
      <c r="U77" s="28" t="n">
        <v>0</v>
      </c>
      <c r="V77">
        <f>IFERROR(HYPERLINK("#'Main'!B"&amp;MATCH(TRIM(A77),'Main'!B:B,0),"Open"),HYPERLINK("#'Main'!B1","Open"))</f>
        <v/>
      </c>
    </row>
    <row r="78" ht="18" customHeight="1">
      <c r="A78" s="37" t="inlineStr">
        <is>
          <t>https://africanmarketingconfederation.org/smoke-archive/page-75</t>
        </is>
      </c>
      <c r="B78" s="30" t="inlineStr">
        <is>
          <t>Summary</t>
        </is>
      </c>
      <c r="C78" s="31" t="inlineStr"/>
      <c r="D78" s="30" t="inlineStr"/>
      <c r="E78" s="30" t="inlineStr"/>
      <c r="F78" s="30" t="inlineStr"/>
      <c r="G78" s="30" t="n">
        <v>0</v>
      </c>
      <c r="H78" s="30">
        <f>SUMPRODUCT(('Link Inventory'!$A$2:$A$100000=$A77)*('Link Inventory'!$E$2:$E$100000="Internal")*('Link Inventory'!$F$2:$F$100000&gt;=400)*('Link Inventory'!$F$2:$F$100000&lt;600))</f>
        <v/>
      </c>
      <c r="I78" s="30" t="n">
        <v>0</v>
      </c>
      <c r="J78" s="30" t="n">
        <v>0</v>
      </c>
      <c r="K78" s="30" t="n">
        <v>0</v>
      </c>
      <c r="L78" s="30" t="b">
        <v>1</v>
      </c>
      <c r="M78" s="30" t="n">
        <v>-1</v>
      </c>
      <c r="N78" s="30" t="n">
        <v>0.012048</v>
      </c>
      <c r="O78" s="32" t="n">
        <v>0</v>
      </c>
      <c r="P78" s="30" t="n">
        <v>0</v>
      </c>
      <c r="Q78" s="30" t="n">
        <v>0</v>
      </c>
      <c r="R78" s="30" t="inlineStr"/>
      <c r="S78" s="30">
        <f>IF(H77&gt;0,"Fix "&amp;H77&amp;" broken links (See Link Inventory tab for details).","")</f>
        <v/>
      </c>
      <c r="T78" s="30" t="inlineStr">
        <is>
          <t>Links</t>
        </is>
      </c>
      <c r="U78" s="30" t="n">
        <v>0</v>
      </c>
      <c r="V78" s="38">
        <f>IFERROR(HYPERLINK("#'Main'!B"&amp;MATCH(TRIM(A78),'Main'!B:B,0),"Open"),HYPERLINK("#'Main'!B1","Open"))</f>
        <v/>
      </c>
    </row>
    <row r="79" ht="18" customHeight="1">
      <c r="A79" s="35" t="inlineStr">
        <is>
          <t>https://africanmarketingconfederation.org/smoke-archive/page-76</t>
        </is>
      </c>
      <c r="B79" s="28" t="inlineStr">
        <is>
          <t>Summary</t>
        </is>
      </c>
      <c r="C79" s="20" t="inlineStr"/>
      <c r="D79" s="28" t="inlineStr"/>
      <c r="E79" s="28" t="inlineStr"/>
      <c r="F79" s="28" t="inlineStr"/>
      <c r="G79" s="28" t="n">
        <v>0</v>
      </c>
      <c r="H79" s="28">
        <f>SUMPRODUCT(('Link Inventory'!$A$2:$A$100000=$A78)*('Link Inventory'!$E$2:$E$100000="Internal")*('Link Inventory'!$F$2:$F$100000&gt;=400)*('Link Inventory'!$F$2:$F$100000&lt;600))</f>
        <v/>
      </c>
      <c r="I79" s="28" t="n">
        <v>0</v>
      </c>
      <c r="J79" s="28" t="n">
        <v>0</v>
      </c>
      <c r="K79" s="28" t="n">
        <v>0</v>
      </c>
      <c r="L79" s="28" t="b">
        <v>1</v>
      </c>
      <c r="M79" s="28" t="n">
        <v>-1</v>
      </c>
      <c r="N79" s="28" t="n">
        <v>0.012048</v>
      </c>
      <c r="O79" s="32" t="n">
        <v>0</v>
      </c>
      <c r="P79" s="28" t="n">
        <v>0</v>
      </c>
      <c r="Q79" s="28" t="n">
        <v>0</v>
      </c>
      <c r="R79" s="28" t="inlineStr"/>
      <c r="S79" s="28">
        <f>IF(H78&gt;0,"Fix "&amp;H78&amp;" broken links (See Link Inventory tab for details).","")</f>
        <v/>
      </c>
      <c r="T79" s="28" t="inlineStr">
        <is>
          <t>Links</t>
        </is>
      </c>
      <c r="U79" s="28" t="n">
        <v>0</v>
      </c>
      <c r="V79">
        <f>IFERROR(HYPERLINK("#'Main'!B"&amp;MATCH(TRIM(A79),'Main'!B:B,0),"Open"),HYPERLINK("#'Main'!B1","Open"))</f>
        <v/>
      </c>
    </row>
    <row r="80" ht="18" customHeight="1">
      <c r="A80" s="37" t="inlineStr">
        <is>
          <t>https://africanmarketingconfederation.org/smoke-archive/page-77</t>
        </is>
      </c>
      <c r="B80" s="30" t="inlineStr">
        <is>
          <t>Summary</t>
        </is>
      </c>
      <c r="C80" s="31" t="inlineStr"/>
      <c r="D80" s="30" t="inlineStr"/>
      <c r="E80" s="30" t="inlineStr"/>
      <c r="F80" s="30" t="inlineStr"/>
      <c r="G80" s="30" t="n">
        <v>0</v>
      </c>
      <c r="H80" s="30">
        <f>SUMPRODUCT(('Link Inventory'!$A$2:$A$100000=$A79)*('Link Inventory'!$E$2:$E$100000="Internal")*('Link Inventory'!$F$2:$F$100000&gt;=400)*('Link Inventory'!$F$2:$F$100000&lt;600))</f>
        <v/>
      </c>
      <c r="I80" s="30" t="n">
        <v>0</v>
      </c>
      <c r="J80" s="30" t="n">
        <v>0</v>
      </c>
      <c r="K80" s="30" t="n">
        <v>0</v>
      </c>
      <c r="L80" s="30" t="b">
        <v>1</v>
      </c>
      <c r="M80" s="30" t="n">
        <v>-1</v>
      </c>
      <c r="N80" s="30" t="n">
        <v>0.012048</v>
      </c>
      <c r="O80" s="32" t="n">
        <v>0</v>
      </c>
      <c r="P80" s="30" t="n">
        <v>0</v>
      </c>
      <c r="Q80" s="30" t="n">
        <v>0</v>
      </c>
      <c r="R80" s="30" t="inlineStr"/>
      <c r="S80" s="30">
        <f>IF(H79&gt;0,"Fix "&amp;H79&amp;" broken links (See Link Inventory tab for details).","")</f>
        <v/>
      </c>
      <c r="T80" s="30" t="inlineStr">
        <is>
          <t>Links</t>
        </is>
      </c>
      <c r="U80" s="30" t="n">
        <v>0</v>
      </c>
      <c r="V80" s="38">
        <f>IFERROR(HYPERLINK("#'Main'!B"&amp;MATCH(TRIM(A80),'Main'!B:B,0),"Open"),HYPERLINK("#'Main'!B1","Open"))</f>
        <v/>
      </c>
    </row>
    <row r="81" ht="18" customHeight="1">
      <c r="A81" s="35" t="inlineStr">
        <is>
          <t>https://africanmarketingconfederation.org/smoke-archive/page-78</t>
        </is>
      </c>
      <c r="B81" s="28" t="inlineStr">
        <is>
          <t>Summary</t>
        </is>
      </c>
      <c r="C81" s="20" t="inlineStr"/>
      <c r="D81" s="28" t="inlineStr"/>
      <c r="E81" s="28" t="inlineStr"/>
      <c r="F81" s="28" t="inlineStr"/>
      <c r="G81" s="28" t="n">
        <v>0</v>
      </c>
      <c r="H81" s="28">
        <f>SUMPRODUCT(('Link Inventory'!$A$2:$A$100000=$A80)*('Link Inventory'!$E$2:$E$100000="Internal")*('Link Inventory'!$F$2:$F$100000&gt;=400)*('Link Inventory'!$F$2:$F$100000&lt;600))</f>
        <v/>
      </c>
      <c r="I81" s="28" t="n">
        <v>0</v>
      </c>
      <c r="J81" s="28" t="n">
        <v>0</v>
      </c>
      <c r="K81" s="28" t="n">
        <v>0</v>
      </c>
      <c r="L81" s="28" t="b">
        <v>1</v>
      </c>
      <c r="M81" s="28" t="n">
        <v>-1</v>
      </c>
      <c r="N81" s="28" t="n">
        <v>0.012048</v>
      </c>
      <c r="O81" s="32" t="n">
        <v>0</v>
      </c>
      <c r="P81" s="28" t="n">
        <v>0</v>
      </c>
      <c r="Q81" s="28" t="n">
        <v>0</v>
      </c>
      <c r="R81" s="28" t="inlineStr"/>
      <c r="S81" s="28">
        <f>IF(H80&gt;0,"Fix "&amp;H80&amp;" broken links (See Link Inventory tab for details).","")</f>
        <v/>
      </c>
      <c r="T81" s="28" t="inlineStr">
        <is>
          <t>Links</t>
        </is>
      </c>
      <c r="U81" s="28" t="n">
        <v>0</v>
      </c>
      <c r="V81">
        <f>IFERROR(HYPERLINK("#'Main'!B"&amp;MATCH(TRIM(A81),'Main'!B:B,0),"Open"),HYPERLINK("#'Main'!B1","Open"))</f>
        <v/>
      </c>
    </row>
    <row r="82" ht="18" customHeight="1">
      <c r="A82" s="37" t="inlineStr">
        <is>
          <t>https://africanmarketingconfederation.org/smoke-archive/page-79</t>
        </is>
      </c>
      <c r="B82" s="30" t="inlineStr">
        <is>
          <t>Summary</t>
        </is>
      </c>
      <c r="C82" s="31" t="inlineStr"/>
      <c r="D82" s="30" t="inlineStr"/>
      <c r="E82" s="30" t="inlineStr"/>
      <c r="F82" s="30" t="inlineStr"/>
      <c r="G82" s="30" t="n">
        <v>0</v>
      </c>
      <c r="H82" s="30">
        <f>SUMPRODUCT(('Link Inventory'!$A$2:$A$100000=$A81)*('Link Inventory'!$E$2:$E$100000="Internal")*('Link Inventory'!$F$2:$F$100000&gt;=400)*('Link Inventory'!$F$2:$F$100000&lt;600))</f>
        <v/>
      </c>
      <c r="I82" s="30" t="n">
        <v>0</v>
      </c>
      <c r="J82" s="30" t="n">
        <v>0</v>
      </c>
      <c r="K82" s="30" t="n">
        <v>0</v>
      </c>
      <c r="L82" s="30" t="b">
        <v>1</v>
      </c>
      <c r="M82" s="30" t="n">
        <v>-1</v>
      </c>
      <c r="N82" s="30" t="n">
        <v>0.012048</v>
      </c>
      <c r="O82" s="32" t="n">
        <v>0</v>
      </c>
      <c r="P82" s="30" t="n">
        <v>0</v>
      </c>
      <c r="Q82" s="30" t="n">
        <v>0</v>
      </c>
      <c r="R82" s="30" t="inlineStr"/>
      <c r="S82" s="30">
        <f>IF(H81&gt;0,"Fix "&amp;H81&amp;" broken links (See Link Inventory tab for details).","")</f>
        <v/>
      </c>
      <c r="T82" s="30" t="inlineStr">
        <is>
          <t>Links</t>
        </is>
      </c>
      <c r="U82" s="30" t="n">
        <v>0</v>
      </c>
      <c r="V82" s="38">
        <f>IFERROR(HYPERLINK("#'Main'!B"&amp;MATCH(TRIM(A82),'Main'!B:B,0),"Open"),HYPERLINK("#'Main'!B1","Open"))</f>
        <v/>
      </c>
    </row>
    <row r="83" ht="18" customHeight="1">
      <c r="A83" s="35" t="inlineStr">
        <is>
          <t>https://africanmarketingconfederation.org/discovered-via-bfs-1</t>
        </is>
      </c>
      <c r="B83" s="28" t="inlineStr">
        <is>
          <t>Summary</t>
        </is>
      </c>
      <c r="C83" s="20" t="inlineStr"/>
      <c r="D83" s="28" t="inlineStr"/>
      <c r="E83" s="28" t="inlineStr"/>
      <c r="F83" s="28" t="inlineStr"/>
      <c r="G83" s="28" t="n">
        <v>0</v>
      </c>
      <c r="H83" s="28">
        <f>SUMPRODUCT(('Link Inventory'!$A$2:$A$100000=$A82)*('Link Inventory'!$E$2:$E$100000="Internal")*('Link Inventory'!$F$2:$F$100000&gt;=400)*('Link Inventory'!$F$2:$F$100000&lt;600))</f>
        <v/>
      </c>
      <c r="I83" s="28" t="n">
        <v>0</v>
      </c>
      <c r="J83" s="28" t="n">
        <v>0</v>
      </c>
      <c r="K83" s="28" t="n">
        <v>0</v>
      </c>
      <c r="L83" s="28" t="b">
        <v>1</v>
      </c>
      <c r="M83" s="28" t="n">
        <v>-1</v>
      </c>
      <c r="N83" s="28" t="n">
        <v>0.012048</v>
      </c>
      <c r="O83" s="32" t="n">
        <v>0</v>
      </c>
      <c r="P83" s="28" t="n">
        <v>0</v>
      </c>
      <c r="Q83" s="28" t="n">
        <v>0</v>
      </c>
      <c r="R83" s="28" t="inlineStr"/>
      <c r="S83" s="28">
        <f>IF(H82&gt;0,"Fix "&amp;H82&amp;" broken links (See Link Inventory tab for details).","")</f>
        <v/>
      </c>
      <c r="T83" s="28" t="inlineStr">
        <is>
          <t>Links</t>
        </is>
      </c>
      <c r="U83" s="28" t="n">
        <v>0</v>
      </c>
      <c r="V83">
        <f>IFERROR(HYPERLINK("#'Main'!B"&amp;MATCH(TRIM(A83),'Main'!B:B,0),"Open"),HYPERLINK("#'Main'!B1","Open"))</f>
        <v/>
      </c>
    </row>
    <row r="84" ht="18" customHeight="1">
      <c r="A84" s="37" t="inlineStr">
        <is>
          <t>https://africanmarketingconfederation.org/discovered-via-bfs-2</t>
        </is>
      </c>
      <c r="B84" s="30" t="inlineStr">
        <is>
          <t>Summary</t>
        </is>
      </c>
      <c r="C84" s="31" t="inlineStr"/>
      <c r="D84" s="30" t="inlineStr"/>
      <c r="E84" s="30" t="inlineStr"/>
      <c r="F84" s="30" t="inlineStr"/>
      <c r="G84" s="30" t="n">
        <v>0</v>
      </c>
      <c r="H84" s="30">
        <f>SUMPRODUCT(('Link Inventory'!$A$2:$A$100000=$A83)*('Link Inventory'!$E$2:$E$100000="Internal")*('Link Inventory'!$F$2:$F$100000&gt;=400)*('Link Inventory'!$F$2:$F$100000&lt;600))</f>
        <v/>
      </c>
      <c r="I84" s="30" t="n">
        <v>0</v>
      </c>
      <c r="J84" s="30" t="n">
        <v>0</v>
      </c>
      <c r="K84" s="30" t="n">
        <v>0</v>
      </c>
      <c r="L84" s="30" t="b">
        <v>1</v>
      </c>
      <c r="M84" s="30" t="n">
        <v>-1</v>
      </c>
      <c r="N84" s="30" t="n">
        <v>0.012048</v>
      </c>
      <c r="O84" s="32" t="n">
        <v>0</v>
      </c>
      <c r="P84" s="30" t="n">
        <v>0</v>
      </c>
      <c r="Q84" s="30" t="n">
        <v>0</v>
      </c>
      <c r="R84" s="30" t="inlineStr"/>
      <c r="S84" s="30">
        <f>IF(H83&gt;0,"Fix "&amp;H83&amp;" broken links (See Link Inventory tab for details).","")</f>
        <v/>
      </c>
      <c r="T84" s="30" t="inlineStr">
        <is>
          <t>Links</t>
        </is>
      </c>
      <c r="U84" s="30" t="n">
        <v>0</v>
      </c>
      <c r="V84" s="38">
        <f>IFERROR(HYPERLINK("#'Main'!B"&amp;MATCH(TRIM(A84),'Main'!B:B,0),"Open"),HYPERLINK("#'Main'!B1","Open"))</f>
        <v/>
      </c>
    </row>
    <row r="85" ht="18" customHeight="1">
      <c r="A85" s="35" t="inlineStr">
        <is>
          <t>https://africanmarketingconfederation.org/discovered-via-bfs-3</t>
        </is>
      </c>
      <c r="B85" s="28" t="inlineStr">
        <is>
          <t>Summary</t>
        </is>
      </c>
      <c r="C85" s="20" t="inlineStr"/>
      <c r="D85" s="28" t="inlineStr"/>
      <c r="E85" s="28" t="inlineStr"/>
      <c r="F85" s="28" t="inlineStr"/>
      <c r="G85" s="28" t="n">
        <v>0</v>
      </c>
      <c r="H85" s="28">
        <f>SUMPRODUCT(('Link Inventory'!$A$2:$A$100000=$A84)*('Link Inventory'!$E$2:$E$100000="Internal")*('Link Inventory'!$F$2:$F$100000&gt;=400)*('Link Inventory'!$F$2:$F$100000&lt;600))</f>
        <v/>
      </c>
      <c r="I85" s="28" t="n">
        <v>0</v>
      </c>
      <c r="J85" s="28" t="n">
        <v>0</v>
      </c>
      <c r="K85" s="28" t="n">
        <v>0</v>
      </c>
      <c r="L85" s="28" t="b">
        <v>1</v>
      </c>
      <c r="M85" s="28" t="n">
        <v>-1</v>
      </c>
      <c r="N85" s="28" t="n">
        <v>0.012048</v>
      </c>
      <c r="O85" s="32" t="n">
        <v>0</v>
      </c>
      <c r="P85" s="28" t="n">
        <v>0</v>
      </c>
      <c r="Q85" s="28" t="n">
        <v>0</v>
      </c>
      <c r="R85" s="28" t="inlineStr"/>
      <c r="S85" s="28">
        <f>IF(H84&gt;0,"Fix "&amp;H84&amp;" broken links (See Link Inventory tab for details).","")</f>
        <v/>
      </c>
      <c r="T85" s="28" t="inlineStr">
        <is>
          <t>Links</t>
        </is>
      </c>
      <c r="U85" s="28" t="n">
        <v>0</v>
      </c>
      <c r="V85">
        <f>IFERROR(HYPERLINK("#'Main'!B"&amp;MATCH(TRIM(A85),'Main'!B:B,0),"Open"),HYPERLINK("#'Main'!B1","Open"))</f>
        <v/>
      </c>
    </row>
    <row r="86" ht="18" customHeight="1">
      <c r="A86" s="78" t="inlineStr"/>
      <c r="B86" s="30" t="inlineStr">
        <is>
          <t>Detail</t>
        </is>
      </c>
      <c r="C86" s="31" t="inlineStr">
        <is>
          <t>https://africanmarketingconfederation.org/</t>
        </is>
      </c>
      <c r="D86" s="30" t="inlineStr">
        <is>
          <t>Smoke anchor</t>
        </is>
      </c>
      <c r="E86" s="32" t="n">
        <v>200</v>
      </c>
      <c r="F86" s="30" t="b">
        <v>1</v>
      </c>
      <c r="G86" s="30" t="n">
        <v>0</v>
      </c>
      <c r="H86" s="32" t="n">
        <v>0</v>
      </c>
      <c r="I86" s="30" t="n">
        <v>0</v>
      </c>
      <c r="J86" s="30" t="n">
        <v>0</v>
      </c>
      <c r="K86" s="30" t="n">
        <v>0</v>
      </c>
      <c r="L86" s="30" t="b">
        <v>0</v>
      </c>
      <c r="M86" s="30" t="n">
        <v>0</v>
      </c>
      <c r="N86" s="30" t="n">
        <v>0</v>
      </c>
      <c r="O86" s="32" t="n">
        <v>0</v>
      </c>
      <c r="P86" s="30" t="n">
        <v>0</v>
      </c>
      <c r="Q86" s="30" t="n">
        <v>0</v>
      </c>
      <c r="R86" s="30" t="inlineStr"/>
      <c r="S86" s="30" t="inlineStr"/>
      <c r="T86" s="30" t="inlineStr">
        <is>
          <t>LinksDetail</t>
        </is>
      </c>
      <c r="U86" s="30" t="inlineStr"/>
      <c r="V86" s="38">
        <f>IFERROR(HYPERLINK("#'Main'!B"&amp;MATCH(TRIM(A86),'Main'!B:B,0),"Open"),HYPERLINK("#'Main'!B1","Open"))</f>
        <v/>
      </c>
    </row>
    <row r="87" ht="18" customHeight="1">
      <c r="A87" s="78" t="inlineStr"/>
      <c r="B87" s="28" t="inlineStr">
        <is>
          <t>Detail</t>
        </is>
      </c>
      <c r="C87" s="20" t="inlineStr">
        <is>
          <t>https://africanmarketingconfederation.org/discovered-via-bfs-1/</t>
        </is>
      </c>
      <c r="D87" s="28" t="inlineStr">
        <is>
          <t>Smoke anchor</t>
        </is>
      </c>
      <c r="E87" s="32" t="n">
        <v>200</v>
      </c>
      <c r="F87" s="28" t="b">
        <v>1</v>
      </c>
      <c r="G87" s="28" t="n">
        <v>0</v>
      </c>
      <c r="H87" s="32" t="n">
        <v>0</v>
      </c>
      <c r="I87" s="28" t="n">
        <v>0</v>
      </c>
      <c r="J87" s="28" t="n">
        <v>0</v>
      </c>
      <c r="K87" s="28" t="n">
        <v>0</v>
      </c>
      <c r="L87" s="28" t="b">
        <v>0</v>
      </c>
      <c r="M87" s="28" t="n">
        <v>0</v>
      </c>
      <c r="N87" s="28" t="n">
        <v>0</v>
      </c>
      <c r="O87" s="32" t="n">
        <v>0</v>
      </c>
      <c r="P87" s="28" t="n">
        <v>0</v>
      </c>
      <c r="Q87" s="28" t="n">
        <v>0</v>
      </c>
      <c r="R87" s="28" t="inlineStr"/>
      <c r="S87" s="28" t="inlineStr"/>
      <c r="T87" s="28" t="inlineStr">
        <is>
          <t>LinksDetail</t>
        </is>
      </c>
      <c r="U87" s="28" t="inlineStr"/>
      <c r="V87">
        <f>IFERROR(HYPERLINK("#'Main'!B"&amp;MATCH(TRIM(A87),'Main'!B:B,0),"Open"),HYPERLINK("#'Main'!B1","Open"))</f>
        <v/>
      </c>
    </row>
    <row r="88" ht="18" customHeight="1">
      <c r="A88" s="78" t="inlineStr"/>
      <c r="B88" s="30" t="inlineStr">
        <is>
          <t>Detail</t>
        </is>
      </c>
      <c r="C88" s="31" t="inlineStr">
        <is>
          <t>https://africanmarketingconfederation.org/</t>
        </is>
      </c>
      <c r="D88" s="30" t="inlineStr">
        <is>
          <t>Smoke anchor</t>
        </is>
      </c>
      <c r="E88" s="32" t="n">
        <v>200</v>
      </c>
      <c r="F88" s="30" t="b">
        <v>1</v>
      </c>
      <c r="G88" s="30" t="n">
        <v>0</v>
      </c>
      <c r="H88" s="32" t="n">
        <v>0</v>
      </c>
      <c r="I88" s="30" t="n">
        <v>0</v>
      </c>
      <c r="J88" s="30" t="n">
        <v>0</v>
      </c>
      <c r="K88" s="30" t="n">
        <v>0</v>
      </c>
      <c r="L88" s="30" t="b">
        <v>0</v>
      </c>
      <c r="M88" s="30" t="n">
        <v>0</v>
      </c>
      <c r="N88" s="30" t="n">
        <v>0</v>
      </c>
      <c r="O88" s="32" t="n">
        <v>0</v>
      </c>
      <c r="P88" s="30" t="n">
        <v>0</v>
      </c>
      <c r="Q88" s="30" t="n">
        <v>0</v>
      </c>
      <c r="R88" s="30" t="inlineStr"/>
      <c r="S88" s="30" t="inlineStr"/>
      <c r="T88" s="30" t="inlineStr">
        <is>
          <t>LinksDetail</t>
        </is>
      </c>
      <c r="U88" s="30" t="inlineStr"/>
      <c r="V88" s="38">
        <f>IFERROR(HYPERLINK("#'Main'!B"&amp;MATCH(TRIM(A88),'Main'!B:B,0),"Open"),HYPERLINK("#'Main'!B1","Open"))</f>
        <v/>
      </c>
    </row>
    <row r="89" ht="18" customHeight="1">
      <c r="A89" s="78" t="inlineStr"/>
      <c r="B89" s="28" t="inlineStr">
        <is>
          <t>Detail</t>
        </is>
      </c>
      <c r="C89" s="20" t="inlineStr">
        <is>
          <t>https://africanmarketingconfederation.org/</t>
        </is>
      </c>
      <c r="D89" s="28" t="inlineStr">
        <is>
          <t>Smoke anchor</t>
        </is>
      </c>
      <c r="E89" s="32" t="n">
        <v>200</v>
      </c>
      <c r="F89" s="28" t="b">
        <v>1</v>
      </c>
      <c r="G89" s="28" t="n">
        <v>0</v>
      </c>
      <c r="H89" s="32" t="n">
        <v>0</v>
      </c>
      <c r="I89" s="28" t="n">
        <v>0</v>
      </c>
      <c r="J89" s="28" t="n">
        <v>0</v>
      </c>
      <c r="K89" s="28" t="n">
        <v>0</v>
      </c>
      <c r="L89" s="28" t="b">
        <v>0</v>
      </c>
      <c r="M89" s="28" t="n">
        <v>0</v>
      </c>
      <c r="N89" s="28" t="n">
        <v>0</v>
      </c>
      <c r="O89" s="32" t="n">
        <v>0</v>
      </c>
      <c r="P89" s="28" t="n">
        <v>0</v>
      </c>
      <c r="Q89" s="28" t="n">
        <v>0</v>
      </c>
      <c r="R89" s="28" t="inlineStr"/>
      <c r="S89" s="28" t="inlineStr"/>
      <c r="T89" s="28" t="inlineStr">
        <is>
          <t>LinksDetail</t>
        </is>
      </c>
      <c r="U89" s="28" t="inlineStr"/>
      <c r="V89">
        <f>IFERROR(HYPERLINK("#'Main'!B"&amp;MATCH(TRIM(A89),'Main'!B:B,0),"Open"),HYPERLINK("#'Main'!B1","Open"))</f>
        <v/>
      </c>
    </row>
    <row r="90" ht="18" customHeight="1">
      <c r="A90" s="78" t="inlineStr"/>
      <c r="B90" s="30" t="inlineStr">
        <is>
          <t>Detail</t>
        </is>
      </c>
      <c r="C90" s="31" t="inlineStr">
        <is>
          <t>https://africanmarketingconfederation.org/</t>
        </is>
      </c>
      <c r="D90" s="30" t="inlineStr">
        <is>
          <t>Smoke anchor</t>
        </is>
      </c>
      <c r="E90" s="32" t="n">
        <v>200</v>
      </c>
      <c r="F90" s="30" t="b">
        <v>1</v>
      </c>
      <c r="G90" s="30" t="n">
        <v>0</v>
      </c>
      <c r="H90" s="32" t="n">
        <v>0</v>
      </c>
      <c r="I90" s="30" t="n">
        <v>0</v>
      </c>
      <c r="J90" s="30" t="n">
        <v>0</v>
      </c>
      <c r="K90" s="30" t="n">
        <v>0</v>
      </c>
      <c r="L90" s="30" t="b">
        <v>0</v>
      </c>
      <c r="M90" s="30" t="n">
        <v>0</v>
      </c>
      <c r="N90" s="30" t="n">
        <v>0</v>
      </c>
      <c r="O90" s="32" t="n">
        <v>0</v>
      </c>
      <c r="P90" s="30" t="n">
        <v>0</v>
      </c>
      <c r="Q90" s="30" t="n">
        <v>0</v>
      </c>
      <c r="R90" s="30" t="inlineStr"/>
      <c r="S90" s="30" t="inlineStr"/>
      <c r="T90" s="30" t="inlineStr">
        <is>
          <t>LinksDetail</t>
        </is>
      </c>
      <c r="U90" s="30" t="inlineStr"/>
      <c r="V90" s="38">
        <f>IFERROR(HYPERLINK("#'Main'!B"&amp;MATCH(TRIM(A90),'Main'!B:B,0),"Open"),HYPERLINK("#'Main'!B1","Open"))</f>
        <v/>
      </c>
    </row>
    <row r="91" ht="18" customHeight="1">
      <c r="A91" s="78" t="inlineStr"/>
      <c r="B91" s="28" t="inlineStr">
        <is>
          <t>Detail</t>
        </is>
      </c>
      <c r="C91" s="20" t="inlineStr">
        <is>
          <t>https://africanmarketingconfederation.org/</t>
        </is>
      </c>
      <c r="D91" s="28" t="inlineStr">
        <is>
          <t>Smoke anchor</t>
        </is>
      </c>
      <c r="E91" s="32" t="n">
        <v>200</v>
      </c>
      <c r="F91" s="28" t="b">
        <v>1</v>
      </c>
      <c r="G91" s="28" t="n">
        <v>0</v>
      </c>
      <c r="H91" s="32" t="n">
        <v>0</v>
      </c>
      <c r="I91" s="28" t="n">
        <v>0</v>
      </c>
      <c r="J91" s="28" t="n">
        <v>0</v>
      </c>
      <c r="K91" s="28" t="n">
        <v>0</v>
      </c>
      <c r="L91" s="28" t="b">
        <v>0</v>
      </c>
      <c r="M91" s="28" t="n">
        <v>0</v>
      </c>
      <c r="N91" s="28" t="n">
        <v>0</v>
      </c>
      <c r="O91" s="32" t="n">
        <v>0</v>
      </c>
      <c r="P91" s="28" t="n">
        <v>0</v>
      </c>
      <c r="Q91" s="28" t="n">
        <v>0</v>
      </c>
      <c r="R91" s="28" t="inlineStr"/>
      <c r="S91" s="28" t="inlineStr"/>
      <c r="T91" s="28" t="inlineStr">
        <is>
          <t>LinksDetail</t>
        </is>
      </c>
      <c r="U91" s="28" t="inlineStr"/>
      <c r="V91">
        <f>IFERROR(HYPERLINK("#'Main'!B"&amp;MATCH(TRIM(A91),'Main'!B:B,0),"Open"),HYPERLINK("#'Main'!B1","Open"))</f>
        <v/>
      </c>
    </row>
    <row r="92" ht="18" customHeight="1">
      <c r="A92" s="78" t="inlineStr"/>
      <c r="B92" s="30" t="inlineStr">
        <is>
          <t>Detail</t>
        </is>
      </c>
      <c r="C92" s="31" t="inlineStr">
        <is>
          <t>https://africanmarketingconfederation.org/</t>
        </is>
      </c>
      <c r="D92" s="30" t="inlineStr">
        <is>
          <t>Smoke anchor</t>
        </is>
      </c>
      <c r="E92" s="32" t="n">
        <v>200</v>
      </c>
      <c r="F92" s="30" t="b">
        <v>1</v>
      </c>
      <c r="G92" s="30" t="n">
        <v>0</v>
      </c>
      <c r="H92" s="32" t="n">
        <v>0</v>
      </c>
      <c r="I92" s="30" t="n">
        <v>0</v>
      </c>
      <c r="J92" s="30" t="n">
        <v>0</v>
      </c>
      <c r="K92" s="30" t="n">
        <v>0</v>
      </c>
      <c r="L92" s="30" t="b">
        <v>0</v>
      </c>
      <c r="M92" s="30" t="n">
        <v>0</v>
      </c>
      <c r="N92" s="30" t="n">
        <v>0</v>
      </c>
      <c r="O92" s="32" t="n">
        <v>0</v>
      </c>
      <c r="P92" s="30" t="n">
        <v>0</v>
      </c>
      <c r="Q92" s="30" t="n">
        <v>0</v>
      </c>
      <c r="R92" s="30" t="inlineStr"/>
      <c r="S92" s="30" t="inlineStr"/>
      <c r="T92" s="30" t="inlineStr">
        <is>
          <t>LinksDetail</t>
        </is>
      </c>
      <c r="U92" s="30" t="inlineStr"/>
      <c r="V92" s="38">
        <f>IFERROR(HYPERLINK("#'Main'!B"&amp;MATCH(TRIM(A92),'Main'!B:B,0),"Open"),HYPERLINK("#'Main'!B1","Open"))</f>
        <v/>
      </c>
    </row>
    <row r="93" ht="18" customHeight="1">
      <c r="A93" s="78" t="inlineStr"/>
      <c r="B93" s="28" t="inlineStr">
        <is>
          <t>Detail</t>
        </is>
      </c>
      <c r="C93" s="20" t="inlineStr">
        <is>
          <t>https://africanmarketingconfederation.org/</t>
        </is>
      </c>
      <c r="D93" s="28" t="inlineStr">
        <is>
          <t>Smoke anchor</t>
        </is>
      </c>
      <c r="E93" s="32" t="n">
        <v>200</v>
      </c>
      <c r="F93" s="28" t="b">
        <v>1</v>
      </c>
      <c r="G93" s="28" t="n">
        <v>0</v>
      </c>
      <c r="H93" s="32" t="n">
        <v>0</v>
      </c>
      <c r="I93" s="28" t="n">
        <v>0</v>
      </c>
      <c r="J93" s="28" t="n">
        <v>0</v>
      </c>
      <c r="K93" s="28" t="n">
        <v>0</v>
      </c>
      <c r="L93" s="28" t="b">
        <v>0</v>
      </c>
      <c r="M93" s="28" t="n">
        <v>0</v>
      </c>
      <c r="N93" s="28" t="n">
        <v>0</v>
      </c>
      <c r="O93" s="32" t="n">
        <v>0</v>
      </c>
      <c r="P93" s="28" t="n">
        <v>0</v>
      </c>
      <c r="Q93" s="28" t="n">
        <v>0</v>
      </c>
      <c r="R93" s="28" t="inlineStr"/>
      <c r="S93" s="28" t="inlineStr"/>
      <c r="T93" s="28" t="inlineStr">
        <is>
          <t>LinksDetail</t>
        </is>
      </c>
      <c r="U93" s="28" t="inlineStr"/>
      <c r="V93">
        <f>IFERROR(HYPERLINK("#'Main'!B"&amp;MATCH(TRIM(A93),'Main'!B:B,0),"Open"),HYPERLINK("#'Main'!B1","Open"))</f>
        <v/>
      </c>
    </row>
    <row r="94" ht="18" customHeight="1">
      <c r="A94" s="78" t="inlineStr"/>
      <c r="B94" s="30" t="inlineStr">
        <is>
          <t>Detail</t>
        </is>
      </c>
      <c r="C94" s="31" t="inlineStr">
        <is>
          <t>https://africanmarketingconfederation.org/</t>
        </is>
      </c>
      <c r="D94" s="30" t="inlineStr">
        <is>
          <t>Smoke anchor</t>
        </is>
      </c>
      <c r="E94" s="32" t="n">
        <v>200</v>
      </c>
      <c r="F94" s="30" t="b">
        <v>1</v>
      </c>
      <c r="G94" s="30" t="n">
        <v>0</v>
      </c>
      <c r="H94" s="32" t="n">
        <v>0</v>
      </c>
      <c r="I94" s="30" t="n">
        <v>0</v>
      </c>
      <c r="J94" s="30" t="n">
        <v>0</v>
      </c>
      <c r="K94" s="30" t="n">
        <v>0</v>
      </c>
      <c r="L94" s="30" t="b">
        <v>0</v>
      </c>
      <c r="M94" s="30" t="n">
        <v>0</v>
      </c>
      <c r="N94" s="30" t="n">
        <v>0</v>
      </c>
      <c r="O94" s="32" t="n">
        <v>0</v>
      </c>
      <c r="P94" s="30" t="n">
        <v>0</v>
      </c>
      <c r="Q94" s="30" t="n">
        <v>0</v>
      </c>
      <c r="R94" s="30" t="inlineStr"/>
      <c r="S94" s="30" t="inlineStr"/>
      <c r="T94" s="30" t="inlineStr">
        <is>
          <t>LinksDetail</t>
        </is>
      </c>
      <c r="U94" s="30" t="inlineStr"/>
      <c r="V94" s="38">
        <f>IFERROR(HYPERLINK("#'Main'!B"&amp;MATCH(TRIM(A94),'Main'!B:B,0),"Open"),HYPERLINK("#'Main'!B1","Open"))</f>
        <v/>
      </c>
    </row>
    <row r="95" ht="18" customHeight="1">
      <c r="A95" s="78" t="inlineStr"/>
      <c r="B95" s="28" t="inlineStr">
        <is>
          <t>Detail</t>
        </is>
      </c>
      <c r="C95" s="20" t="inlineStr">
        <is>
          <t>https://africanmarketingconfederation.org/</t>
        </is>
      </c>
      <c r="D95" s="28" t="inlineStr">
        <is>
          <t>Smoke anchor</t>
        </is>
      </c>
      <c r="E95" s="32" t="n">
        <v>200</v>
      </c>
      <c r="F95" s="28" t="b">
        <v>1</v>
      </c>
      <c r="G95" s="28" t="n">
        <v>0</v>
      </c>
      <c r="H95" s="32" t="n">
        <v>0</v>
      </c>
      <c r="I95" s="28" t="n">
        <v>0</v>
      </c>
      <c r="J95" s="28" t="n">
        <v>0</v>
      </c>
      <c r="K95" s="28" t="n">
        <v>0</v>
      </c>
      <c r="L95" s="28" t="b">
        <v>0</v>
      </c>
      <c r="M95" s="28" t="n">
        <v>0</v>
      </c>
      <c r="N95" s="28" t="n">
        <v>0</v>
      </c>
      <c r="O95" s="32" t="n">
        <v>0</v>
      </c>
      <c r="P95" s="28" t="n">
        <v>0</v>
      </c>
      <c r="Q95" s="28" t="n">
        <v>0</v>
      </c>
      <c r="R95" s="28" t="inlineStr"/>
      <c r="S95" s="28" t="inlineStr"/>
      <c r="T95" s="28" t="inlineStr">
        <is>
          <t>LinksDetail</t>
        </is>
      </c>
      <c r="U95" s="28" t="inlineStr"/>
      <c r="V95">
        <f>IFERROR(HYPERLINK("#'Main'!B"&amp;MATCH(TRIM(A95),'Main'!B:B,0),"Open"),HYPERLINK("#'Main'!B1","Open"))</f>
        <v/>
      </c>
    </row>
    <row r="96" ht="18" customHeight="1">
      <c r="A96" s="78" t="inlineStr"/>
      <c r="B96" s="30" t="inlineStr">
        <is>
          <t>Detail</t>
        </is>
      </c>
      <c r="C96" s="31" t="inlineStr">
        <is>
          <t>https://africanmarketingconfederation.org/</t>
        </is>
      </c>
      <c r="D96" s="30" t="inlineStr">
        <is>
          <t>Smoke anchor</t>
        </is>
      </c>
      <c r="E96" s="32" t="n">
        <v>200</v>
      </c>
      <c r="F96" s="30" t="b">
        <v>1</v>
      </c>
      <c r="G96" s="30" t="n">
        <v>0</v>
      </c>
      <c r="H96" s="32" t="n">
        <v>0</v>
      </c>
      <c r="I96" s="30" t="n">
        <v>0</v>
      </c>
      <c r="J96" s="30" t="n">
        <v>0</v>
      </c>
      <c r="K96" s="30" t="n">
        <v>0</v>
      </c>
      <c r="L96" s="30" t="b">
        <v>0</v>
      </c>
      <c r="M96" s="30" t="n">
        <v>0</v>
      </c>
      <c r="N96" s="30" t="n">
        <v>0</v>
      </c>
      <c r="O96" s="32" t="n">
        <v>0</v>
      </c>
      <c r="P96" s="30" t="n">
        <v>0</v>
      </c>
      <c r="Q96" s="30" t="n">
        <v>0</v>
      </c>
      <c r="R96" s="30" t="inlineStr"/>
      <c r="S96" s="30" t="inlineStr"/>
      <c r="T96" s="30" t="inlineStr">
        <is>
          <t>LinksDetail</t>
        </is>
      </c>
      <c r="U96" s="30" t="inlineStr"/>
      <c r="V96" s="38">
        <f>IFERROR(HYPERLINK("#'Main'!B"&amp;MATCH(TRIM(A96),'Main'!B:B,0),"Open"),HYPERLINK("#'Main'!B1","Open"))</f>
        <v/>
      </c>
    </row>
    <row r="97" ht="18" customHeight="1">
      <c r="A97" s="78" t="inlineStr"/>
      <c r="B97" s="28" t="inlineStr">
        <is>
          <t>Detail</t>
        </is>
      </c>
      <c r="C97" s="20" t="inlineStr">
        <is>
          <t>https://africanmarketingconfederation.org/</t>
        </is>
      </c>
      <c r="D97" s="28" t="inlineStr">
        <is>
          <t>Smoke anchor</t>
        </is>
      </c>
      <c r="E97" s="32" t="n">
        <v>200</v>
      </c>
      <c r="F97" s="28" t="b">
        <v>1</v>
      </c>
      <c r="G97" s="28" t="n">
        <v>0</v>
      </c>
      <c r="H97" s="32" t="n">
        <v>0</v>
      </c>
      <c r="I97" s="28" t="n">
        <v>0</v>
      </c>
      <c r="J97" s="28" t="n">
        <v>0</v>
      </c>
      <c r="K97" s="28" t="n">
        <v>0</v>
      </c>
      <c r="L97" s="28" t="b">
        <v>0</v>
      </c>
      <c r="M97" s="28" t="n">
        <v>0</v>
      </c>
      <c r="N97" s="28" t="n">
        <v>0</v>
      </c>
      <c r="O97" s="32" t="n">
        <v>0</v>
      </c>
      <c r="P97" s="28" t="n">
        <v>0</v>
      </c>
      <c r="Q97" s="28" t="n">
        <v>0</v>
      </c>
      <c r="R97" s="28" t="inlineStr"/>
      <c r="S97" s="28" t="inlineStr"/>
      <c r="T97" s="28" t="inlineStr">
        <is>
          <t>LinksDetail</t>
        </is>
      </c>
      <c r="U97" s="28" t="inlineStr"/>
      <c r="V97">
        <f>IFERROR(HYPERLINK("#'Main'!B"&amp;MATCH(TRIM(A97),'Main'!B:B,0),"Open"),HYPERLINK("#'Main'!B1","Open"))</f>
        <v/>
      </c>
    </row>
    <row r="98" ht="18" customHeight="1">
      <c r="A98" s="78" t="inlineStr"/>
      <c r="B98" s="30" t="inlineStr">
        <is>
          <t>Detail</t>
        </is>
      </c>
      <c r="C98" s="31" t="inlineStr">
        <is>
          <t>https://africanmarketingconfederation.org/</t>
        </is>
      </c>
      <c r="D98" s="30" t="inlineStr">
        <is>
          <t>Smoke anchor</t>
        </is>
      </c>
      <c r="E98" s="32" t="n">
        <v>200</v>
      </c>
      <c r="F98" s="30" t="b">
        <v>1</v>
      </c>
      <c r="G98" s="30" t="n">
        <v>0</v>
      </c>
      <c r="H98" s="32" t="n">
        <v>0</v>
      </c>
      <c r="I98" s="30" t="n">
        <v>0</v>
      </c>
      <c r="J98" s="30" t="n">
        <v>0</v>
      </c>
      <c r="K98" s="30" t="n">
        <v>0</v>
      </c>
      <c r="L98" s="30" t="b">
        <v>0</v>
      </c>
      <c r="M98" s="30" t="n">
        <v>0</v>
      </c>
      <c r="N98" s="30" t="n">
        <v>0</v>
      </c>
      <c r="O98" s="32" t="n">
        <v>0</v>
      </c>
      <c r="P98" s="30" t="n">
        <v>0</v>
      </c>
      <c r="Q98" s="30" t="n">
        <v>0</v>
      </c>
      <c r="R98" s="30" t="inlineStr"/>
      <c r="S98" s="30" t="inlineStr"/>
      <c r="T98" s="30" t="inlineStr">
        <is>
          <t>LinksDetail</t>
        </is>
      </c>
      <c r="U98" s="30" t="inlineStr"/>
      <c r="V98" s="38">
        <f>IFERROR(HYPERLINK("#'Main'!B"&amp;MATCH(TRIM(A98),'Main'!B:B,0),"Open"),HYPERLINK("#'Main'!B1","Open"))</f>
        <v/>
      </c>
    </row>
    <row r="99" ht="18" customHeight="1">
      <c r="A99" s="78" t="inlineStr"/>
      <c r="B99" s="28" t="inlineStr">
        <is>
          <t>Detail</t>
        </is>
      </c>
      <c r="C99" s="20" t="inlineStr">
        <is>
          <t>https://africanmarketingconfederation.org/</t>
        </is>
      </c>
      <c r="D99" s="28" t="inlineStr">
        <is>
          <t>Smoke anchor</t>
        </is>
      </c>
      <c r="E99" s="32" t="n">
        <v>200</v>
      </c>
      <c r="F99" s="28" t="b">
        <v>1</v>
      </c>
      <c r="G99" s="28" t="n">
        <v>0</v>
      </c>
      <c r="H99" s="32" t="n">
        <v>0</v>
      </c>
      <c r="I99" s="28" t="n">
        <v>0</v>
      </c>
      <c r="J99" s="28" t="n">
        <v>0</v>
      </c>
      <c r="K99" s="28" t="n">
        <v>0</v>
      </c>
      <c r="L99" s="28" t="b">
        <v>0</v>
      </c>
      <c r="M99" s="28" t="n">
        <v>0</v>
      </c>
      <c r="N99" s="28" t="n">
        <v>0</v>
      </c>
      <c r="O99" s="32" t="n">
        <v>0</v>
      </c>
      <c r="P99" s="28" t="n">
        <v>0</v>
      </c>
      <c r="Q99" s="28" t="n">
        <v>0</v>
      </c>
      <c r="R99" s="28" t="inlineStr"/>
      <c r="S99" s="28" t="inlineStr"/>
      <c r="T99" s="28" t="inlineStr">
        <is>
          <t>LinksDetail</t>
        </is>
      </c>
      <c r="U99" s="28" t="inlineStr"/>
      <c r="V99">
        <f>IFERROR(HYPERLINK("#'Main'!B"&amp;MATCH(TRIM(A99),'Main'!B:B,0),"Open"),HYPERLINK("#'Main'!B1","Open"))</f>
        <v/>
      </c>
    </row>
    <row r="100" ht="18" customHeight="1">
      <c r="A100" s="78" t="inlineStr"/>
      <c r="B100" s="30" t="inlineStr">
        <is>
          <t>Detail</t>
        </is>
      </c>
      <c r="C100" s="31" t="inlineStr">
        <is>
          <t>https://africanmarketingconfederation.org/</t>
        </is>
      </c>
      <c r="D100" s="30" t="inlineStr">
        <is>
          <t>Smoke anchor</t>
        </is>
      </c>
      <c r="E100" s="32" t="n">
        <v>200</v>
      </c>
      <c r="F100" s="30" t="b">
        <v>1</v>
      </c>
      <c r="G100" s="30" t="n">
        <v>0</v>
      </c>
      <c r="H100" s="32" t="n">
        <v>0</v>
      </c>
      <c r="I100" s="30" t="n">
        <v>0</v>
      </c>
      <c r="J100" s="30" t="n">
        <v>0</v>
      </c>
      <c r="K100" s="30" t="n">
        <v>0</v>
      </c>
      <c r="L100" s="30" t="b">
        <v>0</v>
      </c>
      <c r="M100" s="30" t="n">
        <v>0</v>
      </c>
      <c r="N100" s="30" t="n">
        <v>0</v>
      </c>
      <c r="O100" s="32" t="n">
        <v>0</v>
      </c>
      <c r="P100" s="30" t="n">
        <v>0</v>
      </c>
      <c r="Q100" s="30" t="n">
        <v>0</v>
      </c>
      <c r="R100" s="30" t="inlineStr"/>
      <c r="S100" s="30" t="inlineStr"/>
      <c r="T100" s="30" t="inlineStr">
        <is>
          <t>LinksDetail</t>
        </is>
      </c>
      <c r="U100" s="30" t="inlineStr"/>
      <c r="V100" s="38">
        <f>IFERROR(HYPERLINK("#'Main'!B"&amp;MATCH(TRIM(A100),'Main'!B:B,0),"Open"),HYPERLINK("#'Main'!B1","Open"))</f>
        <v/>
      </c>
    </row>
    <row r="101" ht="18" customHeight="1">
      <c r="A101" s="78" t="inlineStr"/>
      <c r="B101" s="28" t="inlineStr">
        <is>
          <t>Detail</t>
        </is>
      </c>
      <c r="C101" s="20" t="inlineStr">
        <is>
          <t>https://africanmarketingconfederation.org/</t>
        </is>
      </c>
      <c r="D101" s="28" t="inlineStr">
        <is>
          <t>Smoke anchor</t>
        </is>
      </c>
      <c r="E101" s="32" t="n">
        <v>200</v>
      </c>
      <c r="F101" s="28" t="b">
        <v>1</v>
      </c>
      <c r="G101" s="28" t="n">
        <v>0</v>
      </c>
      <c r="H101" s="32" t="n">
        <v>0</v>
      </c>
      <c r="I101" s="28" t="n">
        <v>0</v>
      </c>
      <c r="J101" s="28" t="n">
        <v>0</v>
      </c>
      <c r="K101" s="28" t="n">
        <v>0</v>
      </c>
      <c r="L101" s="28" t="b">
        <v>0</v>
      </c>
      <c r="M101" s="28" t="n">
        <v>0</v>
      </c>
      <c r="N101" s="28" t="n">
        <v>0</v>
      </c>
      <c r="O101" s="32" t="n">
        <v>0</v>
      </c>
      <c r="P101" s="28" t="n">
        <v>0</v>
      </c>
      <c r="Q101" s="28" t="n">
        <v>0</v>
      </c>
      <c r="R101" s="28" t="inlineStr"/>
      <c r="S101" s="28" t="inlineStr"/>
      <c r="T101" s="28" t="inlineStr">
        <is>
          <t>LinksDetail</t>
        </is>
      </c>
      <c r="U101" s="28" t="inlineStr"/>
      <c r="V101">
        <f>IFERROR(HYPERLINK("#'Main'!B"&amp;MATCH(TRIM(A101),'Main'!B:B,0),"Open"),HYPERLINK("#'Main'!B1","Open"))</f>
        <v/>
      </c>
    </row>
    <row r="102" ht="18" customHeight="1">
      <c r="A102" s="78" t="inlineStr"/>
      <c r="B102" s="30" t="inlineStr">
        <is>
          <t>Detail</t>
        </is>
      </c>
      <c r="C102" s="31" t="inlineStr">
        <is>
          <t>https://africanmarketingconfederation.org/</t>
        </is>
      </c>
      <c r="D102" s="30" t="inlineStr">
        <is>
          <t>Smoke anchor</t>
        </is>
      </c>
      <c r="E102" s="32" t="n">
        <v>200</v>
      </c>
      <c r="F102" s="30" t="b">
        <v>1</v>
      </c>
      <c r="G102" s="30" t="n">
        <v>0</v>
      </c>
      <c r="H102" s="32" t="n">
        <v>0</v>
      </c>
      <c r="I102" s="30" t="n">
        <v>0</v>
      </c>
      <c r="J102" s="30" t="n">
        <v>0</v>
      </c>
      <c r="K102" s="30" t="n">
        <v>0</v>
      </c>
      <c r="L102" s="30" t="b">
        <v>0</v>
      </c>
      <c r="M102" s="30" t="n">
        <v>0</v>
      </c>
      <c r="N102" s="30" t="n">
        <v>0</v>
      </c>
      <c r="O102" s="32" t="n">
        <v>0</v>
      </c>
      <c r="P102" s="30" t="n">
        <v>0</v>
      </c>
      <c r="Q102" s="30" t="n">
        <v>0</v>
      </c>
      <c r="R102" s="30" t="inlineStr"/>
      <c r="S102" s="30" t="inlineStr"/>
      <c r="T102" s="30" t="inlineStr">
        <is>
          <t>LinksDetail</t>
        </is>
      </c>
      <c r="U102" s="30" t="inlineStr"/>
      <c r="V102" s="38">
        <f>IFERROR(HYPERLINK("#'Main'!B"&amp;MATCH(TRIM(A102),'Main'!B:B,0),"Open"),HYPERLINK("#'Main'!B1","Open"))</f>
        <v/>
      </c>
    </row>
    <row r="103" ht="18" customHeight="1">
      <c r="A103" s="78" t="inlineStr"/>
      <c r="B103" s="28" t="inlineStr">
        <is>
          <t>Detail</t>
        </is>
      </c>
      <c r="C103" s="20" t="inlineStr">
        <is>
          <t>https://africanmarketingconfederation.org/</t>
        </is>
      </c>
      <c r="D103" s="28" t="inlineStr">
        <is>
          <t>Smoke anchor</t>
        </is>
      </c>
      <c r="E103" s="32" t="n">
        <v>200</v>
      </c>
      <c r="F103" s="28" t="b">
        <v>1</v>
      </c>
      <c r="G103" s="28" t="n">
        <v>0</v>
      </c>
      <c r="H103" s="32" t="n">
        <v>0</v>
      </c>
      <c r="I103" s="28" t="n">
        <v>0</v>
      </c>
      <c r="J103" s="28" t="n">
        <v>0</v>
      </c>
      <c r="K103" s="28" t="n">
        <v>0</v>
      </c>
      <c r="L103" s="28" t="b">
        <v>0</v>
      </c>
      <c r="M103" s="28" t="n">
        <v>0</v>
      </c>
      <c r="N103" s="28" t="n">
        <v>0</v>
      </c>
      <c r="O103" s="32" t="n">
        <v>0</v>
      </c>
      <c r="P103" s="28" t="n">
        <v>0</v>
      </c>
      <c r="Q103" s="28" t="n">
        <v>0</v>
      </c>
      <c r="R103" s="28" t="inlineStr"/>
      <c r="S103" s="28" t="inlineStr"/>
      <c r="T103" s="28" t="inlineStr">
        <is>
          <t>LinksDetail</t>
        </is>
      </c>
      <c r="U103" s="28" t="inlineStr"/>
      <c r="V103">
        <f>IFERROR(HYPERLINK("#'Main'!B"&amp;MATCH(TRIM(A103),'Main'!B:B,0),"Open"),HYPERLINK("#'Main'!B1","Open"))</f>
        <v/>
      </c>
    </row>
    <row r="104" ht="18" customHeight="1">
      <c r="A104" s="78" t="inlineStr"/>
      <c r="B104" s="30" t="inlineStr">
        <is>
          <t>Detail</t>
        </is>
      </c>
      <c r="C104" s="31" t="inlineStr">
        <is>
          <t>https://africanmarketingconfederation.org/</t>
        </is>
      </c>
      <c r="D104" s="30" t="inlineStr">
        <is>
          <t>Smoke anchor</t>
        </is>
      </c>
      <c r="E104" s="32" t="n">
        <v>200</v>
      </c>
      <c r="F104" s="30" t="b">
        <v>1</v>
      </c>
      <c r="G104" s="30" t="n">
        <v>0</v>
      </c>
      <c r="H104" s="32" t="n">
        <v>0</v>
      </c>
      <c r="I104" s="30" t="n">
        <v>0</v>
      </c>
      <c r="J104" s="30" t="n">
        <v>0</v>
      </c>
      <c r="K104" s="30" t="n">
        <v>0</v>
      </c>
      <c r="L104" s="30" t="b">
        <v>0</v>
      </c>
      <c r="M104" s="30" t="n">
        <v>0</v>
      </c>
      <c r="N104" s="30" t="n">
        <v>0</v>
      </c>
      <c r="O104" s="32" t="n">
        <v>0</v>
      </c>
      <c r="P104" s="30" t="n">
        <v>0</v>
      </c>
      <c r="Q104" s="30" t="n">
        <v>0</v>
      </c>
      <c r="R104" s="30" t="inlineStr"/>
      <c r="S104" s="30" t="inlineStr"/>
      <c r="T104" s="30" t="inlineStr">
        <is>
          <t>LinksDetail</t>
        </is>
      </c>
      <c r="U104" s="30" t="inlineStr"/>
      <c r="V104" s="38">
        <f>IFERROR(HYPERLINK("#'Main'!B"&amp;MATCH(TRIM(A104),'Main'!B:B,0),"Open"),HYPERLINK("#'Main'!B1","Open"))</f>
        <v/>
      </c>
    </row>
    <row r="105" ht="18" customHeight="1">
      <c r="A105" s="78" t="inlineStr"/>
      <c r="B105" s="28" t="inlineStr">
        <is>
          <t>Detail</t>
        </is>
      </c>
      <c r="C105" s="20" t="inlineStr">
        <is>
          <t>https://africanmarketingconfederation.org/</t>
        </is>
      </c>
      <c r="D105" s="28" t="inlineStr">
        <is>
          <t>Smoke anchor</t>
        </is>
      </c>
      <c r="E105" s="32" t="n">
        <v>200</v>
      </c>
      <c r="F105" s="28" t="b">
        <v>1</v>
      </c>
      <c r="G105" s="28" t="n">
        <v>0</v>
      </c>
      <c r="H105" s="32" t="n">
        <v>0</v>
      </c>
      <c r="I105" s="28" t="n">
        <v>0</v>
      </c>
      <c r="J105" s="28" t="n">
        <v>0</v>
      </c>
      <c r="K105" s="28" t="n">
        <v>0</v>
      </c>
      <c r="L105" s="28" t="b">
        <v>0</v>
      </c>
      <c r="M105" s="28" t="n">
        <v>0</v>
      </c>
      <c r="N105" s="28" t="n">
        <v>0</v>
      </c>
      <c r="O105" s="32" t="n">
        <v>0</v>
      </c>
      <c r="P105" s="28" t="n">
        <v>0</v>
      </c>
      <c r="Q105" s="28" t="n">
        <v>0</v>
      </c>
      <c r="R105" s="28" t="inlineStr"/>
      <c r="S105" s="28" t="inlineStr"/>
      <c r="T105" s="28" t="inlineStr">
        <is>
          <t>LinksDetail</t>
        </is>
      </c>
      <c r="U105" s="28" t="inlineStr"/>
      <c r="V105">
        <f>IFERROR(HYPERLINK("#'Main'!B"&amp;MATCH(TRIM(A105),'Main'!B:B,0),"Open"),HYPERLINK("#'Main'!B1","Open"))</f>
        <v/>
      </c>
    </row>
    <row r="106" ht="18" customHeight="1">
      <c r="A106" s="78" t="inlineStr"/>
      <c r="B106" s="30" t="inlineStr">
        <is>
          <t>Detail</t>
        </is>
      </c>
      <c r="C106" s="31" t="inlineStr">
        <is>
          <t>https://africanmarketingconfederation.org/</t>
        </is>
      </c>
      <c r="D106" s="30" t="inlineStr">
        <is>
          <t>Smoke anchor</t>
        </is>
      </c>
      <c r="E106" s="32" t="n">
        <v>200</v>
      </c>
      <c r="F106" s="30" t="b">
        <v>1</v>
      </c>
      <c r="G106" s="30" t="n">
        <v>0</v>
      </c>
      <c r="H106" s="32" t="n">
        <v>0</v>
      </c>
      <c r="I106" s="30" t="n">
        <v>0</v>
      </c>
      <c r="J106" s="30" t="n">
        <v>0</v>
      </c>
      <c r="K106" s="30" t="n">
        <v>0</v>
      </c>
      <c r="L106" s="30" t="b">
        <v>0</v>
      </c>
      <c r="M106" s="30" t="n">
        <v>0</v>
      </c>
      <c r="N106" s="30" t="n">
        <v>0</v>
      </c>
      <c r="O106" s="32" t="n">
        <v>0</v>
      </c>
      <c r="P106" s="30" t="n">
        <v>0</v>
      </c>
      <c r="Q106" s="30" t="n">
        <v>0</v>
      </c>
      <c r="R106" s="30" t="inlineStr"/>
      <c r="S106" s="30" t="inlineStr"/>
      <c r="T106" s="30" t="inlineStr">
        <is>
          <t>LinksDetail</t>
        </is>
      </c>
      <c r="U106" s="30" t="inlineStr"/>
      <c r="V106" s="38">
        <f>IFERROR(HYPERLINK("#'Main'!B"&amp;MATCH(TRIM(A106),'Main'!B:B,0),"Open"),HYPERLINK("#'Main'!B1","Open"))</f>
        <v/>
      </c>
    </row>
    <row r="107" ht="18" customHeight="1">
      <c r="A107" s="78" t="inlineStr"/>
      <c r="B107" s="28" t="inlineStr">
        <is>
          <t>Detail</t>
        </is>
      </c>
      <c r="C107" s="20" t="inlineStr">
        <is>
          <t>https://africanmarketingconfederation.org/</t>
        </is>
      </c>
      <c r="D107" s="28" t="inlineStr">
        <is>
          <t>Smoke anchor</t>
        </is>
      </c>
      <c r="E107" s="32" t="n">
        <v>200</v>
      </c>
      <c r="F107" s="28" t="b">
        <v>1</v>
      </c>
      <c r="G107" s="28" t="n">
        <v>0</v>
      </c>
      <c r="H107" s="32" t="n">
        <v>0</v>
      </c>
      <c r="I107" s="28" t="n">
        <v>0</v>
      </c>
      <c r="J107" s="28" t="n">
        <v>0</v>
      </c>
      <c r="K107" s="28" t="n">
        <v>0</v>
      </c>
      <c r="L107" s="28" t="b">
        <v>0</v>
      </c>
      <c r="M107" s="28" t="n">
        <v>0</v>
      </c>
      <c r="N107" s="28" t="n">
        <v>0</v>
      </c>
      <c r="O107" s="32" t="n">
        <v>0</v>
      </c>
      <c r="P107" s="28" t="n">
        <v>0</v>
      </c>
      <c r="Q107" s="28" t="n">
        <v>0</v>
      </c>
      <c r="R107" s="28" t="inlineStr"/>
      <c r="S107" s="28" t="inlineStr"/>
      <c r="T107" s="28" t="inlineStr">
        <is>
          <t>LinksDetail</t>
        </is>
      </c>
      <c r="U107" s="28" t="inlineStr"/>
      <c r="V107">
        <f>IFERROR(HYPERLINK("#'Main'!B"&amp;MATCH(TRIM(A107),'Main'!B:B,0),"Open"),HYPERLINK("#'Main'!B1","Open"))</f>
        <v/>
      </c>
    </row>
    <row r="108" ht="18" customHeight="1">
      <c r="A108" s="78" t="inlineStr"/>
      <c r="B108" s="30" t="inlineStr">
        <is>
          <t>Detail</t>
        </is>
      </c>
      <c r="C108" s="31" t="inlineStr">
        <is>
          <t>https://africanmarketingconfederation.org/</t>
        </is>
      </c>
      <c r="D108" s="30" t="inlineStr">
        <is>
          <t>Smoke anchor</t>
        </is>
      </c>
      <c r="E108" s="32" t="n">
        <v>200</v>
      </c>
      <c r="F108" s="30" t="b">
        <v>1</v>
      </c>
      <c r="G108" s="30" t="n">
        <v>0</v>
      </c>
      <c r="H108" s="32" t="n">
        <v>0</v>
      </c>
      <c r="I108" s="30" t="n">
        <v>0</v>
      </c>
      <c r="J108" s="30" t="n">
        <v>0</v>
      </c>
      <c r="K108" s="30" t="n">
        <v>0</v>
      </c>
      <c r="L108" s="30" t="b">
        <v>0</v>
      </c>
      <c r="M108" s="30" t="n">
        <v>0</v>
      </c>
      <c r="N108" s="30" t="n">
        <v>0</v>
      </c>
      <c r="O108" s="32" t="n">
        <v>0</v>
      </c>
      <c r="P108" s="30" t="n">
        <v>0</v>
      </c>
      <c r="Q108" s="30" t="n">
        <v>0</v>
      </c>
      <c r="R108" s="30" t="inlineStr"/>
      <c r="S108" s="30" t="inlineStr"/>
      <c r="T108" s="30" t="inlineStr">
        <is>
          <t>LinksDetail</t>
        </is>
      </c>
      <c r="U108" s="30" t="inlineStr"/>
      <c r="V108" s="38">
        <f>IFERROR(HYPERLINK("#'Main'!B"&amp;MATCH(TRIM(A108),'Main'!B:B,0),"Open"),HYPERLINK("#'Main'!B1","Open"))</f>
        <v/>
      </c>
    </row>
    <row r="109" ht="18" customHeight="1">
      <c r="A109" s="78" t="inlineStr"/>
      <c r="B109" s="28" t="inlineStr">
        <is>
          <t>Detail</t>
        </is>
      </c>
      <c r="C109" s="20" t="inlineStr">
        <is>
          <t>https://africanmarketingconfederation.org/smoke-archive/page-22/</t>
        </is>
      </c>
      <c r="D109" s="28" t="inlineStr">
        <is>
          <t>Smoke anchor</t>
        </is>
      </c>
      <c r="E109" s="32" t="n">
        <v>200</v>
      </c>
      <c r="F109" s="28" t="b">
        <v>1</v>
      </c>
      <c r="G109" s="28" t="n">
        <v>0</v>
      </c>
      <c r="H109" s="32" t="n">
        <v>0</v>
      </c>
      <c r="I109" s="28" t="n">
        <v>0</v>
      </c>
      <c r="J109" s="28" t="n">
        <v>0</v>
      </c>
      <c r="K109" s="28" t="n">
        <v>0</v>
      </c>
      <c r="L109" s="28" t="b">
        <v>0</v>
      </c>
      <c r="M109" s="28" t="n">
        <v>0</v>
      </c>
      <c r="N109" s="28" t="n">
        <v>0</v>
      </c>
      <c r="O109" s="32" t="n">
        <v>0</v>
      </c>
      <c r="P109" s="28" t="n">
        <v>0</v>
      </c>
      <c r="Q109" s="28" t="n">
        <v>0</v>
      </c>
      <c r="R109" s="28" t="inlineStr"/>
      <c r="S109" s="28" t="inlineStr"/>
      <c r="T109" s="28" t="inlineStr">
        <is>
          <t>LinksDetail</t>
        </is>
      </c>
      <c r="U109" s="28" t="inlineStr"/>
      <c r="V109">
        <f>IFERROR(HYPERLINK("#'Main'!B"&amp;MATCH(TRIM(A109),'Main'!B:B,0),"Open"),HYPERLINK("#'Main'!B1","Open"))</f>
        <v/>
      </c>
    </row>
    <row r="110" ht="18" customHeight="1">
      <c r="A110" s="78" t="inlineStr"/>
      <c r="B110" s="30" t="inlineStr">
        <is>
          <t>Detail</t>
        </is>
      </c>
      <c r="C110" s="31" t="inlineStr">
        <is>
          <t>https://africanmarketingconfederation.org/</t>
        </is>
      </c>
      <c r="D110" s="30" t="inlineStr">
        <is>
          <t>Smoke anchor</t>
        </is>
      </c>
      <c r="E110" s="32" t="n">
        <v>200</v>
      </c>
      <c r="F110" s="30" t="b">
        <v>1</v>
      </c>
      <c r="G110" s="30" t="n">
        <v>0</v>
      </c>
      <c r="H110" s="32" t="n">
        <v>0</v>
      </c>
      <c r="I110" s="30" t="n">
        <v>0</v>
      </c>
      <c r="J110" s="30" t="n">
        <v>0</v>
      </c>
      <c r="K110" s="30" t="n">
        <v>0</v>
      </c>
      <c r="L110" s="30" t="b">
        <v>0</v>
      </c>
      <c r="M110" s="30" t="n">
        <v>0</v>
      </c>
      <c r="N110" s="30" t="n">
        <v>0</v>
      </c>
      <c r="O110" s="32" t="n">
        <v>0</v>
      </c>
      <c r="P110" s="30" t="n">
        <v>0</v>
      </c>
      <c r="Q110" s="30" t="n">
        <v>0</v>
      </c>
      <c r="R110" s="30" t="inlineStr"/>
      <c r="S110" s="30" t="inlineStr"/>
      <c r="T110" s="30" t="inlineStr">
        <is>
          <t>LinksDetail</t>
        </is>
      </c>
      <c r="U110" s="30" t="inlineStr"/>
      <c r="V110" s="38">
        <f>IFERROR(HYPERLINK("#'Main'!B"&amp;MATCH(TRIM(A110),'Main'!B:B,0),"Open"),HYPERLINK("#'Main'!B1","Open"))</f>
        <v/>
      </c>
    </row>
    <row r="111" ht="18" customHeight="1">
      <c r="A111" s="78" t="inlineStr"/>
      <c r="B111" s="28" t="inlineStr">
        <is>
          <t>Detail</t>
        </is>
      </c>
      <c r="C111" s="20" t="inlineStr">
        <is>
          <t>https://africanmarketingconfederation.org/</t>
        </is>
      </c>
      <c r="D111" s="28" t="inlineStr">
        <is>
          <t>Smoke anchor</t>
        </is>
      </c>
      <c r="E111" s="32" t="n">
        <v>200</v>
      </c>
      <c r="F111" s="28" t="b">
        <v>1</v>
      </c>
      <c r="G111" s="28" t="n">
        <v>0</v>
      </c>
      <c r="H111" s="32" t="n">
        <v>0</v>
      </c>
      <c r="I111" s="28" t="n">
        <v>0</v>
      </c>
      <c r="J111" s="28" t="n">
        <v>0</v>
      </c>
      <c r="K111" s="28" t="n">
        <v>0</v>
      </c>
      <c r="L111" s="28" t="b">
        <v>0</v>
      </c>
      <c r="M111" s="28" t="n">
        <v>0</v>
      </c>
      <c r="N111" s="28" t="n">
        <v>0</v>
      </c>
      <c r="O111" s="32" t="n">
        <v>0</v>
      </c>
      <c r="P111" s="28" t="n">
        <v>0</v>
      </c>
      <c r="Q111" s="28" t="n">
        <v>0</v>
      </c>
      <c r="R111" s="28" t="inlineStr"/>
      <c r="S111" s="28" t="inlineStr"/>
      <c r="T111" s="28" t="inlineStr">
        <is>
          <t>LinksDetail</t>
        </is>
      </c>
      <c r="U111" s="28" t="inlineStr"/>
      <c r="V111">
        <f>IFERROR(HYPERLINK("#'Main'!B"&amp;MATCH(TRIM(A111),'Main'!B:B,0),"Open"),HYPERLINK("#'Main'!B1","Open"))</f>
        <v/>
      </c>
    </row>
    <row r="112" ht="18" customHeight="1">
      <c r="A112" s="78" t="inlineStr"/>
      <c r="B112" s="30" t="inlineStr">
        <is>
          <t>Detail</t>
        </is>
      </c>
      <c r="C112" s="31" t="inlineStr">
        <is>
          <t>https://africanmarketingconfederation.org/</t>
        </is>
      </c>
      <c r="D112" s="30" t="inlineStr">
        <is>
          <t>Smoke anchor</t>
        </is>
      </c>
      <c r="E112" s="32" t="n">
        <v>200</v>
      </c>
      <c r="F112" s="30" t="b">
        <v>1</v>
      </c>
      <c r="G112" s="30" t="n">
        <v>0</v>
      </c>
      <c r="H112" s="32" t="n">
        <v>0</v>
      </c>
      <c r="I112" s="30" t="n">
        <v>0</v>
      </c>
      <c r="J112" s="30" t="n">
        <v>0</v>
      </c>
      <c r="K112" s="30" t="n">
        <v>0</v>
      </c>
      <c r="L112" s="30" t="b">
        <v>0</v>
      </c>
      <c r="M112" s="30" t="n">
        <v>0</v>
      </c>
      <c r="N112" s="30" t="n">
        <v>0</v>
      </c>
      <c r="O112" s="32" t="n">
        <v>0</v>
      </c>
      <c r="P112" s="30" t="n">
        <v>0</v>
      </c>
      <c r="Q112" s="30" t="n">
        <v>0</v>
      </c>
      <c r="R112" s="30" t="inlineStr"/>
      <c r="S112" s="30" t="inlineStr"/>
      <c r="T112" s="30" t="inlineStr">
        <is>
          <t>LinksDetail</t>
        </is>
      </c>
      <c r="U112" s="30" t="inlineStr"/>
      <c r="V112" s="38">
        <f>IFERROR(HYPERLINK("#'Main'!B"&amp;MATCH(TRIM(A112),'Main'!B:B,0),"Open"),HYPERLINK("#'Main'!B1","Open"))</f>
        <v/>
      </c>
    </row>
    <row r="113" ht="18" customHeight="1">
      <c r="A113" s="78" t="inlineStr"/>
      <c r="B113" s="28" t="inlineStr">
        <is>
          <t>Detail</t>
        </is>
      </c>
      <c r="C113" s="20" t="inlineStr">
        <is>
          <t>https://africanmarketingconfederation.org/</t>
        </is>
      </c>
      <c r="D113" s="28" t="inlineStr">
        <is>
          <t>Smoke anchor</t>
        </is>
      </c>
      <c r="E113" s="32" t="n">
        <v>200</v>
      </c>
      <c r="F113" s="28" t="b">
        <v>1</v>
      </c>
      <c r="G113" s="28" t="n">
        <v>0</v>
      </c>
      <c r="H113" s="32" t="n">
        <v>0</v>
      </c>
      <c r="I113" s="28" t="n">
        <v>0</v>
      </c>
      <c r="J113" s="28" t="n">
        <v>0</v>
      </c>
      <c r="K113" s="28" t="n">
        <v>0</v>
      </c>
      <c r="L113" s="28" t="b">
        <v>0</v>
      </c>
      <c r="M113" s="28" t="n">
        <v>0</v>
      </c>
      <c r="N113" s="28" t="n">
        <v>0</v>
      </c>
      <c r="O113" s="32" t="n">
        <v>0</v>
      </c>
      <c r="P113" s="28" t="n">
        <v>0</v>
      </c>
      <c r="Q113" s="28" t="n">
        <v>0</v>
      </c>
      <c r="R113" s="28" t="inlineStr"/>
      <c r="S113" s="28" t="inlineStr"/>
      <c r="T113" s="28" t="inlineStr">
        <is>
          <t>LinksDetail</t>
        </is>
      </c>
      <c r="U113" s="28" t="inlineStr"/>
      <c r="V113">
        <f>IFERROR(HYPERLINK("#'Main'!B"&amp;MATCH(TRIM(A113),'Main'!B:B,0),"Open"),HYPERLINK("#'Main'!B1","Open"))</f>
        <v/>
      </c>
    </row>
    <row r="114" ht="18" customHeight="1">
      <c r="A114" s="78" t="inlineStr"/>
      <c r="B114" s="30" t="inlineStr">
        <is>
          <t>Detail</t>
        </is>
      </c>
      <c r="C114" s="31" t="inlineStr">
        <is>
          <t>https://africanmarketingconfederation.org/</t>
        </is>
      </c>
      <c r="D114" s="30" t="inlineStr">
        <is>
          <t>Smoke anchor</t>
        </is>
      </c>
      <c r="E114" s="32" t="n">
        <v>200</v>
      </c>
      <c r="F114" s="30" t="b">
        <v>1</v>
      </c>
      <c r="G114" s="30" t="n">
        <v>0</v>
      </c>
      <c r="H114" s="32" t="n">
        <v>0</v>
      </c>
      <c r="I114" s="30" t="n">
        <v>0</v>
      </c>
      <c r="J114" s="30" t="n">
        <v>0</v>
      </c>
      <c r="K114" s="30" t="n">
        <v>0</v>
      </c>
      <c r="L114" s="30" t="b">
        <v>0</v>
      </c>
      <c r="M114" s="30" t="n">
        <v>0</v>
      </c>
      <c r="N114" s="30" t="n">
        <v>0</v>
      </c>
      <c r="O114" s="32" t="n">
        <v>0</v>
      </c>
      <c r="P114" s="30" t="n">
        <v>0</v>
      </c>
      <c r="Q114" s="30" t="n">
        <v>0</v>
      </c>
      <c r="R114" s="30" t="inlineStr"/>
      <c r="S114" s="30" t="inlineStr"/>
      <c r="T114" s="30" t="inlineStr">
        <is>
          <t>LinksDetail</t>
        </is>
      </c>
      <c r="U114" s="30" t="inlineStr"/>
      <c r="V114" s="38">
        <f>IFERROR(HYPERLINK("#'Main'!B"&amp;MATCH(TRIM(A114),'Main'!B:B,0),"Open"),HYPERLINK("#'Main'!B1","Open"))</f>
        <v/>
      </c>
    </row>
    <row r="115" ht="18" customHeight="1">
      <c r="A115" s="78" t="inlineStr"/>
      <c r="B115" s="28" t="inlineStr">
        <is>
          <t>Detail</t>
        </is>
      </c>
      <c r="C115" s="20" t="inlineStr">
        <is>
          <t>https://africanmarketingconfederation.org/</t>
        </is>
      </c>
      <c r="D115" s="28" t="inlineStr">
        <is>
          <t>Smoke anchor</t>
        </is>
      </c>
      <c r="E115" s="32" t="n">
        <v>200</v>
      </c>
      <c r="F115" s="28" t="b">
        <v>1</v>
      </c>
      <c r="G115" s="28" t="n">
        <v>0</v>
      </c>
      <c r="H115" s="32" t="n">
        <v>0</v>
      </c>
      <c r="I115" s="28" t="n">
        <v>0</v>
      </c>
      <c r="J115" s="28" t="n">
        <v>0</v>
      </c>
      <c r="K115" s="28" t="n">
        <v>0</v>
      </c>
      <c r="L115" s="28" t="b">
        <v>0</v>
      </c>
      <c r="M115" s="28" t="n">
        <v>0</v>
      </c>
      <c r="N115" s="28" t="n">
        <v>0</v>
      </c>
      <c r="O115" s="32" t="n">
        <v>0</v>
      </c>
      <c r="P115" s="28" t="n">
        <v>0</v>
      </c>
      <c r="Q115" s="28" t="n">
        <v>0</v>
      </c>
      <c r="R115" s="28" t="inlineStr"/>
      <c r="S115" s="28" t="inlineStr"/>
      <c r="T115" s="28" t="inlineStr">
        <is>
          <t>LinksDetail</t>
        </is>
      </c>
      <c r="U115" s="28" t="inlineStr"/>
      <c r="V115">
        <f>IFERROR(HYPERLINK("#'Main'!B"&amp;MATCH(TRIM(A115),'Main'!B:B,0),"Open"),HYPERLINK("#'Main'!B1","Open"))</f>
        <v/>
      </c>
    </row>
    <row r="116" ht="18" customHeight="1">
      <c r="A116" s="78" t="inlineStr"/>
      <c r="B116" s="30" t="inlineStr">
        <is>
          <t>Detail</t>
        </is>
      </c>
      <c r="C116" s="31" t="inlineStr">
        <is>
          <t>https://africanmarketingconfederation.org/</t>
        </is>
      </c>
      <c r="D116" s="30" t="inlineStr">
        <is>
          <t>Smoke anchor</t>
        </is>
      </c>
      <c r="E116" s="32" t="n">
        <v>200</v>
      </c>
      <c r="F116" s="30" t="b">
        <v>1</v>
      </c>
      <c r="G116" s="30" t="n">
        <v>0</v>
      </c>
      <c r="H116" s="32" t="n">
        <v>0</v>
      </c>
      <c r="I116" s="30" t="n">
        <v>0</v>
      </c>
      <c r="J116" s="30" t="n">
        <v>0</v>
      </c>
      <c r="K116" s="30" t="n">
        <v>0</v>
      </c>
      <c r="L116" s="30" t="b">
        <v>0</v>
      </c>
      <c r="M116" s="30" t="n">
        <v>0</v>
      </c>
      <c r="N116" s="30" t="n">
        <v>0</v>
      </c>
      <c r="O116" s="32" t="n">
        <v>0</v>
      </c>
      <c r="P116" s="30" t="n">
        <v>0</v>
      </c>
      <c r="Q116" s="30" t="n">
        <v>0</v>
      </c>
      <c r="R116" s="30" t="inlineStr"/>
      <c r="S116" s="30" t="inlineStr"/>
      <c r="T116" s="30" t="inlineStr">
        <is>
          <t>LinksDetail</t>
        </is>
      </c>
      <c r="U116" s="30" t="inlineStr"/>
      <c r="V116" s="38">
        <f>IFERROR(HYPERLINK("#'Main'!B"&amp;MATCH(TRIM(A116),'Main'!B:B,0),"Open"),HYPERLINK("#'Main'!B1","Open"))</f>
        <v/>
      </c>
    </row>
    <row r="117" ht="18" customHeight="1">
      <c r="A117" s="78" t="inlineStr"/>
      <c r="B117" s="28" t="inlineStr">
        <is>
          <t>Detail</t>
        </is>
      </c>
      <c r="C117" s="20" t="inlineStr">
        <is>
          <t>https://africanmarketingconfederation.org/</t>
        </is>
      </c>
      <c r="D117" s="28" t="inlineStr">
        <is>
          <t>Smoke anchor</t>
        </is>
      </c>
      <c r="E117" s="32" t="n">
        <v>200</v>
      </c>
      <c r="F117" s="28" t="b">
        <v>1</v>
      </c>
      <c r="G117" s="28" t="n">
        <v>0</v>
      </c>
      <c r="H117" s="32" t="n">
        <v>0</v>
      </c>
      <c r="I117" s="28" t="n">
        <v>0</v>
      </c>
      <c r="J117" s="28" t="n">
        <v>0</v>
      </c>
      <c r="K117" s="28" t="n">
        <v>0</v>
      </c>
      <c r="L117" s="28" t="b">
        <v>0</v>
      </c>
      <c r="M117" s="28" t="n">
        <v>0</v>
      </c>
      <c r="N117" s="28" t="n">
        <v>0</v>
      </c>
      <c r="O117" s="32" t="n">
        <v>0</v>
      </c>
      <c r="P117" s="28" t="n">
        <v>0</v>
      </c>
      <c r="Q117" s="28" t="n">
        <v>0</v>
      </c>
      <c r="R117" s="28" t="inlineStr"/>
      <c r="S117" s="28" t="inlineStr"/>
      <c r="T117" s="28" t="inlineStr">
        <is>
          <t>LinksDetail</t>
        </is>
      </c>
      <c r="U117" s="28" t="inlineStr"/>
      <c r="V117">
        <f>IFERROR(HYPERLINK("#'Main'!B"&amp;MATCH(TRIM(A117),'Main'!B:B,0),"Open"),HYPERLINK("#'Main'!B1","Open"))</f>
        <v/>
      </c>
    </row>
    <row r="118" ht="18" customHeight="1">
      <c r="A118" s="78" t="inlineStr"/>
      <c r="B118" s="30" t="inlineStr">
        <is>
          <t>Detail</t>
        </is>
      </c>
      <c r="C118" s="31" t="inlineStr">
        <is>
          <t>https://africanmarketingconfederation.org/</t>
        </is>
      </c>
      <c r="D118" s="30" t="inlineStr">
        <is>
          <t>Smoke anchor</t>
        </is>
      </c>
      <c r="E118" s="32" t="n">
        <v>200</v>
      </c>
      <c r="F118" s="30" t="b">
        <v>1</v>
      </c>
      <c r="G118" s="30" t="n">
        <v>0</v>
      </c>
      <c r="H118" s="32" t="n">
        <v>0</v>
      </c>
      <c r="I118" s="30" t="n">
        <v>0</v>
      </c>
      <c r="J118" s="30" t="n">
        <v>0</v>
      </c>
      <c r="K118" s="30" t="n">
        <v>0</v>
      </c>
      <c r="L118" s="30" t="b">
        <v>0</v>
      </c>
      <c r="M118" s="30" t="n">
        <v>0</v>
      </c>
      <c r="N118" s="30" t="n">
        <v>0</v>
      </c>
      <c r="O118" s="32" t="n">
        <v>0</v>
      </c>
      <c r="P118" s="30" t="n">
        <v>0</v>
      </c>
      <c r="Q118" s="30" t="n">
        <v>0</v>
      </c>
      <c r="R118" s="30" t="inlineStr"/>
      <c r="S118" s="30" t="inlineStr"/>
      <c r="T118" s="30" t="inlineStr">
        <is>
          <t>LinksDetail</t>
        </is>
      </c>
      <c r="U118" s="30" t="inlineStr"/>
      <c r="V118" s="38">
        <f>IFERROR(HYPERLINK("#'Main'!B"&amp;MATCH(TRIM(A118),'Main'!B:B,0),"Open"),HYPERLINK("#'Main'!B1","Open"))</f>
        <v/>
      </c>
    </row>
    <row r="119" ht="18" customHeight="1">
      <c r="A119" s="78" t="inlineStr"/>
      <c r="B119" s="28" t="inlineStr">
        <is>
          <t>Detail</t>
        </is>
      </c>
      <c r="C119" s="20" t="inlineStr">
        <is>
          <t>https://africanmarketingconfederation.org/</t>
        </is>
      </c>
      <c r="D119" s="28" t="inlineStr">
        <is>
          <t>Smoke anchor</t>
        </is>
      </c>
      <c r="E119" s="32" t="n">
        <v>200</v>
      </c>
      <c r="F119" s="28" t="b">
        <v>1</v>
      </c>
      <c r="G119" s="28" t="n">
        <v>0</v>
      </c>
      <c r="H119" s="32" t="n">
        <v>0</v>
      </c>
      <c r="I119" s="28" t="n">
        <v>0</v>
      </c>
      <c r="J119" s="28" t="n">
        <v>0</v>
      </c>
      <c r="K119" s="28" t="n">
        <v>0</v>
      </c>
      <c r="L119" s="28" t="b">
        <v>0</v>
      </c>
      <c r="M119" s="28" t="n">
        <v>0</v>
      </c>
      <c r="N119" s="28" t="n">
        <v>0</v>
      </c>
      <c r="O119" s="32" t="n">
        <v>0</v>
      </c>
      <c r="P119" s="28" t="n">
        <v>0</v>
      </c>
      <c r="Q119" s="28" t="n">
        <v>0</v>
      </c>
      <c r="R119" s="28" t="inlineStr"/>
      <c r="S119" s="28" t="inlineStr"/>
      <c r="T119" s="28" t="inlineStr">
        <is>
          <t>LinksDetail</t>
        </is>
      </c>
      <c r="U119" s="28" t="inlineStr"/>
      <c r="V119">
        <f>IFERROR(HYPERLINK("#'Main'!B"&amp;MATCH(TRIM(A119),'Main'!B:B,0),"Open"),HYPERLINK("#'Main'!B1","Open"))</f>
        <v/>
      </c>
    </row>
    <row r="120" ht="18" customHeight="1">
      <c r="A120" s="78" t="inlineStr"/>
      <c r="B120" s="30" t="inlineStr">
        <is>
          <t>Detail</t>
        </is>
      </c>
      <c r="C120" s="31" t="inlineStr">
        <is>
          <t>https://africanmarketingconfederation.org/</t>
        </is>
      </c>
      <c r="D120" s="30" t="inlineStr">
        <is>
          <t>Smoke anchor</t>
        </is>
      </c>
      <c r="E120" s="32" t="n">
        <v>200</v>
      </c>
      <c r="F120" s="30" t="b">
        <v>1</v>
      </c>
      <c r="G120" s="30" t="n">
        <v>0</v>
      </c>
      <c r="H120" s="32" t="n">
        <v>0</v>
      </c>
      <c r="I120" s="30" t="n">
        <v>0</v>
      </c>
      <c r="J120" s="30" t="n">
        <v>0</v>
      </c>
      <c r="K120" s="30" t="n">
        <v>0</v>
      </c>
      <c r="L120" s="30" t="b">
        <v>0</v>
      </c>
      <c r="M120" s="30" t="n">
        <v>0</v>
      </c>
      <c r="N120" s="30" t="n">
        <v>0</v>
      </c>
      <c r="O120" s="32" t="n">
        <v>0</v>
      </c>
      <c r="P120" s="30" t="n">
        <v>0</v>
      </c>
      <c r="Q120" s="30" t="n">
        <v>0</v>
      </c>
      <c r="R120" s="30" t="inlineStr"/>
      <c r="S120" s="30" t="inlineStr"/>
      <c r="T120" s="30" t="inlineStr">
        <is>
          <t>LinksDetail</t>
        </is>
      </c>
      <c r="U120" s="30" t="inlineStr"/>
      <c r="V120" s="38">
        <f>IFERROR(HYPERLINK("#'Main'!B"&amp;MATCH(TRIM(A120),'Main'!B:B,0),"Open"),HYPERLINK("#'Main'!B1","Open"))</f>
        <v/>
      </c>
    </row>
    <row r="121" ht="18" customHeight="1">
      <c r="A121" s="78" t="inlineStr"/>
      <c r="B121" s="28" t="inlineStr">
        <is>
          <t>Detail</t>
        </is>
      </c>
      <c r="C121" s="20" t="inlineStr">
        <is>
          <t>https://africanmarketingconfederation.org/</t>
        </is>
      </c>
      <c r="D121" s="28" t="inlineStr">
        <is>
          <t>Smoke anchor</t>
        </is>
      </c>
      <c r="E121" s="32" t="n">
        <v>200</v>
      </c>
      <c r="F121" s="28" t="b">
        <v>1</v>
      </c>
      <c r="G121" s="28" t="n">
        <v>0</v>
      </c>
      <c r="H121" s="32" t="n">
        <v>0</v>
      </c>
      <c r="I121" s="28" t="n">
        <v>0</v>
      </c>
      <c r="J121" s="28" t="n">
        <v>0</v>
      </c>
      <c r="K121" s="28" t="n">
        <v>0</v>
      </c>
      <c r="L121" s="28" t="b">
        <v>0</v>
      </c>
      <c r="M121" s="28" t="n">
        <v>0</v>
      </c>
      <c r="N121" s="28" t="n">
        <v>0</v>
      </c>
      <c r="O121" s="32" t="n">
        <v>0</v>
      </c>
      <c r="P121" s="28" t="n">
        <v>0</v>
      </c>
      <c r="Q121" s="28" t="n">
        <v>0</v>
      </c>
      <c r="R121" s="28" t="inlineStr"/>
      <c r="S121" s="28" t="inlineStr"/>
      <c r="T121" s="28" t="inlineStr">
        <is>
          <t>LinksDetail</t>
        </is>
      </c>
      <c r="U121" s="28" t="inlineStr"/>
      <c r="V121">
        <f>IFERROR(HYPERLINK("#'Main'!B"&amp;MATCH(TRIM(A121),'Main'!B:B,0),"Open"),HYPERLINK("#'Main'!B1","Open"))</f>
        <v/>
      </c>
    </row>
    <row r="122" ht="18" customHeight="1">
      <c r="A122" s="78" t="inlineStr"/>
      <c r="B122" s="30" t="inlineStr">
        <is>
          <t>Detail</t>
        </is>
      </c>
      <c r="C122" s="31" t="inlineStr">
        <is>
          <t>https://africanmarketingconfederation.org/</t>
        </is>
      </c>
      <c r="D122" s="30" t="inlineStr">
        <is>
          <t>Smoke anchor</t>
        </is>
      </c>
      <c r="E122" s="32" t="n">
        <v>200</v>
      </c>
      <c r="F122" s="30" t="b">
        <v>1</v>
      </c>
      <c r="G122" s="30" t="n">
        <v>0</v>
      </c>
      <c r="H122" s="32" t="n">
        <v>0</v>
      </c>
      <c r="I122" s="30" t="n">
        <v>0</v>
      </c>
      <c r="J122" s="30" t="n">
        <v>0</v>
      </c>
      <c r="K122" s="30" t="n">
        <v>0</v>
      </c>
      <c r="L122" s="30" t="b">
        <v>0</v>
      </c>
      <c r="M122" s="30" t="n">
        <v>0</v>
      </c>
      <c r="N122" s="30" t="n">
        <v>0</v>
      </c>
      <c r="O122" s="32" t="n">
        <v>0</v>
      </c>
      <c r="P122" s="30" t="n">
        <v>0</v>
      </c>
      <c r="Q122" s="30" t="n">
        <v>0</v>
      </c>
      <c r="R122" s="30" t="inlineStr"/>
      <c r="S122" s="30" t="inlineStr"/>
      <c r="T122" s="30" t="inlineStr">
        <is>
          <t>LinksDetail</t>
        </is>
      </c>
      <c r="U122" s="30" t="inlineStr"/>
      <c r="V122" s="38">
        <f>IFERROR(HYPERLINK("#'Main'!B"&amp;MATCH(TRIM(A122),'Main'!B:B,0),"Open"),HYPERLINK("#'Main'!B1","Open"))</f>
        <v/>
      </c>
    </row>
    <row r="123" ht="18" customHeight="1">
      <c r="A123" s="78" t="inlineStr"/>
      <c r="B123" s="28" t="inlineStr">
        <is>
          <t>Detail</t>
        </is>
      </c>
      <c r="C123" s="20" t="inlineStr">
        <is>
          <t>https://africanmarketingconfederation.org/</t>
        </is>
      </c>
      <c r="D123" s="28" t="inlineStr">
        <is>
          <t>Smoke anchor</t>
        </is>
      </c>
      <c r="E123" s="32" t="n">
        <v>200</v>
      </c>
      <c r="F123" s="28" t="b">
        <v>1</v>
      </c>
      <c r="G123" s="28" t="n">
        <v>0</v>
      </c>
      <c r="H123" s="32" t="n">
        <v>0</v>
      </c>
      <c r="I123" s="28" t="n">
        <v>0</v>
      </c>
      <c r="J123" s="28" t="n">
        <v>0</v>
      </c>
      <c r="K123" s="28" t="n">
        <v>0</v>
      </c>
      <c r="L123" s="28" t="b">
        <v>0</v>
      </c>
      <c r="M123" s="28" t="n">
        <v>0</v>
      </c>
      <c r="N123" s="28" t="n">
        <v>0</v>
      </c>
      <c r="O123" s="32" t="n">
        <v>0</v>
      </c>
      <c r="P123" s="28" t="n">
        <v>0</v>
      </c>
      <c r="Q123" s="28" t="n">
        <v>0</v>
      </c>
      <c r="R123" s="28" t="inlineStr"/>
      <c r="S123" s="28" t="inlineStr"/>
      <c r="T123" s="28" t="inlineStr">
        <is>
          <t>LinksDetail</t>
        </is>
      </c>
      <c r="U123" s="28" t="inlineStr"/>
      <c r="V123">
        <f>IFERROR(HYPERLINK("#'Main'!B"&amp;MATCH(TRIM(A123),'Main'!B:B,0),"Open"),HYPERLINK("#'Main'!B1","Open"))</f>
        <v/>
      </c>
    </row>
    <row r="124" ht="18" customHeight="1">
      <c r="A124" s="78" t="inlineStr"/>
      <c r="B124" s="30" t="inlineStr">
        <is>
          <t>Detail</t>
        </is>
      </c>
      <c r="C124" s="31" t="inlineStr">
        <is>
          <t>https://africanmarketingconfederation.org/</t>
        </is>
      </c>
      <c r="D124" s="30" t="inlineStr">
        <is>
          <t>Smoke anchor</t>
        </is>
      </c>
      <c r="E124" s="32" t="n">
        <v>200</v>
      </c>
      <c r="F124" s="30" t="b">
        <v>1</v>
      </c>
      <c r="G124" s="30" t="n">
        <v>0</v>
      </c>
      <c r="H124" s="32" t="n">
        <v>0</v>
      </c>
      <c r="I124" s="30" t="n">
        <v>0</v>
      </c>
      <c r="J124" s="30" t="n">
        <v>0</v>
      </c>
      <c r="K124" s="30" t="n">
        <v>0</v>
      </c>
      <c r="L124" s="30" t="b">
        <v>0</v>
      </c>
      <c r="M124" s="30" t="n">
        <v>0</v>
      </c>
      <c r="N124" s="30" t="n">
        <v>0</v>
      </c>
      <c r="O124" s="32" t="n">
        <v>0</v>
      </c>
      <c r="P124" s="30" t="n">
        <v>0</v>
      </c>
      <c r="Q124" s="30" t="n">
        <v>0</v>
      </c>
      <c r="R124" s="30" t="inlineStr"/>
      <c r="S124" s="30" t="inlineStr"/>
      <c r="T124" s="30" t="inlineStr">
        <is>
          <t>LinksDetail</t>
        </is>
      </c>
      <c r="U124" s="30" t="inlineStr"/>
      <c r="V124" s="38">
        <f>IFERROR(HYPERLINK("#'Main'!B"&amp;MATCH(TRIM(A124),'Main'!B:B,0),"Open"),HYPERLINK("#'Main'!B1","Open"))</f>
        <v/>
      </c>
    </row>
    <row r="125" ht="18" customHeight="1">
      <c r="A125" s="78" t="inlineStr"/>
      <c r="B125" s="28" t="inlineStr">
        <is>
          <t>Detail</t>
        </is>
      </c>
      <c r="C125" s="20" t="inlineStr">
        <is>
          <t>https://africanmarketingconfederation.org/</t>
        </is>
      </c>
      <c r="D125" s="28" t="inlineStr">
        <is>
          <t>Smoke anchor</t>
        </is>
      </c>
      <c r="E125" s="32" t="n">
        <v>200</v>
      </c>
      <c r="F125" s="28" t="b">
        <v>1</v>
      </c>
      <c r="G125" s="28" t="n">
        <v>0</v>
      </c>
      <c r="H125" s="32" t="n">
        <v>0</v>
      </c>
      <c r="I125" s="28" t="n">
        <v>0</v>
      </c>
      <c r="J125" s="28" t="n">
        <v>0</v>
      </c>
      <c r="K125" s="28" t="n">
        <v>0</v>
      </c>
      <c r="L125" s="28" t="b">
        <v>0</v>
      </c>
      <c r="M125" s="28" t="n">
        <v>0</v>
      </c>
      <c r="N125" s="28" t="n">
        <v>0</v>
      </c>
      <c r="O125" s="32" t="n">
        <v>0</v>
      </c>
      <c r="P125" s="28" t="n">
        <v>0</v>
      </c>
      <c r="Q125" s="28" t="n">
        <v>0</v>
      </c>
      <c r="R125" s="28" t="inlineStr"/>
      <c r="S125" s="28" t="inlineStr"/>
      <c r="T125" s="28" t="inlineStr">
        <is>
          <t>LinksDetail</t>
        </is>
      </c>
      <c r="U125" s="28" t="inlineStr"/>
      <c r="V125">
        <f>IFERROR(HYPERLINK("#'Main'!B"&amp;MATCH(TRIM(A125),'Main'!B:B,0),"Open"),HYPERLINK("#'Main'!B1","Open"))</f>
        <v/>
      </c>
    </row>
    <row r="126" ht="18" customHeight="1">
      <c r="A126" s="78" t="inlineStr"/>
      <c r="B126" s="30" t="inlineStr">
        <is>
          <t>Detail</t>
        </is>
      </c>
      <c r="C126" s="31" t="inlineStr">
        <is>
          <t>https://africanmarketingconfederation.org/</t>
        </is>
      </c>
      <c r="D126" s="30" t="inlineStr">
        <is>
          <t>Smoke anchor</t>
        </is>
      </c>
      <c r="E126" s="32" t="n">
        <v>200</v>
      </c>
      <c r="F126" s="30" t="b">
        <v>1</v>
      </c>
      <c r="G126" s="30" t="n">
        <v>0</v>
      </c>
      <c r="H126" s="32" t="n">
        <v>0</v>
      </c>
      <c r="I126" s="30" t="n">
        <v>0</v>
      </c>
      <c r="J126" s="30" t="n">
        <v>0</v>
      </c>
      <c r="K126" s="30" t="n">
        <v>0</v>
      </c>
      <c r="L126" s="30" t="b">
        <v>0</v>
      </c>
      <c r="M126" s="30" t="n">
        <v>0</v>
      </c>
      <c r="N126" s="30" t="n">
        <v>0</v>
      </c>
      <c r="O126" s="32" t="n">
        <v>0</v>
      </c>
      <c r="P126" s="30" t="n">
        <v>0</v>
      </c>
      <c r="Q126" s="30" t="n">
        <v>0</v>
      </c>
      <c r="R126" s="30" t="inlineStr"/>
      <c r="S126" s="30" t="inlineStr"/>
      <c r="T126" s="30" t="inlineStr">
        <is>
          <t>LinksDetail</t>
        </is>
      </c>
      <c r="U126" s="30" t="inlineStr"/>
      <c r="V126" s="38">
        <f>IFERROR(HYPERLINK("#'Main'!B"&amp;MATCH(TRIM(A126),'Main'!B:B,0),"Open"),HYPERLINK("#'Main'!B1","Open"))</f>
        <v/>
      </c>
    </row>
    <row r="127" ht="18" customHeight="1">
      <c r="A127" s="78" t="inlineStr"/>
      <c r="B127" s="28" t="inlineStr">
        <is>
          <t>Detail</t>
        </is>
      </c>
      <c r="C127" s="20" t="inlineStr">
        <is>
          <t>https://africanmarketingconfederation.org/</t>
        </is>
      </c>
      <c r="D127" s="28" t="inlineStr">
        <is>
          <t>Smoke anchor</t>
        </is>
      </c>
      <c r="E127" s="32" t="n">
        <v>200</v>
      </c>
      <c r="F127" s="28" t="b">
        <v>1</v>
      </c>
      <c r="G127" s="28" t="n">
        <v>0</v>
      </c>
      <c r="H127" s="32" t="n">
        <v>0</v>
      </c>
      <c r="I127" s="28" t="n">
        <v>0</v>
      </c>
      <c r="J127" s="28" t="n">
        <v>0</v>
      </c>
      <c r="K127" s="28" t="n">
        <v>0</v>
      </c>
      <c r="L127" s="28" t="b">
        <v>0</v>
      </c>
      <c r="M127" s="28" t="n">
        <v>0</v>
      </c>
      <c r="N127" s="28" t="n">
        <v>0</v>
      </c>
      <c r="O127" s="32" t="n">
        <v>0</v>
      </c>
      <c r="P127" s="28" t="n">
        <v>0</v>
      </c>
      <c r="Q127" s="28" t="n">
        <v>0</v>
      </c>
      <c r="R127" s="28" t="inlineStr"/>
      <c r="S127" s="28" t="inlineStr"/>
      <c r="T127" s="28" t="inlineStr">
        <is>
          <t>LinksDetail</t>
        </is>
      </c>
      <c r="U127" s="28" t="inlineStr"/>
      <c r="V127">
        <f>IFERROR(HYPERLINK("#'Main'!B"&amp;MATCH(TRIM(A127),'Main'!B:B,0),"Open"),HYPERLINK("#'Main'!B1","Open"))</f>
        <v/>
      </c>
    </row>
    <row r="128" ht="18" customHeight="1">
      <c r="A128" s="78" t="inlineStr"/>
      <c r="B128" s="30" t="inlineStr">
        <is>
          <t>Detail</t>
        </is>
      </c>
      <c r="C128" s="31" t="inlineStr">
        <is>
          <t>https://africanmarketingconfederation.org/</t>
        </is>
      </c>
      <c r="D128" s="30" t="inlineStr">
        <is>
          <t>Smoke anchor</t>
        </is>
      </c>
      <c r="E128" s="32" t="n">
        <v>200</v>
      </c>
      <c r="F128" s="30" t="b">
        <v>1</v>
      </c>
      <c r="G128" s="30" t="n">
        <v>0</v>
      </c>
      <c r="H128" s="32" t="n">
        <v>0</v>
      </c>
      <c r="I128" s="30" t="n">
        <v>0</v>
      </c>
      <c r="J128" s="30" t="n">
        <v>0</v>
      </c>
      <c r="K128" s="30" t="n">
        <v>0</v>
      </c>
      <c r="L128" s="30" t="b">
        <v>0</v>
      </c>
      <c r="M128" s="30" t="n">
        <v>0</v>
      </c>
      <c r="N128" s="30" t="n">
        <v>0</v>
      </c>
      <c r="O128" s="32" t="n">
        <v>0</v>
      </c>
      <c r="P128" s="30" t="n">
        <v>0</v>
      </c>
      <c r="Q128" s="30" t="n">
        <v>0</v>
      </c>
      <c r="R128" s="30" t="inlineStr"/>
      <c r="S128" s="30" t="inlineStr"/>
      <c r="T128" s="30" t="inlineStr">
        <is>
          <t>LinksDetail</t>
        </is>
      </c>
      <c r="U128" s="30" t="inlineStr"/>
      <c r="V128" s="38">
        <f>IFERROR(HYPERLINK("#'Main'!B"&amp;MATCH(TRIM(A128),'Main'!B:B,0),"Open"),HYPERLINK("#'Main'!B1","Open"))</f>
        <v/>
      </c>
    </row>
    <row r="129" ht="18" customHeight="1">
      <c r="A129" s="78" t="inlineStr"/>
      <c r="B129" s="28" t="inlineStr">
        <is>
          <t>Detail</t>
        </is>
      </c>
      <c r="C129" s="20" t="inlineStr">
        <is>
          <t>https://africanmarketingconfederation.org/</t>
        </is>
      </c>
      <c r="D129" s="28" t="inlineStr">
        <is>
          <t>Smoke anchor</t>
        </is>
      </c>
      <c r="E129" s="32" t="n">
        <v>200</v>
      </c>
      <c r="F129" s="28" t="b">
        <v>1</v>
      </c>
      <c r="G129" s="28" t="n">
        <v>0</v>
      </c>
      <c r="H129" s="32" t="n">
        <v>0</v>
      </c>
      <c r="I129" s="28" t="n">
        <v>0</v>
      </c>
      <c r="J129" s="28" t="n">
        <v>0</v>
      </c>
      <c r="K129" s="28" t="n">
        <v>0</v>
      </c>
      <c r="L129" s="28" t="b">
        <v>0</v>
      </c>
      <c r="M129" s="28" t="n">
        <v>0</v>
      </c>
      <c r="N129" s="28" t="n">
        <v>0</v>
      </c>
      <c r="O129" s="32" t="n">
        <v>0</v>
      </c>
      <c r="P129" s="28" t="n">
        <v>0</v>
      </c>
      <c r="Q129" s="28" t="n">
        <v>0</v>
      </c>
      <c r="R129" s="28" t="inlineStr"/>
      <c r="S129" s="28" t="inlineStr"/>
      <c r="T129" s="28" t="inlineStr">
        <is>
          <t>LinksDetail</t>
        </is>
      </c>
      <c r="U129" s="28" t="inlineStr"/>
      <c r="V129">
        <f>IFERROR(HYPERLINK("#'Main'!B"&amp;MATCH(TRIM(A129),'Main'!B:B,0),"Open"),HYPERLINK("#'Main'!B1","Open"))</f>
        <v/>
      </c>
    </row>
    <row r="130" ht="18" customHeight="1">
      <c r="A130" s="78" t="inlineStr"/>
      <c r="B130" s="30" t="inlineStr">
        <is>
          <t>Detail</t>
        </is>
      </c>
      <c r="C130" s="31" t="inlineStr">
        <is>
          <t>https://africanmarketingconfederation.org/</t>
        </is>
      </c>
      <c r="D130" s="30" t="inlineStr">
        <is>
          <t>Smoke anchor</t>
        </is>
      </c>
      <c r="E130" s="32" t="n">
        <v>200</v>
      </c>
      <c r="F130" s="30" t="b">
        <v>1</v>
      </c>
      <c r="G130" s="30" t="n">
        <v>0</v>
      </c>
      <c r="H130" s="32" t="n">
        <v>0</v>
      </c>
      <c r="I130" s="30" t="n">
        <v>0</v>
      </c>
      <c r="J130" s="30" t="n">
        <v>0</v>
      </c>
      <c r="K130" s="30" t="n">
        <v>0</v>
      </c>
      <c r="L130" s="30" t="b">
        <v>0</v>
      </c>
      <c r="M130" s="30" t="n">
        <v>0</v>
      </c>
      <c r="N130" s="30" t="n">
        <v>0</v>
      </c>
      <c r="O130" s="32" t="n">
        <v>0</v>
      </c>
      <c r="P130" s="30" t="n">
        <v>0</v>
      </c>
      <c r="Q130" s="30" t="n">
        <v>0</v>
      </c>
      <c r="R130" s="30" t="inlineStr"/>
      <c r="S130" s="30" t="inlineStr"/>
      <c r="T130" s="30" t="inlineStr">
        <is>
          <t>LinksDetail</t>
        </is>
      </c>
      <c r="U130" s="30" t="inlineStr"/>
      <c r="V130" s="38">
        <f>IFERROR(HYPERLINK("#'Main'!B"&amp;MATCH(TRIM(A130),'Main'!B:B,0),"Open"),HYPERLINK("#'Main'!B1","Open"))</f>
        <v/>
      </c>
    </row>
    <row r="131" ht="18" customHeight="1">
      <c r="A131" s="78" t="inlineStr"/>
      <c r="B131" s="28" t="inlineStr">
        <is>
          <t>Detail</t>
        </is>
      </c>
      <c r="C131" s="20" t="inlineStr">
        <is>
          <t>https://africanmarketingconfederation.org/</t>
        </is>
      </c>
      <c r="D131" s="28" t="inlineStr">
        <is>
          <t>Smoke anchor</t>
        </is>
      </c>
      <c r="E131" s="32" t="n">
        <v>200</v>
      </c>
      <c r="F131" s="28" t="b">
        <v>1</v>
      </c>
      <c r="G131" s="28" t="n">
        <v>0</v>
      </c>
      <c r="H131" s="32" t="n">
        <v>0</v>
      </c>
      <c r="I131" s="28" t="n">
        <v>0</v>
      </c>
      <c r="J131" s="28" t="n">
        <v>0</v>
      </c>
      <c r="K131" s="28" t="n">
        <v>0</v>
      </c>
      <c r="L131" s="28" t="b">
        <v>0</v>
      </c>
      <c r="M131" s="28" t="n">
        <v>0</v>
      </c>
      <c r="N131" s="28" t="n">
        <v>0</v>
      </c>
      <c r="O131" s="32" t="n">
        <v>0</v>
      </c>
      <c r="P131" s="28" t="n">
        <v>0</v>
      </c>
      <c r="Q131" s="28" t="n">
        <v>0</v>
      </c>
      <c r="R131" s="28" t="inlineStr"/>
      <c r="S131" s="28" t="inlineStr"/>
      <c r="T131" s="28" t="inlineStr">
        <is>
          <t>LinksDetail</t>
        </is>
      </c>
      <c r="U131" s="28" t="inlineStr"/>
      <c r="V131">
        <f>IFERROR(HYPERLINK("#'Main'!B"&amp;MATCH(TRIM(A131),'Main'!B:B,0),"Open"),HYPERLINK("#'Main'!B1","Open"))</f>
        <v/>
      </c>
    </row>
    <row r="132" ht="18" customHeight="1">
      <c r="A132" s="78" t="inlineStr"/>
      <c r="B132" s="30" t="inlineStr">
        <is>
          <t>Detail</t>
        </is>
      </c>
      <c r="C132" s="31" t="inlineStr">
        <is>
          <t>https://africanmarketingconfederation.org/smoke-archive/page-45/</t>
        </is>
      </c>
      <c r="D132" s="30" t="inlineStr">
        <is>
          <t>Smoke anchor</t>
        </is>
      </c>
      <c r="E132" s="32" t="n">
        <v>200</v>
      </c>
      <c r="F132" s="30" t="b">
        <v>1</v>
      </c>
      <c r="G132" s="30" t="n">
        <v>0</v>
      </c>
      <c r="H132" s="32" t="n">
        <v>0</v>
      </c>
      <c r="I132" s="30" t="n">
        <v>0</v>
      </c>
      <c r="J132" s="30" t="n">
        <v>0</v>
      </c>
      <c r="K132" s="30" t="n">
        <v>0</v>
      </c>
      <c r="L132" s="30" t="b">
        <v>0</v>
      </c>
      <c r="M132" s="30" t="n">
        <v>0</v>
      </c>
      <c r="N132" s="30" t="n">
        <v>0</v>
      </c>
      <c r="O132" s="32" t="n">
        <v>0</v>
      </c>
      <c r="P132" s="30" t="n">
        <v>0</v>
      </c>
      <c r="Q132" s="30" t="n">
        <v>0</v>
      </c>
      <c r="R132" s="30" t="inlineStr"/>
      <c r="S132" s="30" t="inlineStr"/>
      <c r="T132" s="30" t="inlineStr">
        <is>
          <t>LinksDetail</t>
        </is>
      </c>
      <c r="U132" s="30" t="inlineStr"/>
      <c r="V132" s="38">
        <f>IFERROR(HYPERLINK("#'Main'!B"&amp;MATCH(TRIM(A132),'Main'!B:B,0),"Open"),HYPERLINK("#'Main'!B1","Open"))</f>
        <v/>
      </c>
    </row>
    <row r="133" ht="18" customHeight="1">
      <c r="A133" s="78" t="inlineStr"/>
      <c r="B133" s="28" t="inlineStr">
        <is>
          <t>Detail</t>
        </is>
      </c>
      <c r="C133" s="20" t="inlineStr">
        <is>
          <t>https://africanmarketingconfederation.org/</t>
        </is>
      </c>
      <c r="D133" s="28" t="inlineStr">
        <is>
          <t>Smoke anchor</t>
        </is>
      </c>
      <c r="E133" s="32" t="n">
        <v>200</v>
      </c>
      <c r="F133" s="28" t="b">
        <v>1</v>
      </c>
      <c r="G133" s="28" t="n">
        <v>0</v>
      </c>
      <c r="H133" s="32" t="n">
        <v>0</v>
      </c>
      <c r="I133" s="28" t="n">
        <v>0</v>
      </c>
      <c r="J133" s="28" t="n">
        <v>0</v>
      </c>
      <c r="K133" s="28" t="n">
        <v>0</v>
      </c>
      <c r="L133" s="28" t="b">
        <v>0</v>
      </c>
      <c r="M133" s="28" t="n">
        <v>0</v>
      </c>
      <c r="N133" s="28" t="n">
        <v>0</v>
      </c>
      <c r="O133" s="32" t="n">
        <v>0</v>
      </c>
      <c r="P133" s="28" t="n">
        <v>0</v>
      </c>
      <c r="Q133" s="28" t="n">
        <v>0</v>
      </c>
      <c r="R133" s="28" t="inlineStr"/>
      <c r="S133" s="28" t="inlineStr"/>
      <c r="T133" s="28" t="inlineStr">
        <is>
          <t>LinksDetail</t>
        </is>
      </c>
      <c r="U133" s="28" t="inlineStr"/>
      <c r="V133">
        <f>IFERROR(HYPERLINK("#'Main'!B"&amp;MATCH(TRIM(A133),'Main'!B:B,0),"Open"),HYPERLINK("#'Main'!B1","Open"))</f>
        <v/>
      </c>
    </row>
    <row r="134" ht="18" customHeight="1">
      <c r="A134" s="78" t="inlineStr"/>
      <c r="B134" s="30" t="inlineStr">
        <is>
          <t>Detail</t>
        </is>
      </c>
      <c r="C134" s="31" t="inlineStr">
        <is>
          <t>https://africanmarketingconfederation.org/</t>
        </is>
      </c>
      <c r="D134" s="30" t="inlineStr">
        <is>
          <t>Smoke anchor</t>
        </is>
      </c>
      <c r="E134" s="32" t="n">
        <v>200</v>
      </c>
      <c r="F134" s="30" t="b">
        <v>1</v>
      </c>
      <c r="G134" s="30" t="n">
        <v>0</v>
      </c>
      <c r="H134" s="32" t="n">
        <v>0</v>
      </c>
      <c r="I134" s="30" t="n">
        <v>0</v>
      </c>
      <c r="J134" s="30" t="n">
        <v>0</v>
      </c>
      <c r="K134" s="30" t="n">
        <v>0</v>
      </c>
      <c r="L134" s="30" t="b">
        <v>0</v>
      </c>
      <c r="M134" s="30" t="n">
        <v>0</v>
      </c>
      <c r="N134" s="30" t="n">
        <v>0</v>
      </c>
      <c r="O134" s="32" t="n">
        <v>0</v>
      </c>
      <c r="P134" s="30" t="n">
        <v>0</v>
      </c>
      <c r="Q134" s="30" t="n">
        <v>0</v>
      </c>
      <c r="R134" s="30" t="inlineStr"/>
      <c r="S134" s="30" t="inlineStr"/>
      <c r="T134" s="30" t="inlineStr">
        <is>
          <t>LinksDetail</t>
        </is>
      </c>
      <c r="U134" s="30" t="inlineStr"/>
      <c r="V134" s="38">
        <f>IFERROR(HYPERLINK("#'Main'!B"&amp;MATCH(TRIM(A134),'Main'!B:B,0),"Open"),HYPERLINK("#'Main'!B1","Open"))</f>
        <v/>
      </c>
    </row>
    <row r="135" ht="18" customHeight="1">
      <c r="A135" s="78" t="inlineStr"/>
      <c r="B135" s="28" t="inlineStr">
        <is>
          <t>Detail</t>
        </is>
      </c>
      <c r="C135" s="20" t="inlineStr">
        <is>
          <t>https://africanmarketingconfederation.org/</t>
        </is>
      </c>
      <c r="D135" s="28" t="inlineStr">
        <is>
          <t>Smoke anchor</t>
        </is>
      </c>
      <c r="E135" s="32" t="n">
        <v>200</v>
      </c>
      <c r="F135" s="28" t="b">
        <v>1</v>
      </c>
      <c r="G135" s="28" t="n">
        <v>0</v>
      </c>
      <c r="H135" s="32" t="n">
        <v>0</v>
      </c>
      <c r="I135" s="28" t="n">
        <v>0</v>
      </c>
      <c r="J135" s="28" t="n">
        <v>0</v>
      </c>
      <c r="K135" s="28" t="n">
        <v>0</v>
      </c>
      <c r="L135" s="28" t="b">
        <v>0</v>
      </c>
      <c r="M135" s="28" t="n">
        <v>0</v>
      </c>
      <c r="N135" s="28" t="n">
        <v>0</v>
      </c>
      <c r="O135" s="32" t="n">
        <v>0</v>
      </c>
      <c r="P135" s="28" t="n">
        <v>0</v>
      </c>
      <c r="Q135" s="28" t="n">
        <v>0</v>
      </c>
      <c r="R135" s="28" t="inlineStr"/>
      <c r="S135" s="28" t="inlineStr"/>
      <c r="T135" s="28" t="inlineStr">
        <is>
          <t>LinksDetail</t>
        </is>
      </c>
      <c r="U135" s="28" t="inlineStr"/>
      <c r="V135">
        <f>IFERROR(HYPERLINK("#'Main'!B"&amp;MATCH(TRIM(A135),'Main'!B:B,0),"Open"),HYPERLINK("#'Main'!B1","Open"))</f>
        <v/>
      </c>
    </row>
    <row r="136" ht="18" customHeight="1">
      <c r="A136" s="78" t="inlineStr"/>
      <c r="B136" s="30" t="inlineStr">
        <is>
          <t>Detail</t>
        </is>
      </c>
      <c r="C136" s="31" t="inlineStr">
        <is>
          <t>https://africanmarketingconfederation.org/</t>
        </is>
      </c>
      <c r="D136" s="30" t="inlineStr">
        <is>
          <t>Smoke anchor</t>
        </is>
      </c>
      <c r="E136" s="32" t="n">
        <v>200</v>
      </c>
      <c r="F136" s="30" t="b">
        <v>1</v>
      </c>
      <c r="G136" s="30" t="n">
        <v>0</v>
      </c>
      <c r="H136" s="32" t="n">
        <v>0</v>
      </c>
      <c r="I136" s="30" t="n">
        <v>0</v>
      </c>
      <c r="J136" s="30" t="n">
        <v>0</v>
      </c>
      <c r="K136" s="30" t="n">
        <v>0</v>
      </c>
      <c r="L136" s="30" t="b">
        <v>0</v>
      </c>
      <c r="M136" s="30" t="n">
        <v>0</v>
      </c>
      <c r="N136" s="30" t="n">
        <v>0</v>
      </c>
      <c r="O136" s="32" t="n">
        <v>0</v>
      </c>
      <c r="P136" s="30" t="n">
        <v>0</v>
      </c>
      <c r="Q136" s="30" t="n">
        <v>0</v>
      </c>
      <c r="R136" s="30" t="inlineStr"/>
      <c r="S136" s="30" t="inlineStr"/>
      <c r="T136" s="30" t="inlineStr">
        <is>
          <t>LinksDetail</t>
        </is>
      </c>
      <c r="U136" s="30" t="inlineStr"/>
      <c r="V136" s="38">
        <f>IFERROR(HYPERLINK("#'Main'!B"&amp;MATCH(TRIM(A136),'Main'!B:B,0),"Open"),HYPERLINK("#'Main'!B1","Open"))</f>
        <v/>
      </c>
    </row>
    <row r="137" ht="18" customHeight="1">
      <c r="A137" s="78" t="inlineStr"/>
      <c r="B137" s="28" t="inlineStr">
        <is>
          <t>Detail</t>
        </is>
      </c>
      <c r="C137" s="20" t="inlineStr">
        <is>
          <t>https://africanmarketingconfederation.org/</t>
        </is>
      </c>
      <c r="D137" s="28" t="inlineStr">
        <is>
          <t>Smoke anchor</t>
        </is>
      </c>
      <c r="E137" s="32" t="n">
        <v>200</v>
      </c>
      <c r="F137" s="28" t="b">
        <v>1</v>
      </c>
      <c r="G137" s="28" t="n">
        <v>0</v>
      </c>
      <c r="H137" s="32" t="n">
        <v>0</v>
      </c>
      <c r="I137" s="28" t="n">
        <v>0</v>
      </c>
      <c r="J137" s="28" t="n">
        <v>0</v>
      </c>
      <c r="K137" s="28" t="n">
        <v>0</v>
      </c>
      <c r="L137" s="28" t="b">
        <v>0</v>
      </c>
      <c r="M137" s="28" t="n">
        <v>0</v>
      </c>
      <c r="N137" s="28" t="n">
        <v>0</v>
      </c>
      <c r="O137" s="32" t="n">
        <v>0</v>
      </c>
      <c r="P137" s="28" t="n">
        <v>0</v>
      </c>
      <c r="Q137" s="28" t="n">
        <v>0</v>
      </c>
      <c r="R137" s="28" t="inlineStr"/>
      <c r="S137" s="28" t="inlineStr"/>
      <c r="T137" s="28" t="inlineStr">
        <is>
          <t>LinksDetail</t>
        </is>
      </c>
      <c r="U137" s="28" t="inlineStr"/>
      <c r="V137">
        <f>IFERROR(HYPERLINK("#'Main'!B"&amp;MATCH(TRIM(A137),'Main'!B:B,0),"Open"),HYPERLINK("#'Main'!B1","Open"))</f>
        <v/>
      </c>
    </row>
    <row r="138" ht="18" customHeight="1">
      <c r="A138" s="78" t="inlineStr"/>
      <c r="B138" s="30" t="inlineStr">
        <is>
          <t>Detail</t>
        </is>
      </c>
      <c r="C138" s="31" t="inlineStr">
        <is>
          <t>https://africanmarketingconfederation.org/</t>
        </is>
      </c>
      <c r="D138" s="30" t="inlineStr">
        <is>
          <t>Smoke anchor</t>
        </is>
      </c>
      <c r="E138" s="32" t="n">
        <v>200</v>
      </c>
      <c r="F138" s="30" t="b">
        <v>1</v>
      </c>
      <c r="G138" s="30" t="n">
        <v>0</v>
      </c>
      <c r="H138" s="32" t="n">
        <v>0</v>
      </c>
      <c r="I138" s="30" t="n">
        <v>0</v>
      </c>
      <c r="J138" s="30" t="n">
        <v>0</v>
      </c>
      <c r="K138" s="30" t="n">
        <v>0</v>
      </c>
      <c r="L138" s="30" t="b">
        <v>0</v>
      </c>
      <c r="M138" s="30" t="n">
        <v>0</v>
      </c>
      <c r="N138" s="30" t="n">
        <v>0</v>
      </c>
      <c r="O138" s="32" t="n">
        <v>0</v>
      </c>
      <c r="P138" s="30" t="n">
        <v>0</v>
      </c>
      <c r="Q138" s="30" t="n">
        <v>0</v>
      </c>
      <c r="R138" s="30" t="inlineStr"/>
      <c r="S138" s="30" t="inlineStr"/>
      <c r="T138" s="30" t="inlineStr">
        <is>
          <t>LinksDetail</t>
        </is>
      </c>
      <c r="U138" s="30" t="inlineStr"/>
      <c r="V138" s="38">
        <f>IFERROR(HYPERLINK("#'Main'!B"&amp;MATCH(TRIM(A138),'Main'!B:B,0),"Open"),HYPERLINK("#'Main'!B1","Open"))</f>
        <v/>
      </c>
    </row>
    <row r="139" ht="18" customHeight="1">
      <c r="A139" s="78" t="inlineStr"/>
      <c r="B139" s="28" t="inlineStr">
        <is>
          <t>Detail</t>
        </is>
      </c>
      <c r="C139" s="20" t="inlineStr">
        <is>
          <t>https://africanmarketingconfederation.org/</t>
        </is>
      </c>
      <c r="D139" s="28" t="inlineStr">
        <is>
          <t>Smoke anchor</t>
        </is>
      </c>
      <c r="E139" s="32" t="n">
        <v>200</v>
      </c>
      <c r="F139" s="28" t="b">
        <v>1</v>
      </c>
      <c r="G139" s="28" t="n">
        <v>0</v>
      </c>
      <c r="H139" s="32" t="n">
        <v>0</v>
      </c>
      <c r="I139" s="28" t="n">
        <v>0</v>
      </c>
      <c r="J139" s="28" t="n">
        <v>0</v>
      </c>
      <c r="K139" s="28" t="n">
        <v>0</v>
      </c>
      <c r="L139" s="28" t="b">
        <v>0</v>
      </c>
      <c r="M139" s="28" t="n">
        <v>0</v>
      </c>
      <c r="N139" s="28" t="n">
        <v>0</v>
      </c>
      <c r="O139" s="32" t="n">
        <v>0</v>
      </c>
      <c r="P139" s="28" t="n">
        <v>0</v>
      </c>
      <c r="Q139" s="28" t="n">
        <v>0</v>
      </c>
      <c r="R139" s="28" t="inlineStr"/>
      <c r="S139" s="28" t="inlineStr"/>
      <c r="T139" s="28" t="inlineStr">
        <is>
          <t>LinksDetail</t>
        </is>
      </c>
      <c r="U139" s="28" t="inlineStr"/>
      <c r="V139">
        <f>IFERROR(HYPERLINK("#'Main'!B"&amp;MATCH(TRIM(A139),'Main'!B:B,0),"Open"),HYPERLINK("#'Main'!B1","Open"))</f>
        <v/>
      </c>
    </row>
    <row r="140" ht="18" customHeight="1">
      <c r="A140" s="78" t="inlineStr"/>
      <c r="B140" s="30" t="inlineStr">
        <is>
          <t>Detail</t>
        </is>
      </c>
      <c r="C140" s="31" t="inlineStr">
        <is>
          <t>https://africanmarketingconfederation.org/</t>
        </is>
      </c>
      <c r="D140" s="30" t="inlineStr">
        <is>
          <t>Smoke anchor</t>
        </is>
      </c>
      <c r="E140" s="32" t="n">
        <v>200</v>
      </c>
      <c r="F140" s="30" t="b">
        <v>1</v>
      </c>
      <c r="G140" s="30" t="n">
        <v>0</v>
      </c>
      <c r="H140" s="32" t="n">
        <v>0</v>
      </c>
      <c r="I140" s="30" t="n">
        <v>0</v>
      </c>
      <c r="J140" s="30" t="n">
        <v>0</v>
      </c>
      <c r="K140" s="30" t="n">
        <v>0</v>
      </c>
      <c r="L140" s="30" t="b">
        <v>0</v>
      </c>
      <c r="M140" s="30" t="n">
        <v>0</v>
      </c>
      <c r="N140" s="30" t="n">
        <v>0</v>
      </c>
      <c r="O140" s="32" t="n">
        <v>0</v>
      </c>
      <c r="P140" s="30" t="n">
        <v>0</v>
      </c>
      <c r="Q140" s="30" t="n">
        <v>0</v>
      </c>
      <c r="R140" s="30" t="inlineStr"/>
      <c r="S140" s="30" t="inlineStr"/>
      <c r="T140" s="30" t="inlineStr">
        <is>
          <t>LinksDetail</t>
        </is>
      </c>
      <c r="U140" s="30" t="inlineStr"/>
      <c r="V140" s="38">
        <f>IFERROR(HYPERLINK("#'Main'!B"&amp;MATCH(TRIM(A140),'Main'!B:B,0),"Open"),HYPERLINK("#'Main'!B1","Open"))</f>
        <v/>
      </c>
    </row>
    <row r="141" ht="18" customHeight="1">
      <c r="A141" s="78" t="inlineStr"/>
      <c r="B141" s="28" t="inlineStr">
        <is>
          <t>Detail</t>
        </is>
      </c>
      <c r="C141" s="20" t="inlineStr">
        <is>
          <t>https://africanmarketingconfederation.org/</t>
        </is>
      </c>
      <c r="D141" s="28" t="inlineStr">
        <is>
          <t>Smoke anchor</t>
        </is>
      </c>
      <c r="E141" s="32" t="n">
        <v>200</v>
      </c>
      <c r="F141" s="28" t="b">
        <v>1</v>
      </c>
      <c r="G141" s="28" t="n">
        <v>0</v>
      </c>
      <c r="H141" s="32" t="n">
        <v>0</v>
      </c>
      <c r="I141" s="28" t="n">
        <v>0</v>
      </c>
      <c r="J141" s="28" t="n">
        <v>0</v>
      </c>
      <c r="K141" s="28" t="n">
        <v>0</v>
      </c>
      <c r="L141" s="28" t="b">
        <v>0</v>
      </c>
      <c r="M141" s="28" t="n">
        <v>0</v>
      </c>
      <c r="N141" s="28" t="n">
        <v>0</v>
      </c>
      <c r="O141" s="32" t="n">
        <v>0</v>
      </c>
      <c r="P141" s="28" t="n">
        <v>0</v>
      </c>
      <c r="Q141" s="28" t="n">
        <v>0</v>
      </c>
      <c r="R141" s="28" t="inlineStr"/>
      <c r="S141" s="28" t="inlineStr"/>
      <c r="T141" s="28" t="inlineStr">
        <is>
          <t>LinksDetail</t>
        </is>
      </c>
      <c r="U141" s="28" t="inlineStr"/>
      <c r="V141">
        <f>IFERROR(HYPERLINK("#'Main'!B"&amp;MATCH(TRIM(A141),'Main'!B:B,0),"Open"),HYPERLINK("#'Main'!B1","Open"))</f>
        <v/>
      </c>
    </row>
    <row r="142" ht="18" customHeight="1">
      <c r="A142" s="78" t="inlineStr"/>
      <c r="B142" s="30" t="inlineStr">
        <is>
          <t>Detail</t>
        </is>
      </c>
      <c r="C142" s="31" t="inlineStr">
        <is>
          <t>https://africanmarketingconfederation.org/</t>
        </is>
      </c>
      <c r="D142" s="30" t="inlineStr">
        <is>
          <t>Smoke anchor</t>
        </is>
      </c>
      <c r="E142" s="32" t="n">
        <v>200</v>
      </c>
      <c r="F142" s="30" t="b">
        <v>1</v>
      </c>
      <c r="G142" s="30" t="n">
        <v>0</v>
      </c>
      <c r="H142" s="32" t="n">
        <v>0</v>
      </c>
      <c r="I142" s="30" t="n">
        <v>0</v>
      </c>
      <c r="J142" s="30" t="n">
        <v>0</v>
      </c>
      <c r="K142" s="30" t="n">
        <v>0</v>
      </c>
      <c r="L142" s="30" t="b">
        <v>0</v>
      </c>
      <c r="M142" s="30" t="n">
        <v>0</v>
      </c>
      <c r="N142" s="30" t="n">
        <v>0</v>
      </c>
      <c r="O142" s="32" t="n">
        <v>0</v>
      </c>
      <c r="P142" s="30" t="n">
        <v>0</v>
      </c>
      <c r="Q142" s="30" t="n">
        <v>0</v>
      </c>
      <c r="R142" s="30" t="inlineStr"/>
      <c r="S142" s="30" t="inlineStr"/>
      <c r="T142" s="30" t="inlineStr">
        <is>
          <t>LinksDetail</t>
        </is>
      </c>
      <c r="U142" s="30" t="inlineStr"/>
      <c r="V142" s="38">
        <f>IFERROR(HYPERLINK("#'Main'!B"&amp;MATCH(TRIM(A142),'Main'!B:B,0),"Open"),HYPERLINK("#'Main'!B1","Open"))</f>
        <v/>
      </c>
    </row>
    <row r="143" ht="18" customHeight="1">
      <c r="A143" s="78" t="inlineStr"/>
      <c r="B143" s="28" t="inlineStr">
        <is>
          <t>Detail</t>
        </is>
      </c>
      <c r="C143" s="20" t="inlineStr">
        <is>
          <t>https://africanmarketingconfederation.org/</t>
        </is>
      </c>
      <c r="D143" s="28" t="inlineStr">
        <is>
          <t>Smoke anchor</t>
        </is>
      </c>
      <c r="E143" s="32" t="n">
        <v>200</v>
      </c>
      <c r="F143" s="28" t="b">
        <v>1</v>
      </c>
      <c r="G143" s="28" t="n">
        <v>0</v>
      </c>
      <c r="H143" s="32" t="n">
        <v>0</v>
      </c>
      <c r="I143" s="28" t="n">
        <v>0</v>
      </c>
      <c r="J143" s="28" t="n">
        <v>0</v>
      </c>
      <c r="K143" s="28" t="n">
        <v>0</v>
      </c>
      <c r="L143" s="28" t="b">
        <v>0</v>
      </c>
      <c r="M143" s="28" t="n">
        <v>0</v>
      </c>
      <c r="N143" s="28" t="n">
        <v>0</v>
      </c>
      <c r="O143" s="32" t="n">
        <v>0</v>
      </c>
      <c r="P143" s="28" t="n">
        <v>0</v>
      </c>
      <c r="Q143" s="28" t="n">
        <v>0</v>
      </c>
      <c r="R143" s="28" t="inlineStr"/>
      <c r="S143" s="28" t="inlineStr"/>
      <c r="T143" s="28" t="inlineStr">
        <is>
          <t>LinksDetail</t>
        </is>
      </c>
      <c r="U143" s="28" t="inlineStr"/>
      <c r="V143">
        <f>IFERROR(HYPERLINK("#'Main'!B"&amp;MATCH(TRIM(A143),'Main'!B:B,0),"Open"),HYPERLINK("#'Main'!B1","Open"))</f>
        <v/>
      </c>
    </row>
    <row r="144" ht="18" customHeight="1">
      <c r="A144" s="78" t="inlineStr"/>
      <c r="B144" s="30" t="inlineStr">
        <is>
          <t>Detail</t>
        </is>
      </c>
      <c r="C144" s="31" t="inlineStr">
        <is>
          <t>https://africanmarketingconfederation.org/</t>
        </is>
      </c>
      <c r="D144" s="30" t="inlineStr">
        <is>
          <t>Smoke anchor</t>
        </is>
      </c>
      <c r="E144" s="32" t="n">
        <v>200</v>
      </c>
      <c r="F144" s="30" t="b">
        <v>1</v>
      </c>
      <c r="G144" s="30" t="n">
        <v>0</v>
      </c>
      <c r="H144" s="32" t="n">
        <v>0</v>
      </c>
      <c r="I144" s="30" t="n">
        <v>0</v>
      </c>
      <c r="J144" s="30" t="n">
        <v>0</v>
      </c>
      <c r="K144" s="30" t="n">
        <v>0</v>
      </c>
      <c r="L144" s="30" t="b">
        <v>0</v>
      </c>
      <c r="M144" s="30" t="n">
        <v>0</v>
      </c>
      <c r="N144" s="30" t="n">
        <v>0</v>
      </c>
      <c r="O144" s="32" t="n">
        <v>0</v>
      </c>
      <c r="P144" s="30" t="n">
        <v>0</v>
      </c>
      <c r="Q144" s="30" t="n">
        <v>0</v>
      </c>
      <c r="R144" s="30" t="inlineStr"/>
      <c r="S144" s="30" t="inlineStr"/>
      <c r="T144" s="30" t="inlineStr">
        <is>
          <t>LinksDetail</t>
        </is>
      </c>
      <c r="U144" s="30" t="inlineStr"/>
      <c r="V144" s="38">
        <f>IFERROR(HYPERLINK("#'Main'!B"&amp;MATCH(TRIM(A144),'Main'!B:B,0),"Open"),HYPERLINK("#'Main'!B1","Open"))</f>
        <v/>
      </c>
    </row>
    <row r="145" ht="18" customHeight="1">
      <c r="A145" s="78" t="inlineStr"/>
      <c r="B145" s="28" t="inlineStr">
        <is>
          <t>Detail</t>
        </is>
      </c>
      <c r="C145" s="20" t="inlineStr">
        <is>
          <t>https://africanmarketingconfederation.org/</t>
        </is>
      </c>
      <c r="D145" s="28" t="inlineStr">
        <is>
          <t>Smoke anchor</t>
        </is>
      </c>
      <c r="E145" s="32" t="n">
        <v>200</v>
      </c>
      <c r="F145" s="28" t="b">
        <v>1</v>
      </c>
      <c r="G145" s="28" t="n">
        <v>0</v>
      </c>
      <c r="H145" s="32" t="n">
        <v>0</v>
      </c>
      <c r="I145" s="28" t="n">
        <v>0</v>
      </c>
      <c r="J145" s="28" t="n">
        <v>0</v>
      </c>
      <c r="K145" s="28" t="n">
        <v>0</v>
      </c>
      <c r="L145" s="28" t="b">
        <v>0</v>
      </c>
      <c r="M145" s="28" t="n">
        <v>0</v>
      </c>
      <c r="N145" s="28" t="n">
        <v>0</v>
      </c>
      <c r="O145" s="32" t="n">
        <v>0</v>
      </c>
      <c r="P145" s="28" t="n">
        <v>0</v>
      </c>
      <c r="Q145" s="28" t="n">
        <v>0</v>
      </c>
      <c r="R145" s="28" t="inlineStr"/>
      <c r="S145" s="28" t="inlineStr"/>
      <c r="T145" s="28" t="inlineStr">
        <is>
          <t>LinksDetail</t>
        </is>
      </c>
      <c r="U145" s="28" t="inlineStr"/>
      <c r="V145">
        <f>IFERROR(HYPERLINK("#'Main'!B"&amp;MATCH(TRIM(A145),'Main'!B:B,0),"Open"),HYPERLINK("#'Main'!B1","Open"))</f>
        <v/>
      </c>
    </row>
    <row r="146" ht="18" customHeight="1">
      <c r="A146" s="78" t="inlineStr"/>
      <c r="B146" s="30" t="inlineStr">
        <is>
          <t>Detail</t>
        </is>
      </c>
      <c r="C146" s="31" t="inlineStr">
        <is>
          <t>https://africanmarketingconfederation.org/</t>
        </is>
      </c>
      <c r="D146" s="30" t="inlineStr">
        <is>
          <t>Smoke anchor</t>
        </is>
      </c>
      <c r="E146" s="32" t="n">
        <v>200</v>
      </c>
      <c r="F146" s="30" t="b">
        <v>1</v>
      </c>
      <c r="G146" s="30" t="n">
        <v>0</v>
      </c>
      <c r="H146" s="32" t="n">
        <v>0</v>
      </c>
      <c r="I146" s="30" t="n">
        <v>0</v>
      </c>
      <c r="J146" s="30" t="n">
        <v>0</v>
      </c>
      <c r="K146" s="30" t="n">
        <v>0</v>
      </c>
      <c r="L146" s="30" t="b">
        <v>0</v>
      </c>
      <c r="M146" s="30" t="n">
        <v>0</v>
      </c>
      <c r="N146" s="30" t="n">
        <v>0</v>
      </c>
      <c r="O146" s="32" t="n">
        <v>0</v>
      </c>
      <c r="P146" s="30" t="n">
        <v>0</v>
      </c>
      <c r="Q146" s="30" t="n">
        <v>0</v>
      </c>
      <c r="R146" s="30" t="inlineStr"/>
      <c r="S146" s="30" t="inlineStr"/>
      <c r="T146" s="30" t="inlineStr">
        <is>
          <t>LinksDetail</t>
        </is>
      </c>
      <c r="U146" s="30" t="inlineStr"/>
      <c r="V146" s="38">
        <f>IFERROR(HYPERLINK("#'Main'!B"&amp;MATCH(TRIM(A146),'Main'!B:B,0),"Open"),HYPERLINK("#'Main'!B1","Open"))</f>
        <v/>
      </c>
    </row>
    <row r="147" ht="18" customHeight="1">
      <c r="A147" s="78" t="inlineStr"/>
      <c r="B147" s="28" t="inlineStr">
        <is>
          <t>Detail</t>
        </is>
      </c>
      <c r="C147" s="20" t="inlineStr">
        <is>
          <t>https://africanmarketingconfederation.org/</t>
        </is>
      </c>
      <c r="D147" s="28" t="inlineStr">
        <is>
          <t>Smoke anchor</t>
        </is>
      </c>
      <c r="E147" s="32" t="n">
        <v>200</v>
      </c>
      <c r="F147" s="28" t="b">
        <v>1</v>
      </c>
      <c r="G147" s="28" t="n">
        <v>0</v>
      </c>
      <c r="H147" s="32" t="n">
        <v>0</v>
      </c>
      <c r="I147" s="28" t="n">
        <v>0</v>
      </c>
      <c r="J147" s="28" t="n">
        <v>0</v>
      </c>
      <c r="K147" s="28" t="n">
        <v>0</v>
      </c>
      <c r="L147" s="28" t="b">
        <v>0</v>
      </c>
      <c r="M147" s="28" t="n">
        <v>0</v>
      </c>
      <c r="N147" s="28" t="n">
        <v>0</v>
      </c>
      <c r="O147" s="32" t="n">
        <v>0</v>
      </c>
      <c r="P147" s="28" t="n">
        <v>0</v>
      </c>
      <c r="Q147" s="28" t="n">
        <v>0</v>
      </c>
      <c r="R147" s="28" t="inlineStr"/>
      <c r="S147" s="28" t="inlineStr"/>
      <c r="T147" s="28" t="inlineStr">
        <is>
          <t>LinksDetail</t>
        </is>
      </c>
      <c r="U147" s="28" t="inlineStr"/>
      <c r="V147">
        <f>IFERROR(HYPERLINK("#'Main'!B"&amp;MATCH(TRIM(A147),'Main'!B:B,0),"Open"),HYPERLINK("#'Main'!B1","Open"))</f>
        <v/>
      </c>
    </row>
    <row r="148" ht="18" customHeight="1">
      <c r="A148" s="78" t="inlineStr"/>
      <c r="B148" s="30" t="inlineStr">
        <is>
          <t>Detail</t>
        </is>
      </c>
      <c r="C148" s="31" t="inlineStr">
        <is>
          <t>https://africanmarketingconfederation.org/</t>
        </is>
      </c>
      <c r="D148" s="30" t="inlineStr">
        <is>
          <t>Smoke anchor</t>
        </is>
      </c>
      <c r="E148" s="32" t="n">
        <v>200</v>
      </c>
      <c r="F148" s="30" t="b">
        <v>1</v>
      </c>
      <c r="G148" s="30" t="n">
        <v>0</v>
      </c>
      <c r="H148" s="32" t="n">
        <v>0</v>
      </c>
      <c r="I148" s="30" t="n">
        <v>0</v>
      </c>
      <c r="J148" s="30" t="n">
        <v>0</v>
      </c>
      <c r="K148" s="30" t="n">
        <v>0</v>
      </c>
      <c r="L148" s="30" t="b">
        <v>0</v>
      </c>
      <c r="M148" s="30" t="n">
        <v>0</v>
      </c>
      <c r="N148" s="30" t="n">
        <v>0</v>
      </c>
      <c r="O148" s="32" t="n">
        <v>0</v>
      </c>
      <c r="P148" s="30" t="n">
        <v>0</v>
      </c>
      <c r="Q148" s="30" t="n">
        <v>0</v>
      </c>
      <c r="R148" s="30" t="inlineStr"/>
      <c r="S148" s="30" t="inlineStr"/>
      <c r="T148" s="30" t="inlineStr">
        <is>
          <t>LinksDetail</t>
        </is>
      </c>
      <c r="U148" s="30" t="inlineStr"/>
      <c r="V148" s="38">
        <f>IFERROR(HYPERLINK("#'Main'!B"&amp;MATCH(TRIM(A148),'Main'!B:B,0),"Open"),HYPERLINK("#'Main'!B1","Open"))</f>
        <v/>
      </c>
    </row>
    <row r="149" ht="18" customHeight="1">
      <c r="A149" s="78" t="inlineStr"/>
      <c r="B149" s="28" t="inlineStr">
        <is>
          <t>Detail</t>
        </is>
      </c>
      <c r="C149" s="20" t="inlineStr">
        <is>
          <t>https://africanmarketingconfederation.org/</t>
        </is>
      </c>
      <c r="D149" s="28" t="inlineStr">
        <is>
          <t>Smoke anchor</t>
        </is>
      </c>
      <c r="E149" s="32" t="n">
        <v>200</v>
      </c>
      <c r="F149" s="28" t="b">
        <v>1</v>
      </c>
      <c r="G149" s="28" t="n">
        <v>0</v>
      </c>
      <c r="H149" s="32" t="n">
        <v>0</v>
      </c>
      <c r="I149" s="28" t="n">
        <v>0</v>
      </c>
      <c r="J149" s="28" t="n">
        <v>0</v>
      </c>
      <c r="K149" s="28" t="n">
        <v>0</v>
      </c>
      <c r="L149" s="28" t="b">
        <v>0</v>
      </c>
      <c r="M149" s="28" t="n">
        <v>0</v>
      </c>
      <c r="N149" s="28" t="n">
        <v>0</v>
      </c>
      <c r="O149" s="32" t="n">
        <v>0</v>
      </c>
      <c r="P149" s="28" t="n">
        <v>0</v>
      </c>
      <c r="Q149" s="28" t="n">
        <v>0</v>
      </c>
      <c r="R149" s="28" t="inlineStr"/>
      <c r="S149" s="28" t="inlineStr"/>
      <c r="T149" s="28" t="inlineStr">
        <is>
          <t>LinksDetail</t>
        </is>
      </c>
      <c r="U149" s="28" t="inlineStr"/>
      <c r="V149">
        <f>IFERROR(HYPERLINK("#'Main'!B"&amp;MATCH(TRIM(A149),'Main'!B:B,0),"Open"),HYPERLINK("#'Main'!B1","Open"))</f>
        <v/>
      </c>
    </row>
    <row r="150" ht="18" customHeight="1">
      <c r="A150" s="78" t="inlineStr"/>
      <c r="B150" s="30" t="inlineStr">
        <is>
          <t>Detail</t>
        </is>
      </c>
      <c r="C150" s="31" t="inlineStr">
        <is>
          <t>https://africanmarketingconfederation.org/</t>
        </is>
      </c>
      <c r="D150" s="30" t="inlineStr">
        <is>
          <t>Smoke anchor</t>
        </is>
      </c>
      <c r="E150" s="32" t="n">
        <v>200</v>
      </c>
      <c r="F150" s="30" t="b">
        <v>1</v>
      </c>
      <c r="G150" s="30" t="n">
        <v>0</v>
      </c>
      <c r="H150" s="32" t="n">
        <v>0</v>
      </c>
      <c r="I150" s="30" t="n">
        <v>0</v>
      </c>
      <c r="J150" s="30" t="n">
        <v>0</v>
      </c>
      <c r="K150" s="30" t="n">
        <v>0</v>
      </c>
      <c r="L150" s="30" t="b">
        <v>0</v>
      </c>
      <c r="M150" s="30" t="n">
        <v>0</v>
      </c>
      <c r="N150" s="30" t="n">
        <v>0</v>
      </c>
      <c r="O150" s="32" t="n">
        <v>0</v>
      </c>
      <c r="P150" s="30" t="n">
        <v>0</v>
      </c>
      <c r="Q150" s="30" t="n">
        <v>0</v>
      </c>
      <c r="R150" s="30" t="inlineStr"/>
      <c r="S150" s="30" t="inlineStr"/>
      <c r="T150" s="30" t="inlineStr">
        <is>
          <t>LinksDetail</t>
        </is>
      </c>
      <c r="U150" s="30" t="inlineStr"/>
      <c r="V150" s="38">
        <f>IFERROR(HYPERLINK("#'Main'!B"&amp;MATCH(TRIM(A150),'Main'!B:B,0),"Open"),HYPERLINK("#'Main'!B1","Open"))</f>
        <v/>
      </c>
    </row>
    <row r="151" ht="18" customHeight="1">
      <c r="A151" s="78" t="inlineStr"/>
      <c r="B151" s="28" t="inlineStr">
        <is>
          <t>Detail</t>
        </is>
      </c>
      <c r="C151" s="20" t="inlineStr">
        <is>
          <t>https://africanmarketingconfederation.org/</t>
        </is>
      </c>
      <c r="D151" s="28" t="inlineStr">
        <is>
          <t>Smoke anchor</t>
        </is>
      </c>
      <c r="E151" s="32" t="n">
        <v>200</v>
      </c>
      <c r="F151" s="28" t="b">
        <v>1</v>
      </c>
      <c r="G151" s="28" t="n">
        <v>0</v>
      </c>
      <c r="H151" s="32" t="n">
        <v>0</v>
      </c>
      <c r="I151" s="28" t="n">
        <v>0</v>
      </c>
      <c r="J151" s="28" t="n">
        <v>0</v>
      </c>
      <c r="K151" s="28" t="n">
        <v>0</v>
      </c>
      <c r="L151" s="28" t="b">
        <v>0</v>
      </c>
      <c r="M151" s="28" t="n">
        <v>0</v>
      </c>
      <c r="N151" s="28" t="n">
        <v>0</v>
      </c>
      <c r="O151" s="32" t="n">
        <v>0</v>
      </c>
      <c r="P151" s="28" t="n">
        <v>0</v>
      </c>
      <c r="Q151" s="28" t="n">
        <v>0</v>
      </c>
      <c r="R151" s="28" t="inlineStr"/>
      <c r="S151" s="28" t="inlineStr"/>
      <c r="T151" s="28" t="inlineStr">
        <is>
          <t>LinksDetail</t>
        </is>
      </c>
      <c r="U151" s="28" t="inlineStr"/>
      <c r="V151">
        <f>IFERROR(HYPERLINK("#'Main'!B"&amp;MATCH(TRIM(A151),'Main'!B:B,0),"Open"),HYPERLINK("#'Main'!B1","Open"))</f>
        <v/>
      </c>
    </row>
    <row r="152" ht="18" customHeight="1">
      <c r="A152" s="78" t="inlineStr"/>
      <c r="B152" s="30" t="inlineStr">
        <is>
          <t>Detail</t>
        </is>
      </c>
      <c r="C152" s="31" t="inlineStr">
        <is>
          <t>https://africanmarketingconfederation.org/</t>
        </is>
      </c>
      <c r="D152" s="30" t="inlineStr">
        <is>
          <t>Smoke anchor</t>
        </is>
      </c>
      <c r="E152" s="32" t="n">
        <v>200</v>
      </c>
      <c r="F152" s="30" t="b">
        <v>1</v>
      </c>
      <c r="G152" s="30" t="n">
        <v>0</v>
      </c>
      <c r="H152" s="32" t="n">
        <v>0</v>
      </c>
      <c r="I152" s="30" t="n">
        <v>0</v>
      </c>
      <c r="J152" s="30" t="n">
        <v>0</v>
      </c>
      <c r="K152" s="30" t="n">
        <v>0</v>
      </c>
      <c r="L152" s="30" t="b">
        <v>0</v>
      </c>
      <c r="M152" s="30" t="n">
        <v>0</v>
      </c>
      <c r="N152" s="30" t="n">
        <v>0</v>
      </c>
      <c r="O152" s="32" t="n">
        <v>0</v>
      </c>
      <c r="P152" s="30" t="n">
        <v>0</v>
      </c>
      <c r="Q152" s="30" t="n">
        <v>0</v>
      </c>
      <c r="R152" s="30" t="inlineStr"/>
      <c r="S152" s="30" t="inlineStr"/>
      <c r="T152" s="30" t="inlineStr">
        <is>
          <t>LinksDetail</t>
        </is>
      </c>
      <c r="U152" s="30" t="inlineStr"/>
      <c r="V152" s="38">
        <f>IFERROR(HYPERLINK("#'Main'!B"&amp;MATCH(TRIM(A152),'Main'!B:B,0),"Open"),HYPERLINK("#'Main'!B1","Open"))</f>
        <v/>
      </c>
    </row>
    <row r="153" ht="18" customHeight="1">
      <c r="A153" s="78" t="inlineStr"/>
      <c r="B153" s="28" t="inlineStr">
        <is>
          <t>Detail</t>
        </is>
      </c>
      <c r="C153" s="20" t="inlineStr">
        <is>
          <t>https://africanmarketingconfederation.org/</t>
        </is>
      </c>
      <c r="D153" s="28" t="inlineStr">
        <is>
          <t>Smoke anchor</t>
        </is>
      </c>
      <c r="E153" s="32" t="n">
        <v>200</v>
      </c>
      <c r="F153" s="28" t="b">
        <v>1</v>
      </c>
      <c r="G153" s="28" t="n">
        <v>0</v>
      </c>
      <c r="H153" s="32" t="n">
        <v>0</v>
      </c>
      <c r="I153" s="28" t="n">
        <v>0</v>
      </c>
      <c r="J153" s="28" t="n">
        <v>0</v>
      </c>
      <c r="K153" s="28" t="n">
        <v>0</v>
      </c>
      <c r="L153" s="28" t="b">
        <v>0</v>
      </c>
      <c r="M153" s="28" t="n">
        <v>0</v>
      </c>
      <c r="N153" s="28" t="n">
        <v>0</v>
      </c>
      <c r="O153" s="32" t="n">
        <v>0</v>
      </c>
      <c r="P153" s="28" t="n">
        <v>0</v>
      </c>
      <c r="Q153" s="28" t="n">
        <v>0</v>
      </c>
      <c r="R153" s="28" t="inlineStr"/>
      <c r="S153" s="28" t="inlineStr"/>
      <c r="T153" s="28" t="inlineStr">
        <is>
          <t>LinksDetail</t>
        </is>
      </c>
      <c r="U153" s="28" t="inlineStr"/>
      <c r="V153">
        <f>IFERROR(HYPERLINK("#'Main'!B"&amp;MATCH(TRIM(A153),'Main'!B:B,0),"Open"),HYPERLINK("#'Main'!B1","Open"))</f>
        <v/>
      </c>
    </row>
    <row r="154" ht="18" customHeight="1">
      <c r="A154" s="78" t="inlineStr"/>
      <c r="B154" s="30" t="inlineStr">
        <is>
          <t>Detail</t>
        </is>
      </c>
      <c r="C154" s="31" t="inlineStr">
        <is>
          <t>https://africanmarketingconfederation.org/</t>
        </is>
      </c>
      <c r="D154" s="30" t="inlineStr">
        <is>
          <t>Smoke anchor</t>
        </is>
      </c>
      <c r="E154" s="32" t="n">
        <v>200</v>
      </c>
      <c r="F154" s="30" t="b">
        <v>1</v>
      </c>
      <c r="G154" s="30" t="n">
        <v>0</v>
      </c>
      <c r="H154" s="32" t="n">
        <v>0</v>
      </c>
      <c r="I154" s="30" t="n">
        <v>0</v>
      </c>
      <c r="J154" s="30" t="n">
        <v>0</v>
      </c>
      <c r="K154" s="30" t="n">
        <v>0</v>
      </c>
      <c r="L154" s="30" t="b">
        <v>0</v>
      </c>
      <c r="M154" s="30" t="n">
        <v>0</v>
      </c>
      <c r="N154" s="30" t="n">
        <v>0</v>
      </c>
      <c r="O154" s="32" t="n">
        <v>0</v>
      </c>
      <c r="P154" s="30" t="n">
        <v>0</v>
      </c>
      <c r="Q154" s="30" t="n">
        <v>0</v>
      </c>
      <c r="R154" s="30" t="inlineStr"/>
      <c r="S154" s="30" t="inlineStr"/>
      <c r="T154" s="30" t="inlineStr">
        <is>
          <t>LinksDetail</t>
        </is>
      </c>
      <c r="U154" s="30" t="inlineStr"/>
      <c r="V154" s="38">
        <f>IFERROR(HYPERLINK("#'Main'!B"&amp;MATCH(TRIM(A154),'Main'!B:B,0),"Open"),HYPERLINK("#'Main'!B1","Open"))</f>
        <v/>
      </c>
    </row>
    <row r="155" ht="18" customHeight="1">
      <c r="A155" s="78" t="inlineStr"/>
      <c r="B155" s="28" t="inlineStr">
        <is>
          <t>Detail</t>
        </is>
      </c>
      <c r="C155" s="20" t="inlineStr">
        <is>
          <t>https://africanmarketingconfederation.org/smoke-archive/page-68/</t>
        </is>
      </c>
      <c r="D155" s="28" t="inlineStr">
        <is>
          <t>Smoke anchor</t>
        </is>
      </c>
      <c r="E155" s="32" t="n">
        <v>200</v>
      </c>
      <c r="F155" s="28" t="b">
        <v>1</v>
      </c>
      <c r="G155" s="28" t="n">
        <v>0</v>
      </c>
      <c r="H155" s="32" t="n">
        <v>0</v>
      </c>
      <c r="I155" s="28" t="n">
        <v>0</v>
      </c>
      <c r="J155" s="28" t="n">
        <v>0</v>
      </c>
      <c r="K155" s="28" t="n">
        <v>0</v>
      </c>
      <c r="L155" s="28" t="b">
        <v>0</v>
      </c>
      <c r="M155" s="28" t="n">
        <v>0</v>
      </c>
      <c r="N155" s="28" t="n">
        <v>0</v>
      </c>
      <c r="O155" s="32" t="n">
        <v>0</v>
      </c>
      <c r="P155" s="28" t="n">
        <v>0</v>
      </c>
      <c r="Q155" s="28" t="n">
        <v>0</v>
      </c>
      <c r="R155" s="28" t="inlineStr"/>
      <c r="S155" s="28" t="inlineStr"/>
      <c r="T155" s="28" t="inlineStr">
        <is>
          <t>LinksDetail</t>
        </is>
      </c>
      <c r="U155" s="28" t="inlineStr"/>
      <c r="V155">
        <f>IFERROR(HYPERLINK("#'Main'!B"&amp;MATCH(TRIM(A155),'Main'!B:B,0),"Open"),HYPERLINK("#'Main'!B1","Open"))</f>
        <v/>
      </c>
    </row>
    <row r="156" ht="18" customHeight="1">
      <c r="A156" s="78" t="inlineStr"/>
      <c r="B156" s="30" t="inlineStr">
        <is>
          <t>Detail</t>
        </is>
      </c>
      <c r="C156" s="31" t="inlineStr">
        <is>
          <t>https://africanmarketingconfederation.org/</t>
        </is>
      </c>
      <c r="D156" s="30" t="inlineStr">
        <is>
          <t>Smoke anchor</t>
        </is>
      </c>
      <c r="E156" s="32" t="n">
        <v>200</v>
      </c>
      <c r="F156" s="30" t="b">
        <v>1</v>
      </c>
      <c r="G156" s="30" t="n">
        <v>0</v>
      </c>
      <c r="H156" s="32" t="n">
        <v>0</v>
      </c>
      <c r="I156" s="30" t="n">
        <v>0</v>
      </c>
      <c r="J156" s="30" t="n">
        <v>0</v>
      </c>
      <c r="K156" s="30" t="n">
        <v>0</v>
      </c>
      <c r="L156" s="30" t="b">
        <v>0</v>
      </c>
      <c r="M156" s="30" t="n">
        <v>0</v>
      </c>
      <c r="N156" s="30" t="n">
        <v>0</v>
      </c>
      <c r="O156" s="32" t="n">
        <v>0</v>
      </c>
      <c r="P156" s="30" t="n">
        <v>0</v>
      </c>
      <c r="Q156" s="30" t="n">
        <v>0</v>
      </c>
      <c r="R156" s="30" t="inlineStr"/>
      <c r="S156" s="30" t="inlineStr"/>
      <c r="T156" s="30" t="inlineStr">
        <is>
          <t>LinksDetail</t>
        </is>
      </c>
      <c r="U156" s="30" t="inlineStr"/>
      <c r="V156" s="38">
        <f>IFERROR(HYPERLINK("#'Main'!B"&amp;MATCH(TRIM(A156),'Main'!B:B,0),"Open"),HYPERLINK("#'Main'!B1","Open"))</f>
        <v/>
      </c>
    </row>
    <row r="157" ht="18" customHeight="1">
      <c r="A157" s="78" t="inlineStr"/>
      <c r="B157" s="28" t="inlineStr">
        <is>
          <t>Detail</t>
        </is>
      </c>
      <c r="C157" s="20" t="inlineStr">
        <is>
          <t>https://africanmarketingconfederation.org/</t>
        </is>
      </c>
      <c r="D157" s="28" t="inlineStr">
        <is>
          <t>Smoke anchor</t>
        </is>
      </c>
      <c r="E157" s="32" t="n">
        <v>200</v>
      </c>
      <c r="F157" s="28" t="b">
        <v>1</v>
      </c>
      <c r="G157" s="28" t="n">
        <v>0</v>
      </c>
      <c r="H157" s="32" t="n">
        <v>0</v>
      </c>
      <c r="I157" s="28" t="n">
        <v>0</v>
      </c>
      <c r="J157" s="28" t="n">
        <v>0</v>
      </c>
      <c r="K157" s="28" t="n">
        <v>0</v>
      </c>
      <c r="L157" s="28" t="b">
        <v>0</v>
      </c>
      <c r="M157" s="28" t="n">
        <v>0</v>
      </c>
      <c r="N157" s="28" t="n">
        <v>0</v>
      </c>
      <c r="O157" s="32" t="n">
        <v>0</v>
      </c>
      <c r="P157" s="28" t="n">
        <v>0</v>
      </c>
      <c r="Q157" s="28" t="n">
        <v>0</v>
      </c>
      <c r="R157" s="28" t="inlineStr"/>
      <c r="S157" s="28" t="inlineStr"/>
      <c r="T157" s="28" t="inlineStr">
        <is>
          <t>LinksDetail</t>
        </is>
      </c>
      <c r="U157" s="28" t="inlineStr"/>
      <c r="V157">
        <f>IFERROR(HYPERLINK("#'Main'!B"&amp;MATCH(TRIM(A157),'Main'!B:B,0),"Open"),HYPERLINK("#'Main'!B1","Open"))</f>
        <v/>
      </c>
    </row>
    <row r="158" ht="18" customHeight="1">
      <c r="A158" s="78" t="inlineStr"/>
      <c r="B158" s="30" t="inlineStr">
        <is>
          <t>Detail</t>
        </is>
      </c>
      <c r="C158" s="31" t="inlineStr">
        <is>
          <t>https://africanmarketingconfederation.org/</t>
        </is>
      </c>
      <c r="D158" s="30" t="inlineStr">
        <is>
          <t>Smoke anchor</t>
        </is>
      </c>
      <c r="E158" s="32" t="n">
        <v>200</v>
      </c>
      <c r="F158" s="30" t="b">
        <v>1</v>
      </c>
      <c r="G158" s="30" t="n">
        <v>0</v>
      </c>
      <c r="H158" s="32" t="n">
        <v>0</v>
      </c>
      <c r="I158" s="30" t="n">
        <v>0</v>
      </c>
      <c r="J158" s="30" t="n">
        <v>0</v>
      </c>
      <c r="K158" s="30" t="n">
        <v>0</v>
      </c>
      <c r="L158" s="30" t="b">
        <v>0</v>
      </c>
      <c r="M158" s="30" t="n">
        <v>0</v>
      </c>
      <c r="N158" s="30" t="n">
        <v>0</v>
      </c>
      <c r="O158" s="32" t="n">
        <v>0</v>
      </c>
      <c r="P158" s="30" t="n">
        <v>0</v>
      </c>
      <c r="Q158" s="30" t="n">
        <v>0</v>
      </c>
      <c r="R158" s="30" t="inlineStr"/>
      <c r="S158" s="30" t="inlineStr"/>
      <c r="T158" s="30" t="inlineStr">
        <is>
          <t>LinksDetail</t>
        </is>
      </c>
      <c r="U158" s="30" t="inlineStr"/>
      <c r="V158" s="38">
        <f>IFERROR(HYPERLINK("#'Main'!B"&amp;MATCH(TRIM(A158),'Main'!B:B,0),"Open"),HYPERLINK("#'Main'!B1","Open"))</f>
        <v/>
      </c>
    </row>
    <row r="159" ht="18" customHeight="1">
      <c r="A159" s="78" t="inlineStr"/>
      <c r="B159" s="28" t="inlineStr">
        <is>
          <t>Detail</t>
        </is>
      </c>
      <c r="C159" s="20" t="inlineStr">
        <is>
          <t>https://africanmarketingconfederation.org/</t>
        </is>
      </c>
      <c r="D159" s="28" t="inlineStr">
        <is>
          <t>Smoke anchor</t>
        </is>
      </c>
      <c r="E159" s="32" t="n">
        <v>200</v>
      </c>
      <c r="F159" s="28" t="b">
        <v>1</v>
      </c>
      <c r="G159" s="28" t="n">
        <v>0</v>
      </c>
      <c r="H159" s="32" t="n">
        <v>0</v>
      </c>
      <c r="I159" s="28" t="n">
        <v>0</v>
      </c>
      <c r="J159" s="28" t="n">
        <v>0</v>
      </c>
      <c r="K159" s="28" t="n">
        <v>0</v>
      </c>
      <c r="L159" s="28" t="b">
        <v>0</v>
      </c>
      <c r="M159" s="28" t="n">
        <v>0</v>
      </c>
      <c r="N159" s="28" t="n">
        <v>0</v>
      </c>
      <c r="O159" s="32" t="n">
        <v>0</v>
      </c>
      <c r="P159" s="28" t="n">
        <v>0</v>
      </c>
      <c r="Q159" s="28" t="n">
        <v>0</v>
      </c>
      <c r="R159" s="28" t="inlineStr"/>
      <c r="S159" s="28" t="inlineStr"/>
      <c r="T159" s="28" t="inlineStr">
        <is>
          <t>LinksDetail</t>
        </is>
      </c>
      <c r="U159" s="28" t="inlineStr"/>
      <c r="V159">
        <f>IFERROR(HYPERLINK("#'Main'!B"&amp;MATCH(TRIM(A159),'Main'!B:B,0),"Open"),HYPERLINK("#'Main'!B1","Open"))</f>
        <v/>
      </c>
    </row>
    <row r="160" ht="18" customHeight="1">
      <c r="A160" s="78" t="inlineStr"/>
      <c r="B160" s="30" t="inlineStr">
        <is>
          <t>Detail</t>
        </is>
      </c>
      <c r="C160" s="31" t="inlineStr">
        <is>
          <t>https://africanmarketingconfederation.org/</t>
        </is>
      </c>
      <c r="D160" s="30" t="inlineStr">
        <is>
          <t>Smoke anchor</t>
        </is>
      </c>
      <c r="E160" s="32" t="n">
        <v>200</v>
      </c>
      <c r="F160" s="30" t="b">
        <v>1</v>
      </c>
      <c r="G160" s="30" t="n">
        <v>0</v>
      </c>
      <c r="H160" s="32" t="n">
        <v>0</v>
      </c>
      <c r="I160" s="30" t="n">
        <v>0</v>
      </c>
      <c r="J160" s="30" t="n">
        <v>0</v>
      </c>
      <c r="K160" s="30" t="n">
        <v>0</v>
      </c>
      <c r="L160" s="30" t="b">
        <v>0</v>
      </c>
      <c r="M160" s="30" t="n">
        <v>0</v>
      </c>
      <c r="N160" s="30" t="n">
        <v>0</v>
      </c>
      <c r="O160" s="32" t="n">
        <v>0</v>
      </c>
      <c r="P160" s="30" t="n">
        <v>0</v>
      </c>
      <c r="Q160" s="30" t="n">
        <v>0</v>
      </c>
      <c r="R160" s="30" t="inlineStr"/>
      <c r="S160" s="30" t="inlineStr"/>
      <c r="T160" s="30" t="inlineStr">
        <is>
          <t>LinksDetail</t>
        </is>
      </c>
      <c r="U160" s="30" t="inlineStr"/>
      <c r="V160" s="38">
        <f>IFERROR(HYPERLINK("#'Main'!B"&amp;MATCH(TRIM(A160),'Main'!B:B,0),"Open"),HYPERLINK("#'Main'!B1","Open"))</f>
        <v/>
      </c>
    </row>
    <row r="161" ht="18" customHeight="1">
      <c r="A161" s="78" t="inlineStr"/>
      <c r="B161" s="28" t="inlineStr">
        <is>
          <t>Detail</t>
        </is>
      </c>
      <c r="C161" s="20" t="inlineStr">
        <is>
          <t>https://africanmarketingconfederation.org/</t>
        </is>
      </c>
      <c r="D161" s="28" t="inlineStr">
        <is>
          <t>Smoke anchor</t>
        </is>
      </c>
      <c r="E161" s="32" t="n">
        <v>200</v>
      </c>
      <c r="F161" s="28" t="b">
        <v>1</v>
      </c>
      <c r="G161" s="28" t="n">
        <v>0</v>
      </c>
      <c r="H161" s="32" t="n">
        <v>0</v>
      </c>
      <c r="I161" s="28" t="n">
        <v>0</v>
      </c>
      <c r="J161" s="28" t="n">
        <v>0</v>
      </c>
      <c r="K161" s="28" t="n">
        <v>0</v>
      </c>
      <c r="L161" s="28" t="b">
        <v>0</v>
      </c>
      <c r="M161" s="28" t="n">
        <v>0</v>
      </c>
      <c r="N161" s="28" t="n">
        <v>0</v>
      </c>
      <c r="O161" s="32" t="n">
        <v>0</v>
      </c>
      <c r="P161" s="28" t="n">
        <v>0</v>
      </c>
      <c r="Q161" s="28" t="n">
        <v>0</v>
      </c>
      <c r="R161" s="28" t="inlineStr"/>
      <c r="S161" s="28" t="inlineStr"/>
      <c r="T161" s="28" t="inlineStr">
        <is>
          <t>LinksDetail</t>
        </is>
      </c>
      <c r="U161" s="28" t="inlineStr"/>
      <c r="V161">
        <f>IFERROR(HYPERLINK("#'Main'!B"&amp;MATCH(TRIM(A161),'Main'!B:B,0),"Open"),HYPERLINK("#'Main'!B1","Open"))</f>
        <v/>
      </c>
    </row>
    <row r="162" ht="18" customHeight="1">
      <c r="A162" s="78" t="inlineStr"/>
      <c r="B162" s="30" t="inlineStr">
        <is>
          <t>Detail</t>
        </is>
      </c>
      <c r="C162" s="31" t="inlineStr">
        <is>
          <t>https://africanmarketingconfederation.org/</t>
        </is>
      </c>
      <c r="D162" s="30" t="inlineStr">
        <is>
          <t>Smoke anchor</t>
        </is>
      </c>
      <c r="E162" s="32" t="n">
        <v>200</v>
      </c>
      <c r="F162" s="30" t="b">
        <v>1</v>
      </c>
      <c r="G162" s="30" t="n">
        <v>0</v>
      </c>
      <c r="H162" s="32" t="n">
        <v>0</v>
      </c>
      <c r="I162" s="30" t="n">
        <v>0</v>
      </c>
      <c r="J162" s="30" t="n">
        <v>0</v>
      </c>
      <c r="K162" s="30" t="n">
        <v>0</v>
      </c>
      <c r="L162" s="30" t="b">
        <v>0</v>
      </c>
      <c r="M162" s="30" t="n">
        <v>0</v>
      </c>
      <c r="N162" s="30" t="n">
        <v>0</v>
      </c>
      <c r="O162" s="32" t="n">
        <v>0</v>
      </c>
      <c r="P162" s="30" t="n">
        <v>0</v>
      </c>
      <c r="Q162" s="30" t="n">
        <v>0</v>
      </c>
      <c r="R162" s="30" t="inlineStr"/>
      <c r="S162" s="30" t="inlineStr"/>
      <c r="T162" s="30" t="inlineStr">
        <is>
          <t>LinksDetail</t>
        </is>
      </c>
      <c r="U162" s="30" t="inlineStr"/>
      <c r="V162" s="38">
        <f>IFERROR(HYPERLINK("#'Main'!B"&amp;MATCH(TRIM(A162),'Main'!B:B,0),"Open"),HYPERLINK("#'Main'!B1","Open"))</f>
        <v/>
      </c>
    </row>
    <row r="163" ht="18" customHeight="1">
      <c r="A163" s="78" t="inlineStr"/>
      <c r="B163" s="28" t="inlineStr">
        <is>
          <t>Detail</t>
        </is>
      </c>
      <c r="C163" s="20" t="inlineStr">
        <is>
          <t>https://africanmarketingconfederation.org/</t>
        </is>
      </c>
      <c r="D163" s="28" t="inlineStr">
        <is>
          <t>Smoke anchor</t>
        </is>
      </c>
      <c r="E163" s="32" t="n">
        <v>200</v>
      </c>
      <c r="F163" s="28" t="b">
        <v>1</v>
      </c>
      <c r="G163" s="28" t="n">
        <v>0</v>
      </c>
      <c r="H163" s="32" t="n">
        <v>0</v>
      </c>
      <c r="I163" s="28" t="n">
        <v>0</v>
      </c>
      <c r="J163" s="28" t="n">
        <v>0</v>
      </c>
      <c r="K163" s="28" t="n">
        <v>0</v>
      </c>
      <c r="L163" s="28" t="b">
        <v>0</v>
      </c>
      <c r="M163" s="28" t="n">
        <v>0</v>
      </c>
      <c r="N163" s="28" t="n">
        <v>0</v>
      </c>
      <c r="O163" s="32" t="n">
        <v>0</v>
      </c>
      <c r="P163" s="28" t="n">
        <v>0</v>
      </c>
      <c r="Q163" s="28" t="n">
        <v>0</v>
      </c>
      <c r="R163" s="28" t="inlineStr"/>
      <c r="S163" s="28" t="inlineStr"/>
      <c r="T163" s="28" t="inlineStr">
        <is>
          <t>LinksDetail</t>
        </is>
      </c>
      <c r="U163" s="28" t="inlineStr"/>
      <c r="V163">
        <f>IFERROR(HYPERLINK("#'Main'!B"&amp;MATCH(TRIM(A163),'Main'!B:B,0),"Open"),HYPERLINK("#'Main'!B1","Open"))</f>
        <v/>
      </c>
    </row>
    <row r="164" ht="18" customHeight="1">
      <c r="A164" s="78" t="inlineStr"/>
      <c r="B164" s="30" t="inlineStr">
        <is>
          <t>Detail</t>
        </is>
      </c>
      <c r="C164" s="31" t="inlineStr">
        <is>
          <t>https://africanmarketingconfederation.org/</t>
        </is>
      </c>
      <c r="D164" s="30" t="inlineStr">
        <is>
          <t>Smoke anchor</t>
        </is>
      </c>
      <c r="E164" s="32" t="n">
        <v>200</v>
      </c>
      <c r="F164" s="30" t="b">
        <v>1</v>
      </c>
      <c r="G164" s="30" t="n">
        <v>0</v>
      </c>
      <c r="H164" s="32" t="n">
        <v>0</v>
      </c>
      <c r="I164" s="30" t="n">
        <v>0</v>
      </c>
      <c r="J164" s="30" t="n">
        <v>0</v>
      </c>
      <c r="K164" s="30" t="n">
        <v>0</v>
      </c>
      <c r="L164" s="30" t="b">
        <v>0</v>
      </c>
      <c r="M164" s="30" t="n">
        <v>0</v>
      </c>
      <c r="N164" s="30" t="n">
        <v>0</v>
      </c>
      <c r="O164" s="32" t="n">
        <v>0</v>
      </c>
      <c r="P164" s="30" t="n">
        <v>0</v>
      </c>
      <c r="Q164" s="30" t="n">
        <v>0</v>
      </c>
      <c r="R164" s="30" t="inlineStr"/>
      <c r="S164" s="30" t="inlineStr"/>
      <c r="T164" s="30" t="inlineStr">
        <is>
          <t>LinksDetail</t>
        </is>
      </c>
      <c r="U164" s="30" t="inlineStr"/>
      <c r="V164" s="38">
        <f>IFERROR(HYPERLINK("#'Main'!B"&amp;MATCH(TRIM(A164),'Main'!B:B,0),"Open"),HYPERLINK("#'Main'!B1","Open"))</f>
        <v/>
      </c>
    </row>
    <row r="165" ht="18" customHeight="1">
      <c r="A165" s="78" t="inlineStr"/>
      <c r="B165" s="28" t="inlineStr">
        <is>
          <t>Detail</t>
        </is>
      </c>
      <c r="C165" s="20" t="inlineStr">
        <is>
          <t>https://africanmarketingconfederation.org/</t>
        </is>
      </c>
      <c r="D165" s="28" t="inlineStr">
        <is>
          <t>Smoke anchor</t>
        </is>
      </c>
      <c r="E165" s="32" t="n">
        <v>200</v>
      </c>
      <c r="F165" s="28" t="b">
        <v>1</v>
      </c>
      <c r="G165" s="28" t="n">
        <v>0</v>
      </c>
      <c r="H165" s="32" t="n">
        <v>0</v>
      </c>
      <c r="I165" s="28" t="n">
        <v>0</v>
      </c>
      <c r="J165" s="28" t="n">
        <v>0</v>
      </c>
      <c r="K165" s="28" t="n">
        <v>0</v>
      </c>
      <c r="L165" s="28" t="b">
        <v>0</v>
      </c>
      <c r="M165" s="28" t="n">
        <v>0</v>
      </c>
      <c r="N165" s="28" t="n">
        <v>0</v>
      </c>
      <c r="O165" s="32" t="n">
        <v>0</v>
      </c>
      <c r="P165" s="28" t="n">
        <v>0</v>
      </c>
      <c r="Q165" s="28" t="n">
        <v>0</v>
      </c>
      <c r="R165" s="28" t="inlineStr"/>
      <c r="S165" s="28" t="inlineStr"/>
      <c r="T165" s="28" t="inlineStr">
        <is>
          <t>LinksDetail</t>
        </is>
      </c>
      <c r="U165" s="28" t="inlineStr"/>
      <c r="V165">
        <f>IFERROR(HYPERLINK("#'Main'!B"&amp;MATCH(TRIM(A165),'Main'!B:B,0),"Open"),HYPERLINK("#'Main'!B1","Open"))</f>
        <v/>
      </c>
    </row>
    <row r="166" ht="18" customHeight="1">
      <c r="A166" s="78" t="inlineStr"/>
      <c r="B166" s="30" t="inlineStr">
        <is>
          <t>Detail</t>
        </is>
      </c>
      <c r="C166" s="31" t="inlineStr">
        <is>
          <t>https://africanmarketingconfederation.org/</t>
        </is>
      </c>
      <c r="D166" s="30" t="inlineStr">
        <is>
          <t>Smoke anchor</t>
        </is>
      </c>
      <c r="E166" s="32" t="n">
        <v>200</v>
      </c>
      <c r="F166" s="30" t="b">
        <v>1</v>
      </c>
      <c r="G166" s="30" t="n">
        <v>0</v>
      </c>
      <c r="H166" s="32" t="n">
        <v>0</v>
      </c>
      <c r="I166" s="30" t="n">
        <v>0</v>
      </c>
      <c r="J166" s="30" t="n">
        <v>0</v>
      </c>
      <c r="K166" s="30" t="n">
        <v>0</v>
      </c>
      <c r="L166" s="30" t="b">
        <v>0</v>
      </c>
      <c r="M166" s="30" t="n">
        <v>0</v>
      </c>
      <c r="N166" s="30" t="n">
        <v>0</v>
      </c>
      <c r="O166" s="32" t="n">
        <v>0</v>
      </c>
      <c r="P166" s="30" t="n">
        <v>0</v>
      </c>
      <c r="Q166" s="30" t="n">
        <v>0</v>
      </c>
      <c r="R166" s="30" t="inlineStr"/>
      <c r="S166" s="30" t="inlineStr"/>
      <c r="T166" s="30" t="inlineStr">
        <is>
          <t>LinksDetail</t>
        </is>
      </c>
      <c r="U166" s="30" t="inlineStr"/>
      <c r="V166" s="38">
        <f>IFERROR(HYPERLINK("#'Main'!B"&amp;MATCH(TRIM(A166),'Main'!B:B,0),"Open"),HYPERLINK("#'Main'!B1","Open"))</f>
        <v/>
      </c>
    </row>
    <row r="167" ht="18" customHeight="1">
      <c r="A167" s="78" t="inlineStr"/>
      <c r="B167" s="28" t="inlineStr">
        <is>
          <t>Detail</t>
        </is>
      </c>
      <c r="C167" s="20" t="inlineStr">
        <is>
          <t>https://africanmarketingconfederation.org/</t>
        </is>
      </c>
      <c r="D167" s="28" t="inlineStr">
        <is>
          <t>Smoke anchor</t>
        </is>
      </c>
      <c r="E167" s="32" t="n">
        <v>200</v>
      </c>
      <c r="F167" s="28" t="b">
        <v>1</v>
      </c>
      <c r="G167" s="28" t="n">
        <v>0</v>
      </c>
      <c r="H167" s="32" t="n">
        <v>0</v>
      </c>
      <c r="I167" s="28" t="n">
        <v>0</v>
      </c>
      <c r="J167" s="28" t="n">
        <v>0</v>
      </c>
      <c r="K167" s="28" t="n">
        <v>0</v>
      </c>
      <c r="L167" s="28" t="b">
        <v>0</v>
      </c>
      <c r="M167" s="28" t="n">
        <v>0</v>
      </c>
      <c r="N167" s="28" t="n">
        <v>0</v>
      </c>
      <c r="O167" s="32" t="n">
        <v>0</v>
      </c>
      <c r="P167" s="28" t="n">
        <v>0</v>
      </c>
      <c r="Q167" s="28" t="n">
        <v>0</v>
      </c>
      <c r="R167" s="28" t="inlineStr"/>
      <c r="S167" s="28" t="inlineStr"/>
      <c r="T167" s="28" t="inlineStr">
        <is>
          <t>LinksDetail</t>
        </is>
      </c>
      <c r="U167" s="28" t="inlineStr"/>
      <c r="V167">
        <f>IFERROR(HYPERLINK("#'Main'!B"&amp;MATCH(TRIM(A167),'Main'!B:B,0),"Open"),HYPERLINK("#'Main'!B1","Open"))</f>
        <v/>
      </c>
    </row>
    <row r="168" ht="18" customHeight="1">
      <c r="A168" s="78" t="inlineStr"/>
      <c r="B168" s="30" t="inlineStr">
        <is>
          <t>Detail</t>
        </is>
      </c>
      <c r="C168" s="31" t="inlineStr">
        <is>
          <t>https://africanmarketingconfederation.org/</t>
        </is>
      </c>
      <c r="D168" s="30" t="inlineStr">
        <is>
          <t>Smoke anchor</t>
        </is>
      </c>
      <c r="E168" s="32" t="n">
        <v>200</v>
      </c>
      <c r="F168" s="30" t="b">
        <v>1</v>
      </c>
      <c r="G168" s="30" t="n">
        <v>0</v>
      </c>
      <c r="H168" s="32" t="n">
        <v>0</v>
      </c>
      <c r="I168" s="30" t="n">
        <v>0</v>
      </c>
      <c r="J168" s="30" t="n">
        <v>0</v>
      </c>
      <c r="K168" s="30" t="n">
        <v>0</v>
      </c>
      <c r="L168" s="30" t="b">
        <v>0</v>
      </c>
      <c r="M168" s="30" t="n">
        <v>0</v>
      </c>
      <c r="N168" s="30" t="n">
        <v>0</v>
      </c>
      <c r="O168" s="32" t="n">
        <v>0</v>
      </c>
      <c r="P168" s="30" t="n">
        <v>0</v>
      </c>
      <c r="Q168" s="30" t="n">
        <v>0</v>
      </c>
      <c r="R168" s="30" t="inlineStr"/>
      <c r="S168" s="30" t="inlineStr"/>
      <c r="T168" s="30" t="inlineStr">
        <is>
          <t>LinksDetail</t>
        </is>
      </c>
      <c r="U168" s="30" t="inlineStr"/>
      <c r="V168" s="38">
        <f>IFERROR(HYPERLINK("#'Main'!B"&amp;MATCH(TRIM(A168),'Main'!B:B,0),"Open"),HYPERLINK("#'Main'!B1","Open"))</f>
        <v/>
      </c>
    </row>
  </sheetData>
  <autoFilter ref="A2:V168"/>
  <mergeCells count="2">
    <mergeCell ref="A1:B1"/>
    <mergeCell ref="C1:H1"/>
  </mergeCells>
  <conditionalFormatting sqref="E3:E168">
    <cfRule type="cellIs" priority="1" operator="equal" dxfId="2">
      <formula>200</formula>
    </cfRule>
    <cfRule type="cellIs" priority="2" operator="between" dxfId="29">
      <formula>300</formula>
      <formula>399</formula>
    </cfRule>
    <cfRule type="cellIs" priority="3" operator="greaterThanOrEqual" dxfId="0">
      <formula>400</formula>
    </cfRule>
  </conditionalFormatting>
  <conditionalFormatting sqref="A3:U168">
    <cfRule type="expression" priority="4" dxfId="3" stopIfTrue="0">
      <formula>MOD(ROW(),2)=0</formula>
    </cfRule>
  </conditionalFormatting>
  <conditionalFormatting sqref="K3:K168">
    <cfRule type="dataBar" priority="5">
      <dataBar showValue="1">
        <cfvo type="min"/>
        <cfvo type="max"/>
        <color rgb="00638EC6"/>
      </dataBar>
    </cfRule>
  </conditionalFormatting>
  <conditionalFormatting sqref="N3:N168">
    <cfRule type="dataBar" priority="6">
      <dataBar showValue="1">
        <cfvo type="min"/>
        <cfvo type="max"/>
        <color rgb="00638EC6"/>
      </dataBar>
    </cfRule>
  </conditionalFormatting>
  <conditionalFormatting sqref="G3:G168">
    <cfRule type="dataBar" priority="7">
      <dataBar showValue="1">
        <cfvo type="min"/>
        <cfvo type="max"/>
        <color rgb="00638EC6"/>
      </dataBar>
    </cfRule>
  </conditionalFormatting>
  <conditionalFormatting sqref="B3:B168">
    <cfRule type="expression" priority="8" dxfId="9" stopIfTrue="1">
      <formula>OR(NOT(ISERROR(SEARCH("Critical",B3))),NOT(ISERROR(SEARCH("Non-Pass",B3))),NOT(ISERROR(SEARCH("Error",B3))))</formula>
    </cfRule>
    <cfRule type="expression" priority="9" dxfId="10" stopIfTrue="1">
      <formula>OR(NOT(ISERROR(SEARCH("Warning",B3))),NOT(ISERROR(SEARCH("Needs Work",B3))))</formula>
    </cfRule>
  </conditionalFormatting>
  <conditionalFormatting sqref="F3:F168">
    <cfRule type="expression" priority="10" dxfId="9" stopIfTrue="1">
      <formula>OR(NOT(ISERROR(SEARCH("Critical",F3))),NOT(ISERROR(SEARCH("Non-Pass",F3))),NOT(ISERROR(SEARCH("Error",F3))))</formula>
    </cfRule>
    <cfRule type="expression" priority="11" dxfId="10" stopIfTrue="1">
      <formula>OR(NOT(ISERROR(SEARCH("Warning",F3))),NOT(ISERROR(SEARCH("Needs Work",F3))))</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tabColor rgb="008E44AD"/>
    <outlinePr summaryBelow="1" summaryRight="1"/>
    <pageSetUpPr fitToPage="1"/>
  </sheetPr>
  <dimension ref="A1:E2"/>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18" customWidth="1" min="3" max="3"/>
    <col width="45" customWidth="1" min="4" max="4"/>
    <col width="13" customWidth="1" min="5" max="5"/>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c r="A2" t="inlineStr">
        <is>
          <t>URL</t>
        </is>
      </c>
      <c r="B2" t="inlineStr">
        <is>
          <t>Excluded Query Parameters</t>
        </is>
      </c>
      <c r="C2" t="inlineStr">
        <is>
          <t>Exclusion Reason</t>
        </is>
      </c>
      <c r="D2" t="inlineStr">
        <is>
          <t>Discovered On URL</t>
        </is>
      </c>
      <c r="E2" t="inlineStr">
        <is>
          <t>Review Note</t>
        </is>
      </c>
    </row>
  </sheetData>
  <mergeCells count="2">
    <mergeCell ref="C1:E1"/>
    <mergeCell ref="A1:B1"/>
  </mergeCells>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tabColor rgb="008E44AD"/>
    <outlinePr summaryBelow="1" summaryRight="1"/>
    <pageSetUpPr fitToPage="1"/>
  </sheetPr>
  <dimension ref="A1:N85"/>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45" customWidth="1" min="1" max="1"/>
    <col width="13" customWidth="1" min="2" max="2"/>
    <col width="45" customWidth="1" min="3" max="3"/>
    <col width="16" customWidth="1" min="4" max="4"/>
    <col width="22" customWidth="1" min="5" max="5"/>
    <col width="21" customWidth="1" min="6" max="6"/>
    <col width="18" customWidth="1" min="7" max="7"/>
    <col width="22" customWidth="1" min="8" max="8"/>
    <col width="45" customWidth="1" min="9" max="9"/>
    <col width="15" customWidth="1" min="10" max="10"/>
    <col width="22" customWidth="1" min="11" max="11"/>
    <col width="20" customWidth="1" min="12" max="12"/>
    <col width="19" customWidth="1" min="13" max="13"/>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7" t="inlineStr">
        <is>
          <t>Status Code</t>
        </is>
      </c>
      <c r="C2" s="26" t="inlineStr">
        <is>
          <t>Final URL</t>
        </is>
      </c>
      <c r="D2" s="26" t="inlineStr">
        <is>
          <t>Redirect Chain</t>
        </is>
      </c>
      <c r="E2" s="27" t="inlineStr">
        <is>
          <t>Redirect Chain Length</t>
        </is>
      </c>
      <c r="F2" s="26" t="inlineStr">
        <is>
          <t>Redirect Chain Hops</t>
        </is>
      </c>
      <c r="G2" s="26" t="inlineStr">
        <is>
          <t>Has 302 in Chain</t>
        </is>
      </c>
      <c r="H2" s="26" t="inlineStr">
        <is>
          <t>Has Mixed Redirect Types</t>
        </is>
      </c>
      <c r="I2" s="26" t="inlineStr">
        <is>
          <t>Redirect Target</t>
        </is>
      </c>
      <c r="J2" s="26" t="inlineStr">
        <is>
          <t>Redirect Hops</t>
        </is>
      </c>
      <c r="K2" s="26" t="inlineStr">
        <is>
          <t>HTTP-&gt;HTTPS Redirect</t>
        </is>
      </c>
      <c r="L2" s="26" t="inlineStr">
        <is>
          <t>Redirect Loop Flag</t>
        </is>
      </c>
      <c r="M2" s="26" t="inlineStr">
        <is>
          <t>Redirect SEO Risk</t>
        </is>
      </c>
      <c r="N2" s="26" t="inlineStr">
        <is>
          <t>Open in Main</t>
        </is>
      </c>
    </row>
    <row r="3" ht="18" customHeight="1">
      <c r="A3" s="35" t="inlineStr">
        <is>
          <t>https://africanmarketingconfederation.org/</t>
        </is>
      </c>
      <c r="B3" s="28" t="inlineStr">
        <is>
          <t>Timeout</t>
        </is>
      </c>
      <c r="C3" s="20" t="inlineStr">
        <is>
          <t>https://africanmarketingconfederation.org/</t>
        </is>
      </c>
      <c r="D3" s="28" t="inlineStr"/>
      <c r="E3" s="28" t="n">
        <v>0</v>
      </c>
      <c r="F3" s="20" t="inlineStr"/>
      <c r="G3" s="28" t="b">
        <v>0</v>
      </c>
      <c r="H3" s="28" t="b">
        <v>0</v>
      </c>
      <c r="I3" s="28" t="inlineStr"/>
      <c r="J3" s="20" t="inlineStr"/>
      <c r="K3" s="28" t="b">
        <v>0</v>
      </c>
      <c r="L3" s="32" t="b">
        <v>0</v>
      </c>
      <c r="M3" s="28" t="inlineStr"/>
      <c r="N3">
        <f>IFERROR(HYPERLINK("#'Main'!B"&amp;MATCH(TRIM(A3),'Main'!B:B,0),"Open"),HYPERLINK("#'Main'!B1","Open"))</f>
        <v/>
      </c>
    </row>
    <row r="4" ht="18" customHeight="1">
      <c r="A4" s="37" t="inlineStr">
        <is>
          <t>https://africanmarketingconfederation.org/smoke-archive/page-1</t>
        </is>
      </c>
      <c r="B4" s="32" t="n">
        <v>200</v>
      </c>
      <c r="C4" s="31" t="inlineStr">
        <is>
          <t>https://africanmarketingconfederation.org/smoke-archive/page-1</t>
        </is>
      </c>
      <c r="D4" s="30" t="inlineStr"/>
      <c r="E4" s="30" t="n">
        <v>0</v>
      </c>
      <c r="F4" s="31" t="inlineStr"/>
      <c r="G4" s="30" t="b">
        <v>0</v>
      </c>
      <c r="H4" s="30" t="b">
        <v>0</v>
      </c>
      <c r="I4" s="30" t="inlineStr"/>
      <c r="J4" s="31" t="inlineStr"/>
      <c r="K4" s="30" t="b">
        <v>0</v>
      </c>
      <c r="L4" s="32" t="b">
        <v>0</v>
      </c>
      <c r="M4" s="30" t="inlineStr"/>
      <c r="N4" s="38">
        <f>IFERROR(HYPERLINK("#'Main'!B"&amp;MATCH(TRIM(A4),'Main'!B:B,0),"Open"),HYPERLINK("#'Main'!B1","Open"))</f>
        <v/>
      </c>
    </row>
    <row r="5" ht="18" customHeight="1">
      <c r="A5" s="35" t="inlineStr">
        <is>
          <t>https://africanmarketingconfederation.org/smoke-archive/page-2</t>
        </is>
      </c>
      <c r="B5" s="32" t="n">
        <v>200</v>
      </c>
      <c r="C5" s="20" t="inlineStr">
        <is>
          <t>https://africanmarketingconfederation.org/smoke-archive/page-2</t>
        </is>
      </c>
      <c r="D5" s="28" t="inlineStr"/>
      <c r="E5" s="28" t="n">
        <v>0</v>
      </c>
      <c r="F5" s="20" t="inlineStr"/>
      <c r="G5" s="28" t="b">
        <v>0</v>
      </c>
      <c r="H5" s="28" t="b">
        <v>0</v>
      </c>
      <c r="I5" s="28" t="inlineStr"/>
      <c r="J5" s="20" t="inlineStr"/>
      <c r="K5" s="28" t="b">
        <v>0</v>
      </c>
      <c r="L5" s="32" t="b">
        <v>0</v>
      </c>
      <c r="M5" s="28" t="inlineStr"/>
      <c r="N5">
        <f>IFERROR(HYPERLINK("#'Main'!B"&amp;MATCH(TRIM(A5),'Main'!B:B,0),"Open"),HYPERLINK("#'Main'!B1","Open"))</f>
        <v/>
      </c>
    </row>
    <row r="6" ht="18" customHeight="1">
      <c r="A6" s="37" t="inlineStr">
        <is>
          <t>https://africanmarketingconfederation.org/smoke-archive/page-3</t>
        </is>
      </c>
      <c r="B6" s="32" t="n">
        <v>200</v>
      </c>
      <c r="C6" s="31" t="inlineStr">
        <is>
          <t>https://africanmarketingconfederation.org/smoke-archive/page-3</t>
        </is>
      </c>
      <c r="D6" s="30" t="inlineStr"/>
      <c r="E6" s="30" t="n">
        <v>0</v>
      </c>
      <c r="F6" s="31" t="inlineStr"/>
      <c r="G6" s="30" t="b">
        <v>0</v>
      </c>
      <c r="H6" s="30" t="b">
        <v>0</v>
      </c>
      <c r="I6" s="30" t="inlineStr"/>
      <c r="J6" s="31" t="inlineStr"/>
      <c r="K6" s="30" t="b">
        <v>0</v>
      </c>
      <c r="L6" s="32" t="b">
        <v>0</v>
      </c>
      <c r="M6" s="30" t="inlineStr"/>
      <c r="N6" s="38">
        <f>IFERROR(HYPERLINK("#'Main'!B"&amp;MATCH(TRIM(A6),'Main'!B:B,0),"Open"),HYPERLINK("#'Main'!B1","Open"))</f>
        <v/>
      </c>
    </row>
    <row r="7" ht="18" customHeight="1">
      <c r="A7" s="35" t="inlineStr">
        <is>
          <t>https://africanmarketingconfederation.org/smoke-archive/page-4</t>
        </is>
      </c>
      <c r="B7" s="32" t="n">
        <v>200</v>
      </c>
      <c r="C7" s="20" t="inlineStr">
        <is>
          <t>https://africanmarketingconfederation.org/smoke-archive/page-4</t>
        </is>
      </c>
      <c r="D7" s="28" t="inlineStr"/>
      <c r="E7" s="28" t="n">
        <v>0</v>
      </c>
      <c r="F7" s="20" t="inlineStr"/>
      <c r="G7" s="28" t="b">
        <v>0</v>
      </c>
      <c r="H7" s="28" t="b">
        <v>0</v>
      </c>
      <c r="I7" s="28" t="inlineStr"/>
      <c r="J7" s="20" t="inlineStr"/>
      <c r="K7" s="28" t="b">
        <v>0</v>
      </c>
      <c r="L7" s="32" t="b">
        <v>0</v>
      </c>
      <c r="M7" s="28" t="inlineStr"/>
      <c r="N7">
        <f>IFERROR(HYPERLINK("#'Main'!B"&amp;MATCH(TRIM(A7),'Main'!B:B,0),"Open"),HYPERLINK("#'Main'!B1","Open"))</f>
        <v/>
      </c>
    </row>
    <row r="8" ht="18" customHeight="1">
      <c r="A8" s="37" t="inlineStr">
        <is>
          <t>https://africanmarketingconfederation.org/smoke-archive/page-5</t>
        </is>
      </c>
      <c r="B8" s="32" t="n">
        <v>200</v>
      </c>
      <c r="C8" s="31" t="inlineStr">
        <is>
          <t>https://africanmarketingconfederation.org/smoke-archive/page-5</t>
        </is>
      </c>
      <c r="D8" s="30" t="inlineStr"/>
      <c r="E8" s="30" t="n">
        <v>0</v>
      </c>
      <c r="F8" s="31" t="inlineStr"/>
      <c r="G8" s="30" t="b">
        <v>0</v>
      </c>
      <c r="H8" s="30" t="b">
        <v>0</v>
      </c>
      <c r="I8" s="30" t="inlineStr"/>
      <c r="J8" s="31" t="inlineStr"/>
      <c r="K8" s="30" t="b">
        <v>0</v>
      </c>
      <c r="L8" s="32" t="b">
        <v>0</v>
      </c>
      <c r="M8" s="30" t="inlineStr"/>
      <c r="N8" s="38">
        <f>IFERROR(HYPERLINK("#'Main'!B"&amp;MATCH(TRIM(A8),'Main'!B:B,0),"Open"),HYPERLINK("#'Main'!B1","Open"))</f>
        <v/>
      </c>
    </row>
    <row r="9" ht="18" customHeight="1">
      <c r="A9" s="35" t="inlineStr">
        <is>
          <t>https://africanmarketingconfederation.org/smoke-archive/page-6</t>
        </is>
      </c>
      <c r="B9" s="32" t="n">
        <v>200</v>
      </c>
      <c r="C9" s="20" t="inlineStr">
        <is>
          <t>https://africanmarketingconfederation.org/smoke-archive/page-6</t>
        </is>
      </c>
      <c r="D9" s="28" t="inlineStr"/>
      <c r="E9" s="28" t="n">
        <v>0</v>
      </c>
      <c r="F9" s="20" t="inlineStr"/>
      <c r="G9" s="28" t="b">
        <v>0</v>
      </c>
      <c r="H9" s="28" t="b">
        <v>0</v>
      </c>
      <c r="I9" s="28" t="inlineStr"/>
      <c r="J9" s="20" t="inlineStr"/>
      <c r="K9" s="28" t="b">
        <v>0</v>
      </c>
      <c r="L9" s="32" t="b">
        <v>0</v>
      </c>
      <c r="M9" s="28" t="inlineStr"/>
      <c r="N9">
        <f>IFERROR(HYPERLINK("#'Main'!B"&amp;MATCH(TRIM(A9),'Main'!B:B,0),"Open"),HYPERLINK("#'Main'!B1","Open"))</f>
        <v/>
      </c>
    </row>
    <row r="10" ht="18" customHeight="1">
      <c r="A10" s="37" t="inlineStr">
        <is>
          <t>https://africanmarketingconfederation.org/smoke-archive/page-7</t>
        </is>
      </c>
      <c r="B10" s="32" t="n">
        <v>200</v>
      </c>
      <c r="C10" s="31" t="inlineStr">
        <is>
          <t>https://africanmarketingconfederation.org/smoke-archive/page-7</t>
        </is>
      </c>
      <c r="D10" s="30" t="inlineStr"/>
      <c r="E10" s="30" t="n">
        <v>0</v>
      </c>
      <c r="F10" s="31" t="inlineStr"/>
      <c r="G10" s="30" t="b">
        <v>0</v>
      </c>
      <c r="H10" s="30" t="b">
        <v>0</v>
      </c>
      <c r="I10" s="30" t="inlineStr"/>
      <c r="J10" s="31" t="inlineStr"/>
      <c r="K10" s="30" t="b">
        <v>0</v>
      </c>
      <c r="L10" s="32" t="b">
        <v>0</v>
      </c>
      <c r="M10" s="30" t="inlineStr"/>
      <c r="N10" s="38">
        <f>IFERROR(HYPERLINK("#'Main'!B"&amp;MATCH(TRIM(A10),'Main'!B:B,0),"Open"),HYPERLINK("#'Main'!B1","Open"))</f>
        <v/>
      </c>
    </row>
    <row r="11" ht="18" customHeight="1">
      <c r="A11" s="35" t="inlineStr">
        <is>
          <t>https://africanmarketingconfederation.org/smoke-archive/page-8</t>
        </is>
      </c>
      <c r="B11" s="32" t="n">
        <v>200</v>
      </c>
      <c r="C11" s="20" t="inlineStr">
        <is>
          <t>https://africanmarketingconfederation.org/smoke-archive/page-8</t>
        </is>
      </c>
      <c r="D11" s="28" t="inlineStr"/>
      <c r="E11" s="28" t="n">
        <v>0</v>
      </c>
      <c r="F11" s="20" t="inlineStr"/>
      <c r="G11" s="28" t="b">
        <v>0</v>
      </c>
      <c r="H11" s="28" t="b">
        <v>0</v>
      </c>
      <c r="I11" s="28" t="inlineStr"/>
      <c r="J11" s="20" t="inlineStr"/>
      <c r="K11" s="28" t="b">
        <v>0</v>
      </c>
      <c r="L11" s="32" t="b">
        <v>0</v>
      </c>
      <c r="M11" s="28" t="inlineStr"/>
      <c r="N11">
        <f>IFERROR(HYPERLINK("#'Main'!B"&amp;MATCH(TRIM(A11),'Main'!B:B,0),"Open"),HYPERLINK("#'Main'!B1","Open"))</f>
        <v/>
      </c>
    </row>
    <row r="12" ht="18" customHeight="1">
      <c r="A12" s="37" t="inlineStr">
        <is>
          <t>https://africanmarketingconfederation.org/smoke-archive/page-9</t>
        </is>
      </c>
      <c r="B12" s="32" t="n">
        <v>200</v>
      </c>
      <c r="C12" s="31" t="inlineStr">
        <is>
          <t>https://africanmarketingconfederation.org/smoke-archive/page-9</t>
        </is>
      </c>
      <c r="D12" s="30" t="inlineStr"/>
      <c r="E12" s="30" t="n">
        <v>0</v>
      </c>
      <c r="F12" s="31" t="inlineStr"/>
      <c r="G12" s="30" t="b">
        <v>0</v>
      </c>
      <c r="H12" s="30" t="b">
        <v>0</v>
      </c>
      <c r="I12" s="30" t="inlineStr"/>
      <c r="J12" s="31" t="inlineStr"/>
      <c r="K12" s="30" t="b">
        <v>0</v>
      </c>
      <c r="L12" s="32" t="b">
        <v>0</v>
      </c>
      <c r="M12" s="30" t="inlineStr"/>
      <c r="N12" s="38">
        <f>IFERROR(HYPERLINK("#'Main'!B"&amp;MATCH(TRIM(A12),'Main'!B:B,0),"Open"),HYPERLINK("#'Main'!B1","Open"))</f>
        <v/>
      </c>
    </row>
    <row r="13" ht="18" customHeight="1">
      <c r="A13" s="35" t="inlineStr">
        <is>
          <t>https://africanmarketingconfederation.org/smoke-archive/page-10</t>
        </is>
      </c>
      <c r="B13" s="32" t="n">
        <v>200</v>
      </c>
      <c r="C13" s="20" t="inlineStr">
        <is>
          <t>https://africanmarketingconfederation.org/smoke-archive/page-10</t>
        </is>
      </c>
      <c r="D13" s="28" t="inlineStr"/>
      <c r="E13" s="28" t="n">
        <v>0</v>
      </c>
      <c r="F13" s="20" t="inlineStr"/>
      <c r="G13" s="28" t="b">
        <v>0</v>
      </c>
      <c r="H13" s="28" t="b">
        <v>0</v>
      </c>
      <c r="I13" s="28" t="inlineStr"/>
      <c r="J13" s="20" t="inlineStr"/>
      <c r="K13" s="28" t="b">
        <v>0</v>
      </c>
      <c r="L13" s="32" t="b">
        <v>0</v>
      </c>
      <c r="M13" s="28" t="inlineStr"/>
      <c r="N13">
        <f>IFERROR(HYPERLINK("#'Main'!B"&amp;MATCH(TRIM(A13),'Main'!B:B,0),"Open"),HYPERLINK("#'Main'!B1","Open"))</f>
        <v/>
      </c>
    </row>
    <row r="14" ht="18" customHeight="1">
      <c r="A14" s="37" t="inlineStr">
        <is>
          <t>https://africanmarketingconfederation.org/smoke-archive/page-11</t>
        </is>
      </c>
      <c r="B14" s="40" t="n">
        <v>301</v>
      </c>
      <c r="C14" s="31" t="inlineStr">
        <is>
          <t>https://africanmarketingconfederation.org/smoke-archive/page-11-canonical/</t>
        </is>
      </c>
      <c r="D14" s="30" t="inlineStr"/>
      <c r="E14" s="30" t="n">
        <v>1</v>
      </c>
      <c r="F14" s="31" t="inlineStr"/>
      <c r="G14" s="30" t="b">
        <v>0</v>
      </c>
      <c r="H14" s="30" t="b">
        <v>0</v>
      </c>
      <c r="I14" s="30" t="inlineStr"/>
      <c r="J14" s="31" t="inlineStr"/>
      <c r="K14" s="30" t="b">
        <v>0</v>
      </c>
      <c r="L14" s="32" t="b">
        <v>0</v>
      </c>
      <c r="M14" s="30" t="inlineStr"/>
      <c r="N14" s="38">
        <f>IFERROR(HYPERLINK("#'Main'!B"&amp;MATCH(TRIM(A14),'Main'!B:B,0),"Open"),HYPERLINK("#'Main'!B1","Open"))</f>
        <v/>
      </c>
    </row>
    <row r="15" ht="18" customHeight="1">
      <c r="A15" s="35" t="inlineStr">
        <is>
          <t>https://africanmarketingconfederation.org/smoke-archive/page-12</t>
        </is>
      </c>
      <c r="B15" s="32" t="n">
        <v>200</v>
      </c>
      <c r="C15" s="20" t="inlineStr">
        <is>
          <t>https://africanmarketingconfederation.org/smoke-archive/page-12</t>
        </is>
      </c>
      <c r="D15" s="28" t="inlineStr"/>
      <c r="E15" s="28" t="n">
        <v>0</v>
      </c>
      <c r="F15" s="20" t="inlineStr"/>
      <c r="G15" s="28" t="b">
        <v>0</v>
      </c>
      <c r="H15" s="28" t="b">
        <v>0</v>
      </c>
      <c r="I15" s="28" t="inlineStr"/>
      <c r="J15" s="20" t="inlineStr"/>
      <c r="K15" s="28" t="b">
        <v>0</v>
      </c>
      <c r="L15" s="32" t="b">
        <v>0</v>
      </c>
      <c r="M15" s="28" t="inlineStr"/>
      <c r="N15">
        <f>IFERROR(HYPERLINK("#'Main'!B"&amp;MATCH(TRIM(A15),'Main'!B:B,0),"Open"),HYPERLINK("#'Main'!B1","Open"))</f>
        <v/>
      </c>
    </row>
    <row r="16" ht="18" customHeight="1">
      <c r="A16" s="37" t="inlineStr">
        <is>
          <t>https://africanmarketingconfederation.org/smoke-archive/page-13</t>
        </is>
      </c>
      <c r="B16" s="34" t="n">
        <v>404</v>
      </c>
      <c r="C16" s="31" t="inlineStr">
        <is>
          <t>https://africanmarketingconfederation.org/smoke-archive/page-13</t>
        </is>
      </c>
      <c r="D16" s="30" t="inlineStr"/>
      <c r="E16" s="30" t="n">
        <v>0</v>
      </c>
      <c r="F16" s="31" t="inlineStr"/>
      <c r="G16" s="30" t="b">
        <v>0</v>
      </c>
      <c r="H16" s="30" t="b">
        <v>0</v>
      </c>
      <c r="I16" s="30" t="inlineStr"/>
      <c r="J16" s="31" t="inlineStr"/>
      <c r="K16" s="30" t="b">
        <v>0</v>
      </c>
      <c r="L16" s="32" t="b">
        <v>0</v>
      </c>
      <c r="M16" s="30" t="inlineStr"/>
      <c r="N16" s="38">
        <f>IFERROR(HYPERLINK("#'Main'!B"&amp;MATCH(TRIM(A16),'Main'!B:B,0),"Open"),HYPERLINK("#'Main'!B1","Open"))</f>
        <v/>
      </c>
    </row>
    <row r="17" ht="18" customHeight="1">
      <c r="A17" s="35" t="inlineStr">
        <is>
          <t>https://africanmarketingconfederation.org/smoke-archive/page-14</t>
        </is>
      </c>
      <c r="B17" s="32" t="n">
        <v>200</v>
      </c>
      <c r="C17" s="20" t="inlineStr">
        <is>
          <t>https://africanmarketingconfederation.org/smoke-archive/page-14</t>
        </is>
      </c>
      <c r="D17" s="28" t="inlineStr"/>
      <c r="E17" s="28" t="n">
        <v>0</v>
      </c>
      <c r="F17" s="20" t="inlineStr"/>
      <c r="G17" s="28" t="b">
        <v>0</v>
      </c>
      <c r="H17" s="28" t="b">
        <v>0</v>
      </c>
      <c r="I17" s="28" t="inlineStr"/>
      <c r="J17" s="20" t="inlineStr"/>
      <c r="K17" s="28" t="b">
        <v>0</v>
      </c>
      <c r="L17" s="32" t="b">
        <v>0</v>
      </c>
      <c r="M17" s="28" t="inlineStr"/>
      <c r="N17">
        <f>IFERROR(HYPERLINK("#'Main'!B"&amp;MATCH(TRIM(A17),'Main'!B:B,0),"Open"),HYPERLINK("#'Main'!B1","Open"))</f>
        <v/>
      </c>
    </row>
    <row r="18" ht="18" customHeight="1">
      <c r="A18" s="37" t="inlineStr">
        <is>
          <t>https://africanmarketingconfederation.org/smoke-archive/page-15</t>
        </is>
      </c>
      <c r="B18" s="32" t="n">
        <v>200</v>
      </c>
      <c r="C18" s="31" t="inlineStr">
        <is>
          <t>https://africanmarketingconfederation.org/smoke-archive/page-15</t>
        </is>
      </c>
      <c r="D18" s="30" t="inlineStr"/>
      <c r="E18" s="30" t="n">
        <v>0</v>
      </c>
      <c r="F18" s="31" t="inlineStr"/>
      <c r="G18" s="30" t="b">
        <v>0</v>
      </c>
      <c r="H18" s="30" t="b">
        <v>0</v>
      </c>
      <c r="I18" s="30" t="inlineStr"/>
      <c r="J18" s="31" t="inlineStr"/>
      <c r="K18" s="30" t="b">
        <v>0</v>
      </c>
      <c r="L18" s="32" t="b">
        <v>0</v>
      </c>
      <c r="M18" s="30" t="inlineStr"/>
      <c r="N18" s="38">
        <f>IFERROR(HYPERLINK("#'Main'!B"&amp;MATCH(TRIM(A18),'Main'!B:B,0),"Open"),HYPERLINK("#'Main'!B1","Open"))</f>
        <v/>
      </c>
    </row>
    <row r="19" ht="18" customHeight="1">
      <c r="A19" s="35" t="inlineStr">
        <is>
          <t>https://africanmarketingconfederation.org/smoke-archive/page-16</t>
        </is>
      </c>
      <c r="B19" s="32" t="n">
        <v>200</v>
      </c>
      <c r="C19" s="20" t="inlineStr">
        <is>
          <t>https://africanmarketingconfederation.org/smoke-archive/page-16</t>
        </is>
      </c>
      <c r="D19" s="28" t="inlineStr"/>
      <c r="E19" s="28" t="n">
        <v>0</v>
      </c>
      <c r="F19" s="20" t="inlineStr"/>
      <c r="G19" s="28" t="b">
        <v>0</v>
      </c>
      <c r="H19" s="28" t="b">
        <v>0</v>
      </c>
      <c r="I19" s="28" t="inlineStr"/>
      <c r="J19" s="20" t="inlineStr"/>
      <c r="K19" s="28" t="b">
        <v>0</v>
      </c>
      <c r="L19" s="32" t="b">
        <v>0</v>
      </c>
      <c r="M19" s="28" t="inlineStr"/>
      <c r="N19">
        <f>IFERROR(HYPERLINK("#'Main'!B"&amp;MATCH(TRIM(A19),'Main'!B:B,0),"Open"),HYPERLINK("#'Main'!B1","Open"))</f>
        <v/>
      </c>
    </row>
    <row r="20" ht="18" customHeight="1">
      <c r="A20" s="37" t="inlineStr">
        <is>
          <t>https://africanmarketingconfederation.org/smoke-archive/page-17</t>
        </is>
      </c>
      <c r="B20" s="30" t="inlineStr">
        <is>
          <t>Timeout</t>
        </is>
      </c>
      <c r="C20" s="31" t="inlineStr">
        <is>
          <t>https://africanmarketingconfederation.org/smoke-archive/page-17</t>
        </is>
      </c>
      <c r="D20" s="30" t="inlineStr"/>
      <c r="E20" s="30" t="n">
        <v>0</v>
      </c>
      <c r="F20" s="31" t="inlineStr"/>
      <c r="G20" s="30" t="b">
        <v>0</v>
      </c>
      <c r="H20" s="30" t="b">
        <v>0</v>
      </c>
      <c r="I20" s="30" t="inlineStr"/>
      <c r="J20" s="31" t="inlineStr"/>
      <c r="K20" s="30" t="b">
        <v>0</v>
      </c>
      <c r="L20" s="32" t="b">
        <v>0</v>
      </c>
      <c r="M20" s="30" t="inlineStr"/>
      <c r="N20" s="38">
        <f>IFERROR(HYPERLINK("#'Main'!B"&amp;MATCH(TRIM(A20),'Main'!B:B,0),"Open"),HYPERLINK("#'Main'!B1","Open"))</f>
        <v/>
      </c>
    </row>
    <row r="21" ht="18" customHeight="1">
      <c r="A21" s="35" t="inlineStr">
        <is>
          <t>https://africanmarketingconfederation.org/smoke-archive/page-18</t>
        </is>
      </c>
      <c r="B21" s="32" t="n">
        <v>200</v>
      </c>
      <c r="C21" s="20" t="inlineStr">
        <is>
          <t>https://africanmarketingconfederation.org/smoke-archive/page-18</t>
        </is>
      </c>
      <c r="D21" s="28" t="inlineStr"/>
      <c r="E21" s="28" t="n">
        <v>0</v>
      </c>
      <c r="F21" s="20" t="inlineStr"/>
      <c r="G21" s="28" t="b">
        <v>0</v>
      </c>
      <c r="H21" s="28" t="b">
        <v>0</v>
      </c>
      <c r="I21" s="28" t="inlineStr"/>
      <c r="J21" s="20" t="inlineStr"/>
      <c r="K21" s="28" t="b">
        <v>0</v>
      </c>
      <c r="L21" s="32" t="b">
        <v>0</v>
      </c>
      <c r="M21" s="28" t="inlineStr"/>
      <c r="N21">
        <f>IFERROR(HYPERLINK("#'Main'!B"&amp;MATCH(TRIM(A21),'Main'!B:B,0),"Open"),HYPERLINK("#'Main'!B1","Open"))</f>
        <v/>
      </c>
    </row>
    <row r="22" ht="18" customHeight="1">
      <c r="A22" s="37" t="inlineStr">
        <is>
          <t>https://africanmarketingconfederation.org/smoke-archive/page-19</t>
        </is>
      </c>
      <c r="B22" s="32" t="n">
        <v>200</v>
      </c>
      <c r="C22" s="31" t="inlineStr">
        <is>
          <t>https://africanmarketingconfederation.org/smoke-archive/page-19</t>
        </is>
      </c>
      <c r="D22" s="30" t="inlineStr"/>
      <c r="E22" s="30" t="n">
        <v>0</v>
      </c>
      <c r="F22" s="31" t="inlineStr"/>
      <c r="G22" s="30" t="b">
        <v>0</v>
      </c>
      <c r="H22" s="30" t="b">
        <v>0</v>
      </c>
      <c r="I22" s="30" t="inlineStr"/>
      <c r="J22" s="31" t="inlineStr"/>
      <c r="K22" s="30" t="b">
        <v>0</v>
      </c>
      <c r="L22" s="32" t="b">
        <v>0</v>
      </c>
      <c r="M22" s="30" t="inlineStr"/>
      <c r="N22" s="38">
        <f>IFERROR(HYPERLINK("#'Main'!B"&amp;MATCH(TRIM(A22),'Main'!B:B,0),"Open"),HYPERLINK("#'Main'!B1","Open"))</f>
        <v/>
      </c>
    </row>
    <row r="23" ht="18" customHeight="1">
      <c r="A23" s="35" t="inlineStr">
        <is>
          <t>https://africanmarketingconfederation.org/smoke-archive/page-20</t>
        </is>
      </c>
      <c r="B23" s="32" t="n">
        <v>200</v>
      </c>
      <c r="C23" s="20" t="inlineStr">
        <is>
          <t>https://africanmarketingconfederation.org/smoke-archive/page-20</t>
        </is>
      </c>
      <c r="D23" s="28" t="inlineStr"/>
      <c r="E23" s="28" t="n">
        <v>0</v>
      </c>
      <c r="F23" s="20" t="inlineStr"/>
      <c r="G23" s="28" t="b">
        <v>0</v>
      </c>
      <c r="H23" s="28" t="b">
        <v>0</v>
      </c>
      <c r="I23" s="28" t="inlineStr"/>
      <c r="J23" s="20" t="inlineStr"/>
      <c r="K23" s="28" t="b">
        <v>0</v>
      </c>
      <c r="L23" s="32" t="b">
        <v>0</v>
      </c>
      <c r="M23" s="28" t="inlineStr"/>
      <c r="N23">
        <f>IFERROR(HYPERLINK("#'Main'!B"&amp;MATCH(TRIM(A23),'Main'!B:B,0),"Open"),HYPERLINK("#'Main'!B1","Open"))</f>
        <v/>
      </c>
    </row>
    <row r="24" ht="18" customHeight="1">
      <c r="A24" s="37" t="inlineStr">
        <is>
          <t>https://africanmarketingconfederation.org/smoke-archive/page-21</t>
        </is>
      </c>
      <c r="B24" s="32" t="n">
        <v>200</v>
      </c>
      <c r="C24" s="31" t="inlineStr">
        <is>
          <t>https://africanmarketingconfederation.org/smoke-archive/page-21</t>
        </is>
      </c>
      <c r="D24" s="30" t="inlineStr"/>
      <c r="E24" s="30" t="n">
        <v>0</v>
      </c>
      <c r="F24" s="31" t="inlineStr"/>
      <c r="G24" s="30" t="b">
        <v>0</v>
      </c>
      <c r="H24" s="30" t="b">
        <v>0</v>
      </c>
      <c r="I24" s="30" t="inlineStr"/>
      <c r="J24" s="31" t="inlineStr"/>
      <c r="K24" s="30" t="b">
        <v>0</v>
      </c>
      <c r="L24" s="32" t="b">
        <v>0</v>
      </c>
      <c r="M24" s="30" t="inlineStr"/>
      <c r="N24" s="38">
        <f>IFERROR(HYPERLINK("#'Main'!B"&amp;MATCH(TRIM(A24),'Main'!B:B,0),"Open"),HYPERLINK("#'Main'!B1","Open"))</f>
        <v/>
      </c>
    </row>
    <row r="25" ht="18" customHeight="1">
      <c r="A25" s="35" t="inlineStr">
        <is>
          <t>https://africanmarketingconfederation.org/smoke-archive/page-22</t>
        </is>
      </c>
      <c r="B25" s="40" t="n">
        <v>301</v>
      </c>
      <c r="C25" s="20" t="inlineStr">
        <is>
          <t>https://africanmarketingconfederation.org/smoke-archive/page-22-canonical/</t>
        </is>
      </c>
      <c r="D25" s="28" t="inlineStr"/>
      <c r="E25" s="28" t="n">
        <v>1</v>
      </c>
      <c r="F25" s="20" t="inlineStr"/>
      <c r="G25" s="28" t="b">
        <v>0</v>
      </c>
      <c r="H25" s="28" t="b">
        <v>0</v>
      </c>
      <c r="I25" s="28" t="inlineStr"/>
      <c r="J25" s="20" t="inlineStr"/>
      <c r="K25" s="28" t="b">
        <v>0</v>
      </c>
      <c r="L25" s="32" t="b">
        <v>0</v>
      </c>
      <c r="M25" s="28" t="inlineStr"/>
      <c r="N25">
        <f>IFERROR(HYPERLINK("#'Main'!B"&amp;MATCH(TRIM(A25),'Main'!B:B,0),"Open"),HYPERLINK("#'Main'!B1","Open"))</f>
        <v/>
      </c>
    </row>
    <row r="26" ht="18" customHeight="1">
      <c r="A26" s="37" t="inlineStr">
        <is>
          <t>https://africanmarketingconfederation.org/smoke-archive/page-23</t>
        </is>
      </c>
      <c r="B26" s="32" t="n">
        <v>200</v>
      </c>
      <c r="C26" s="31" t="inlineStr">
        <is>
          <t>https://africanmarketingconfederation.org/smoke-archive/page-23</t>
        </is>
      </c>
      <c r="D26" s="30" t="inlineStr"/>
      <c r="E26" s="30" t="n">
        <v>0</v>
      </c>
      <c r="F26" s="31" t="inlineStr"/>
      <c r="G26" s="30" t="b">
        <v>0</v>
      </c>
      <c r="H26" s="30" t="b">
        <v>0</v>
      </c>
      <c r="I26" s="30" t="inlineStr"/>
      <c r="J26" s="31" t="inlineStr"/>
      <c r="K26" s="30" t="b">
        <v>0</v>
      </c>
      <c r="L26" s="32" t="b">
        <v>0</v>
      </c>
      <c r="M26" s="30" t="inlineStr"/>
      <c r="N26" s="38">
        <f>IFERROR(HYPERLINK("#'Main'!B"&amp;MATCH(TRIM(A26),'Main'!B:B,0),"Open"),HYPERLINK("#'Main'!B1","Open"))</f>
        <v/>
      </c>
    </row>
    <row r="27" ht="18" customHeight="1">
      <c r="A27" s="35" t="inlineStr">
        <is>
          <t>https://africanmarketingconfederation.org/smoke-archive/page-24</t>
        </is>
      </c>
      <c r="B27" s="32" t="n">
        <v>200</v>
      </c>
      <c r="C27" s="20" t="inlineStr">
        <is>
          <t>https://africanmarketingconfederation.org/smoke-archive/page-24</t>
        </is>
      </c>
      <c r="D27" s="28" t="inlineStr"/>
      <c r="E27" s="28" t="n">
        <v>0</v>
      </c>
      <c r="F27" s="20" t="inlineStr"/>
      <c r="G27" s="28" t="b">
        <v>0</v>
      </c>
      <c r="H27" s="28" t="b">
        <v>0</v>
      </c>
      <c r="I27" s="28" t="inlineStr"/>
      <c r="J27" s="20" t="inlineStr"/>
      <c r="K27" s="28" t="b">
        <v>0</v>
      </c>
      <c r="L27" s="32" t="b">
        <v>0</v>
      </c>
      <c r="M27" s="28" t="inlineStr"/>
      <c r="N27">
        <f>IFERROR(HYPERLINK("#'Main'!B"&amp;MATCH(TRIM(A27),'Main'!B:B,0),"Open"),HYPERLINK("#'Main'!B1","Open"))</f>
        <v/>
      </c>
    </row>
    <row r="28" ht="18" customHeight="1">
      <c r="A28" s="37" t="inlineStr">
        <is>
          <t>https://africanmarketingconfederation.org/smoke-archive/page-25</t>
        </is>
      </c>
      <c r="B28" s="32" t="n">
        <v>200</v>
      </c>
      <c r="C28" s="31" t="inlineStr">
        <is>
          <t>https://africanmarketingconfederation.org/smoke-archive/page-25</t>
        </is>
      </c>
      <c r="D28" s="30" t="inlineStr"/>
      <c r="E28" s="30" t="n">
        <v>0</v>
      </c>
      <c r="F28" s="31" t="inlineStr"/>
      <c r="G28" s="30" t="b">
        <v>0</v>
      </c>
      <c r="H28" s="30" t="b">
        <v>0</v>
      </c>
      <c r="I28" s="30" t="inlineStr"/>
      <c r="J28" s="31" t="inlineStr"/>
      <c r="K28" s="30" t="b">
        <v>0</v>
      </c>
      <c r="L28" s="32" t="b">
        <v>0</v>
      </c>
      <c r="M28" s="30" t="inlineStr"/>
      <c r="N28" s="38">
        <f>IFERROR(HYPERLINK("#'Main'!B"&amp;MATCH(TRIM(A28),'Main'!B:B,0),"Open"),HYPERLINK("#'Main'!B1","Open"))</f>
        <v/>
      </c>
    </row>
    <row r="29" ht="18" customHeight="1">
      <c r="A29" s="35" t="inlineStr">
        <is>
          <t>https://africanmarketingconfederation.org/smoke-archive/page-26</t>
        </is>
      </c>
      <c r="B29" s="34" t="n">
        <v>404</v>
      </c>
      <c r="C29" s="20" t="inlineStr">
        <is>
          <t>https://africanmarketingconfederation.org/smoke-archive/page-26</t>
        </is>
      </c>
      <c r="D29" s="28" t="inlineStr"/>
      <c r="E29" s="28" t="n">
        <v>0</v>
      </c>
      <c r="F29" s="20" t="inlineStr"/>
      <c r="G29" s="28" t="b">
        <v>0</v>
      </c>
      <c r="H29" s="28" t="b">
        <v>0</v>
      </c>
      <c r="I29" s="28" t="inlineStr"/>
      <c r="J29" s="20" t="inlineStr"/>
      <c r="K29" s="28" t="b">
        <v>0</v>
      </c>
      <c r="L29" s="32" t="b">
        <v>0</v>
      </c>
      <c r="M29" s="28" t="inlineStr"/>
      <c r="N29">
        <f>IFERROR(HYPERLINK("#'Main'!B"&amp;MATCH(TRIM(A29),'Main'!B:B,0),"Open"),HYPERLINK("#'Main'!B1","Open"))</f>
        <v/>
      </c>
    </row>
    <row r="30" ht="18" customHeight="1">
      <c r="A30" s="37" t="inlineStr">
        <is>
          <t>https://africanmarketingconfederation.org/smoke-archive/page-27</t>
        </is>
      </c>
      <c r="B30" s="32" t="n">
        <v>200</v>
      </c>
      <c r="C30" s="31" t="inlineStr">
        <is>
          <t>https://africanmarketingconfederation.org/smoke-archive/page-27</t>
        </is>
      </c>
      <c r="D30" s="30" t="inlineStr"/>
      <c r="E30" s="30" t="n">
        <v>0</v>
      </c>
      <c r="F30" s="31" t="inlineStr"/>
      <c r="G30" s="30" t="b">
        <v>0</v>
      </c>
      <c r="H30" s="30" t="b">
        <v>0</v>
      </c>
      <c r="I30" s="30" t="inlineStr"/>
      <c r="J30" s="31" t="inlineStr"/>
      <c r="K30" s="30" t="b">
        <v>0</v>
      </c>
      <c r="L30" s="32" t="b">
        <v>0</v>
      </c>
      <c r="M30" s="30" t="inlineStr"/>
      <c r="N30" s="38">
        <f>IFERROR(HYPERLINK("#'Main'!B"&amp;MATCH(TRIM(A30),'Main'!B:B,0),"Open"),HYPERLINK("#'Main'!B1","Open"))</f>
        <v/>
      </c>
    </row>
    <row r="31" ht="18" customHeight="1">
      <c r="A31" s="35" t="inlineStr">
        <is>
          <t>https://africanmarketingconfederation.org/smoke-archive/page-28</t>
        </is>
      </c>
      <c r="B31" s="32" t="n">
        <v>200</v>
      </c>
      <c r="C31" s="20" t="inlineStr">
        <is>
          <t>https://africanmarketingconfederation.org/smoke-archive/page-28</t>
        </is>
      </c>
      <c r="D31" s="28" t="inlineStr"/>
      <c r="E31" s="28" t="n">
        <v>0</v>
      </c>
      <c r="F31" s="20" t="inlineStr"/>
      <c r="G31" s="28" t="b">
        <v>0</v>
      </c>
      <c r="H31" s="28" t="b">
        <v>0</v>
      </c>
      <c r="I31" s="28" t="inlineStr"/>
      <c r="J31" s="20" t="inlineStr"/>
      <c r="K31" s="28" t="b">
        <v>0</v>
      </c>
      <c r="L31" s="32" t="b">
        <v>0</v>
      </c>
      <c r="M31" s="28" t="inlineStr"/>
      <c r="N31">
        <f>IFERROR(HYPERLINK("#'Main'!B"&amp;MATCH(TRIM(A31),'Main'!B:B,0),"Open"),HYPERLINK("#'Main'!B1","Open"))</f>
        <v/>
      </c>
    </row>
    <row r="32" ht="18" customHeight="1">
      <c r="A32" s="37" t="inlineStr">
        <is>
          <t>https://africanmarketingconfederation.org/smoke-archive/page-29</t>
        </is>
      </c>
      <c r="B32" s="32" t="n">
        <v>200</v>
      </c>
      <c r="C32" s="31" t="inlineStr">
        <is>
          <t>https://africanmarketingconfederation.org/smoke-archive/page-29</t>
        </is>
      </c>
      <c r="D32" s="30" t="inlineStr"/>
      <c r="E32" s="30" t="n">
        <v>0</v>
      </c>
      <c r="F32" s="31" t="inlineStr"/>
      <c r="G32" s="30" t="b">
        <v>0</v>
      </c>
      <c r="H32" s="30" t="b">
        <v>0</v>
      </c>
      <c r="I32" s="30" t="inlineStr"/>
      <c r="J32" s="31" t="inlineStr"/>
      <c r="K32" s="30" t="b">
        <v>0</v>
      </c>
      <c r="L32" s="32" t="b">
        <v>0</v>
      </c>
      <c r="M32" s="30" t="inlineStr"/>
      <c r="N32" s="38">
        <f>IFERROR(HYPERLINK("#'Main'!B"&amp;MATCH(TRIM(A32),'Main'!B:B,0),"Open"),HYPERLINK("#'Main'!B1","Open"))</f>
        <v/>
      </c>
    </row>
    <row r="33" ht="18" customHeight="1">
      <c r="A33" s="35" t="inlineStr">
        <is>
          <t>https://africanmarketingconfederation.org/smoke-archive/page-30</t>
        </is>
      </c>
      <c r="B33" s="32" t="n">
        <v>200</v>
      </c>
      <c r="C33" s="20" t="inlineStr">
        <is>
          <t>https://africanmarketingconfederation.org/smoke-archive/page-30</t>
        </is>
      </c>
      <c r="D33" s="28" t="inlineStr"/>
      <c r="E33" s="28" t="n">
        <v>0</v>
      </c>
      <c r="F33" s="20" t="inlineStr"/>
      <c r="G33" s="28" t="b">
        <v>0</v>
      </c>
      <c r="H33" s="28" t="b">
        <v>0</v>
      </c>
      <c r="I33" s="28" t="inlineStr"/>
      <c r="J33" s="20" t="inlineStr"/>
      <c r="K33" s="28" t="b">
        <v>0</v>
      </c>
      <c r="L33" s="32" t="b">
        <v>0</v>
      </c>
      <c r="M33" s="28" t="inlineStr"/>
      <c r="N33">
        <f>IFERROR(HYPERLINK("#'Main'!B"&amp;MATCH(TRIM(A33),'Main'!B:B,0),"Open"),HYPERLINK("#'Main'!B1","Open"))</f>
        <v/>
      </c>
    </row>
    <row r="34" ht="18" customHeight="1">
      <c r="A34" s="37" t="inlineStr">
        <is>
          <t>https://africanmarketingconfederation.org/smoke-archive/page-31</t>
        </is>
      </c>
      <c r="B34" s="32" t="n">
        <v>200</v>
      </c>
      <c r="C34" s="31" t="inlineStr">
        <is>
          <t>https://africanmarketingconfederation.org/smoke-archive/page-31</t>
        </is>
      </c>
      <c r="D34" s="30" t="inlineStr"/>
      <c r="E34" s="30" t="n">
        <v>0</v>
      </c>
      <c r="F34" s="31" t="inlineStr"/>
      <c r="G34" s="30" t="b">
        <v>0</v>
      </c>
      <c r="H34" s="30" t="b">
        <v>0</v>
      </c>
      <c r="I34" s="30" t="inlineStr"/>
      <c r="J34" s="31" t="inlineStr"/>
      <c r="K34" s="30" t="b">
        <v>0</v>
      </c>
      <c r="L34" s="32" t="b">
        <v>0</v>
      </c>
      <c r="M34" s="30" t="inlineStr"/>
      <c r="N34" s="38">
        <f>IFERROR(HYPERLINK("#'Main'!B"&amp;MATCH(TRIM(A34),'Main'!B:B,0),"Open"),HYPERLINK("#'Main'!B1","Open"))</f>
        <v/>
      </c>
    </row>
    <row r="35" ht="18" customHeight="1">
      <c r="A35" s="35" t="inlineStr">
        <is>
          <t>https://africanmarketingconfederation.org/smoke-archive/page-32</t>
        </is>
      </c>
      <c r="B35" s="32" t="n">
        <v>200</v>
      </c>
      <c r="C35" s="20" t="inlineStr">
        <is>
          <t>https://africanmarketingconfederation.org/smoke-archive/page-32</t>
        </is>
      </c>
      <c r="D35" s="28" t="inlineStr"/>
      <c r="E35" s="28" t="n">
        <v>0</v>
      </c>
      <c r="F35" s="20" t="inlineStr"/>
      <c r="G35" s="28" t="b">
        <v>0</v>
      </c>
      <c r="H35" s="28" t="b">
        <v>0</v>
      </c>
      <c r="I35" s="28" t="inlineStr"/>
      <c r="J35" s="20" t="inlineStr"/>
      <c r="K35" s="28" t="b">
        <v>0</v>
      </c>
      <c r="L35" s="32" t="b">
        <v>0</v>
      </c>
      <c r="M35" s="28" t="inlineStr"/>
      <c r="N35">
        <f>IFERROR(HYPERLINK("#'Main'!B"&amp;MATCH(TRIM(A35),'Main'!B:B,0),"Open"),HYPERLINK("#'Main'!B1","Open"))</f>
        <v/>
      </c>
    </row>
    <row r="36" ht="18" customHeight="1">
      <c r="A36" s="37" t="inlineStr">
        <is>
          <t>https://africanmarketingconfederation.org/smoke-archive/page-33</t>
        </is>
      </c>
      <c r="B36" s="40" t="n">
        <v>301</v>
      </c>
      <c r="C36" s="31" t="inlineStr">
        <is>
          <t>https://africanmarketingconfederation.org/smoke-archive/page-33-canonical/</t>
        </is>
      </c>
      <c r="D36" s="30" t="inlineStr"/>
      <c r="E36" s="30" t="n">
        <v>1</v>
      </c>
      <c r="F36" s="31" t="inlineStr"/>
      <c r="G36" s="30" t="b">
        <v>0</v>
      </c>
      <c r="H36" s="30" t="b">
        <v>0</v>
      </c>
      <c r="I36" s="30" t="inlineStr"/>
      <c r="J36" s="31" t="inlineStr"/>
      <c r="K36" s="30" t="b">
        <v>0</v>
      </c>
      <c r="L36" s="32" t="b">
        <v>0</v>
      </c>
      <c r="M36" s="30" t="inlineStr"/>
      <c r="N36" s="38">
        <f>IFERROR(HYPERLINK("#'Main'!B"&amp;MATCH(TRIM(A36),'Main'!B:B,0),"Open"),HYPERLINK("#'Main'!B1","Open"))</f>
        <v/>
      </c>
    </row>
    <row r="37" ht="18" customHeight="1">
      <c r="A37" s="35" t="inlineStr">
        <is>
          <t>https://africanmarketingconfederation.org/smoke-archive/page-34</t>
        </is>
      </c>
      <c r="B37" s="28" t="inlineStr">
        <is>
          <t>Timeout</t>
        </is>
      </c>
      <c r="C37" s="20" t="inlineStr">
        <is>
          <t>https://africanmarketingconfederation.org/smoke-archive/page-34</t>
        </is>
      </c>
      <c r="D37" s="28" t="inlineStr"/>
      <c r="E37" s="28" t="n">
        <v>0</v>
      </c>
      <c r="F37" s="20" t="inlineStr"/>
      <c r="G37" s="28" t="b">
        <v>0</v>
      </c>
      <c r="H37" s="28" t="b">
        <v>0</v>
      </c>
      <c r="I37" s="28" t="inlineStr"/>
      <c r="J37" s="20" t="inlineStr"/>
      <c r="K37" s="28" t="b">
        <v>0</v>
      </c>
      <c r="L37" s="32" t="b">
        <v>0</v>
      </c>
      <c r="M37" s="28" t="inlineStr"/>
      <c r="N37">
        <f>IFERROR(HYPERLINK("#'Main'!B"&amp;MATCH(TRIM(A37),'Main'!B:B,0),"Open"),HYPERLINK("#'Main'!B1","Open"))</f>
        <v/>
      </c>
    </row>
    <row r="38" ht="18" customHeight="1">
      <c r="A38" s="37" t="inlineStr">
        <is>
          <t>https://africanmarketingconfederation.org/smoke-archive/page-35</t>
        </is>
      </c>
      <c r="B38" s="32" t="n">
        <v>200</v>
      </c>
      <c r="C38" s="31" t="inlineStr">
        <is>
          <t>https://africanmarketingconfederation.org/smoke-archive/page-35</t>
        </is>
      </c>
      <c r="D38" s="30" t="inlineStr"/>
      <c r="E38" s="30" t="n">
        <v>0</v>
      </c>
      <c r="F38" s="31" t="inlineStr"/>
      <c r="G38" s="30" t="b">
        <v>0</v>
      </c>
      <c r="H38" s="30" t="b">
        <v>0</v>
      </c>
      <c r="I38" s="30" t="inlineStr"/>
      <c r="J38" s="31" t="inlineStr"/>
      <c r="K38" s="30" t="b">
        <v>0</v>
      </c>
      <c r="L38" s="32" t="b">
        <v>0</v>
      </c>
      <c r="M38" s="30" t="inlineStr"/>
      <c r="N38" s="38">
        <f>IFERROR(HYPERLINK("#'Main'!B"&amp;MATCH(TRIM(A38),'Main'!B:B,0),"Open"),HYPERLINK("#'Main'!B1","Open"))</f>
        <v/>
      </c>
    </row>
    <row r="39" ht="18" customHeight="1">
      <c r="A39" s="35" t="inlineStr">
        <is>
          <t>https://africanmarketingconfederation.org/smoke-archive/page-36</t>
        </is>
      </c>
      <c r="B39" s="32" t="n">
        <v>200</v>
      </c>
      <c r="C39" s="20" t="inlineStr">
        <is>
          <t>https://africanmarketingconfederation.org/smoke-archive/page-36</t>
        </is>
      </c>
      <c r="D39" s="28" t="inlineStr"/>
      <c r="E39" s="28" t="n">
        <v>0</v>
      </c>
      <c r="F39" s="20" t="inlineStr"/>
      <c r="G39" s="28" t="b">
        <v>0</v>
      </c>
      <c r="H39" s="28" t="b">
        <v>0</v>
      </c>
      <c r="I39" s="28" t="inlineStr"/>
      <c r="J39" s="20" t="inlineStr"/>
      <c r="K39" s="28" t="b">
        <v>0</v>
      </c>
      <c r="L39" s="32" t="b">
        <v>0</v>
      </c>
      <c r="M39" s="28" t="inlineStr"/>
      <c r="N39">
        <f>IFERROR(HYPERLINK("#'Main'!B"&amp;MATCH(TRIM(A39),'Main'!B:B,0),"Open"),HYPERLINK("#'Main'!B1","Open"))</f>
        <v/>
      </c>
    </row>
    <row r="40" ht="18" customHeight="1">
      <c r="A40" s="37" t="inlineStr">
        <is>
          <t>https://africanmarketingconfederation.org/smoke-archive/page-37</t>
        </is>
      </c>
      <c r="B40" s="32" t="n">
        <v>200</v>
      </c>
      <c r="C40" s="31" t="inlineStr">
        <is>
          <t>https://africanmarketingconfederation.org/smoke-archive/page-37</t>
        </is>
      </c>
      <c r="D40" s="30" t="inlineStr"/>
      <c r="E40" s="30" t="n">
        <v>0</v>
      </c>
      <c r="F40" s="31" t="inlineStr"/>
      <c r="G40" s="30" t="b">
        <v>0</v>
      </c>
      <c r="H40" s="30" t="b">
        <v>0</v>
      </c>
      <c r="I40" s="30" t="inlineStr"/>
      <c r="J40" s="31" t="inlineStr"/>
      <c r="K40" s="30" t="b">
        <v>0</v>
      </c>
      <c r="L40" s="32" t="b">
        <v>0</v>
      </c>
      <c r="M40" s="30" t="inlineStr"/>
      <c r="N40" s="38">
        <f>IFERROR(HYPERLINK("#'Main'!B"&amp;MATCH(TRIM(A40),'Main'!B:B,0),"Open"),HYPERLINK("#'Main'!B1","Open"))</f>
        <v/>
      </c>
    </row>
    <row r="41" ht="18" customHeight="1">
      <c r="A41" s="35" t="inlineStr">
        <is>
          <t>https://africanmarketingconfederation.org/smoke-archive/page-38</t>
        </is>
      </c>
      <c r="B41" s="32" t="n">
        <v>200</v>
      </c>
      <c r="C41" s="20" t="inlineStr">
        <is>
          <t>https://africanmarketingconfederation.org/smoke-archive/page-38</t>
        </is>
      </c>
      <c r="D41" s="28" t="inlineStr"/>
      <c r="E41" s="28" t="n">
        <v>0</v>
      </c>
      <c r="F41" s="20" t="inlineStr"/>
      <c r="G41" s="28" t="b">
        <v>0</v>
      </c>
      <c r="H41" s="28" t="b">
        <v>0</v>
      </c>
      <c r="I41" s="28" t="inlineStr"/>
      <c r="J41" s="20" t="inlineStr"/>
      <c r="K41" s="28" t="b">
        <v>0</v>
      </c>
      <c r="L41" s="32" t="b">
        <v>0</v>
      </c>
      <c r="M41" s="28" t="inlineStr"/>
      <c r="N41">
        <f>IFERROR(HYPERLINK("#'Main'!B"&amp;MATCH(TRIM(A41),'Main'!B:B,0),"Open"),HYPERLINK("#'Main'!B1","Open"))</f>
        <v/>
      </c>
    </row>
    <row r="42" ht="18" customHeight="1">
      <c r="A42" s="37" t="inlineStr">
        <is>
          <t>https://africanmarketingconfederation.org/smoke-archive/page-39</t>
        </is>
      </c>
      <c r="B42" s="34" t="n">
        <v>404</v>
      </c>
      <c r="C42" s="31" t="inlineStr">
        <is>
          <t>https://africanmarketingconfederation.org/smoke-archive/page-39</t>
        </is>
      </c>
      <c r="D42" s="30" t="inlineStr"/>
      <c r="E42" s="30" t="n">
        <v>0</v>
      </c>
      <c r="F42" s="31" t="inlineStr"/>
      <c r="G42" s="30" t="b">
        <v>0</v>
      </c>
      <c r="H42" s="30" t="b">
        <v>0</v>
      </c>
      <c r="I42" s="30" t="inlineStr"/>
      <c r="J42" s="31" t="inlineStr"/>
      <c r="K42" s="30" t="b">
        <v>0</v>
      </c>
      <c r="L42" s="32" t="b">
        <v>0</v>
      </c>
      <c r="M42" s="30" t="inlineStr"/>
      <c r="N42" s="38">
        <f>IFERROR(HYPERLINK("#'Main'!B"&amp;MATCH(TRIM(A42),'Main'!B:B,0),"Open"),HYPERLINK("#'Main'!B1","Open"))</f>
        <v/>
      </c>
    </row>
    <row r="43" ht="18" customHeight="1">
      <c r="A43" s="35" t="inlineStr">
        <is>
          <t>https://africanmarketingconfederation.org/smoke-archive/page-40</t>
        </is>
      </c>
      <c r="B43" s="32" t="n">
        <v>200</v>
      </c>
      <c r="C43" s="20" t="inlineStr">
        <is>
          <t>https://africanmarketingconfederation.org/smoke-archive/page-40</t>
        </is>
      </c>
      <c r="D43" s="28" t="inlineStr"/>
      <c r="E43" s="28" t="n">
        <v>0</v>
      </c>
      <c r="F43" s="20" t="inlineStr"/>
      <c r="G43" s="28" t="b">
        <v>0</v>
      </c>
      <c r="H43" s="28" t="b">
        <v>0</v>
      </c>
      <c r="I43" s="28" t="inlineStr"/>
      <c r="J43" s="20" t="inlineStr"/>
      <c r="K43" s="28" t="b">
        <v>0</v>
      </c>
      <c r="L43" s="32" t="b">
        <v>0</v>
      </c>
      <c r="M43" s="28" t="inlineStr"/>
      <c r="N43">
        <f>IFERROR(HYPERLINK("#'Main'!B"&amp;MATCH(TRIM(A43),'Main'!B:B,0),"Open"),HYPERLINK("#'Main'!B1","Open"))</f>
        <v/>
      </c>
    </row>
    <row r="44" ht="18" customHeight="1">
      <c r="A44" s="37" t="inlineStr">
        <is>
          <t>https://africanmarketingconfederation.org/smoke-archive/page-41</t>
        </is>
      </c>
      <c r="B44" s="32" t="n">
        <v>200</v>
      </c>
      <c r="C44" s="31" t="inlineStr">
        <is>
          <t>https://africanmarketingconfederation.org/smoke-archive/page-41</t>
        </is>
      </c>
      <c r="D44" s="30" t="inlineStr"/>
      <c r="E44" s="30" t="n">
        <v>0</v>
      </c>
      <c r="F44" s="31" t="inlineStr"/>
      <c r="G44" s="30" t="b">
        <v>0</v>
      </c>
      <c r="H44" s="30" t="b">
        <v>0</v>
      </c>
      <c r="I44" s="30" t="inlineStr"/>
      <c r="J44" s="31" t="inlineStr"/>
      <c r="K44" s="30" t="b">
        <v>0</v>
      </c>
      <c r="L44" s="32" t="b">
        <v>0</v>
      </c>
      <c r="M44" s="30" t="inlineStr"/>
      <c r="N44" s="38">
        <f>IFERROR(HYPERLINK("#'Main'!B"&amp;MATCH(TRIM(A44),'Main'!B:B,0),"Open"),HYPERLINK("#'Main'!B1","Open"))</f>
        <v/>
      </c>
    </row>
    <row r="45" ht="18" customHeight="1">
      <c r="A45" s="35" t="inlineStr">
        <is>
          <t>https://africanmarketingconfederation.org/smoke-archive/page-42</t>
        </is>
      </c>
      <c r="B45" s="32" t="n">
        <v>200</v>
      </c>
      <c r="C45" s="20" t="inlineStr">
        <is>
          <t>https://africanmarketingconfederation.org/smoke-archive/page-42</t>
        </is>
      </c>
      <c r="D45" s="28" t="inlineStr"/>
      <c r="E45" s="28" t="n">
        <v>0</v>
      </c>
      <c r="F45" s="20" t="inlineStr"/>
      <c r="G45" s="28" t="b">
        <v>0</v>
      </c>
      <c r="H45" s="28" t="b">
        <v>0</v>
      </c>
      <c r="I45" s="28" t="inlineStr"/>
      <c r="J45" s="20" t="inlineStr"/>
      <c r="K45" s="28" t="b">
        <v>0</v>
      </c>
      <c r="L45" s="32" t="b">
        <v>0</v>
      </c>
      <c r="M45" s="28" t="inlineStr"/>
      <c r="N45">
        <f>IFERROR(HYPERLINK("#'Main'!B"&amp;MATCH(TRIM(A45),'Main'!B:B,0),"Open"),HYPERLINK("#'Main'!B1","Open"))</f>
        <v/>
      </c>
    </row>
    <row r="46" ht="18" customHeight="1">
      <c r="A46" s="37" t="inlineStr">
        <is>
          <t>https://africanmarketingconfederation.org/smoke-archive/page-43</t>
        </is>
      </c>
      <c r="B46" s="32" t="n">
        <v>200</v>
      </c>
      <c r="C46" s="31" t="inlineStr">
        <is>
          <t>https://africanmarketingconfederation.org/smoke-archive/page-43</t>
        </is>
      </c>
      <c r="D46" s="30" t="inlineStr"/>
      <c r="E46" s="30" t="n">
        <v>0</v>
      </c>
      <c r="F46" s="31" t="inlineStr"/>
      <c r="G46" s="30" t="b">
        <v>0</v>
      </c>
      <c r="H46" s="30" t="b">
        <v>0</v>
      </c>
      <c r="I46" s="30" t="inlineStr"/>
      <c r="J46" s="31" t="inlineStr"/>
      <c r="K46" s="30" t="b">
        <v>0</v>
      </c>
      <c r="L46" s="32" t="b">
        <v>0</v>
      </c>
      <c r="M46" s="30" t="inlineStr"/>
      <c r="N46" s="38">
        <f>IFERROR(HYPERLINK("#'Main'!B"&amp;MATCH(TRIM(A46),'Main'!B:B,0),"Open"),HYPERLINK("#'Main'!B1","Open"))</f>
        <v/>
      </c>
    </row>
    <row r="47" ht="18" customHeight="1">
      <c r="A47" s="35" t="inlineStr">
        <is>
          <t>https://africanmarketingconfederation.org/smoke-archive/page-44</t>
        </is>
      </c>
      <c r="B47" s="40" t="n">
        <v>301</v>
      </c>
      <c r="C47" s="20" t="inlineStr">
        <is>
          <t>https://africanmarketingconfederation.org/smoke-archive/page-44-canonical/</t>
        </is>
      </c>
      <c r="D47" s="28" t="inlineStr"/>
      <c r="E47" s="28" t="n">
        <v>1</v>
      </c>
      <c r="F47" s="20" t="inlineStr"/>
      <c r="G47" s="28" t="b">
        <v>0</v>
      </c>
      <c r="H47" s="28" t="b">
        <v>0</v>
      </c>
      <c r="I47" s="28" t="inlineStr"/>
      <c r="J47" s="20" t="inlineStr"/>
      <c r="K47" s="28" t="b">
        <v>0</v>
      </c>
      <c r="L47" s="32" t="b">
        <v>0</v>
      </c>
      <c r="M47" s="28" t="inlineStr"/>
      <c r="N47">
        <f>IFERROR(HYPERLINK("#'Main'!B"&amp;MATCH(TRIM(A47),'Main'!B:B,0),"Open"),HYPERLINK("#'Main'!B1","Open"))</f>
        <v/>
      </c>
    </row>
    <row r="48" ht="18" customHeight="1">
      <c r="A48" s="37" t="inlineStr">
        <is>
          <t>https://africanmarketingconfederation.org/smoke-archive/page-45</t>
        </is>
      </c>
      <c r="B48" s="32" t="n">
        <v>200</v>
      </c>
      <c r="C48" s="31" t="inlineStr">
        <is>
          <t>https://africanmarketingconfederation.org/smoke-archive/page-45</t>
        </is>
      </c>
      <c r="D48" s="30" t="inlineStr"/>
      <c r="E48" s="30" t="n">
        <v>0</v>
      </c>
      <c r="F48" s="31" t="inlineStr"/>
      <c r="G48" s="30" t="b">
        <v>0</v>
      </c>
      <c r="H48" s="30" t="b">
        <v>0</v>
      </c>
      <c r="I48" s="30" t="inlineStr"/>
      <c r="J48" s="31" t="inlineStr"/>
      <c r="K48" s="30" t="b">
        <v>0</v>
      </c>
      <c r="L48" s="32" t="b">
        <v>0</v>
      </c>
      <c r="M48" s="30" t="inlineStr"/>
      <c r="N48" s="38">
        <f>IFERROR(HYPERLINK("#'Main'!B"&amp;MATCH(TRIM(A48),'Main'!B:B,0),"Open"),HYPERLINK("#'Main'!B1","Open"))</f>
        <v/>
      </c>
    </row>
    <row r="49" ht="18" customHeight="1">
      <c r="A49" s="35" t="inlineStr">
        <is>
          <t>https://africanmarketingconfederation.org/smoke-archive/page-46</t>
        </is>
      </c>
      <c r="B49" s="32" t="n">
        <v>200</v>
      </c>
      <c r="C49" s="20" t="inlineStr">
        <is>
          <t>https://africanmarketingconfederation.org/smoke-archive/page-46</t>
        </is>
      </c>
      <c r="D49" s="28" t="inlineStr"/>
      <c r="E49" s="28" t="n">
        <v>0</v>
      </c>
      <c r="F49" s="20" t="inlineStr"/>
      <c r="G49" s="28" t="b">
        <v>0</v>
      </c>
      <c r="H49" s="28" t="b">
        <v>0</v>
      </c>
      <c r="I49" s="28" t="inlineStr"/>
      <c r="J49" s="20" t="inlineStr"/>
      <c r="K49" s="28" t="b">
        <v>0</v>
      </c>
      <c r="L49" s="32" t="b">
        <v>0</v>
      </c>
      <c r="M49" s="28" t="inlineStr"/>
      <c r="N49">
        <f>IFERROR(HYPERLINK("#'Main'!B"&amp;MATCH(TRIM(A49),'Main'!B:B,0),"Open"),HYPERLINK("#'Main'!B1","Open"))</f>
        <v/>
      </c>
    </row>
    <row r="50" ht="18" customHeight="1">
      <c r="A50" s="37" t="inlineStr">
        <is>
          <t>https://africanmarketingconfederation.org/smoke-archive/page-47</t>
        </is>
      </c>
      <c r="B50" s="32" t="n">
        <v>200</v>
      </c>
      <c r="C50" s="31" t="inlineStr">
        <is>
          <t>https://africanmarketingconfederation.org/smoke-archive/page-47</t>
        </is>
      </c>
      <c r="D50" s="30" t="inlineStr"/>
      <c r="E50" s="30" t="n">
        <v>0</v>
      </c>
      <c r="F50" s="31" t="inlineStr"/>
      <c r="G50" s="30" t="b">
        <v>0</v>
      </c>
      <c r="H50" s="30" t="b">
        <v>0</v>
      </c>
      <c r="I50" s="30" t="inlineStr"/>
      <c r="J50" s="31" t="inlineStr"/>
      <c r="K50" s="30" t="b">
        <v>0</v>
      </c>
      <c r="L50" s="32" t="b">
        <v>0</v>
      </c>
      <c r="M50" s="30" t="inlineStr"/>
      <c r="N50" s="38">
        <f>IFERROR(HYPERLINK("#'Main'!B"&amp;MATCH(TRIM(A50),'Main'!B:B,0),"Open"),HYPERLINK("#'Main'!B1","Open"))</f>
        <v/>
      </c>
    </row>
    <row r="51" ht="18" customHeight="1">
      <c r="A51" s="35" t="inlineStr">
        <is>
          <t>https://africanmarketingconfederation.org/smoke-archive/page-48</t>
        </is>
      </c>
      <c r="B51" s="32" t="n">
        <v>200</v>
      </c>
      <c r="C51" s="20" t="inlineStr">
        <is>
          <t>https://africanmarketingconfederation.org/smoke-archive/page-48</t>
        </is>
      </c>
      <c r="D51" s="28" t="inlineStr"/>
      <c r="E51" s="28" t="n">
        <v>0</v>
      </c>
      <c r="F51" s="20" t="inlineStr"/>
      <c r="G51" s="28" t="b">
        <v>0</v>
      </c>
      <c r="H51" s="28" t="b">
        <v>0</v>
      </c>
      <c r="I51" s="28" t="inlineStr"/>
      <c r="J51" s="20" t="inlineStr"/>
      <c r="K51" s="28" t="b">
        <v>0</v>
      </c>
      <c r="L51" s="32" t="b">
        <v>0</v>
      </c>
      <c r="M51" s="28" t="inlineStr"/>
      <c r="N51">
        <f>IFERROR(HYPERLINK("#'Main'!B"&amp;MATCH(TRIM(A51),'Main'!B:B,0),"Open"),HYPERLINK("#'Main'!B1","Open"))</f>
        <v/>
      </c>
    </row>
    <row r="52" ht="18" customHeight="1">
      <c r="A52" s="37" t="inlineStr">
        <is>
          <t>https://africanmarketingconfederation.org/smoke-archive/page-49</t>
        </is>
      </c>
      <c r="B52" s="32" t="n">
        <v>200</v>
      </c>
      <c r="C52" s="31" t="inlineStr">
        <is>
          <t>https://africanmarketingconfederation.org/smoke-archive/page-49</t>
        </is>
      </c>
      <c r="D52" s="30" t="inlineStr"/>
      <c r="E52" s="30" t="n">
        <v>0</v>
      </c>
      <c r="F52" s="31" t="inlineStr"/>
      <c r="G52" s="30" t="b">
        <v>0</v>
      </c>
      <c r="H52" s="30" t="b">
        <v>0</v>
      </c>
      <c r="I52" s="30" t="inlineStr"/>
      <c r="J52" s="31" t="inlineStr"/>
      <c r="K52" s="30" t="b">
        <v>0</v>
      </c>
      <c r="L52" s="32" t="b">
        <v>0</v>
      </c>
      <c r="M52" s="30" t="inlineStr"/>
      <c r="N52" s="38">
        <f>IFERROR(HYPERLINK("#'Main'!B"&amp;MATCH(TRIM(A52),'Main'!B:B,0),"Open"),HYPERLINK("#'Main'!B1","Open"))</f>
        <v/>
      </c>
    </row>
    <row r="53" ht="18" customHeight="1">
      <c r="A53" s="35" t="inlineStr">
        <is>
          <t>https://africanmarketingconfederation.org/smoke-archive/page-50</t>
        </is>
      </c>
      <c r="B53" s="32" t="n">
        <v>200</v>
      </c>
      <c r="C53" s="20" t="inlineStr">
        <is>
          <t>https://africanmarketingconfederation.org/smoke-archive/page-50</t>
        </is>
      </c>
      <c r="D53" s="28" t="inlineStr"/>
      <c r="E53" s="28" t="n">
        <v>0</v>
      </c>
      <c r="F53" s="20" t="inlineStr"/>
      <c r="G53" s="28" t="b">
        <v>0</v>
      </c>
      <c r="H53" s="28" t="b">
        <v>0</v>
      </c>
      <c r="I53" s="28" t="inlineStr"/>
      <c r="J53" s="20" t="inlineStr"/>
      <c r="K53" s="28" t="b">
        <v>0</v>
      </c>
      <c r="L53" s="32" t="b">
        <v>0</v>
      </c>
      <c r="M53" s="28" t="inlineStr"/>
      <c r="N53">
        <f>IFERROR(HYPERLINK("#'Main'!B"&amp;MATCH(TRIM(A53),'Main'!B:B,0),"Open"),HYPERLINK("#'Main'!B1","Open"))</f>
        <v/>
      </c>
    </row>
    <row r="54" ht="18" customHeight="1">
      <c r="A54" s="37" t="inlineStr">
        <is>
          <t>https://africanmarketingconfederation.org/smoke-archive/page-51</t>
        </is>
      </c>
      <c r="B54" s="30" t="inlineStr">
        <is>
          <t>Timeout</t>
        </is>
      </c>
      <c r="C54" s="31" t="inlineStr">
        <is>
          <t>https://africanmarketingconfederation.org/smoke-archive/page-51</t>
        </is>
      </c>
      <c r="D54" s="30" t="inlineStr"/>
      <c r="E54" s="30" t="n">
        <v>0</v>
      </c>
      <c r="F54" s="31" t="inlineStr"/>
      <c r="G54" s="30" t="b">
        <v>0</v>
      </c>
      <c r="H54" s="30" t="b">
        <v>0</v>
      </c>
      <c r="I54" s="30" t="inlineStr"/>
      <c r="J54" s="31" t="inlineStr"/>
      <c r="K54" s="30" t="b">
        <v>0</v>
      </c>
      <c r="L54" s="32" t="b">
        <v>0</v>
      </c>
      <c r="M54" s="30" t="inlineStr"/>
      <c r="N54" s="38">
        <f>IFERROR(HYPERLINK("#'Main'!B"&amp;MATCH(TRIM(A54),'Main'!B:B,0),"Open"),HYPERLINK("#'Main'!B1","Open"))</f>
        <v/>
      </c>
    </row>
    <row r="55" ht="18" customHeight="1">
      <c r="A55" s="35" t="inlineStr">
        <is>
          <t>https://africanmarketingconfederation.org/smoke-archive/page-52</t>
        </is>
      </c>
      <c r="B55" s="34" t="n">
        <v>404</v>
      </c>
      <c r="C55" s="20" t="inlineStr">
        <is>
          <t>https://africanmarketingconfederation.org/smoke-archive/page-52</t>
        </is>
      </c>
      <c r="D55" s="28" t="inlineStr"/>
      <c r="E55" s="28" t="n">
        <v>0</v>
      </c>
      <c r="F55" s="20" t="inlineStr"/>
      <c r="G55" s="28" t="b">
        <v>0</v>
      </c>
      <c r="H55" s="28" t="b">
        <v>0</v>
      </c>
      <c r="I55" s="28" t="inlineStr"/>
      <c r="J55" s="20" t="inlineStr"/>
      <c r="K55" s="28" t="b">
        <v>0</v>
      </c>
      <c r="L55" s="32" t="b">
        <v>0</v>
      </c>
      <c r="M55" s="28" t="inlineStr"/>
      <c r="N55">
        <f>IFERROR(HYPERLINK("#'Main'!B"&amp;MATCH(TRIM(A55),'Main'!B:B,0),"Open"),HYPERLINK("#'Main'!B1","Open"))</f>
        <v/>
      </c>
    </row>
    <row r="56" ht="18" customHeight="1">
      <c r="A56" s="37" t="inlineStr">
        <is>
          <t>https://africanmarketingconfederation.org/smoke-archive/page-53</t>
        </is>
      </c>
      <c r="B56" s="32" t="n">
        <v>200</v>
      </c>
      <c r="C56" s="31" t="inlineStr">
        <is>
          <t>https://africanmarketingconfederation.org/smoke-archive/page-53</t>
        </is>
      </c>
      <c r="D56" s="30" t="inlineStr"/>
      <c r="E56" s="30" t="n">
        <v>0</v>
      </c>
      <c r="F56" s="31" t="inlineStr"/>
      <c r="G56" s="30" t="b">
        <v>0</v>
      </c>
      <c r="H56" s="30" t="b">
        <v>0</v>
      </c>
      <c r="I56" s="30" t="inlineStr"/>
      <c r="J56" s="31" t="inlineStr"/>
      <c r="K56" s="30" t="b">
        <v>0</v>
      </c>
      <c r="L56" s="32" t="b">
        <v>0</v>
      </c>
      <c r="M56" s="30" t="inlineStr"/>
      <c r="N56" s="38">
        <f>IFERROR(HYPERLINK("#'Main'!B"&amp;MATCH(TRIM(A56),'Main'!B:B,0),"Open"),HYPERLINK("#'Main'!B1","Open"))</f>
        <v/>
      </c>
    </row>
    <row r="57" ht="18" customHeight="1">
      <c r="A57" s="35" t="inlineStr">
        <is>
          <t>https://africanmarketingconfederation.org/smoke-archive/page-54</t>
        </is>
      </c>
      <c r="B57" s="32" t="n">
        <v>200</v>
      </c>
      <c r="C57" s="20" t="inlineStr">
        <is>
          <t>https://africanmarketingconfederation.org/smoke-archive/page-54</t>
        </is>
      </c>
      <c r="D57" s="28" t="inlineStr"/>
      <c r="E57" s="28" t="n">
        <v>0</v>
      </c>
      <c r="F57" s="20" t="inlineStr"/>
      <c r="G57" s="28" t="b">
        <v>0</v>
      </c>
      <c r="H57" s="28" t="b">
        <v>0</v>
      </c>
      <c r="I57" s="28" t="inlineStr"/>
      <c r="J57" s="20" t="inlineStr"/>
      <c r="K57" s="28" t="b">
        <v>0</v>
      </c>
      <c r="L57" s="32" t="b">
        <v>0</v>
      </c>
      <c r="M57" s="28" t="inlineStr"/>
      <c r="N57">
        <f>IFERROR(HYPERLINK("#'Main'!B"&amp;MATCH(TRIM(A57),'Main'!B:B,0),"Open"),HYPERLINK("#'Main'!B1","Open"))</f>
        <v/>
      </c>
    </row>
    <row r="58" ht="18" customHeight="1">
      <c r="A58" s="37" t="inlineStr">
        <is>
          <t>https://africanmarketingconfederation.org/smoke-archive/page-55</t>
        </is>
      </c>
      <c r="B58" s="40" t="n">
        <v>301</v>
      </c>
      <c r="C58" s="31" t="inlineStr">
        <is>
          <t>https://africanmarketingconfederation.org/smoke-archive/page-55-canonical/</t>
        </is>
      </c>
      <c r="D58" s="30" t="inlineStr"/>
      <c r="E58" s="30" t="n">
        <v>1</v>
      </c>
      <c r="F58" s="31" t="inlineStr"/>
      <c r="G58" s="30" t="b">
        <v>0</v>
      </c>
      <c r="H58" s="30" t="b">
        <v>0</v>
      </c>
      <c r="I58" s="30" t="inlineStr"/>
      <c r="J58" s="31" t="inlineStr"/>
      <c r="K58" s="30" t="b">
        <v>0</v>
      </c>
      <c r="L58" s="32" t="b">
        <v>0</v>
      </c>
      <c r="M58" s="30" t="inlineStr"/>
      <c r="N58" s="38">
        <f>IFERROR(HYPERLINK("#'Main'!B"&amp;MATCH(TRIM(A58),'Main'!B:B,0),"Open"),HYPERLINK("#'Main'!B1","Open"))</f>
        <v/>
      </c>
    </row>
    <row r="59" ht="18" customHeight="1">
      <c r="A59" s="35" t="inlineStr">
        <is>
          <t>https://africanmarketingconfederation.org/smoke-archive/page-56</t>
        </is>
      </c>
      <c r="B59" s="32" t="n">
        <v>200</v>
      </c>
      <c r="C59" s="20" t="inlineStr">
        <is>
          <t>https://africanmarketingconfederation.org/smoke-archive/page-56</t>
        </is>
      </c>
      <c r="D59" s="28" t="inlineStr"/>
      <c r="E59" s="28" t="n">
        <v>0</v>
      </c>
      <c r="F59" s="20" t="inlineStr"/>
      <c r="G59" s="28" t="b">
        <v>0</v>
      </c>
      <c r="H59" s="28" t="b">
        <v>0</v>
      </c>
      <c r="I59" s="28" t="inlineStr"/>
      <c r="J59" s="20" t="inlineStr"/>
      <c r="K59" s="28" t="b">
        <v>0</v>
      </c>
      <c r="L59" s="32" t="b">
        <v>0</v>
      </c>
      <c r="M59" s="28" t="inlineStr"/>
      <c r="N59">
        <f>IFERROR(HYPERLINK("#'Main'!B"&amp;MATCH(TRIM(A59),'Main'!B:B,0),"Open"),HYPERLINK("#'Main'!B1","Open"))</f>
        <v/>
      </c>
    </row>
    <row r="60" ht="18" customHeight="1">
      <c r="A60" s="37" t="inlineStr">
        <is>
          <t>https://africanmarketingconfederation.org/smoke-archive/page-57</t>
        </is>
      </c>
      <c r="B60" s="32" t="n">
        <v>200</v>
      </c>
      <c r="C60" s="31" t="inlineStr">
        <is>
          <t>https://africanmarketingconfederation.org/smoke-archive/page-57</t>
        </is>
      </c>
      <c r="D60" s="30" t="inlineStr"/>
      <c r="E60" s="30" t="n">
        <v>0</v>
      </c>
      <c r="F60" s="31" t="inlineStr"/>
      <c r="G60" s="30" t="b">
        <v>0</v>
      </c>
      <c r="H60" s="30" t="b">
        <v>0</v>
      </c>
      <c r="I60" s="30" t="inlineStr"/>
      <c r="J60" s="31" t="inlineStr"/>
      <c r="K60" s="30" t="b">
        <v>0</v>
      </c>
      <c r="L60" s="32" t="b">
        <v>0</v>
      </c>
      <c r="M60" s="30" t="inlineStr"/>
      <c r="N60" s="38">
        <f>IFERROR(HYPERLINK("#'Main'!B"&amp;MATCH(TRIM(A60),'Main'!B:B,0),"Open"),HYPERLINK("#'Main'!B1","Open"))</f>
        <v/>
      </c>
    </row>
    <row r="61" ht="18" customHeight="1">
      <c r="A61" s="35" t="inlineStr">
        <is>
          <t>https://africanmarketingconfederation.org/smoke-archive/page-58</t>
        </is>
      </c>
      <c r="B61" s="32" t="n">
        <v>200</v>
      </c>
      <c r="C61" s="20" t="inlineStr">
        <is>
          <t>https://africanmarketingconfederation.org/smoke-archive/page-58</t>
        </is>
      </c>
      <c r="D61" s="28" t="inlineStr"/>
      <c r="E61" s="28" t="n">
        <v>0</v>
      </c>
      <c r="F61" s="20" t="inlineStr"/>
      <c r="G61" s="28" t="b">
        <v>0</v>
      </c>
      <c r="H61" s="28" t="b">
        <v>0</v>
      </c>
      <c r="I61" s="28" t="inlineStr"/>
      <c r="J61" s="20" t="inlineStr"/>
      <c r="K61" s="28" t="b">
        <v>0</v>
      </c>
      <c r="L61" s="32" t="b">
        <v>0</v>
      </c>
      <c r="M61" s="28" t="inlineStr"/>
      <c r="N61">
        <f>IFERROR(HYPERLINK("#'Main'!B"&amp;MATCH(TRIM(A61),'Main'!B:B,0),"Open"),HYPERLINK("#'Main'!B1","Open"))</f>
        <v/>
      </c>
    </row>
    <row r="62" ht="18" customHeight="1">
      <c r="A62" s="37" t="inlineStr">
        <is>
          <t>https://africanmarketingconfederation.org/smoke-archive/page-59</t>
        </is>
      </c>
      <c r="B62" s="32" t="n">
        <v>200</v>
      </c>
      <c r="C62" s="31" t="inlineStr">
        <is>
          <t>https://africanmarketingconfederation.org/smoke-archive/page-59</t>
        </is>
      </c>
      <c r="D62" s="30" t="inlineStr"/>
      <c r="E62" s="30" t="n">
        <v>0</v>
      </c>
      <c r="F62" s="31" t="inlineStr"/>
      <c r="G62" s="30" t="b">
        <v>0</v>
      </c>
      <c r="H62" s="30" t="b">
        <v>0</v>
      </c>
      <c r="I62" s="30" t="inlineStr"/>
      <c r="J62" s="31" t="inlineStr"/>
      <c r="K62" s="30" t="b">
        <v>0</v>
      </c>
      <c r="L62" s="32" t="b">
        <v>0</v>
      </c>
      <c r="M62" s="30" t="inlineStr"/>
      <c r="N62" s="38">
        <f>IFERROR(HYPERLINK("#'Main'!B"&amp;MATCH(TRIM(A62),'Main'!B:B,0),"Open"),HYPERLINK("#'Main'!B1","Open"))</f>
        <v/>
      </c>
    </row>
    <row r="63" ht="18" customHeight="1">
      <c r="A63" s="35" t="inlineStr">
        <is>
          <t>https://africanmarketingconfederation.org/smoke-archive/page-60</t>
        </is>
      </c>
      <c r="B63" s="32" t="n">
        <v>200</v>
      </c>
      <c r="C63" s="20" t="inlineStr">
        <is>
          <t>https://africanmarketingconfederation.org/smoke-archive/page-60</t>
        </is>
      </c>
      <c r="D63" s="28" t="inlineStr"/>
      <c r="E63" s="28" t="n">
        <v>0</v>
      </c>
      <c r="F63" s="20" t="inlineStr"/>
      <c r="G63" s="28" t="b">
        <v>0</v>
      </c>
      <c r="H63" s="28" t="b">
        <v>0</v>
      </c>
      <c r="I63" s="28" t="inlineStr"/>
      <c r="J63" s="20" t="inlineStr"/>
      <c r="K63" s="28" t="b">
        <v>0</v>
      </c>
      <c r="L63" s="32" t="b">
        <v>0</v>
      </c>
      <c r="M63" s="28" t="inlineStr"/>
      <c r="N63">
        <f>IFERROR(HYPERLINK("#'Main'!B"&amp;MATCH(TRIM(A63),'Main'!B:B,0),"Open"),HYPERLINK("#'Main'!B1","Open"))</f>
        <v/>
      </c>
    </row>
    <row r="64" ht="18" customHeight="1">
      <c r="A64" s="37" t="inlineStr">
        <is>
          <t>https://africanmarketingconfederation.org/smoke-archive/page-61</t>
        </is>
      </c>
      <c r="B64" s="32" t="n">
        <v>200</v>
      </c>
      <c r="C64" s="31" t="inlineStr">
        <is>
          <t>https://africanmarketingconfederation.org/smoke-archive/page-61</t>
        </is>
      </c>
      <c r="D64" s="30" t="inlineStr"/>
      <c r="E64" s="30" t="n">
        <v>0</v>
      </c>
      <c r="F64" s="31" t="inlineStr"/>
      <c r="G64" s="30" t="b">
        <v>0</v>
      </c>
      <c r="H64" s="30" t="b">
        <v>0</v>
      </c>
      <c r="I64" s="30" t="inlineStr"/>
      <c r="J64" s="31" t="inlineStr"/>
      <c r="K64" s="30" t="b">
        <v>0</v>
      </c>
      <c r="L64" s="32" t="b">
        <v>0</v>
      </c>
      <c r="M64" s="30" t="inlineStr"/>
      <c r="N64" s="38">
        <f>IFERROR(HYPERLINK("#'Main'!B"&amp;MATCH(TRIM(A64),'Main'!B:B,0),"Open"),HYPERLINK("#'Main'!B1","Open"))</f>
        <v/>
      </c>
    </row>
    <row r="65" ht="18" customHeight="1">
      <c r="A65" s="35" t="inlineStr">
        <is>
          <t>https://africanmarketingconfederation.org/smoke-archive/page-62</t>
        </is>
      </c>
      <c r="B65" s="32" t="n">
        <v>200</v>
      </c>
      <c r="C65" s="20" t="inlineStr">
        <is>
          <t>https://africanmarketingconfederation.org/smoke-archive/page-62</t>
        </is>
      </c>
      <c r="D65" s="28" t="inlineStr"/>
      <c r="E65" s="28" t="n">
        <v>0</v>
      </c>
      <c r="F65" s="20" t="inlineStr"/>
      <c r="G65" s="28" t="b">
        <v>0</v>
      </c>
      <c r="H65" s="28" t="b">
        <v>0</v>
      </c>
      <c r="I65" s="28" t="inlineStr"/>
      <c r="J65" s="20" t="inlineStr"/>
      <c r="K65" s="28" t="b">
        <v>0</v>
      </c>
      <c r="L65" s="32" t="b">
        <v>0</v>
      </c>
      <c r="M65" s="28" t="inlineStr"/>
      <c r="N65">
        <f>IFERROR(HYPERLINK("#'Main'!B"&amp;MATCH(TRIM(A65),'Main'!B:B,0),"Open"),HYPERLINK("#'Main'!B1","Open"))</f>
        <v/>
      </c>
    </row>
    <row r="66" ht="18" customHeight="1">
      <c r="A66" s="37" t="inlineStr">
        <is>
          <t>https://africanmarketingconfederation.org/smoke-archive/page-63</t>
        </is>
      </c>
      <c r="B66" s="32" t="n">
        <v>200</v>
      </c>
      <c r="C66" s="31" t="inlineStr">
        <is>
          <t>https://africanmarketingconfederation.org/smoke-archive/page-63</t>
        </is>
      </c>
      <c r="D66" s="30" t="inlineStr"/>
      <c r="E66" s="30" t="n">
        <v>0</v>
      </c>
      <c r="F66" s="31" t="inlineStr"/>
      <c r="G66" s="30" t="b">
        <v>0</v>
      </c>
      <c r="H66" s="30" t="b">
        <v>0</v>
      </c>
      <c r="I66" s="30" t="inlineStr"/>
      <c r="J66" s="31" t="inlineStr"/>
      <c r="K66" s="30" t="b">
        <v>0</v>
      </c>
      <c r="L66" s="32" t="b">
        <v>0</v>
      </c>
      <c r="M66" s="30" t="inlineStr"/>
      <c r="N66" s="38">
        <f>IFERROR(HYPERLINK("#'Main'!B"&amp;MATCH(TRIM(A66),'Main'!B:B,0),"Open"),HYPERLINK("#'Main'!B1","Open"))</f>
        <v/>
      </c>
    </row>
    <row r="67" ht="18" customHeight="1">
      <c r="A67" s="35" t="inlineStr">
        <is>
          <t>https://africanmarketingconfederation.org/smoke-archive/page-64</t>
        </is>
      </c>
      <c r="B67" s="32" t="n">
        <v>200</v>
      </c>
      <c r="C67" s="20" t="inlineStr">
        <is>
          <t>https://africanmarketingconfederation.org/smoke-archive/page-64</t>
        </is>
      </c>
      <c r="D67" s="28" t="inlineStr"/>
      <c r="E67" s="28" t="n">
        <v>0</v>
      </c>
      <c r="F67" s="20" t="inlineStr"/>
      <c r="G67" s="28" t="b">
        <v>0</v>
      </c>
      <c r="H67" s="28" t="b">
        <v>0</v>
      </c>
      <c r="I67" s="28" t="inlineStr"/>
      <c r="J67" s="20" t="inlineStr"/>
      <c r="K67" s="28" t="b">
        <v>0</v>
      </c>
      <c r="L67" s="32" t="b">
        <v>0</v>
      </c>
      <c r="M67" s="28" t="inlineStr"/>
      <c r="N67">
        <f>IFERROR(HYPERLINK("#'Main'!B"&amp;MATCH(TRIM(A67),'Main'!B:B,0),"Open"),HYPERLINK("#'Main'!B1","Open"))</f>
        <v/>
      </c>
    </row>
    <row r="68" ht="18" customHeight="1">
      <c r="A68" s="37" t="inlineStr">
        <is>
          <t>https://africanmarketingconfederation.org/smoke-archive/page-65</t>
        </is>
      </c>
      <c r="B68" s="34" t="n">
        <v>404</v>
      </c>
      <c r="C68" s="31" t="inlineStr">
        <is>
          <t>https://africanmarketingconfederation.org/smoke-archive/page-65</t>
        </is>
      </c>
      <c r="D68" s="30" t="inlineStr"/>
      <c r="E68" s="30" t="n">
        <v>0</v>
      </c>
      <c r="F68" s="31" t="inlineStr"/>
      <c r="G68" s="30" t="b">
        <v>0</v>
      </c>
      <c r="H68" s="30" t="b">
        <v>0</v>
      </c>
      <c r="I68" s="30" t="inlineStr"/>
      <c r="J68" s="31" t="inlineStr"/>
      <c r="K68" s="30" t="b">
        <v>0</v>
      </c>
      <c r="L68" s="32" t="b">
        <v>0</v>
      </c>
      <c r="M68" s="30" t="inlineStr"/>
      <c r="N68" s="38">
        <f>IFERROR(HYPERLINK("#'Main'!B"&amp;MATCH(TRIM(A68),'Main'!B:B,0),"Open"),HYPERLINK("#'Main'!B1","Open"))</f>
        <v/>
      </c>
    </row>
    <row r="69" ht="18" customHeight="1">
      <c r="A69" s="35" t="inlineStr">
        <is>
          <t>https://africanmarketingconfederation.org/smoke-archive/page-66</t>
        </is>
      </c>
      <c r="B69" s="40" t="n">
        <v>301</v>
      </c>
      <c r="C69" s="20" t="inlineStr">
        <is>
          <t>https://africanmarketingconfederation.org/smoke-archive/page-66-canonical/</t>
        </is>
      </c>
      <c r="D69" s="28" t="inlineStr"/>
      <c r="E69" s="28" t="n">
        <v>1</v>
      </c>
      <c r="F69" s="20" t="inlineStr"/>
      <c r="G69" s="28" t="b">
        <v>0</v>
      </c>
      <c r="H69" s="28" t="b">
        <v>0</v>
      </c>
      <c r="I69" s="28" t="inlineStr"/>
      <c r="J69" s="20" t="inlineStr"/>
      <c r="K69" s="28" t="b">
        <v>0</v>
      </c>
      <c r="L69" s="32" t="b">
        <v>0</v>
      </c>
      <c r="M69" s="28" t="inlineStr"/>
      <c r="N69">
        <f>IFERROR(HYPERLINK("#'Main'!B"&amp;MATCH(TRIM(A69),'Main'!B:B,0),"Open"),HYPERLINK("#'Main'!B1","Open"))</f>
        <v/>
      </c>
    </row>
    <row r="70" ht="18" customHeight="1">
      <c r="A70" s="37" t="inlineStr">
        <is>
          <t>https://africanmarketingconfederation.org/smoke-archive/page-67</t>
        </is>
      </c>
      <c r="B70" s="32" t="n">
        <v>200</v>
      </c>
      <c r="C70" s="31" t="inlineStr">
        <is>
          <t>https://africanmarketingconfederation.org/smoke-archive/page-67</t>
        </is>
      </c>
      <c r="D70" s="30" t="inlineStr"/>
      <c r="E70" s="30" t="n">
        <v>0</v>
      </c>
      <c r="F70" s="31" t="inlineStr"/>
      <c r="G70" s="30" t="b">
        <v>0</v>
      </c>
      <c r="H70" s="30" t="b">
        <v>0</v>
      </c>
      <c r="I70" s="30" t="inlineStr"/>
      <c r="J70" s="31" t="inlineStr"/>
      <c r="K70" s="30" t="b">
        <v>0</v>
      </c>
      <c r="L70" s="32" t="b">
        <v>0</v>
      </c>
      <c r="M70" s="30" t="inlineStr"/>
      <c r="N70" s="38">
        <f>IFERROR(HYPERLINK("#'Main'!B"&amp;MATCH(TRIM(A70),'Main'!B:B,0),"Open"),HYPERLINK("#'Main'!B1","Open"))</f>
        <v/>
      </c>
    </row>
    <row r="71" ht="18" customHeight="1">
      <c r="A71" s="35" t="inlineStr">
        <is>
          <t>https://africanmarketingconfederation.org/smoke-archive/page-68</t>
        </is>
      </c>
      <c r="B71" s="28" t="inlineStr">
        <is>
          <t>Timeout</t>
        </is>
      </c>
      <c r="C71" s="20" t="inlineStr">
        <is>
          <t>https://africanmarketingconfederation.org/smoke-archive/page-68</t>
        </is>
      </c>
      <c r="D71" s="28" t="inlineStr"/>
      <c r="E71" s="28" t="n">
        <v>0</v>
      </c>
      <c r="F71" s="20" t="inlineStr"/>
      <c r="G71" s="28" t="b">
        <v>0</v>
      </c>
      <c r="H71" s="28" t="b">
        <v>0</v>
      </c>
      <c r="I71" s="28" t="inlineStr"/>
      <c r="J71" s="20" t="inlineStr"/>
      <c r="K71" s="28" t="b">
        <v>0</v>
      </c>
      <c r="L71" s="32" t="b">
        <v>0</v>
      </c>
      <c r="M71" s="28" t="inlineStr"/>
      <c r="N71">
        <f>IFERROR(HYPERLINK("#'Main'!B"&amp;MATCH(TRIM(A71),'Main'!B:B,0),"Open"),HYPERLINK("#'Main'!B1","Open"))</f>
        <v/>
      </c>
    </row>
    <row r="72" ht="18" customHeight="1">
      <c r="A72" s="37" t="inlineStr">
        <is>
          <t>https://africanmarketingconfederation.org/smoke-archive/page-69</t>
        </is>
      </c>
      <c r="B72" s="32" t="n">
        <v>200</v>
      </c>
      <c r="C72" s="31" t="inlineStr">
        <is>
          <t>https://africanmarketingconfederation.org/smoke-archive/page-69</t>
        </is>
      </c>
      <c r="D72" s="30" t="inlineStr"/>
      <c r="E72" s="30" t="n">
        <v>0</v>
      </c>
      <c r="F72" s="31" t="inlineStr"/>
      <c r="G72" s="30" t="b">
        <v>0</v>
      </c>
      <c r="H72" s="30" t="b">
        <v>0</v>
      </c>
      <c r="I72" s="30" t="inlineStr"/>
      <c r="J72" s="31" t="inlineStr"/>
      <c r="K72" s="30" t="b">
        <v>0</v>
      </c>
      <c r="L72" s="32" t="b">
        <v>0</v>
      </c>
      <c r="M72" s="30" t="inlineStr"/>
      <c r="N72" s="38">
        <f>IFERROR(HYPERLINK("#'Main'!B"&amp;MATCH(TRIM(A72),'Main'!B:B,0),"Open"),HYPERLINK("#'Main'!B1","Open"))</f>
        <v/>
      </c>
    </row>
    <row r="73" ht="18" customHeight="1">
      <c r="A73" s="35" t="inlineStr">
        <is>
          <t>https://africanmarketingconfederation.org/smoke-archive/page-70</t>
        </is>
      </c>
      <c r="B73" s="32" t="n">
        <v>200</v>
      </c>
      <c r="C73" s="20" t="inlineStr">
        <is>
          <t>https://africanmarketingconfederation.org/smoke-archive/page-70</t>
        </is>
      </c>
      <c r="D73" s="28" t="inlineStr"/>
      <c r="E73" s="28" t="n">
        <v>0</v>
      </c>
      <c r="F73" s="20" t="inlineStr"/>
      <c r="G73" s="28" t="b">
        <v>0</v>
      </c>
      <c r="H73" s="28" t="b">
        <v>0</v>
      </c>
      <c r="I73" s="28" t="inlineStr"/>
      <c r="J73" s="20" t="inlineStr"/>
      <c r="K73" s="28" t="b">
        <v>0</v>
      </c>
      <c r="L73" s="32" t="b">
        <v>0</v>
      </c>
      <c r="M73" s="28" t="inlineStr"/>
      <c r="N73">
        <f>IFERROR(HYPERLINK("#'Main'!B"&amp;MATCH(TRIM(A73),'Main'!B:B,0),"Open"),HYPERLINK("#'Main'!B1","Open"))</f>
        <v/>
      </c>
    </row>
    <row r="74" ht="18" customHeight="1">
      <c r="A74" s="37" t="inlineStr">
        <is>
          <t>https://africanmarketingconfederation.org/smoke-archive/page-71</t>
        </is>
      </c>
      <c r="B74" s="32" t="n">
        <v>200</v>
      </c>
      <c r="C74" s="31" t="inlineStr">
        <is>
          <t>https://africanmarketingconfederation.org/smoke-archive/page-71</t>
        </is>
      </c>
      <c r="D74" s="30" t="inlineStr"/>
      <c r="E74" s="30" t="n">
        <v>0</v>
      </c>
      <c r="F74" s="31" t="inlineStr"/>
      <c r="G74" s="30" t="b">
        <v>0</v>
      </c>
      <c r="H74" s="30" t="b">
        <v>0</v>
      </c>
      <c r="I74" s="30" t="inlineStr"/>
      <c r="J74" s="31" t="inlineStr"/>
      <c r="K74" s="30" t="b">
        <v>0</v>
      </c>
      <c r="L74" s="32" t="b">
        <v>0</v>
      </c>
      <c r="M74" s="30" t="inlineStr"/>
      <c r="N74" s="38">
        <f>IFERROR(HYPERLINK("#'Main'!B"&amp;MATCH(TRIM(A74),'Main'!B:B,0),"Open"),HYPERLINK("#'Main'!B1","Open"))</f>
        <v/>
      </c>
    </row>
    <row r="75" ht="18" customHeight="1">
      <c r="A75" s="35" t="inlineStr">
        <is>
          <t>https://africanmarketingconfederation.org/smoke-archive/page-72</t>
        </is>
      </c>
      <c r="B75" s="32" t="n">
        <v>200</v>
      </c>
      <c r="C75" s="20" t="inlineStr">
        <is>
          <t>https://africanmarketingconfederation.org/smoke-archive/page-72</t>
        </is>
      </c>
      <c r="D75" s="28" t="inlineStr"/>
      <c r="E75" s="28" t="n">
        <v>0</v>
      </c>
      <c r="F75" s="20" t="inlineStr"/>
      <c r="G75" s="28" t="b">
        <v>0</v>
      </c>
      <c r="H75" s="28" t="b">
        <v>0</v>
      </c>
      <c r="I75" s="28" t="inlineStr"/>
      <c r="J75" s="20" t="inlineStr"/>
      <c r="K75" s="28" t="b">
        <v>0</v>
      </c>
      <c r="L75" s="32" t="b">
        <v>0</v>
      </c>
      <c r="M75" s="28" t="inlineStr"/>
      <c r="N75">
        <f>IFERROR(HYPERLINK("#'Main'!B"&amp;MATCH(TRIM(A75),'Main'!B:B,0),"Open"),HYPERLINK("#'Main'!B1","Open"))</f>
        <v/>
      </c>
    </row>
    <row r="76" ht="18" customHeight="1">
      <c r="A76" s="37" t="inlineStr">
        <is>
          <t>https://africanmarketingconfederation.org/smoke-archive/page-73</t>
        </is>
      </c>
      <c r="B76" s="32" t="n">
        <v>200</v>
      </c>
      <c r="C76" s="31" t="inlineStr">
        <is>
          <t>https://africanmarketingconfederation.org/smoke-archive/page-73</t>
        </is>
      </c>
      <c r="D76" s="30" t="inlineStr"/>
      <c r="E76" s="30" t="n">
        <v>0</v>
      </c>
      <c r="F76" s="31" t="inlineStr"/>
      <c r="G76" s="30" t="b">
        <v>0</v>
      </c>
      <c r="H76" s="30" t="b">
        <v>0</v>
      </c>
      <c r="I76" s="30" t="inlineStr"/>
      <c r="J76" s="31" t="inlineStr"/>
      <c r="K76" s="30" t="b">
        <v>0</v>
      </c>
      <c r="L76" s="32" t="b">
        <v>0</v>
      </c>
      <c r="M76" s="30" t="inlineStr"/>
      <c r="N76" s="38">
        <f>IFERROR(HYPERLINK("#'Main'!B"&amp;MATCH(TRIM(A76),'Main'!B:B,0),"Open"),HYPERLINK("#'Main'!B1","Open"))</f>
        <v/>
      </c>
    </row>
    <row r="77" ht="18" customHeight="1">
      <c r="A77" s="35" t="inlineStr">
        <is>
          <t>https://africanmarketingconfederation.org/smoke-archive/page-74</t>
        </is>
      </c>
      <c r="B77" s="32" t="n">
        <v>200</v>
      </c>
      <c r="C77" s="20" t="inlineStr">
        <is>
          <t>https://africanmarketingconfederation.org/smoke-archive/page-74</t>
        </is>
      </c>
      <c r="D77" s="28" t="inlineStr"/>
      <c r="E77" s="28" t="n">
        <v>0</v>
      </c>
      <c r="F77" s="20" t="inlineStr"/>
      <c r="G77" s="28" t="b">
        <v>0</v>
      </c>
      <c r="H77" s="28" t="b">
        <v>0</v>
      </c>
      <c r="I77" s="28" t="inlineStr"/>
      <c r="J77" s="20" t="inlineStr"/>
      <c r="K77" s="28" t="b">
        <v>0</v>
      </c>
      <c r="L77" s="32" t="b">
        <v>0</v>
      </c>
      <c r="M77" s="28" t="inlineStr"/>
      <c r="N77">
        <f>IFERROR(HYPERLINK("#'Main'!B"&amp;MATCH(TRIM(A77),'Main'!B:B,0),"Open"),HYPERLINK("#'Main'!B1","Open"))</f>
        <v/>
      </c>
    </row>
    <row r="78" ht="18" customHeight="1">
      <c r="A78" s="37" t="inlineStr">
        <is>
          <t>https://africanmarketingconfederation.org/smoke-archive/page-75</t>
        </is>
      </c>
      <c r="B78" s="32" t="n">
        <v>200</v>
      </c>
      <c r="C78" s="31" t="inlineStr">
        <is>
          <t>https://africanmarketingconfederation.org/smoke-archive/page-75</t>
        </is>
      </c>
      <c r="D78" s="30" t="inlineStr"/>
      <c r="E78" s="30" t="n">
        <v>0</v>
      </c>
      <c r="F78" s="31" t="inlineStr"/>
      <c r="G78" s="30" t="b">
        <v>0</v>
      </c>
      <c r="H78" s="30" t="b">
        <v>0</v>
      </c>
      <c r="I78" s="30" t="inlineStr"/>
      <c r="J78" s="31" t="inlineStr"/>
      <c r="K78" s="30" t="b">
        <v>0</v>
      </c>
      <c r="L78" s="32" t="b">
        <v>0</v>
      </c>
      <c r="M78" s="30" t="inlineStr"/>
      <c r="N78" s="38">
        <f>IFERROR(HYPERLINK("#'Main'!B"&amp;MATCH(TRIM(A78),'Main'!B:B,0),"Open"),HYPERLINK("#'Main'!B1","Open"))</f>
        <v/>
      </c>
    </row>
    <row r="79" ht="18" customHeight="1">
      <c r="A79" s="35" t="inlineStr">
        <is>
          <t>https://africanmarketingconfederation.org/smoke-archive/page-76</t>
        </is>
      </c>
      <c r="B79" s="32" t="n">
        <v>200</v>
      </c>
      <c r="C79" s="20" t="inlineStr">
        <is>
          <t>https://africanmarketingconfederation.org/smoke-archive/page-76</t>
        </is>
      </c>
      <c r="D79" s="28" t="inlineStr"/>
      <c r="E79" s="28" t="n">
        <v>0</v>
      </c>
      <c r="F79" s="20" t="inlineStr"/>
      <c r="G79" s="28" t="b">
        <v>0</v>
      </c>
      <c r="H79" s="28" t="b">
        <v>0</v>
      </c>
      <c r="I79" s="28" t="inlineStr"/>
      <c r="J79" s="20" t="inlineStr"/>
      <c r="K79" s="28" t="b">
        <v>0</v>
      </c>
      <c r="L79" s="32" t="b">
        <v>0</v>
      </c>
      <c r="M79" s="28" t="inlineStr"/>
      <c r="N79">
        <f>IFERROR(HYPERLINK("#'Main'!B"&amp;MATCH(TRIM(A79),'Main'!B:B,0),"Open"),HYPERLINK("#'Main'!B1","Open"))</f>
        <v/>
      </c>
    </row>
    <row r="80" ht="18" customHeight="1">
      <c r="A80" s="37" t="inlineStr">
        <is>
          <t>https://africanmarketingconfederation.org/smoke-archive/page-77</t>
        </is>
      </c>
      <c r="B80" s="40" t="n">
        <v>301</v>
      </c>
      <c r="C80" s="31" t="inlineStr">
        <is>
          <t>https://africanmarketingconfederation.org/smoke-archive/page-77-canonical/</t>
        </is>
      </c>
      <c r="D80" s="30" t="inlineStr"/>
      <c r="E80" s="30" t="n">
        <v>1</v>
      </c>
      <c r="F80" s="31" t="inlineStr"/>
      <c r="G80" s="30" t="b">
        <v>0</v>
      </c>
      <c r="H80" s="30" t="b">
        <v>0</v>
      </c>
      <c r="I80" s="30" t="inlineStr"/>
      <c r="J80" s="31" t="inlineStr"/>
      <c r="K80" s="30" t="b">
        <v>0</v>
      </c>
      <c r="L80" s="32" t="b">
        <v>0</v>
      </c>
      <c r="M80" s="30" t="inlineStr"/>
      <c r="N80" s="38">
        <f>IFERROR(HYPERLINK("#'Main'!B"&amp;MATCH(TRIM(A80),'Main'!B:B,0),"Open"),HYPERLINK("#'Main'!B1","Open"))</f>
        <v/>
      </c>
    </row>
    <row r="81" ht="18" customHeight="1">
      <c r="A81" s="35" t="inlineStr">
        <is>
          <t>https://africanmarketingconfederation.org/smoke-archive/page-78</t>
        </is>
      </c>
      <c r="B81" s="34" t="n">
        <v>404</v>
      </c>
      <c r="C81" s="20" t="inlineStr">
        <is>
          <t>https://africanmarketingconfederation.org/smoke-archive/page-78</t>
        </is>
      </c>
      <c r="D81" s="28" t="inlineStr"/>
      <c r="E81" s="28" t="n">
        <v>0</v>
      </c>
      <c r="F81" s="20" t="inlineStr"/>
      <c r="G81" s="28" t="b">
        <v>0</v>
      </c>
      <c r="H81" s="28" t="b">
        <v>0</v>
      </c>
      <c r="I81" s="28" t="inlineStr"/>
      <c r="J81" s="20" t="inlineStr"/>
      <c r="K81" s="28" t="b">
        <v>0</v>
      </c>
      <c r="L81" s="32" t="b">
        <v>0</v>
      </c>
      <c r="M81" s="28" t="inlineStr"/>
      <c r="N81">
        <f>IFERROR(HYPERLINK("#'Main'!B"&amp;MATCH(TRIM(A81),'Main'!B:B,0),"Open"),HYPERLINK("#'Main'!B1","Open"))</f>
        <v/>
      </c>
    </row>
    <row r="82" ht="18" customHeight="1">
      <c r="A82" s="37" t="inlineStr">
        <is>
          <t>https://africanmarketingconfederation.org/smoke-archive/page-79</t>
        </is>
      </c>
      <c r="B82" s="32" t="n">
        <v>200</v>
      </c>
      <c r="C82" s="31" t="inlineStr">
        <is>
          <t>https://africanmarketingconfederation.org/smoke-archive/page-79</t>
        </is>
      </c>
      <c r="D82" s="30" t="inlineStr"/>
      <c r="E82" s="30" t="n">
        <v>0</v>
      </c>
      <c r="F82" s="31" t="inlineStr"/>
      <c r="G82" s="30" t="b">
        <v>0</v>
      </c>
      <c r="H82" s="30" t="b">
        <v>0</v>
      </c>
      <c r="I82" s="30" t="inlineStr"/>
      <c r="J82" s="31" t="inlineStr"/>
      <c r="K82" s="30" t="b">
        <v>0</v>
      </c>
      <c r="L82" s="32" t="b">
        <v>0</v>
      </c>
      <c r="M82" s="30" t="inlineStr"/>
      <c r="N82" s="38">
        <f>IFERROR(HYPERLINK("#'Main'!B"&amp;MATCH(TRIM(A82),'Main'!B:B,0),"Open"),HYPERLINK("#'Main'!B1","Open"))</f>
        <v/>
      </c>
    </row>
    <row r="83" ht="18" customHeight="1">
      <c r="A83" s="35" t="inlineStr">
        <is>
          <t>https://africanmarketingconfederation.org/discovered-via-bfs-1</t>
        </is>
      </c>
      <c r="B83" s="32" t="n">
        <v>200</v>
      </c>
      <c r="C83" s="20" t="inlineStr">
        <is>
          <t>https://africanmarketingconfederation.org/discovered-via-bfs-1</t>
        </is>
      </c>
      <c r="D83" s="28" t="inlineStr"/>
      <c r="E83" s="28" t="n">
        <v>0</v>
      </c>
      <c r="F83" s="20" t="inlineStr"/>
      <c r="G83" s="28" t="b">
        <v>0</v>
      </c>
      <c r="H83" s="28" t="b">
        <v>0</v>
      </c>
      <c r="I83" s="28" t="inlineStr"/>
      <c r="J83" s="20" t="inlineStr"/>
      <c r="K83" s="28" t="b">
        <v>0</v>
      </c>
      <c r="L83" s="32" t="b">
        <v>0</v>
      </c>
      <c r="M83" s="28" t="inlineStr"/>
      <c r="N83">
        <f>IFERROR(HYPERLINK("#'Main'!B"&amp;MATCH(TRIM(A83),'Main'!B:B,0),"Open"),HYPERLINK("#'Main'!B1","Open"))</f>
        <v/>
      </c>
    </row>
    <row r="84" ht="18" customHeight="1">
      <c r="A84" s="37" t="inlineStr">
        <is>
          <t>https://africanmarketingconfederation.org/discovered-via-bfs-2</t>
        </is>
      </c>
      <c r="B84" s="32" t="n">
        <v>200</v>
      </c>
      <c r="C84" s="31" t="inlineStr">
        <is>
          <t>https://africanmarketingconfederation.org/discovered-via-bfs-2</t>
        </is>
      </c>
      <c r="D84" s="30" t="inlineStr"/>
      <c r="E84" s="30" t="n">
        <v>0</v>
      </c>
      <c r="F84" s="31" t="inlineStr"/>
      <c r="G84" s="30" t="b">
        <v>0</v>
      </c>
      <c r="H84" s="30" t="b">
        <v>0</v>
      </c>
      <c r="I84" s="30" t="inlineStr"/>
      <c r="J84" s="31" t="inlineStr"/>
      <c r="K84" s="30" t="b">
        <v>0</v>
      </c>
      <c r="L84" s="32" t="b">
        <v>0</v>
      </c>
      <c r="M84" s="30" t="inlineStr"/>
      <c r="N84" s="38">
        <f>IFERROR(HYPERLINK("#'Main'!B"&amp;MATCH(TRIM(A84),'Main'!B:B,0),"Open"),HYPERLINK("#'Main'!B1","Open"))</f>
        <v/>
      </c>
    </row>
    <row r="85" ht="18" customHeight="1">
      <c r="A85" s="35" t="inlineStr">
        <is>
          <t>https://africanmarketingconfederation.org/discovered-via-bfs-3</t>
        </is>
      </c>
      <c r="B85" s="32" t="n">
        <v>200</v>
      </c>
      <c r="C85" s="20" t="inlineStr">
        <is>
          <t>https://africanmarketingconfederation.org/discovered-via-bfs-3</t>
        </is>
      </c>
      <c r="D85" s="28" t="inlineStr"/>
      <c r="E85" s="28" t="n">
        <v>0</v>
      </c>
      <c r="F85" s="20" t="inlineStr"/>
      <c r="G85" s="28" t="b">
        <v>0</v>
      </c>
      <c r="H85" s="28" t="b">
        <v>0</v>
      </c>
      <c r="I85" s="28" t="inlineStr"/>
      <c r="J85" s="20" t="inlineStr"/>
      <c r="K85" s="28" t="b">
        <v>0</v>
      </c>
      <c r="L85" s="32" t="b">
        <v>0</v>
      </c>
      <c r="M85" s="28" t="inlineStr"/>
      <c r="N85">
        <f>IFERROR(HYPERLINK("#'Main'!B"&amp;MATCH(TRIM(A85),'Main'!B:B,0),"Open"),HYPERLINK("#'Main'!B1","Open"))</f>
        <v/>
      </c>
    </row>
  </sheetData>
  <autoFilter ref="A2:N85"/>
  <mergeCells count="2">
    <mergeCell ref="A1:B1"/>
    <mergeCell ref="C1:H1"/>
  </mergeCells>
  <conditionalFormatting sqref="B3:B85">
    <cfRule type="cellIs" priority="1" operator="equal" dxfId="2">
      <formula>200</formula>
    </cfRule>
    <cfRule type="cellIs" priority="2" operator="between" dxfId="29">
      <formula>300</formula>
      <formula>399</formula>
    </cfRule>
    <cfRule type="cellIs" priority="3" operator="greaterThanOrEqual" dxfId="0">
      <formula>400</formula>
    </cfRule>
  </conditionalFormatting>
  <conditionalFormatting sqref="A3:M85">
    <cfRule type="expression" priority="4" dxfId="3" stopIfTrue="0">
      <formula>MOD(ROW(),2)=0</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pageSetup orientation="landscape" fitToHeight="0" fitToWidth="1"/>
  <legacyDrawing xmlns:r="http://schemas.openxmlformats.org/officeDocument/2006/relationships" r:id="anysvml"/>
</worksheet>
</file>

<file path=xl/worksheets/sheet23.xml><?xml version="1.0" encoding="utf-8"?>
<worksheet xmlns="http://schemas.openxmlformats.org/spreadsheetml/2006/main">
  <sheetPr>
    <tabColor rgb="008E44AD"/>
    <outlinePr summaryBelow="1" summaryRight="1"/>
    <pageSetUpPr fitToPage="1"/>
  </sheetPr>
  <dimension ref="A1:L9"/>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48" customWidth="1" min="1" max="1"/>
    <col width="11" customWidth="1" min="2" max="2"/>
    <col width="14" customWidth="1" min="3" max="3"/>
    <col width="11" customWidth="1" min="4" max="4"/>
    <col width="14" customWidth="1" min="5" max="5"/>
    <col width="11" customWidth="1" min="6" max="6"/>
    <col width="14" customWidth="1" min="7" max="7"/>
    <col width="45" customWidth="1" min="8" max="8"/>
    <col width="14" customWidth="1" min="9" max="9"/>
    <col width="10" customWidth="1" min="10" max="10"/>
    <col width="10" customWidth="1" min="11" max="11"/>
    <col width="16" customWidth="1" min="12" max="12"/>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Source URL</t>
        </is>
      </c>
      <c r="B2" s="26" t="inlineStr">
        <is>
          <t>Hop 1 URL</t>
        </is>
      </c>
      <c r="C2" s="26" t="inlineStr">
        <is>
          <t>Hop 1 Status</t>
        </is>
      </c>
      <c r="D2" s="26" t="inlineStr">
        <is>
          <t>Hop 2 URL</t>
        </is>
      </c>
      <c r="E2" s="26" t="inlineStr">
        <is>
          <t>Hop 2 Status</t>
        </is>
      </c>
      <c r="F2" s="26" t="inlineStr">
        <is>
          <t>Hop 3 URL</t>
        </is>
      </c>
      <c r="G2" s="26" t="inlineStr">
        <is>
          <t>Hop 3 Status</t>
        </is>
      </c>
      <c r="H2" s="26" t="inlineStr">
        <is>
          <t>Final URL</t>
        </is>
      </c>
      <c r="I2" s="27" t="inlineStr">
        <is>
          <t>Chain Length</t>
        </is>
      </c>
      <c r="J2" s="26" t="inlineStr">
        <is>
          <t>Has 302</t>
        </is>
      </c>
      <c r="K2" s="26" t="inlineStr">
        <is>
          <t>SEO Risk</t>
        </is>
      </c>
      <c r="L2" s="26" t="inlineStr">
        <is>
          <t>Redirect Chain</t>
        </is>
      </c>
    </row>
    <row r="3" ht="18" customHeight="1">
      <c r="A3" s="78" t="inlineStr">
        <is>
          <t>https://africanmarketingconfederation.org/smoke-archive/page-11</t>
        </is>
      </c>
      <c r="B3" s="20" t="inlineStr"/>
      <c r="C3" s="28" t="inlineStr"/>
      <c r="D3" s="20" t="inlineStr"/>
      <c r="E3" s="28" t="inlineStr"/>
      <c r="F3" s="20" t="inlineStr"/>
      <c r="G3" s="28" t="inlineStr"/>
      <c r="H3" s="20" t="inlineStr">
        <is>
          <t>https://africanmarketingconfederation.org/smoke-archive/page-11-canonical/</t>
        </is>
      </c>
      <c r="I3" s="28" t="n">
        <v>1</v>
      </c>
      <c r="J3" s="28" t="b">
        <v>0</v>
      </c>
      <c r="K3" s="28" t="inlineStr"/>
      <c r="L3" s="28" t="inlineStr"/>
    </row>
    <row r="4" ht="18" customHeight="1">
      <c r="A4" s="78" t="inlineStr">
        <is>
          <t>https://africanmarketingconfederation.org/smoke-archive/page-22</t>
        </is>
      </c>
      <c r="B4" s="31" t="inlineStr"/>
      <c r="C4" s="30" t="inlineStr"/>
      <c r="D4" s="31" t="inlineStr"/>
      <c r="E4" s="30" t="inlineStr"/>
      <c r="F4" s="31" t="inlineStr"/>
      <c r="G4" s="30" t="inlineStr"/>
      <c r="H4" s="31" t="inlineStr">
        <is>
          <t>https://africanmarketingconfederation.org/smoke-archive/page-22-canonical/</t>
        </is>
      </c>
      <c r="I4" s="30" t="n">
        <v>1</v>
      </c>
      <c r="J4" s="30" t="b">
        <v>0</v>
      </c>
      <c r="K4" s="30" t="inlineStr"/>
      <c r="L4" s="30" t="inlineStr"/>
    </row>
    <row r="5" ht="18" customHeight="1">
      <c r="A5" s="78" t="inlineStr">
        <is>
          <t>https://africanmarketingconfederation.org/smoke-archive/page-33</t>
        </is>
      </c>
      <c r="B5" s="20" t="inlineStr"/>
      <c r="C5" s="28" t="inlineStr"/>
      <c r="D5" s="20" t="inlineStr"/>
      <c r="E5" s="28" t="inlineStr"/>
      <c r="F5" s="20" t="inlineStr"/>
      <c r="G5" s="28" t="inlineStr"/>
      <c r="H5" s="20" t="inlineStr">
        <is>
          <t>https://africanmarketingconfederation.org/smoke-archive/page-33-canonical/</t>
        </is>
      </c>
      <c r="I5" s="28" t="n">
        <v>1</v>
      </c>
      <c r="J5" s="28" t="b">
        <v>0</v>
      </c>
      <c r="K5" s="28" t="inlineStr"/>
      <c r="L5" s="28" t="inlineStr"/>
    </row>
    <row r="6" ht="18" customHeight="1">
      <c r="A6" s="78" t="inlineStr">
        <is>
          <t>https://africanmarketingconfederation.org/smoke-archive/page-44</t>
        </is>
      </c>
      <c r="B6" s="31" t="inlineStr"/>
      <c r="C6" s="30" t="inlineStr"/>
      <c r="D6" s="31" t="inlineStr"/>
      <c r="E6" s="30" t="inlineStr"/>
      <c r="F6" s="31" t="inlineStr"/>
      <c r="G6" s="30" t="inlineStr"/>
      <c r="H6" s="31" t="inlineStr">
        <is>
          <t>https://africanmarketingconfederation.org/smoke-archive/page-44-canonical/</t>
        </is>
      </c>
      <c r="I6" s="30" t="n">
        <v>1</v>
      </c>
      <c r="J6" s="30" t="b">
        <v>0</v>
      </c>
      <c r="K6" s="30" t="inlineStr"/>
      <c r="L6" s="30" t="inlineStr"/>
    </row>
    <row r="7" ht="18" customHeight="1">
      <c r="A7" s="78" t="inlineStr">
        <is>
          <t>https://africanmarketingconfederation.org/smoke-archive/page-55</t>
        </is>
      </c>
      <c r="B7" s="20" t="inlineStr"/>
      <c r="C7" s="28" t="inlineStr"/>
      <c r="D7" s="20" t="inlineStr"/>
      <c r="E7" s="28" t="inlineStr"/>
      <c r="F7" s="20" t="inlineStr"/>
      <c r="G7" s="28" t="inlineStr"/>
      <c r="H7" s="20" t="inlineStr">
        <is>
          <t>https://africanmarketingconfederation.org/smoke-archive/page-55-canonical/</t>
        </is>
      </c>
      <c r="I7" s="28" t="n">
        <v>1</v>
      </c>
      <c r="J7" s="28" t="b">
        <v>0</v>
      </c>
      <c r="K7" s="28" t="inlineStr"/>
      <c r="L7" s="28" t="inlineStr"/>
    </row>
    <row r="8" ht="18" customHeight="1">
      <c r="A8" s="78" t="inlineStr">
        <is>
          <t>https://africanmarketingconfederation.org/smoke-archive/page-66</t>
        </is>
      </c>
      <c r="B8" s="31" t="inlineStr"/>
      <c r="C8" s="30" t="inlineStr"/>
      <c r="D8" s="31" t="inlineStr"/>
      <c r="E8" s="30" t="inlineStr"/>
      <c r="F8" s="31" t="inlineStr"/>
      <c r="G8" s="30" t="inlineStr"/>
      <c r="H8" s="31" t="inlineStr">
        <is>
          <t>https://africanmarketingconfederation.org/smoke-archive/page-66-canonical/</t>
        </is>
      </c>
      <c r="I8" s="30" t="n">
        <v>1</v>
      </c>
      <c r="J8" s="30" t="b">
        <v>0</v>
      </c>
      <c r="K8" s="30" t="inlineStr"/>
      <c r="L8" s="30" t="inlineStr"/>
    </row>
    <row r="9" ht="18" customHeight="1">
      <c r="A9" s="78" t="inlineStr">
        <is>
          <t>https://africanmarketingconfederation.org/smoke-archive/page-77</t>
        </is>
      </c>
      <c r="B9" s="20" t="inlineStr"/>
      <c r="C9" s="28" t="inlineStr"/>
      <c r="D9" s="20" t="inlineStr"/>
      <c r="E9" s="28" t="inlineStr"/>
      <c r="F9" s="20" t="inlineStr"/>
      <c r="G9" s="28" t="inlineStr"/>
      <c r="H9" s="20" t="inlineStr">
        <is>
          <t>https://africanmarketingconfederation.org/smoke-archive/page-77-canonical/</t>
        </is>
      </c>
      <c r="I9" s="28" t="n">
        <v>1</v>
      </c>
      <c r="J9" s="28" t="b">
        <v>0</v>
      </c>
      <c r="K9" s="28" t="inlineStr"/>
      <c r="L9" s="28" t="inlineStr"/>
    </row>
  </sheetData>
  <mergeCells count="2">
    <mergeCell ref="A1:B1"/>
    <mergeCell ref="C1:H1"/>
  </mergeCells>
  <conditionalFormatting sqref="A3:L9">
    <cfRule type="expression" priority="1"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24.xml><?xml version="1.0" encoding="utf-8"?>
<worksheet xmlns="http://schemas.openxmlformats.org/spreadsheetml/2006/main">
  <sheetPr>
    <tabColor rgb="008E44AD"/>
    <outlinePr summaryBelow="1" summaryRight="1"/>
    <pageSetUpPr fitToPage="1"/>
  </sheetPr>
  <dimension ref="A1:F3"/>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5" customWidth="1" min="3" max="3"/>
    <col width="20" customWidth="1" min="4" max="4"/>
    <col width="47" customWidth="1" min="5" max="5"/>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Section</t>
        </is>
      </c>
      <c r="B2" s="26" t="inlineStr">
        <is>
          <t>User Agent</t>
        </is>
      </c>
      <c r="C2" s="26" t="inlineStr">
        <is>
          <t>URL</t>
        </is>
      </c>
      <c r="D2" s="26" t="inlineStr">
        <is>
          <t>Status</t>
        </is>
      </c>
      <c r="E2" s="26" t="inlineStr">
        <is>
          <t>Detail</t>
        </is>
      </c>
      <c r="F2" s="26" t="inlineStr">
        <is>
          <t>Open in Main</t>
        </is>
      </c>
    </row>
    <row r="3" ht="18" customHeight="1">
      <c r="A3" s="32" t="inlineStr">
        <is>
          <t>Summary</t>
        </is>
      </c>
      <c r="B3" s="28" t="inlineStr"/>
      <c r="C3" s="20" t="inlineStr"/>
      <c r="D3" s="28" t="inlineStr">
        <is>
          <t>No robots.txt data</t>
        </is>
      </c>
      <c r="E3" s="28" t="inlineStr">
        <is>
          <t>robots.txt was not fetched during this crawl.</t>
        </is>
      </c>
      <c r="F3">
        <f>IFERROR(HYPERLINK("#'Main'!B"&amp;MATCH(TRIM(C3),'Main'!B:B,0),"Open"),HYPERLINK("#'Main'!B1","Open"))</f>
        <v/>
      </c>
    </row>
  </sheetData>
  <mergeCells count="2">
    <mergeCell ref="C1:E1"/>
    <mergeCell ref="A1:B1"/>
  </mergeCells>
  <conditionalFormatting sqref="D3">
    <cfRule type="expression" priority="1" dxfId="4" stopIfTrue="1">
      <formula>OR(LOWER(D3)="done",LOWER(D3)="completed",LOWER(D3)="fixed",LOWER(D3)="closed")</formula>
    </cfRule>
    <cfRule type="expression" priority="2" dxfId="5" stopIfTrue="1">
      <formula>OR(LOWER(D3)="in progress",LOWER(D3)="in review",LOWER(D3)="review")</formula>
    </cfRule>
    <cfRule type="expression" priority="3" dxfId="6" stopIfTrue="1">
      <formula>OR(LOWER(D3)="to do",LOWER(D3)="open")</formula>
    </cfRule>
  </conditionalFormatting>
  <conditionalFormatting sqref="A3:E3">
    <cfRule type="expression" priority="4"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25.xml><?xml version="1.0" encoding="utf-8"?>
<worksheet xmlns="http://schemas.openxmlformats.org/spreadsheetml/2006/main">
  <sheetPr>
    <tabColor rgb="0095A5A6"/>
    <outlinePr summaryBelow="1" summaryRight="1"/>
    <pageSetUpPr fitToPage="1"/>
  </sheetPr>
  <dimension ref="A1:G3"/>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10" customWidth="1" min="3" max="3"/>
    <col width="12" customWidth="1" min="4" max="4"/>
    <col width="48" customWidth="1" min="5" max="5"/>
    <col width="22" customWidth="1" min="6" max="6"/>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Timestamp</t>
        </is>
      </c>
      <c r="B2" s="26" t="inlineStr">
        <is>
          <t>URL</t>
        </is>
      </c>
      <c r="C2" s="26" t="inlineStr">
        <is>
          <t>Phase</t>
        </is>
      </c>
      <c r="D2" s="26" t="inlineStr">
        <is>
          <t>Error Type</t>
        </is>
      </c>
      <c r="E2" s="26" t="inlineStr">
        <is>
          <t>Error Detail</t>
        </is>
      </c>
      <c r="F2" s="26" t="inlineStr">
        <is>
          <t>Recovery Action Taken</t>
        </is>
      </c>
      <c r="G2" s="26" t="inlineStr">
        <is>
          <t>Open in Main</t>
        </is>
      </c>
    </row>
    <row r="3" ht="18" customHeight="1">
      <c r="A3" s="32" t="inlineStr"/>
      <c r="B3" s="20" t="inlineStr"/>
      <c r="C3" s="28" t="inlineStr">
        <is>
          <t>Summary</t>
        </is>
      </c>
      <c r="D3" s="28" t="inlineStr">
        <is>
          <t>None</t>
        </is>
      </c>
      <c r="E3" s="28" t="inlineStr">
        <is>
          <t>No crawl errors or warnings recorded for this run.</t>
        </is>
      </c>
      <c r="F3" s="28" t="inlineStr"/>
      <c r="G3">
        <f>IFERROR(HYPERLINK("#'Main'!B"&amp;MATCH(TRIM(B3),'Main'!B:B,0),"Open"),HYPERLINK("#'Main'!B1","Open"))</f>
        <v/>
      </c>
    </row>
  </sheetData>
  <mergeCells count="2">
    <mergeCell ref="C1:F1"/>
    <mergeCell ref="A1:B1"/>
  </mergeCells>
  <conditionalFormatting sqref="A3:F3">
    <cfRule type="expression" priority="1"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26.xml><?xml version="1.0" encoding="utf-8"?>
<worksheet xmlns="http://schemas.openxmlformats.org/spreadsheetml/2006/main">
  <sheetPr>
    <tabColor rgb="008E44AD"/>
    <outlinePr summaryBelow="1" summaryRight="1"/>
    <pageSetUpPr fitToPage="1"/>
  </sheetPr>
  <dimension ref="A1:J85"/>
  <sheetViews>
    <sheetView showGridLines="0" tabSelected="0" workbookViewId="0">
      <pane xSplit="2" ySplit="2" topLeftCell="C3" activePane="bottomRight" state="frozen"/>
      <selection pane="topRight"/>
      <selection pane="bottomLeft"/>
      <selection pane="bottomRight"/>
      <selection pane="bottomLeft"/>
    </sheetView>
  </sheetViews>
  <sheetFormatPr baseColWidth="8" defaultRowHeight="15"/>
  <cols>
    <col width="45" customWidth="1" min="1" max="1"/>
    <col width="20" customWidth="1" min="2" max="2"/>
    <col width="21" customWidth="1" min="3" max="3"/>
    <col width="22" customWidth="1" min="4" max="4"/>
    <col width="16" customWidth="1" min="5" max="5"/>
    <col width="21" customWidth="1" min="6" max="6"/>
    <col width="13" customWidth="1" min="7" max="7"/>
    <col width="13" customWidth="1" min="8" max="8"/>
    <col width="55" customWidth="1" min="9" max="9"/>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7" t="inlineStr">
        <is>
          <t>Inbound Link Count</t>
        </is>
      </c>
      <c r="C2" s="26" t="inlineStr">
        <is>
          <t>Unique Source Pages</t>
        </is>
      </c>
      <c r="D2" s="26" t="inlineStr">
        <is>
          <t>Anchor Texts (top 5)</t>
        </is>
      </c>
      <c r="E2" s="27" t="inlineStr">
        <is>
          <t>PageRank Score</t>
        </is>
      </c>
      <c r="F2" s="27" t="inlineStr">
        <is>
          <t>PageRank Percentile</t>
        </is>
      </c>
      <c r="G2" s="27" t="inlineStr">
        <is>
          <t>Click Depth</t>
        </is>
      </c>
      <c r="H2" s="26" t="inlineStr">
        <is>
          <t>Equity Tier</t>
        </is>
      </c>
      <c r="I2" s="26" t="inlineStr">
        <is>
          <t>Recommended Action</t>
        </is>
      </c>
      <c r="J2" s="26" t="inlineStr">
        <is>
          <t>Open in Main</t>
        </is>
      </c>
    </row>
    <row r="3" ht="18" customHeight="1">
      <c r="A3" s="35" t="inlineStr">
        <is>
          <t>https://africanmarketingconfederation.org/</t>
        </is>
      </c>
      <c r="B3" s="28" t="n">
        <v>0</v>
      </c>
      <c r="C3" s="28" t="n">
        <v>0</v>
      </c>
      <c r="D3" s="28" t="inlineStr"/>
      <c r="E3" s="28" t="n">
        <v>0.012048</v>
      </c>
      <c r="F3" s="28" t="n">
        <v>57.3</v>
      </c>
      <c r="G3" s="28" t="n">
        <v>0</v>
      </c>
      <c r="H3" s="28" t="inlineStr">
        <is>
          <t>Orphan</t>
        </is>
      </c>
      <c r="I3" s="28" t="inlineStr">
        <is>
          <t>Add contextual internal links from hub pages and navigation.</t>
        </is>
      </c>
      <c r="J3">
        <f>IFERROR(HYPERLINK("#'Main'!B"&amp;MATCH(TRIM(A3),'Main'!B:B,0),"Open"),HYPERLINK("#'Main'!B1","Open"))</f>
        <v/>
      </c>
    </row>
    <row r="4" ht="18" customHeight="1">
      <c r="A4" s="37" t="inlineStr">
        <is>
          <t>https://africanmarketingconfederation.org/smoke-archive/page-1</t>
        </is>
      </c>
      <c r="B4" s="30" t="n">
        <v>0</v>
      </c>
      <c r="C4" s="30" t="n">
        <v>0</v>
      </c>
      <c r="D4" s="30" t="inlineStr"/>
      <c r="E4" s="30" t="n">
        <v>0.012048</v>
      </c>
      <c r="F4" s="30" t="n">
        <v>19.5</v>
      </c>
      <c r="G4" s="30" t="n">
        <v>-1</v>
      </c>
      <c r="H4" s="30" t="inlineStr">
        <is>
          <t>Orphan</t>
        </is>
      </c>
      <c r="I4" s="30" t="inlineStr">
        <is>
          <t>Add contextual internal links from hub pages and navigation.</t>
        </is>
      </c>
      <c r="J4" s="38">
        <f>IFERROR(HYPERLINK("#'Main'!B"&amp;MATCH(TRIM(A4),'Main'!B:B,0),"Open"),HYPERLINK("#'Main'!B1","Open"))</f>
        <v/>
      </c>
    </row>
    <row r="5" ht="18" customHeight="1">
      <c r="A5" s="35" t="inlineStr">
        <is>
          <t>https://africanmarketingconfederation.org/smoke-archive/page-2</t>
        </is>
      </c>
      <c r="B5" s="28" t="n">
        <v>0</v>
      </c>
      <c r="C5" s="28" t="n">
        <v>0</v>
      </c>
      <c r="D5" s="28" t="inlineStr"/>
      <c r="E5" s="28" t="n">
        <v>0.012048</v>
      </c>
      <c r="F5" s="28" t="n">
        <v>28</v>
      </c>
      <c r="G5" s="28" t="n">
        <v>-1</v>
      </c>
      <c r="H5" s="28" t="inlineStr">
        <is>
          <t>Orphan</t>
        </is>
      </c>
      <c r="I5" s="28" t="inlineStr">
        <is>
          <t>Add contextual internal links from hub pages and navigation.</t>
        </is>
      </c>
      <c r="J5">
        <f>IFERROR(HYPERLINK("#'Main'!B"&amp;MATCH(TRIM(A5),'Main'!B:B,0),"Open"),HYPERLINK("#'Main'!B1","Open"))</f>
        <v/>
      </c>
    </row>
    <row r="6" ht="18" customHeight="1">
      <c r="A6" s="37" t="inlineStr">
        <is>
          <t>https://africanmarketingconfederation.org/smoke-archive/page-3</t>
        </is>
      </c>
      <c r="B6" s="30" t="n">
        <v>0</v>
      </c>
      <c r="C6" s="30" t="n">
        <v>0</v>
      </c>
      <c r="D6" s="30" t="inlineStr"/>
      <c r="E6" s="30" t="n">
        <v>0.012048</v>
      </c>
      <c r="F6" s="30" t="n">
        <v>23.2</v>
      </c>
      <c r="G6" s="30" t="n">
        <v>-1</v>
      </c>
      <c r="H6" s="30" t="inlineStr">
        <is>
          <t>Orphan</t>
        </is>
      </c>
      <c r="I6" s="30" t="inlineStr">
        <is>
          <t>Add contextual internal links from hub pages and navigation.</t>
        </is>
      </c>
      <c r="J6" s="38">
        <f>IFERROR(HYPERLINK("#'Main'!B"&amp;MATCH(TRIM(A6),'Main'!B:B,0),"Open"),HYPERLINK("#'Main'!B1","Open"))</f>
        <v/>
      </c>
    </row>
    <row r="7" ht="18" customHeight="1">
      <c r="A7" s="35" t="inlineStr">
        <is>
          <t>https://africanmarketingconfederation.org/smoke-archive/page-4</t>
        </is>
      </c>
      <c r="B7" s="28" t="n">
        <v>0</v>
      </c>
      <c r="C7" s="28" t="n">
        <v>0</v>
      </c>
      <c r="D7" s="28" t="inlineStr"/>
      <c r="E7" s="28" t="n">
        <v>0.012048</v>
      </c>
      <c r="F7" s="28" t="n">
        <v>18.3</v>
      </c>
      <c r="G7" s="28" t="n">
        <v>-1</v>
      </c>
      <c r="H7" s="28" t="inlineStr">
        <is>
          <t>Orphan</t>
        </is>
      </c>
      <c r="I7" s="28" t="inlineStr">
        <is>
          <t>Add contextual internal links from hub pages and navigation.</t>
        </is>
      </c>
      <c r="J7">
        <f>IFERROR(HYPERLINK("#'Main'!B"&amp;MATCH(TRIM(A7),'Main'!B:B,0),"Open"),HYPERLINK("#'Main'!B1","Open"))</f>
        <v/>
      </c>
    </row>
    <row r="8" ht="18" customHeight="1">
      <c r="A8" s="37" t="inlineStr">
        <is>
          <t>https://africanmarketingconfederation.org/smoke-archive/page-5</t>
        </is>
      </c>
      <c r="B8" s="30" t="n">
        <v>0</v>
      </c>
      <c r="C8" s="30" t="n">
        <v>0</v>
      </c>
      <c r="D8" s="30" t="inlineStr"/>
      <c r="E8" s="30" t="n">
        <v>0.012048</v>
      </c>
      <c r="F8" s="30" t="n">
        <v>48.8</v>
      </c>
      <c r="G8" s="30" t="n">
        <v>-1</v>
      </c>
      <c r="H8" s="30" t="inlineStr">
        <is>
          <t>Orphan</t>
        </is>
      </c>
      <c r="I8" s="30" t="inlineStr">
        <is>
          <t>Add contextual internal links from hub pages and navigation.</t>
        </is>
      </c>
      <c r="J8" s="38">
        <f>IFERROR(HYPERLINK("#'Main'!B"&amp;MATCH(TRIM(A8),'Main'!B:B,0),"Open"),HYPERLINK("#'Main'!B1","Open"))</f>
        <v/>
      </c>
    </row>
    <row r="9" ht="18" customHeight="1">
      <c r="A9" s="35" t="inlineStr">
        <is>
          <t>https://africanmarketingconfederation.org/smoke-archive/page-6</t>
        </is>
      </c>
      <c r="B9" s="28" t="n">
        <v>0</v>
      </c>
      <c r="C9" s="28" t="n">
        <v>0</v>
      </c>
      <c r="D9" s="28" t="inlineStr"/>
      <c r="E9" s="28" t="n">
        <v>0.012048</v>
      </c>
      <c r="F9" s="28" t="n">
        <v>69.5</v>
      </c>
      <c r="G9" s="28" t="n">
        <v>-1</v>
      </c>
      <c r="H9" s="28" t="inlineStr">
        <is>
          <t>Orphan</t>
        </is>
      </c>
      <c r="I9" s="28" t="inlineStr">
        <is>
          <t>Add contextual internal links from hub pages and navigation.</t>
        </is>
      </c>
      <c r="J9">
        <f>IFERROR(HYPERLINK("#'Main'!B"&amp;MATCH(TRIM(A9),'Main'!B:B,0),"Open"),HYPERLINK("#'Main'!B1","Open"))</f>
        <v/>
      </c>
    </row>
    <row r="10" ht="18" customHeight="1">
      <c r="A10" s="37" t="inlineStr">
        <is>
          <t>https://africanmarketingconfederation.org/smoke-archive/page-7</t>
        </is>
      </c>
      <c r="B10" s="30" t="n">
        <v>0</v>
      </c>
      <c r="C10" s="30" t="n">
        <v>0</v>
      </c>
      <c r="D10" s="30" t="inlineStr"/>
      <c r="E10" s="30" t="n">
        <v>0.012048</v>
      </c>
      <c r="F10" s="30" t="n">
        <v>53.7</v>
      </c>
      <c r="G10" s="30" t="n">
        <v>-1</v>
      </c>
      <c r="H10" s="30" t="inlineStr">
        <is>
          <t>Orphan</t>
        </is>
      </c>
      <c r="I10" s="30" t="inlineStr">
        <is>
          <t>Add contextual internal links from hub pages and navigation.</t>
        </is>
      </c>
      <c r="J10" s="38">
        <f>IFERROR(HYPERLINK("#'Main'!B"&amp;MATCH(TRIM(A10),'Main'!B:B,0),"Open"),HYPERLINK("#'Main'!B1","Open"))</f>
        <v/>
      </c>
    </row>
    <row r="11" ht="18" customHeight="1">
      <c r="A11" s="35" t="inlineStr">
        <is>
          <t>https://africanmarketingconfederation.org/smoke-archive/page-8</t>
        </is>
      </c>
      <c r="B11" s="28" t="n">
        <v>0</v>
      </c>
      <c r="C11" s="28" t="n">
        <v>0</v>
      </c>
      <c r="D11" s="28" t="inlineStr"/>
      <c r="E11" s="28" t="n">
        <v>0.012048</v>
      </c>
      <c r="F11" s="28" t="n">
        <v>68.3</v>
      </c>
      <c r="G11" s="28" t="n">
        <v>-1</v>
      </c>
      <c r="H11" s="28" t="inlineStr">
        <is>
          <t>Orphan</t>
        </is>
      </c>
      <c r="I11" s="28" t="inlineStr">
        <is>
          <t>Add contextual internal links from hub pages and navigation.</t>
        </is>
      </c>
      <c r="J11">
        <f>IFERROR(HYPERLINK("#'Main'!B"&amp;MATCH(TRIM(A11),'Main'!B:B,0),"Open"),HYPERLINK("#'Main'!B1","Open"))</f>
        <v/>
      </c>
    </row>
    <row r="12" ht="18" customHeight="1">
      <c r="A12" s="37" t="inlineStr">
        <is>
          <t>https://africanmarketingconfederation.org/smoke-archive/page-9</t>
        </is>
      </c>
      <c r="B12" s="30" t="n">
        <v>0</v>
      </c>
      <c r="C12" s="30" t="n">
        <v>0</v>
      </c>
      <c r="D12" s="30" t="inlineStr"/>
      <c r="E12" s="30" t="n">
        <v>0.012048</v>
      </c>
      <c r="F12" s="30" t="n">
        <v>74.40000000000001</v>
      </c>
      <c r="G12" s="30" t="n">
        <v>-1</v>
      </c>
      <c r="H12" s="30" t="inlineStr">
        <is>
          <t>Orphan</t>
        </is>
      </c>
      <c r="I12" s="30" t="inlineStr">
        <is>
          <t>Add contextual internal links from hub pages and navigation.</t>
        </is>
      </c>
      <c r="J12" s="38">
        <f>IFERROR(HYPERLINK("#'Main'!B"&amp;MATCH(TRIM(A12),'Main'!B:B,0),"Open"),HYPERLINK("#'Main'!B1","Open"))</f>
        <v/>
      </c>
    </row>
    <row r="13" ht="18" customHeight="1">
      <c r="A13" s="35" t="inlineStr">
        <is>
          <t>https://africanmarketingconfederation.org/smoke-archive/page-10</t>
        </is>
      </c>
      <c r="B13" s="28" t="n">
        <v>0</v>
      </c>
      <c r="C13" s="28" t="n">
        <v>0</v>
      </c>
      <c r="D13" s="28" t="inlineStr"/>
      <c r="E13" s="28" t="n">
        <v>0.012048</v>
      </c>
      <c r="F13" s="28" t="n">
        <v>80.5</v>
      </c>
      <c r="G13" s="28" t="n">
        <v>-1</v>
      </c>
      <c r="H13" s="28" t="inlineStr">
        <is>
          <t>Orphan</t>
        </is>
      </c>
      <c r="I13" s="28" t="inlineStr">
        <is>
          <t>Add contextual internal links from hub pages and navigation.</t>
        </is>
      </c>
      <c r="J13">
        <f>IFERROR(HYPERLINK("#'Main'!B"&amp;MATCH(TRIM(A13),'Main'!B:B,0),"Open"),HYPERLINK("#'Main'!B1","Open"))</f>
        <v/>
      </c>
    </row>
    <row r="14" ht="18" customHeight="1">
      <c r="A14" s="37" t="inlineStr">
        <is>
          <t>https://africanmarketingconfederation.org/smoke-archive/page-12</t>
        </is>
      </c>
      <c r="B14" s="30" t="n">
        <v>0</v>
      </c>
      <c r="C14" s="30" t="n">
        <v>0</v>
      </c>
      <c r="D14" s="30" t="inlineStr"/>
      <c r="E14" s="30" t="n">
        <v>0.012048</v>
      </c>
      <c r="F14" s="30" t="n">
        <v>13.4</v>
      </c>
      <c r="G14" s="30" t="n">
        <v>-1</v>
      </c>
      <c r="H14" s="30" t="inlineStr">
        <is>
          <t>Orphan</t>
        </is>
      </c>
      <c r="I14" s="30" t="inlineStr">
        <is>
          <t>Add contextual internal links from hub pages and navigation.</t>
        </is>
      </c>
      <c r="J14" s="38">
        <f>IFERROR(HYPERLINK("#'Main'!B"&amp;MATCH(TRIM(A14),'Main'!B:B,0),"Open"),HYPERLINK("#'Main'!B1","Open"))</f>
        <v/>
      </c>
    </row>
    <row r="15" ht="18" customHeight="1">
      <c r="A15" s="35" t="inlineStr">
        <is>
          <t>https://africanmarketingconfederation.org/smoke-archive/page-13</t>
        </is>
      </c>
      <c r="B15" s="28" t="n">
        <v>0</v>
      </c>
      <c r="C15" s="28" t="n">
        <v>0</v>
      </c>
      <c r="D15" s="28" t="inlineStr"/>
      <c r="E15" s="28" t="n">
        <v>0.012048</v>
      </c>
      <c r="F15" s="28" t="n">
        <v>96.3</v>
      </c>
      <c r="G15" s="28" t="n">
        <v>-1</v>
      </c>
      <c r="H15" s="28" t="inlineStr">
        <is>
          <t>Orphan</t>
        </is>
      </c>
      <c r="I15" s="28" t="inlineStr">
        <is>
          <t>Add contextual internal links from hub pages and navigation.</t>
        </is>
      </c>
      <c r="J15">
        <f>IFERROR(HYPERLINK("#'Main'!B"&amp;MATCH(TRIM(A15),'Main'!B:B,0),"Open"),HYPERLINK("#'Main'!B1","Open"))</f>
        <v/>
      </c>
    </row>
    <row r="16" ht="18" customHeight="1">
      <c r="A16" s="37" t="inlineStr">
        <is>
          <t>https://africanmarketingconfederation.org/smoke-archive/page-14</t>
        </is>
      </c>
      <c r="B16" s="30" t="n">
        <v>0</v>
      </c>
      <c r="C16" s="30" t="n">
        <v>0</v>
      </c>
      <c r="D16" s="30" t="inlineStr"/>
      <c r="E16" s="30" t="n">
        <v>0.012048</v>
      </c>
      <c r="F16" s="30" t="n">
        <v>75.59999999999999</v>
      </c>
      <c r="G16" s="30" t="n">
        <v>-1</v>
      </c>
      <c r="H16" s="30" t="inlineStr">
        <is>
          <t>Orphan</t>
        </is>
      </c>
      <c r="I16" s="30" t="inlineStr">
        <is>
          <t>Add contextual internal links from hub pages and navigation.</t>
        </is>
      </c>
      <c r="J16" s="38">
        <f>IFERROR(HYPERLINK("#'Main'!B"&amp;MATCH(TRIM(A16),'Main'!B:B,0),"Open"),HYPERLINK("#'Main'!B1","Open"))</f>
        <v/>
      </c>
    </row>
    <row r="17" ht="18" customHeight="1">
      <c r="A17" s="35" t="inlineStr">
        <is>
          <t>https://africanmarketingconfederation.org/smoke-archive/page-15</t>
        </is>
      </c>
      <c r="B17" s="28" t="n">
        <v>0</v>
      </c>
      <c r="C17" s="28" t="n">
        <v>0</v>
      </c>
      <c r="D17" s="28" t="inlineStr"/>
      <c r="E17" s="28" t="n">
        <v>0.012048</v>
      </c>
      <c r="F17" s="28" t="n">
        <v>40.2</v>
      </c>
      <c r="G17" s="28" t="n">
        <v>-1</v>
      </c>
      <c r="H17" s="28" t="inlineStr">
        <is>
          <t>Orphan</t>
        </is>
      </c>
      <c r="I17" s="28" t="inlineStr">
        <is>
          <t>Add contextual internal links from hub pages and navigation.</t>
        </is>
      </c>
      <c r="J17">
        <f>IFERROR(HYPERLINK("#'Main'!B"&amp;MATCH(TRIM(A17),'Main'!B:B,0),"Open"),HYPERLINK("#'Main'!B1","Open"))</f>
        <v/>
      </c>
    </row>
    <row r="18" ht="18" customHeight="1">
      <c r="A18" s="37" t="inlineStr">
        <is>
          <t>https://africanmarketingconfederation.org/smoke-archive/page-16</t>
        </is>
      </c>
      <c r="B18" s="30" t="n">
        <v>0</v>
      </c>
      <c r="C18" s="30" t="n">
        <v>0</v>
      </c>
      <c r="D18" s="30" t="inlineStr"/>
      <c r="E18" s="30" t="n">
        <v>0.012048</v>
      </c>
      <c r="F18" s="30" t="n">
        <v>52.4</v>
      </c>
      <c r="G18" s="30" t="n">
        <v>-1</v>
      </c>
      <c r="H18" s="30" t="inlineStr">
        <is>
          <t>Orphan</t>
        </is>
      </c>
      <c r="I18" s="30" t="inlineStr">
        <is>
          <t>Add contextual internal links from hub pages and navigation.</t>
        </is>
      </c>
      <c r="J18" s="38">
        <f>IFERROR(HYPERLINK("#'Main'!B"&amp;MATCH(TRIM(A18),'Main'!B:B,0),"Open"),HYPERLINK("#'Main'!B1","Open"))</f>
        <v/>
      </c>
    </row>
    <row r="19" ht="18" customHeight="1">
      <c r="A19" s="35" t="inlineStr">
        <is>
          <t>https://africanmarketingconfederation.org/smoke-archive/page-17</t>
        </is>
      </c>
      <c r="B19" s="28" t="n">
        <v>0</v>
      </c>
      <c r="C19" s="28" t="n">
        <v>0</v>
      </c>
      <c r="D19" s="28" t="inlineStr"/>
      <c r="E19" s="28" t="n">
        <v>0.012048</v>
      </c>
      <c r="F19" s="28" t="n">
        <v>79.3</v>
      </c>
      <c r="G19" s="28" t="n">
        <v>-1</v>
      </c>
      <c r="H19" s="28" t="inlineStr">
        <is>
          <t>Orphan</t>
        </is>
      </c>
      <c r="I19" s="28" t="inlineStr">
        <is>
          <t>Add contextual internal links from hub pages and navigation.</t>
        </is>
      </c>
      <c r="J19">
        <f>IFERROR(HYPERLINK("#'Main'!B"&amp;MATCH(TRIM(A19),'Main'!B:B,0),"Open"),HYPERLINK("#'Main'!B1","Open"))</f>
        <v/>
      </c>
    </row>
    <row r="20" ht="18" customHeight="1">
      <c r="A20" s="37" t="inlineStr">
        <is>
          <t>https://africanmarketingconfederation.org/smoke-archive/page-18</t>
        </is>
      </c>
      <c r="B20" s="30" t="n">
        <v>0</v>
      </c>
      <c r="C20" s="30" t="n">
        <v>0</v>
      </c>
      <c r="D20" s="30" t="inlineStr"/>
      <c r="E20" s="30" t="n">
        <v>0.012048</v>
      </c>
      <c r="F20" s="30" t="n">
        <v>3.7</v>
      </c>
      <c r="G20" s="30" t="n">
        <v>-1</v>
      </c>
      <c r="H20" s="30" t="inlineStr">
        <is>
          <t>Orphan</t>
        </is>
      </c>
      <c r="I20" s="30" t="inlineStr">
        <is>
          <t>Add contextual internal links from hub pages and navigation.</t>
        </is>
      </c>
      <c r="J20" s="38">
        <f>IFERROR(HYPERLINK("#'Main'!B"&amp;MATCH(TRIM(A20),'Main'!B:B,0),"Open"),HYPERLINK("#'Main'!B1","Open"))</f>
        <v/>
      </c>
    </row>
    <row r="21" ht="18" customHeight="1">
      <c r="A21" s="35" t="inlineStr">
        <is>
          <t>https://africanmarketingconfederation.org/smoke-archive/page-19</t>
        </is>
      </c>
      <c r="B21" s="28" t="n">
        <v>0</v>
      </c>
      <c r="C21" s="28" t="n">
        <v>0</v>
      </c>
      <c r="D21" s="28" t="inlineStr"/>
      <c r="E21" s="28" t="n">
        <v>0.012048</v>
      </c>
      <c r="F21" s="28" t="n">
        <v>76.8</v>
      </c>
      <c r="G21" s="28" t="n">
        <v>-1</v>
      </c>
      <c r="H21" s="28" t="inlineStr">
        <is>
          <t>Orphan</t>
        </is>
      </c>
      <c r="I21" s="28" t="inlineStr">
        <is>
          <t>Add contextual internal links from hub pages and navigation.</t>
        </is>
      </c>
      <c r="J21">
        <f>IFERROR(HYPERLINK("#'Main'!B"&amp;MATCH(TRIM(A21),'Main'!B:B,0),"Open"),HYPERLINK("#'Main'!B1","Open"))</f>
        <v/>
      </c>
    </row>
    <row r="22" ht="18" customHeight="1">
      <c r="A22" s="37" t="inlineStr">
        <is>
          <t>https://africanmarketingconfederation.org/smoke-archive/page-20</t>
        </is>
      </c>
      <c r="B22" s="30" t="n">
        <v>0</v>
      </c>
      <c r="C22" s="30" t="n">
        <v>0</v>
      </c>
      <c r="D22" s="30" t="inlineStr"/>
      <c r="E22" s="30" t="n">
        <v>0.012048</v>
      </c>
      <c r="F22" s="30" t="n">
        <v>85.40000000000001</v>
      </c>
      <c r="G22" s="30" t="n">
        <v>-1</v>
      </c>
      <c r="H22" s="30" t="inlineStr">
        <is>
          <t>Orphan</t>
        </is>
      </c>
      <c r="I22" s="30" t="inlineStr">
        <is>
          <t>Add contextual internal links from hub pages and navigation.</t>
        </is>
      </c>
      <c r="J22" s="38">
        <f>IFERROR(HYPERLINK("#'Main'!B"&amp;MATCH(TRIM(A22),'Main'!B:B,0),"Open"),HYPERLINK("#'Main'!B1","Open"))</f>
        <v/>
      </c>
    </row>
    <row r="23" ht="18" customHeight="1">
      <c r="A23" s="35" t="inlineStr">
        <is>
          <t>https://africanmarketingconfederation.org/smoke-archive/page-21</t>
        </is>
      </c>
      <c r="B23" s="28" t="n">
        <v>0</v>
      </c>
      <c r="C23" s="28" t="n">
        <v>0</v>
      </c>
      <c r="D23" s="28" t="inlineStr"/>
      <c r="E23" s="28" t="n">
        <v>0.012048</v>
      </c>
      <c r="F23" s="28" t="n">
        <v>11</v>
      </c>
      <c r="G23" s="28" t="n">
        <v>-1</v>
      </c>
      <c r="H23" s="28" t="inlineStr">
        <is>
          <t>Orphan</t>
        </is>
      </c>
      <c r="I23" s="28" t="inlineStr">
        <is>
          <t>Add contextual internal links from hub pages and navigation.</t>
        </is>
      </c>
      <c r="J23">
        <f>IFERROR(HYPERLINK("#'Main'!B"&amp;MATCH(TRIM(A23),'Main'!B:B,0),"Open"),HYPERLINK("#'Main'!B1","Open"))</f>
        <v/>
      </c>
    </row>
    <row r="24" ht="18" customHeight="1">
      <c r="A24" s="37" t="inlineStr">
        <is>
          <t>https://africanmarketingconfederation.org/smoke-archive/page-23</t>
        </is>
      </c>
      <c r="B24" s="30" t="n">
        <v>0</v>
      </c>
      <c r="C24" s="30" t="n">
        <v>0</v>
      </c>
      <c r="D24" s="30" t="inlineStr"/>
      <c r="E24" s="30" t="n">
        <v>0.012048</v>
      </c>
      <c r="F24" s="30" t="n">
        <v>35.4</v>
      </c>
      <c r="G24" s="30" t="n">
        <v>-1</v>
      </c>
      <c r="H24" s="30" t="inlineStr">
        <is>
          <t>Orphan</t>
        </is>
      </c>
      <c r="I24" s="30" t="inlineStr">
        <is>
          <t>Add contextual internal links from hub pages and navigation.</t>
        </is>
      </c>
      <c r="J24" s="38">
        <f>IFERROR(HYPERLINK("#'Main'!B"&amp;MATCH(TRIM(A24),'Main'!B:B,0),"Open"),HYPERLINK("#'Main'!B1","Open"))</f>
        <v/>
      </c>
    </row>
    <row r="25" ht="18" customHeight="1">
      <c r="A25" s="35" t="inlineStr">
        <is>
          <t>https://africanmarketingconfederation.org/smoke-archive/page-24</t>
        </is>
      </c>
      <c r="B25" s="28" t="n">
        <v>0</v>
      </c>
      <c r="C25" s="28" t="n">
        <v>0</v>
      </c>
      <c r="D25" s="28" t="inlineStr"/>
      <c r="E25" s="28" t="n">
        <v>0.012048</v>
      </c>
      <c r="F25" s="28" t="n">
        <v>34.1</v>
      </c>
      <c r="G25" s="28" t="n">
        <v>-1</v>
      </c>
      <c r="H25" s="28" t="inlineStr">
        <is>
          <t>Orphan</t>
        </is>
      </c>
      <c r="I25" s="28" t="inlineStr">
        <is>
          <t>Add contextual internal links from hub pages and navigation.</t>
        </is>
      </c>
      <c r="J25">
        <f>IFERROR(HYPERLINK("#'Main'!B"&amp;MATCH(TRIM(A25),'Main'!B:B,0),"Open"),HYPERLINK("#'Main'!B1","Open"))</f>
        <v/>
      </c>
    </row>
    <row r="26" ht="18" customHeight="1">
      <c r="A26" s="37" t="inlineStr">
        <is>
          <t>https://africanmarketingconfederation.org/smoke-archive/page-25</t>
        </is>
      </c>
      <c r="B26" s="30" t="n">
        <v>0</v>
      </c>
      <c r="C26" s="30" t="n">
        <v>0</v>
      </c>
      <c r="D26" s="30" t="inlineStr"/>
      <c r="E26" s="30" t="n">
        <v>0.012048</v>
      </c>
      <c r="F26" s="30" t="n">
        <v>25.6</v>
      </c>
      <c r="G26" s="30" t="n">
        <v>-1</v>
      </c>
      <c r="H26" s="30" t="inlineStr">
        <is>
          <t>Orphan</t>
        </is>
      </c>
      <c r="I26" s="30" t="inlineStr">
        <is>
          <t>Add contextual internal links from hub pages and navigation.</t>
        </is>
      </c>
      <c r="J26" s="38">
        <f>IFERROR(HYPERLINK("#'Main'!B"&amp;MATCH(TRIM(A26),'Main'!B:B,0),"Open"),HYPERLINK("#'Main'!B1","Open"))</f>
        <v/>
      </c>
    </row>
    <row r="27" ht="18" customHeight="1">
      <c r="A27" s="35" t="inlineStr">
        <is>
          <t>https://africanmarketingconfederation.org/smoke-archive/page-26</t>
        </is>
      </c>
      <c r="B27" s="28" t="n">
        <v>0</v>
      </c>
      <c r="C27" s="28" t="n">
        <v>0</v>
      </c>
      <c r="D27" s="28" t="inlineStr"/>
      <c r="E27" s="28" t="n">
        <v>0.012048</v>
      </c>
      <c r="F27" s="28" t="n">
        <v>20.7</v>
      </c>
      <c r="G27" s="28" t="n">
        <v>-1</v>
      </c>
      <c r="H27" s="28" t="inlineStr">
        <is>
          <t>Orphan</t>
        </is>
      </c>
      <c r="I27" s="28" t="inlineStr">
        <is>
          <t>Add contextual internal links from hub pages and navigation.</t>
        </is>
      </c>
      <c r="J27">
        <f>IFERROR(HYPERLINK("#'Main'!B"&amp;MATCH(TRIM(A27),'Main'!B:B,0),"Open"),HYPERLINK("#'Main'!B1","Open"))</f>
        <v/>
      </c>
    </row>
    <row r="28" ht="18" customHeight="1">
      <c r="A28" s="37" t="inlineStr">
        <is>
          <t>https://africanmarketingconfederation.org/smoke-archive/page-27</t>
        </is>
      </c>
      <c r="B28" s="30" t="n">
        <v>0</v>
      </c>
      <c r="C28" s="30" t="n">
        <v>0</v>
      </c>
      <c r="D28" s="30" t="inlineStr"/>
      <c r="E28" s="30" t="n">
        <v>0.012048</v>
      </c>
      <c r="F28" s="30" t="n">
        <v>92.7</v>
      </c>
      <c r="G28" s="30" t="n">
        <v>-1</v>
      </c>
      <c r="H28" s="30" t="inlineStr">
        <is>
          <t>Orphan</t>
        </is>
      </c>
      <c r="I28" s="30" t="inlineStr">
        <is>
          <t>Add contextual internal links from hub pages and navigation.</t>
        </is>
      </c>
      <c r="J28" s="38">
        <f>IFERROR(HYPERLINK("#'Main'!B"&amp;MATCH(TRIM(A28),'Main'!B:B,0),"Open"),HYPERLINK("#'Main'!B1","Open"))</f>
        <v/>
      </c>
    </row>
    <row r="29" ht="18" customHeight="1">
      <c r="A29" s="35" t="inlineStr">
        <is>
          <t>https://africanmarketingconfederation.org/smoke-archive/page-28</t>
        </is>
      </c>
      <c r="B29" s="28" t="n">
        <v>0</v>
      </c>
      <c r="C29" s="28" t="n">
        <v>0</v>
      </c>
      <c r="D29" s="28" t="inlineStr"/>
      <c r="E29" s="28" t="n">
        <v>0.012048</v>
      </c>
      <c r="F29" s="28" t="n">
        <v>4.9</v>
      </c>
      <c r="G29" s="28" t="n">
        <v>-1</v>
      </c>
      <c r="H29" s="28" t="inlineStr">
        <is>
          <t>Orphan</t>
        </is>
      </c>
      <c r="I29" s="28" t="inlineStr">
        <is>
          <t>Add contextual internal links from hub pages and navigation.</t>
        </is>
      </c>
      <c r="J29">
        <f>IFERROR(HYPERLINK("#'Main'!B"&amp;MATCH(TRIM(A29),'Main'!B:B,0),"Open"),HYPERLINK("#'Main'!B1","Open"))</f>
        <v/>
      </c>
    </row>
    <row r="30" ht="18" customHeight="1">
      <c r="A30" s="37" t="inlineStr">
        <is>
          <t>https://africanmarketingconfederation.org/smoke-archive/page-29</t>
        </is>
      </c>
      <c r="B30" s="30" t="n">
        <v>0</v>
      </c>
      <c r="C30" s="30" t="n">
        <v>0</v>
      </c>
      <c r="D30" s="30" t="inlineStr"/>
      <c r="E30" s="30" t="n">
        <v>0.012048</v>
      </c>
      <c r="F30" s="30" t="n">
        <v>42.7</v>
      </c>
      <c r="G30" s="30" t="n">
        <v>-1</v>
      </c>
      <c r="H30" s="30" t="inlineStr">
        <is>
          <t>Orphan</t>
        </is>
      </c>
      <c r="I30" s="30" t="inlineStr">
        <is>
          <t>Add contextual internal links from hub pages and navigation.</t>
        </is>
      </c>
      <c r="J30" s="38">
        <f>IFERROR(HYPERLINK("#'Main'!B"&amp;MATCH(TRIM(A30),'Main'!B:B,0),"Open"),HYPERLINK("#'Main'!B1","Open"))</f>
        <v/>
      </c>
    </row>
    <row r="31" ht="18" customHeight="1">
      <c r="A31" s="35" t="inlineStr">
        <is>
          <t>https://africanmarketingconfederation.org/smoke-archive/page-30</t>
        </is>
      </c>
      <c r="B31" s="28" t="n">
        <v>0</v>
      </c>
      <c r="C31" s="28" t="n">
        <v>0</v>
      </c>
      <c r="D31" s="28" t="inlineStr"/>
      <c r="E31" s="28" t="n">
        <v>0.012048</v>
      </c>
      <c r="F31" s="28" t="n">
        <v>62.2</v>
      </c>
      <c r="G31" s="28" t="n">
        <v>-1</v>
      </c>
      <c r="H31" s="28" t="inlineStr">
        <is>
          <t>Orphan</t>
        </is>
      </c>
      <c r="I31" s="28" t="inlineStr">
        <is>
          <t>Add contextual internal links from hub pages and navigation.</t>
        </is>
      </c>
      <c r="J31">
        <f>IFERROR(HYPERLINK("#'Main'!B"&amp;MATCH(TRIM(A31),'Main'!B:B,0),"Open"),HYPERLINK("#'Main'!B1","Open"))</f>
        <v/>
      </c>
    </row>
    <row r="32" ht="18" customHeight="1">
      <c r="A32" s="37" t="inlineStr">
        <is>
          <t>https://africanmarketingconfederation.org/smoke-archive/page-31</t>
        </is>
      </c>
      <c r="B32" s="30" t="n">
        <v>0</v>
      </c>
      <c r="C32" s="30" t="n">
        <v>0</v>
      </c>
      <c r="D32" s="30" t="inlineStr"/>
      <c r="E32" s="30" t="n">
        <v>0.012048</v>
      </c>
      <c r="F32" s="30" t="n">
        <v>65.90000000000001</v>
      </c>
      <c r="G32" s="30" t="n">
        <v>-1</v>
      </c>
      <c r="H32" s="30" t="inlineStr">
        <is>
          <t>Orphan</t>
        </is>
      </c>
      <c r="I32" s="30" t="inlineStr">
        <is>
          <t>Add contextual internal links from hub pages and navigation.</t>
        </is>
      </c>
      <c r="J32" s="38">
        <f>IFERROR(HYPERLINK("#'Main'!B"&amp;MATCH(TRIM(A32),'Main'!B:B,0),"Open"),HYPERLINK("#'Main'!B1","Open"))</f>
        <v/>
      </c>
    </row>
    <row r="33" ht="18" customHeight="1">
      <c r="A33" s="35" t="inlineStr">
        <is>
          <t>https://africanmarketingconfederation.org/smoke-archive/page-32</t>
        </is>
      </c>
      <c r="B33" s="28" t="n">
        <v>0</v>
      </c>
      <c r="C33" s="28" t="n">
        <v>0</v>
      </c>
      <c r="D33" s="28" t="inlineStr"/>
      <c r="E33" s="28" t="n">
        <v>0.012048</v>
      </c>
      <c r="F33" s="28" t="n">
        <v>2.4</v>
      </c>
      <c r="G33" s="28" t="n">
        <v>-1</v>
      </c>
      <c r="H33" s="28" t="inlineStr">
        <is>
          <t>Orphan</t>
        </is>
      </c>
      <c r="I33" s="28" t="inlineStr">
        <is>
          <t>Add contextual internal links from hub pages and navigation.</t>
        </is>
      </c>
      <c r="J33">
        <f>IFERROR(HYPERLINK("#'Main'!B"&amp;MATCH(TRIM(A33),'Main'!B:B,0),"Open"),HYPERLINK("#'Main'!B1","Open"))</f>
        <v/>
      </c>
    </row>
    <row r="34" ht="18" customHeight="1">
      <c r="A34" s="37" t="inlineStr">
        <is>
          <t>https://africanmarketingconfederation.org/smoke-archive/page-34</t>
        </is>
      </c>
      <c r="B34" s="30" t="n">
        <v>0</v>
      </c>
      <c r="C34" s="30" t="n">
        <v>0</v>
      </c>
      <c r="D34" s="30" t="inlineStr"/>
      <c r="E34" s="30" t="n">
        <v>0.012048</v>
      </c>
      <c r="F34" s="30" t="n">
        <v>0</v>
      </c>
      <c r="G34" s="30" t="n">
        <v>-1</v>
      </c>
      <c r="H34" s="30" t="inlineStr">
        <is>
          <t>Orphan</t>
        </is>
      </c>
      <c r="I34" s="30" t="inlineStr">
        <is>
          <t>Add contextual internal links from hub pages and navigation.</t>
        </is>
      </c>
      <c r="J34" s="38">
        <f>IFERROR(HYPERLINK("#'Main'!B"&amp;MATCH(TRIM(A34),'Main'!B:B,0),"Open"),HYPERLINK("#'Main'!B1","Open"))</f>
        <v/>
      </c>
    </row>
    <row r="35" ht="18" customHeight="1">
      <c r="A35" s="35" t="inlineStr">
        <is>
          <t>https://africanmarketingconfederation.org/smoke-archive/page-35</t>
        </is>
      </c>
      <c r="B35" s="28" t="n">
        <v>0</v>
      </c>
      <c r="C35" s="28" t="n">
        <v>0</v>
      </c>
      <c r="D35" s="28" t="inlineStr"/>
      <c r="E35" s="28" t="n">
        <v>0.012048</v>
      </c>
      <c r="F35" s="28" t="n">
        <v>36.6</v>
      </c>
      <c r="G35" s="28" t="n">
        <v>-1</v>
      </c>
      <c r="H35" s="28" t="inlineStr">
        <is>
          <t>Orphan</t>
        </is>
      </c>
      <c r="I35" s="28" t="inlineStr">
        <is>
          <t>Add contextual internal links from hub pages and navigation.</t>
        </is>
      </c>
      <c r="J35">
        <f>IFERROR(HYPERLINK("#'Main'!B"&amp;MATCH(TRIM(A35),'Main'!B:B,0),"Open"),HYPERLINK("#'Main'!B1","Open"))</f>
        <v/>
      </c>
    </row>
    <row r="36" ht="18" customHeight="1">
      <c r="A36" s="37" t="inlineStr">
        <is>
          <t>https://africanmarketingconfederation.org/smoke-archive/page-36</t>
        </is>
      </c>
      <c r="B36" s="30" t="n">
        <v>0</v>
      </c>
      <c r="C36" s="30" t="n">
        <v>0</v>
      </c>
      <c r="D36" s="30" t="inlineStr"/>
      <c r="E36" s="30" t="n">
        <v>0.012048</v>
      </c>
      <c r="F36" s="30" t="n">
        <v>50</v>
      </c>
      <c r="G36" s="30" t="n">
        <v>-1</v>
      </c>
      <c r="H36" s="30" t="inlineStr">
        <is>
          <t>Orphan</t>
        </is>
      </c>
      <c r="I36" s="30" t="inlineStr">
        <is>
          <t>Add contextual internal links from hub pages and navigation.</t>
        </is>
      </c>
      <c r="J36" s="38">
        <f>IFERROR(HYPERLINK("#'Main'!B"&amp;MATCH(TRIM(A36),'Main'!B:B,0),"Open"),HYPERLINK("#'Main'!B1","Open"))</f>
        <v/>
      </c>
    </row>
    <row r="37" ht="18" customHeight="1">
      <c r="A37" s="35" t="inlineStr">
        <is>
          <t>https://africanmarketingconfederation.org/smoke-archive/page-37</t>
        </is>
      </c>
      <c r="B37" s="28" t="n">
        <v>0</v>
      </c>
      <c r="C37" s="28" t="n">
        <v>0</v>
      </c>
      <c r="D37" s="28" t="inlineStr"/>
      <c r="E37" s="28" t="n">
        <v>0.012048</v>
      </c>
      <c r="F37" s="28" t="n">
        <v>7.3</v>
      </c>
      <c r="G37" s="28" t="n">
        <v>-1</v>
      </c>
      <c r="H37" s="28" t="inlineStr">
        <is>
          <t>Orphan</t>
        </is>
      </c>
      <c r="I37" s="28" t="inlineStr">
        <is>
          <t>Add contextual internal links from hub pages and navigation.</t>
        </is>
      </c>
      <c r="J37">
        <f>IFERROR(HYPERLINK("#'Main'!B"&amp;MATCH(TRIM(A37),'Main'!B:B,0),"Open"),HYPERLINK("#'Main'!B1","Open"))</f>
        <v/>
      </c>
    </row>
    <row r="38" ht="18" customHeight="1">
      <c r="A38" s="37" t="inlineStr">
        <is>
          <t>https://africanmarketingconfederation.org/smoke-archive/page-38</t>
        </is>
      </c>
      <c r="B38" s="30" t="n">
        <v>0</v>
      </c>
      <c r="C38" s="30" t="n">
        <v>0</v>
      </c>
      <c r="D38" s="30" t="inlineStr"/>
      <c r="E38" s="30" t="n">
        <v>0.012048</v>
      </c>
      <c r="F38" s="30" t="n">
        <v>56.1</v>
      </c>
      <c r="G38" s="30" t="n">
        <v>-1</v>
      </c>
      <c r="H38" s="30" t="inlineStr">
        <is>
          <t>Orphan</t>
        </is>
      </c>
      <c r="I38" s="30" t="inlineStr">
        <is>
          <t>Add contextual internal links from hub pages and navigation.</t>
        </is>
      </c>
      <c r="J38" s="38">
        <f>IFERROR(HYPERLINK("#'Main'!B"&amp;MATCH(TRIM(A38),'Main'!B:B,0),"Open"),HYPERLINK("#'Main'!B1","Open"))</f>
        <v/>
      </c>
    </row>
    <row r="39" ht="18" customHeight="1">
      <c r="A39" s="35" t="inlineStr">
        <is>
          <t>https://africanmarketingconfederation.org/smoke-archive/page-39</t>
        </is>
      </c>
      <c r="B39" s="28" t="n">
        <v>0</v>
      </c>
      <c r="C39" s="28" t="n">
        <v>0</v>
      </c>
      <c r="D39" s="28" t="inlineStr"/>
      <c r="E39" s="28" t="n">
        <v>0.012048</v>
      </c>
      <c r="F39" s="28" t="n">
        <v>90.2</v>
      </c>
      <c r="G39" s="28" t="n">
        <v>-1</v>
      </c>
      <c r="H39" s="28" t="inlineStr">
        <is>
          <t>Orphan</t>
        </is>
      </c>
      <c r="I39" s="28" t="inlineStr">
        <is>
          <t>Add contextual internal links from hub pages and navigation.</t>
        </is>
      </c>
      <c r="J39">
        <f>IFERROR(HYPERLINK("#'Main'!B"&amp;MATCH(TRIM(A39),'Main'!B:B,0),"Open"),HYPERLINK("#'Main'!B1","Open"))</f>
        <v/>
      </c>
    </row>
    <row r="40" ht="18" customHeight="1">
      <c r="A40" s="37" t="inlineStr">
        <is>
          <t>https://africanmarketingconfederation.org/smoke-archive/page-40</t>
        </is>
      </c>
      <c r="B40" s="30" t="n">
        <v>0</v>
      </c>
      <c r="C40" s="30" t="n">
        <v>0</v>
      </c>
      <c r="D40" s="30" t="inlineStr"/>
      <c r="E40" s="30" t="n">
        <v>0.012048</v>
      </c>
      <c r="F40" s="30" t="n">
        <v>73.2</v>
      </c>
      <c r="G40" s="30" t="n">
        <v>-1</v>
      </c>
      <c r="H40" s="30" t="inlineStr">
        <is>
          <t>Orphan</t>
        </is>
      </c>
      <c r="I40" s="30" t="inlineStr">
        <is>
          <t>Add contextual internal links from hub pages and navigation.</t>
        </is>
      </c>
      <c r="J40" s="38">
        <f>IFERROR(HYPERLINK("#'Main'!B"&amp;MATCH(TRIM(A40),'Main'!B:B,0),"Open"),HYPERLINK("#'Main'!B1","Open"))</f>
        <v/>
      </c>
    </row>
    <row r="41" ht="18" customHeight="1">
      <c r="A41" s="35" t="inlineStr">
        <is>
          <t>https://africanmarketingconfederation.org/smoke-archive/page-41</t>
        </is>
      </c>
      <c r="B41" s="28" t="n">
        <v>0</v>
      </c>
      <c r="C41" s="28" t="n">
        <v>0</v>
      </c>
      <c r="D41" s="28" t="inlineStr"/>
      <c r="E41" s="28" t="n">
        <v>0.012048</v>
      </c>
      <c r="F41" s="28" t="n">
        <v>64.59999999999999</v>
      </c>
      <c r="G41" s="28" t="n">
        <v>-1</v>
      </c>
      <c r="H41" s="28" t="inlineStr">
        <is>
          <t>Orphan</t>
        </is>
      </c>
      <c r="I41" s="28" t="inlineStr">
        <is>
          <t>Add contextual internal links from hub pages and navigation.</t>
        </is>
      </c>
      <c r="J41">
        <f>IFERROR(HYPERLINK("#'Main'!B"&amp;MATCH(TRIM(A41),'Main'!B:B,0),"Open"),HYPERLINK("#'Main'!B1","Open"))</f>
        <v/>
      </c>
    </row>
    <row r="42" ht="18" customHeight="1">
      <c r="A42" s="37" t="inlineStr">
        <is>
          <t>https://africanmarketingconfederation.org/smoke-archive/page-42</t>
        </is>
      </c>
      <c r="B42" s="30" t="n">
        <v>0</v>
      </c>
      <c r="C42" s="30" t="n">
        <v>0</v>
      </c>
      <c r="D42" s="30" t="inlineStr"/>
      <c r="E42" s="30" t="n">
        <v>0.012048</v>
      </c>
      <c r="F42" s="30" t="n">
        <v>12.2</v>
      </c>
      <c r="G42" s="30" t="n">
        <v>-1</v>
      </c>
      <c r="H42" s="30" t="inlineStr">
        <is>
          <t>Orphan</t>
        </is>
      </c>
      <c r="I42" s="30" t="inlineStr">
        <is>
          <t>Add contextual internal links from hub pages and navigation.</t>
        </is>
      </c>
      <c r="J42" s="38">
        <f>IFERROR(HYPERLINK("#'Main'!B"&amp;MATCH(TRIM(A42),'Main'!B:B,0),"Open"),HYPERLINK("#'Main'!B1","Open"))</f>
        <v/>
      </c>
    </row>
    <row r="43" ht="18" customHeight="1">
      <c r="A43" s="35" t="inlineStr">
        <is>
          <t>https://africanmarketingconfederation.org/smoke-archive/page-43</t>
        </is>
      </c>
      <c r="B43" s="28" t="n">
        <v>0</v>
      </c>
      <c r="C43" s="28" t="n">
        <v>0</v>
      </c>
      <c r="D43" s="28" t="inlineStr"/>
      <c r="E43" s="28" t="n">
        <v>0.012048</v>
      </c>
      <c r="F43" s="28" t="n">
        <v>30.5</v>
      </c>
      <c r="G43" s="28" t="n">
        <v>-1</v>
      </c>
      <c r="H43" s="28" t="inlineStr">
        <is>
          <t>Orphan</t>
        </is>
      </c>
      <c r="I43" s="28" t="inlineStr">
        <is>
          <t>Add contextual internal links from hub pages and navigation.</t>
        </is>
      </c>
      <c r="J43">
        <f>IFERROR(HYPERLINK("#'Main'!B"&amp;MATCH(TRIM(A43),'Main'!B:B,0),"Open"),HYPERLINK("#'Main'!B1","Open"))</f>
        <v/>
      </c>
    </row>
    <row r="44" ht="18" customHeight="1">
      <c r="A44" s="37" t="inlineStr">
        <is>
          <t>https://africanmarketingconfederation.org/smoke-archive/page-45</t>
        </is>
      </c>
      <c r="B44" s="30" t="n">
        <v>0</v>
      </c>
      <c r="C44" s="30" t="n">
        <v>0</v>
      </c>
      <c r="D44" s="30" t="inlineStr"/>
      <c r="E44" s="30" t="n">
        <v>0.012048</v>
      </c>
      <c r="F44" s="30" t="n">
        <v>51.2</v>
      </c>
      <c r="G44" s="30" t="n">
        <v>-1</v>
      </c>
      <c r="H44" s="30" t="inlineStr">
        <is>
          <t>Orphan</t>
        </is>
      </c>
      <c r="I44" s="30" t="inlineStr">
        <is>
          <t>Add contextual internal links from hub pages and navigation.</t>
        </is>
      </c>
      <c r="J44" s="38">
        <f>IFERROR(HYPERLINK("#'Main'!B"&amp;MATCH(TRIM(A44),'Main'!B:B,0),"Open"),HYPERLINK("#'Main'!B1","Open"))</f>
        <v/>
      </c>
    </row>
    <row r="45" ht="18" customHeight="1">
      <c r="A45" s="35" t="inlineStr">
        <is>
          <t>https://africanmarketingconfederation.org/smoke-archive/page-46</t>
        </is>
      </c>
      <c r="B45" s="28" t="n">
        <v>0</v>
      </c>
      <c r="C45" s="28" t="n">
        <v>0</v>
      </c>
      <c r="D45" s="28" t="inlineStr"/>
      <c r="E45" s="28" t="n">
        <v>0.012048</v>
      </c>
      <c r="F45" s="28" t="n">
        <v>89</v>
      </c>
      <c r="G45" s="28" t="n">
        <v>-1</v>
      </c>
      <c r="H45" s="28" t="inlineStr">
        <is>
          <t>Orphan</t>
        </is>
      </c>
      <c r="I45" s="28" t="inlineStr">
        <is>
          <t>Add contextual internal links from hub pages and navigation.</t>
        </is>
      </c>
      <c r="J45">
        <f>IFERROR(HYPERLINK("#'Main'!B"&amp;MATCH(TRIM(A45),'Main'!B:B,0),"Open"),HYPERLINK("#'Main'!B1","Open"))</f>
        <v/>
      </c>
    </row>
    <row r="46" ht="18" customHeight="1">
      <c r="A46" s="37" t="inlineStr">
        <is>
          <t>https://africanmarketingconfederation.org/smoke-archive/page-47</t>
        </is>
      </c>
      <c r="B46" s="30" t="n">
        <v>0</v>
      </c>
      <c r="C46" s="30" t="n">
        <v>0</v>
      </c>
      <c r="D46" s="30" t="inlineStr"/>
      <c r="E46" s="30" t="n">
        <v>0.012048</v>
      </c>
      <c r="F46" s="30" t="n">
        <v>31.7</v>
      </c>
      <c r="G46" s="30" t="n">
        <v>-1</v>
      </c>
      <c r="H46" s="30" t="inlineStr">
        <is>
          <t>Orphan</t>
        </is>
      </c>
      <c r="I46" s="30" t="inlineStr">
        <is>
          <t>Add contextual internal links from hub pages and navigation.</t>
        </is>
      </c>
      <c r="J46" s="38">
        <f>IFERROR(HYPERLINK("#'Main'!B"&amp;MATCH(TRIM(A46),'Main'!B:B,0),"Open"),HYPERLINK("#'Main'!B1","Open"))</f>
        <v/>
      </c>
    </row>
    <row r="47" ht="18" customHeight="1">
      <c r="A47" s="35" t="inlineStr">
        <is>
          <t>https://africanmarketingconfederation.org/smoke-archive/page-48</t>
        </is>
      </c>
      <c r="B47" s="28" t="n">
        <v>0</v>
      </c>
      <c r="C47" s="28" t="n">
        <v>0</v>
      </c>
      <c r="D47" s="28" t="inlineStr"/>
      <c r="E47" s="28" t="n">
        <v>0.012048</v>
      </c>
      <c r="F47" s="28" t="n">
        <v>37.8</v>
      </c>
      <c r="G47" s="28" t="n">
        <v>-1</v>
      </c>
      <c r="H47" s="28" t="inlineStr">
        <is>
          <t>Orphan</t>
        </is>
      </c>
      <c r="I47" s="28" t="inlineStr">
        <is>
          <t>Add contextual internal links from hub pages and navigation.</t>
        </is>
      </c>
      <c r="J47">
        <f>IFERROR(HYPERLINK("#'Main'!B"&amp;MATCH(TRIM(A47),'Main'!B:B,0),"Open"),HYPERLINK("#'Main'!B1","Open"))</f>
        <v/>
      </c>
    </row>
    <row r="48" ht="18" customHeight="1">
      <c r="A48" s="37" t="inlineStr">
        <is>
          <t>https://africanmarketingconfederation.org/smoke-archive/page-49</t>
        </is>
      </c>
      <c r="B48" s="30" t="n">
        <v>0</v>
      </c>
      <c r="C48" s="30" t="n">
        <v>0</v>
      </c>
      <c r="D48" s="30" t="inlineStr"/>
      <c r="E48" s="30" t="n">
        <v>0.012048</v>
      </c>
      <c r="F48" s="30" t="n">
        <v>47.6</v>
      </c>
      <c r="G48" s="30" t="n">
        <v>-1</v>
      </c>
      <c r="H48" s="30" t="inlineStr">
        <is>
          <t>Orphan</t>
        </is>
      </c>
      <c r="I48" s="30" t="inlineStr">
        <is>
          <t>Add contextual internal links from hub pages and navigation.</t>
        </is>
      </c>
      <c r="J48" s="38">
        <f>IFERROR(HYPERLINK("#'Main'!B"&amp;MATCH(TRIM(A48),'Main'!B:B,0),"Open"),HYPERLINK("#'Main'!B1","Open"))</f>
        <v/>
      </c>
    </row>
    <row r="49" ht="18" customHeight="1">
      <c r="A49" s="35" t="inlineStr">
        <is>
          <t>https://africanmarketingconfederation.org/smoke-archive/page-50</t>
        </is>
      </c>
      <c r="B49" s="28" t="n">
        <v>0</v>
      </c>
      <c r="C49" s="28" t="n">
        <v>0</v>
      </c>
      <c r="D49" s="28" t="inlineStr"/>
      <c r="E49" s="28" t="n">
        <v>0.012048</v>
      </c>
      <c r="F49" s="28" t="n">
        <v>95.09999999999999</v>
      </c>
      <c r="G49" s="28" t="n">
        <v>-1</v>
      </c>
      <c r="H49" s="28" t="inlineStr">
        <is>
          <t>Orphan</t>
        </is>
      </c>
      <c r="I49" s="28" t="inlineStr">
        <is>
          <t>Add contextual internal links from hub pages and navigation.</t>
        </is>
      </c>
      <c r="J49">
        <f>IFERROR(HYPERLINK("#'Main'!B"&amp;MATCH(TRIM(A49),'Main'!B:B,0),"Open"),HYPERLINK("#'Main'!B1","Open"))</f>
        <v/>
      </c>
    </row>
    <row r="50" ht="18" customHeight="1">
      <c r="A50" s="37" t="inlineStr">
        <is>
          <t>https://africanmarketingconfederation.org/smoke-archive/page-51</t>
        </is>
      </c>
      <c r="B50" s="30" t="n">
        <v>0</v>
      </c>
      <c r="C50" s="30" t="n">
        <v>0</v>
      </c>
      <c r="D50" s="30" t="inlineStr"/>
      <c r="E50" s="30" t="n">
        <v>0.012048</v>
      </c>
      <c r="F50" s="30" t="n">
        <v>22</v>
      </c>
      <c r="G50" s="30" t="n">
        <v>-1</v>
      </c>
      <c r="H50" s="30" t="inlineStr">
        <is>
          <t>Orphan</t>
        </is>
      </c>
      <c r="I50" s="30" t="inlineStr">
        <is>
          <t>Add contextual internal links from hub pages and navigation.</t>
        </is>
      </c>
      <c r="J50" s="38">
        <f>IFERROR(HYPERLINK("#'Main'!B"&amp;MATCH(TRIM(A50),'Main'!B:B,0),"Open"),HYPERLINK("#'Main'!B1","Open"))</f>
        <v/>
      </c>
    </row>
    <row r="51" ht="18" customHeight="1">
      <c r="A51" s="35" t="inlineStr">
        <is>
          <t>https://africanmarketingconfederation.org/smoke-archive/page-52</t>
        </is>
      </c>
      <c r="B51" s="28" t="n">
        <v>0</v>
      </c>
      <c r="C51" s="28" t="n">
        <v>0</v>
      </c>
      <c r="D51" s="28" t="inlineStr"/>
      <c r="E51" s="28" t="n">
        <v>0.012048</v>
      </c>
      <c r="F51" s="28" t="n">
        <v>100</v>
      </c>
      <c r="G51" s="28" t="n">
        <v>-1</v>
      </c>
      <c r="H51" s="28" t="inlineStr">
        <is>
          <t>Orphan</t>
        </is>
      </c>
      <c r="I51" s="28" t="inlineStr">
        <is>
          <t>Add contextual internal links from hub pages and navigation.</t>
        </is>
      </c>
      <c r="J51">
        <f>IFERROR(HYPERLINK("#'Main'!B"&amp;MATCH(TRIM(A51),'Main'!B:B,0),"Open"),HYPERLINK("#'Main'!B1","Open"))</f>
        <v/>
      </c>
    </row>
    <row r="52" ht="18" customHeight="1">
      <c r="A52" s="37" t="inlineStr">
        <is>
          <t>https://africanmarketingconfederation.org/smoke-archive/page-53</t>
        </is>
      </c>
      <c r="B52" s="30" t="n">
        <v>0</v>
      </c>
      <c r="C52" s="30" t="n">
        <v>0</v>
      </c>
      <c r="D52" s="30" t="inlineStr"/>
      <c r="E52" s="30" t="n">
        <v>0.012048</v>
      </c>
      <c r="F52" s="30" t="n">
        <v>97.59999999999999</v>
      </c>
      <c r="G52" s="30" t="n">
        <v>-1</v>
      </c>
      <c r="H52" s="30" t="inlineStr">
        <is>
          <t>Orphan</t>
        </is>
      </c>
      <c r="I52" s="30" t="inlineStr">
        <is>
          <t>Add contextual internal links from hub pages and navigation.</t>
        </is>
      </c>
      <c r="J52" s="38">
        <f>IFERROR(HYPERLINK("#'Main'!B"&amp;MATCH(TRIM(A52),'Main'!B:B,0),"Open"),HYPERLINK("#'Main'!B1","Open"))</f>
        <v/>
      </c>
    </row>
    <row r="53" ht="18" customHeight="1">
      <c r="A53" s="35" t="inlineStr">
        <is>
          <t>https://africanmarketingconfederation.org/smoke-archive/page-54</t>
        </is>
      </c>
      <c r="B53" s="28" t="n">
        <v>0</v>
      </c>
      <c r="C53" s="28" t="n">
        <v>0</v>
      </c>
      <c r="D53" s="28" t="inlineStr"/>
      <c r="E53" s="28" t="n">
        <v>0.012048</v>
      </c>
      <c r="F53" s="28" t="n">
        <v>82.90000000000001</v>
      </c>
      <c r="G53" s="28" t="n">
        <v>-1</v>
      </c>
      <c r="H53" s="28" t="inlineStr">
        <is>
          <t>Orphan</t>
        </is>
      </c>
      <c r="I53" s="28" t="inlineStr">
        <is>
          <t>Add contextual internal links from hub pages and navigation.</t>
        </is>
      </c>
      <c r="J53">
        <f>IFERROR(HYPERLINK("#'Main'!B"&amp;MATCH(TRIM(A53),'Main'!B:B,0),"Open"),HYPERLINK("#'Main'!B1","Open"))</f>
        <v/>
      </c>
    </row>
    <row r="54" ht="18" customHeight="1">
      <c r="A54" s="37" t="inlineStr">
        <is>
          <t>https://africanmarketingconfederation.org/smoke-archive/page-56</t>
        </is>
      </c>
      <c r="B54" s="30" t="n">
        <v>0</v>
      </c>
      <c r="C54" s="30" t="n">
        <v>0</v>
      </c>
      <c r="D54" s="30" t="inlineStr"/>
      <c r="E54" s="30" t="n">
        <v>0.012048</v>
      </c>
      <c r="F54" s="30" t="n">
        <v>46.3</v>
      </c>
      <c r="G54" s="30" t="n">
        <v>-1</v>
      </c>
      <c r="H54" s="30" t="inlineStr">
        <is>
          <t>Orphan</t>
        </is>
      </c>
      <c r="I54" s="30" t="inlineStr">
        <is>
          <t>Add contextual internal links from hub pages and navigation.</t>
        </is>
      </c>
      <c r="J54" s="38">
        <f>IFERROR(HYPERLINK("#'Main'!B"&amp;MATCH(TRIM(A54),'Main'!B:B,0),"Open"),HYPERLINK("#'Main'!B1","Open"))</f>
        <v/>
      </c>
    </row>
    <row r="55" ht="18" customHeight="1">
      <c r="A55" s="35" t="inlineStr">
        <is>
          <t>https://africanmarketingconfederation.org/smoke-archive/page-57</t>
        </is>
      </c>
      <c r="B55" s="28" t="n">
        <v>0</v>
      </c>
      <c r="C55" s="28" t="n">
        <v>0</v>
      </c>
      <c r="D55" s="28" t="inlineStr"/>
      <c r="E55" s="28" t="n">
        <v>0.012048</v>
      </c>
      <c r="F55" s="28" t="n">
        <v>8.5</v>
      </c>
      <c r="G55" s="28" t="n">
        <v>-1</v>
      </c>
      <c r="H55" s="28" t="inlineStr">
        <is>
          <t>Orphan</t>
        </is>
      </c>
      <c r="I55" s="28" t="inlineStr">
        <is>
          <t>Add contextual internal links from hub pages and navigation.</t>
        </is>
      </c>
      <c r="J55">
        <f>IFERROR(HYPERLINK("#'Main'!B"&amp;MATCH(TRIM(A55),'Main'!B:B,0),"Open"),HYPERLINK("#'Main'!B1","Open"))</f>
        <v/>
      </c>
    </row>
    <row r="56" ht="18" customHeight="1">
      <c r="A56" s="37" t="inlineStr">
        <is>
          <t>https://africanmarketingconfederation.org/smoke-archive/page-58</t>
        </is>
      </c>
      <c r="B56" s="30" t="n">
        <v>0</v>
      </c>
      <c r="C56" s="30" t="n">
        <v>0</v>
      </c>
      <c r="D56" s="30" t="inlineStr"/>
      <c r="E56" s="30" t="n">
        <v>0.012048</v>
      </c>
      <c r="F56" s="30" t="n">
        <v>9.800000000000001</v>
      </c>
      <c r="G56" s="30" t="n">
        <v>-1</v>
      </c>
      <c r="H56" s="30" t="inlineStr">
        <is>
          <t>Orphan</t>
        </is>
      </c>
      <c r="I56" s="30" t="inlineStr">
        <is>
          <t>Add contextual internal links from hub pages and navigation.</t>
        </is>
      </c>
      <c r="J56" s="38">
        <f>IFERROR(HYPERLINK("#'Main'!B"&amp;MATCH(TRIM(A56),'Main'!B:B,0),"Open"),HYPERLINK("#'Main'!B1","Open"))</f>
        <v/>
      </c>
    </row>
    <row r="57" ht="18" customHeight="1">
      <c r="A57" s="35" t="inlineStr">
        <is>
          <t>https://africanmarketingconfederation.org/smoke-archive/page-59</t>
        </is>
      </c>
      <c r="B57" s="28" t="n">
        <v>0</v>
      </c>
      <c r="C57" s="28" t="n">
        <v>0</v>
      </c>
      <c r="D57" s="28" t="inlineStr"/>
      <c r="E57" s="28" t="n">
        <v>0.012048</v>
      </c>
      <c r="F57" s="28" t="n">
        <v>1.2</v>
      </c>
      <c r="G57" s="28" t="n">
        <v>-1</v>
      </c>
      <c r="H57" s="28" t="inlineStr">
        <is>
          <t>Orphan</t>
        </is>
      </c>
      <c r="I57" s="28" t="inlineStr">
        <is>
          <t>Add contextual internal links from hub pages and navigation.</t>
        </is>
      </c>
      <c r="J57">
        <f>IFERROR(HYPERLINK("#'Main'!B"&amp;MATCH(TRIM(A57),'Main'!B:B,0),"Open"),HYPERLINK("#'Main'!B1","Open"))</f>
        <v/>
      </c>
    </row>
    <row r="58" ht="18" customHeight="1">
      <c r="A58" s="37" t="inlineStr">
        <is>
          <t>https://africanmarketingconfederation.org/smoke-archive/page-60</t>
        </is>
      </c>
      <c r="B58" s="30" t="n">
        <v>0</v>
      </c>
      <c r="C58" s="30" t="n">
        <v>0</v>
      </c>
      <c r="D58" s="30" t="inlineStr"/>
      <c r="E58" s="30" t="n">
        <v>0.012048</v>
      </c>
      <c r="F58" s="30" t="n">
        <v>39</v>
      </c>
      <c r="G58" s="30" t="n">
        <v>-1</v>
      </c>
      <c r="H58" s="30" t="inlineStr">
        <is>
          <t>Orphan</t>
        </is>
      </c>
      <c r="I58" s="30" t="inlineStr">
        <is>
          <t>Add contextual internal links from hub pages and navigation.</t>
        </is>
      </c>
      <c r="J58" s="38">
        <f>IFERROR(HYPERLINK("#'Main'!B"&amp;MATCH(TRIM(A58),'Main'!B:B,0),"Open"),HYPERLINK("#'Main'!B1","Open"))</f>
        <v/>
      </c>
    </row>
    <row r="59" ht="18" customHeight="1">
      <c r="A59" s="35" t="inlineStr">
        <is>
          <t>https://africanmarketingconfederation.org/smoke-archive/page-61</t>
        </is>
      </c>
      <c r="B59" s="28" t="n">
        <v>0</v>
      </c>
      <c r="C59" s="28" t="n">
        <v>0</v>
      </c>
      <c r="D59" s="28" t="inlineStr"/>
      <c r="E59" s="28" t="n">
        <v>0.012048</v>
      </c>
      <c r="F59" s="28" t="n">
        <v>84.09999999999999</v>
      </c>
      <c r="G59" s="28" t="n">
        <v>-1</v>
      </c>
      <c r="H59" s="28" t="inlineStr">
        <is>
          <t>Orphan</t>
        </is>
      </c>
      <c r="I59" s="28" t="inlineStr">
        <is>
          <t>Add contextual internal links from hub pages and navigation.</t>
        </is>
      </c>
      <c r="J59">
        <f>IFERROR(HYPERLINK("#'Main'!B"&amp;MATCH(TRIM(A59),'Main'!B:B,0),"Open"),HYPERLINK("#'Main'!B1","Open"))</f>
        <v/>
      </c>
    </row>
    <row r="60" ht="18" customHeight="1">
      <c r="A60" s="37" t="inlineStr">
        <is>
          <t>https://africanmarketingconfederation.org/smoke-archive/page-62</t>
        </is>
      </c>
      <c r="B60" s="30" t="n">
        <v>0</v>
      </c>
      <c r="C60" s="30" t="n">
        <v>0</v>
      </c>
      <c r="D60" s="30" t="inlineStr"/>
      <c r="E60" s="30" t="n">
        <v>0.012048</v>
      </c>
      <c r="F60" s="30" t="n">
        <v>93.90000000000001</v>
      </c>
      <c r="G60" s="30" t="n">
        <v>-1</v>
      </c>
      <c r="H60" s="30" t="inlineStr">
        <is>
          <t>Orphan</t>
        </is>
      </c>
      <c r="I60" s="30" t="inlineStr">
        <is>
          <t>Add contextual internal links from hub pages and navigation.</t>
        </is>
      </c>
      <c r="J60" s="38">
        <f>IFERROR(HYPERLINK("#'Main'!B"&amp;MATCH(TRIM(A60),'Main'!B:B,0),"Open"),HYPERLINK("#'Main'!B1","Open"))</f>
        <v/>
      </c>
    </row>
    <row r="61" ht="18" customHeight="1">
      <c r="A61" s="35" t="inlineStr">
        <is>
          <t>https://africanmarketingconfederation.org/smoke-archive/page-63</t>
        </is>
      </c>
      <c r="B61" s="28" t="n">
        <v>0</v>
      </c>
      <c r="C61" s="28" t="n">
        <v>0</v>
      </c>
      <c r="D61" s="28" t="inlineStr"/>
      <c r="E61" s="28" t="n">
        <v>0.012048</v>
      </c>
      <c r="F61" s="28" t="n">
        <v>86.59999999999999</v>
      </c>
      <c r="G61" s="28" t="n">
        <v>-1</v>
      </c>
      <c r="H61" s="28" t="inlineStr">
        <is>
          <t>Orphan</t>
        </is>
      </c>
      <c r="I61" s="28" t="inlineStr">
        <is>
          <t>Add contextual internal links from hub pages and navigation.</t>
        </is>
      </c>
      <c r="J61">
        <f>IFERROR(HYPERLINK("#'Main'!B"&amp;MATCH(TRIM(A61),'Main'!B:B,0),"Open"),HYPERLINK("#'Main'!B1","Open"))</f>
        <v/>
      </c>
    </row>
    <row r="62" ht="18" customHeight="1">
      <c r="A62" s="37" t="inlineStr">
        <is>
          <t>https://africanmarketingconfederation.org/smoke-archive/page-64</t>
        </is>
      </c>
      <c r="B62" s="30" t="n">
        <v>0</v>
      </c>
      <c r="C62" s="30" t="n">
        <v>0</v>
      </c>
      <c r="D62" s="30" t="inlineStr"/>
      <c r="E62" s="30" t="n">
        <v>0.012048</v>
      </c>
      <c r="F62" s="30" t="n">
        <v>41.5</v>
      </c>
      <c r="G62" s="30" t="n">
        <v>-1</v>
      </c>
      <c r="H62" s="30" t="inlineStr">
        <is>
          <t>Orphan</t>
        </is>
      </c>
      <c r="I62" s="30" t="inlineStr">
        <is>
          <t>Add contextual internal links from hub pages and navigation.</t>
        </is>
      </c>
      <c r="J62" s="38">
        <f>IFERROR(HYPERLINK("#'Main'!B"&amp;MATCH(TRIM(A62),'Main'!B:B,0),"Open"),HYPERLINK("#'Main'!B1","Open"))</f>
        <v/>
      </c>
    </row>
    <row r="63" ht="18" customHeight="1">
      <c r="A63" s="35" t="inlineStr">
        <is>
          <t>https://africanmarketingconfederation.org/smoke-archive/page-65</t>
        </is>
      </c>
      <c r="B63" s="28" t="n">
        <v>0</v>
      </c>
      <c r="C63" s="28" t="n">
        <v>0</v>
      </c>
      <c r="D63" s="28" t="inlineStr"/>
      <c r="E63" s="28" t="n">
        <v>0.012048</v>
      </c>
      <c r="F63" s="28" t="n">
        <v>72</v>
      </c>
      <c r="G63" s="28" t="n">
        <v>-1</v>
      </c>
      <c r="H63" s="28" t="inlineStr">
        <is>
          <t>Orphan</t>
        </is>
      </c>
      <c r="I63" s="28" t="inlineStr">
        <is>
          <t>Add contextual internal links from hub pages and navigation.</t>
        </is>
      </c>
      <c r="J63">
        <f>IFERROR(HYPERLINK("#'Main'!B"&amp;MATCH(TRIM(A63),'Main'!B:B,0),"Open"),HYPERLINK("#'Main'!B1","Open"))</f>
        <v/>
      </c>
    </row>
    <row r="64" ht="18" customHeight="1">
      <c r="A64" s="37" t="inlineStr">
        <is>
          <t>https://africanmarketingconfederation.org/smoke-archive/page-67</t>
        </is>
      </c>
      <c r="B64" s="30" t="n">
        <v>0</v>
      </c>
      <c r="C64" s="30" t="n">
        <v>0</v>
      </c>
      <c r="D64" s="30" t="inlineStr"/>
      <c r="E64" s="30" t="n">
        <v>0.012048</v>
      </c>
      <c r="F64" s="30" t="n">
        <v>59.8</v>
      </c>
      <c r="G64" s="30" t="n">
        <v>-1</v>
      </c>
      <c r="H64" s="30" t="inlineStr">
        <is>
          <t>Orphan</t>
        </is>
      </c>
      <c r="I64" s="30" t="inlineStr">
        <is>
          <t>Add contextual internal links from hub pages and navigation.</t>
        </is>
      </c>
      <c r="J64" s="38">
        <f>IFERROR(HYPERLINK("#'Main'!B"&amp;MATCH(TRIM(A64),'Main'!B:B,0),"Open"),HYPERLINK("#'Main'!B1","Open"))</f>
        <v/>
      </c>
    </row>
    <row r="65" ht="18" customHeight="1">
      <c r="A65" s="35" t="inlineStr">
        <is>
          <t>https://africanmarketingconfederation.org/smoke-archive/page-68</t>
        </is>
      </c>
      <c r="B65" s="28" t="n">
        <v>0</v>
      </c>
      <c r="C65" s="28" t="n">
        <v>0</v>
      </c>
      <c r="D65" s="28" t="inlineStr"/>
      <c r="E65" s="28" t="n">
        <v>0.012048</v>
      </c>
      <c r="F65" s="28" t="n">
        <v>29.3</v>
      </c>
      <c r="G65" s="28" t="n">
        <v>-1</v>
      </c>
      <c r="H65" s="28" t="inlineStr">
        <is>
          <t>Orphan</t>
        </is>
      </c>
      <c r="I65" s="28" t="inlineStr">
        <is>
          <t>Add contextual internal links from hub pages and navigation.</t>
        </is>
      </c>
      <c r="J65">
        <f>IFERROR(HYPERLINK("#'Main'!B"&amp;MATCH(TRIM(A65),'Main'!B:B,0),"Open"),HYPERLINK("#'Main'!B1","Open"))</f>
        <v/>
      </c>
    </row>
    <row r="66" ht="18" customHeight="1">
      <c r="A66" s="37" t="inlineStr">
        <is>
          <t>https://africanmarketingconfederation.org/smoke-archive/page-69</t>
        </is>
      </c>
      <c r="B66" s="30" t="n">
        <v>0</v>
      </c>
      <c r="C66" s="30" t="n">
        <v>0</v>
      </c>
      <c r="D66" s="30" t="inlineStr"/>
      <c r="E66" s="30" t="n">
        <v>0.012048</v>
      </c>
      <c r="F66" s="30" t="n">
        <v>81.7</v>
      </c>
      <c r="G66" s="30" t="n">
        <v>-1</v>
      </c>
      <c r="H66" s="30" t="inlineStr">
        <is>
          <t>Orphan</t>
        </is>
      </c>
      <c r="I66" s="30" t="inlineStr">
        <is>
          <t>Add contextual internal links from hub pages and navigation.</t>
        </is>
      </c>
      <c r="J66" s="38">
        <f>IFERROR(HYPERLINK("#'Main'!B"&amp;MATCH(TRIM(A66),'Main'!B:B,0),"Open"),HYPERLINK("#'Main'!B1","Open"))</f>
        <v/>
      </c>
    </row>
    <row r="67" ht="18" customHeight="1">
      <c r="A67" s="35" t="inlineStr">
        <is>
          <t>https://africanmarketingconfederation.org/smoke-archive/page-70</t>
        </is>
      </c>
      <c r="B67" s="28" t="n">
        <v>0</v>
      </c>
      <c r="C67" s="28" t="n">
        <v>0</v>
      </c>
      <c r="D67" s="28" t="inlineStr"/>
      <c r="E67" s="28" t="n">
        <v>0.012048</v>
      </c>
      <c r="F67" s="28" t="n">
        <v>15.9</v>
      </c>
      <c r="G67" s="28" t="n">
        <v>-1</v>
      </c>
      <c r="H67" s="28" t="inlineStr">
        <is>
          <t>Orphan</t>
        </is>
      </c>
      <c r="I67" s="28" t="inlineStr">
        <is>
          <t>Add contextual internal links from hub pages and navigation.</t>
        </is>
      </c>
      <c r="J67">
        <f>IFERROR(HYPERLINK("#'Main'!B"&amp;MATCH(TRIM(A67),'Main'!B:B,0),"Open"),HYPERLINK("#'Main'!B1","Open"))</f>
        <v/>
      </c>
    </row>
    <row r="68" ht="18" customHeight="1">
      <c r="A68" s="37" t="inlineStr">
        <is>
          <t>https://africanmarketingconfederation.org/smoke-archive/page-71</t>
        </is>
      </c>
      <c r="B68" s="30" t="n">
        <v>0</v>
      </c>
      <c r="C68" s="30" t="n">
        <v>0</v>
      </c>
      <c r="D68" s="30" t="inlineStr"/>
      <c r="E68" s="30" t="n">
        <v>0.012048</v>
      </c>
      <c r="F68" s="30" t="n">
        <v>43.9</v>
      </c>
      <c r="G68" s="30" t="n">
        <v>-1</v>
      </c>
      <c r="H68" s="30" t="inlineStr">
        <is>
          <t>Orphan</t>
        </is>
      </c>
      <c r="I68" s="30" t="inlineStr">
        <is>
          <t>Add contextual internal links from hub pages and navigation.</t>
        </is>
      </c>
      <c r="J68" s="38">
        <f>IFERROR(HYPERLINK("#'Main'!B"&amp;MATCH(TRIM(A68),'Main'!B:B,0),"Open"),HYPERLINK("#'Main'!B1","Open"))</f>
        <v/>
      </c>
    </row>
    <row r="69" ht="18" customHeight="1">
      <c r="A69" s="35" t="inlineStr">
        <is>
          <t>https://africanmarketingconfederation.org/smoke-archive/page-72</t>
        </is>
      </c>
      <c r="B69" s="28" t="n">
        <v>0</v>
      </c>
      <c r="C69" s="28" t="n">
        <v>0</v>
      </c>
      <c r="D69" s="28" t="inlineStr"/>
      <c r="E69" s="28" t="n">
        <v>0.012048</v>
      </c>
      <c r="F69" s="28" t="n">
        <v>70.7</v>
      </c>
      <c r="G69" s="28" t="n">
        <v>-1</v>
      </c>
      <c r="H69" s="28" t="inlineStr">
        <is>
          <t>Orphan</t>
        </is>
      </c>
      <c r="I69" s="28" t="inlineStr">
        <is>
          <t>Add contextual internal links from hub pages and navigation.</t>
        </is>
      </c>
      <c r="J69">
        <f>IFERROR(HYPERLINK("#'Main'!B"&amp;MATCH(TRIM(A69),'Main'!B:B,0),"Open"),HYPERLINK("#'Main'!B1","Open"))</f>
        <v/>
      </c>
    </row>
    <row r="70" ht="18" customHeight="1">
      <c r="A70" s="37" t="inlineStr">
        <is>
          <t>https://africanmarketingconfederation.org/smoke-archive/page-73</t>
        </is>
      </c>
      <c r="B70" s="30" t="n">
        <v>0</v>
      </c>
      <c r="C70" s="30" t="n">
        <v>0</v>
      </c>
      <c r="D70" s="30" t="inlineStr"/>
      <c r="E70" s="30" t="n">
        <v>0.012048</v>
      </c>
      <c r="F70" s="30" t="n">
        <v>17.1</v>
      </c>
      <c r="G70" s="30" t="n">
        <v>-1</v>
      </c>
      <c r="H70" s="30" t="inlineStr">
        <is>
          <t>Orphan</t>
        </is>
      </c>
      <c r="I70" s="30" t="inlineStr">
        <is>
          <t>Add contextual internal links from hub pages and navigation.</t>
        </is>
      </c>
      <c r="J70" s="38">
        <f>IFERROR(HYPERLINK("#'Main'!B"&amp;MATCH(TRIM(A70),'Main'!B:B,0),"Open"),HYPERLINK("#'Main'!B1","Open"))</f>
        <v/>
      </c>
    </row>
    <row r="71" ht="18" customHeight="1">
      <c r="A71" s="35" t="inlineStr">
        <is>
          <t>https://africanmarketingconfederation.org/smoke-archive/page-74</t>
        </is>
      </c>
      <c r="B71" s="28" t="n">
        <v>0</v>
      </c>
      <c r="C71" s="28" t="n">
        <v>0</v>
      </c>
      <c r="D71" s="28" t="inlineStr"/>
      <c r="E71" s="28" t="n">
        <v>0.012048</v>
      </c>
      <c r="F71" s="28" t="n">
        <v>61</v>
      </c>
      <c r="G71" s="28" t="n">
        <v>-1</v>
      </c>
      <c r="H71" s="28" t="inlineStr">
        <is>
          <t>Orphan</t>
        </is>
      </c>
      <c r="I71" s="28" t="inlineStr">
        <is>
          <t>Add contextual internal links from hub pages and navigation.</t>
        </is>
      </c>
      <c r="J71">
        <f>IFERROR(HYPERLINK("#'Main'!B"&amp;MATCH(TRIM(A71),'Main'!B:B,0),"Open"),HYPERLINK("#'Main'!B1","Open"))</f>
        <v/>
      </c>
    </row>
    <row r="72" ht="18" customHeight="1">
      <c r="A72" s="37" t="inlineStr">
        <is>
          <t>https://africanmarketingconfederation.org/smoke-archive/page-75</t>
        </is>
      </c>
      <c r="B72" s="30" t="n">
        <v>0</v>
      </c>
      <c r="C72" s="30" t="n">
        <v>0</v>
      </c>
      <c r="D72" s="30" t="inlineStr"/>
      <c r="E72" s="30" t="n">
        <v>0.012048</v>
      </c>
      <c r="F72" s="30" t="n">
        <v>87.8</v>
      </c>
      <c r="G72" s="30" t="n">
        <v>-1</v>
      </c>
      <c r="H72" s="30" t="inlineStr">
        <is>
          <t>Orphan</t>
        </is>
      </c>
      <c r="I72" s="30" t="inlineStr">
        <is>
          <t>Add contextual internal links from hub pages and navigation.</t>
        </is>
      </c>
      <c r="J72" s="38">
        <f>IFERROR(HYPERLINK("#'Main'!B"&amp;MATCH(TRIM(A72),'Main'!B:B,0),"Open"),HYPERLINK("#'Main'!B1","Open"))</f>
        <v/>
      </c>
    </row>
    <row r="73" ht="18" customHeight="1">
      <c r="A73" s="35" t="inlineStr">
        <is>
          <t>https://africanmarketingconfederation.org/smoke-archive/page-76</t>
        </is>
      </c>
      <c r="B73" s="28" t="n">
        <v>0</v>
      </c>
      <c r="C73" s="28" t="n">
        <v>0</v>
      </c>
      <c r="D73" s="28" t="inlineStr"/>
      <c r="E73" s="28" t="n">
        <v>0.012048</v>
      </c>
      <c r="F73" s="28" t="n">
        <v>58.5</v>
      </c>
      <c r="G73" s="28" t="n">
        <v>-1</v>
      </c>
      <c r="H73" s="28" t="inlineStr">
        <is>
          <t>Orphan</t>
        </is>
      </c>
      <c r="I73" s="28" t="inlineStr">
        <is>
          <t>Add contextual internal links from hub pages and navigation.</t>
        </is>
      </c>
      <c r="J73">
        <f>IFERROR(HYPERLINK("#'Main'!B"&amp;MATCH(TRIM(A73),'Main'!B:B,0),"Open"),HYPERLINK("#'Main'!B1","Open"))</f>
        <v/>
      </c>
    </row>
    <row r="74" ht="18" customHeight="1">
      <c r="A74" s="37" t="inlineStr">
        <is>
          <t>https://africanmarketingconfederation.org/smoke-archive/page-78</t>
        </is>
      </c>
      <c r="B74" s="30" t="n">
        <v>0</v>
      </c>
      <c r="C74" s="30" t="n">
        <v>0</v>
      </c>
      <c r="D74" s="30" t="inlineStr"/>
      <c r="E74" s="30" t="n">
        <v>0.012048</v>
      </c>
      <c r="F74" s="30" t="n">
        <v>78</v>
      </c>
      <c r="G74" s="30" t="n">
        <v>-1</v>
      </c>
      <c r="H74" s="30" t="inlineStr">
        <is>
          <t>Orphan</t>
        </is>
      </c>
      <c r="I74" s="30" t="inlineStr">
        <is>
          <t>Add contextual internal links from hub pages and navigation.</t>
        </is>
      </c>
      <c r="J74" s="38">
        <f>IFERROR(HYPERLINK("#'Main'!B"&amp;MATCH(TRIM(A74),'Main'!B:B,0),"Open"),HYPERLINK("#'Main'!B1","Open"))</f>
        <v/>
      </c>
    </row>
    <row r="75" ht="18" customHeight="1">
      <c r="A75" s="35" t="inlineStr">
        <is>
          <t>https://africanmarketingconfederation.org/smoke-archive/page-79</t>
        </is>
      </c>
      <c r="B75" s="28" t="n">
        <v>0</v>
      </c>
      <c r="C75" s="28" t="n">
        <v>0</v>
      </c>
      <c r="D75" s="28" t="inlineStr"/>
      <c r="E75" s="28" t="n">
        <v>0.012048</v>
      </c>
      <c r="F75" s="28" t="n">
        <v>45.1</v>
      </c>
      <c r="G75" s="28" t="n">
        <v>-1</v>
      </c>
      <c r="H75" s="28" t="inlineStr">
        <is>
          <t>Orphan</t>
        </is>
      </c>
      <c r="I75" s="28" t="inlineStr">
        <is>
          <t>Add contextual internal links from hub pages and navigation.</t>
        </is>
      </c>
      <c r="J75">
        <f>IFERROR(HYPERLINK("#'Main'!B"&amp;MATCH(TRIM(A75),'Main'!B:B,0),"Open"),HYPERLINK("#'Main'!B1","Open"))</f>
        <v/>
      </c>
    </row>
    <row r="76" ht="18" customHeight="1">
      <c r="A76" s="37" t="inlineStr">
        <is>
          <t>https://africanmarketingconfederation.org/discovered-via-bfs-1</t>
        </is>
      </c>
      <c r="B76" s="30" t="n">
        <v>0</v>
      </c>
      <c r="C76" s="30" t="n">
        <v>0</v>
      </c>
      <c r="D76" s="30" t="inlineStr"/>
      <c r="E76" s="30" t="n">
        <v>0.012048</v>
      </c>
      <c r="F76" s="30" t="n">
        <v>54.9</v>
      </c>
      <c r="G76" s="30" t="n">
        <v>-1</v>
      </c>
      <c r="H76" s="30" t="inlineStr">
        <is>
          <t>Orphan</t>
        </is>
      </c>
      <c r="I76" s="30" t="inlineStr">
        <is>
          <t>Add contextual internal links from hub pages and navigation.</t>
        </is>
      </c>
      <c r="J76" s="38">
        <f>IFERROR(HYPERLINK("#'Main'!B"&amp;MATCH(TRIM(A76),'Main'!B:B,0),"Open"),HYPERLINK("#'Main'!B1","Open"))</f>
        <v/>
      </c>
    </row>
    <row r="77" ht="18" customHeight="1">
      <c r="A77" s="35" t="inlineStr">
        <is>
          <t>https://africanmarketingconfederation.org/discovered-via-bfs-2</t>
        </is>
      </c>
      <c r="B77" s="28" t="n">
        <v>0</v>
      </c>
      <c r="C77" s="28" t="n">
        <v>0</v>
      </c>
      <c r="D77" s="28" t="inlineStr"/>
      <c r="E77" s="28" t="n">
        <v>0.012048</v>
      </c>
      <c r="F77" s="28" t="n">
        <v>63.4</v>
      </c>
      <c r="G77" s="28" t="n">
        <v>-1</v>
      </c>
      <c r="H77" s="28" t="inlineStr">
        <is>
          <t>Orphan</t>
        </is>
      </c>
      <c r="I77" s="28" t="inlineStr">
        <is>
          <t>Add contextual internal links from hub pages and navigation.</t>
        </is>
      </c>
      <c r="J77">
        <f>IFERROR(HYPERLINK("#'Main'!B"&amp;MATCH(TRIM(A77),'Main'!B:B,0),"Open"),HYPERLINK("#'Main'!B1","Open"))</f>
        <v/>
      </c>
    </row>
    <row r="78" ht="18" customHeight="1">
      <c r="A78" s="37" t="inlineStr">
        <is>
          <t>https://africanmarketingconfederation.org/discovered-via-bfs-3</t>
        </is>
      </c>
      <c r="B78" s="30" t="n">
        <v>0</v>
      </c>
      <c r="C78" s="30" t="n">
        <v>0</v>
      </c>
      <c r="D78" s="30" t="inlineStr"/>
      <c r="E78" s="30" t="n">
        <v>0.012048</v>
      </c>
      <c r="F78" s="30" t="n">
        <v>26.8</v>
      </c>
      <c r="G78" s="30" t="n">
        <v>-1</v>
      </c>
      <c r="H78" s="30" t="inlineStr">
        <is>
          <t>Orphan</t>
        </is>
      </c>
      <c r="I78" s="30" t="inlineStr">
        <is>
          <t>Add contextual internal links from hub pages and navigation.</t>
        </is>
      </c>
      <c r="J78" s="38">
        <f>IFERROR(HYPERLINK("#'Main'!B"&amp;MATCH(TRIM(A78),'Main'!B:B,0),"Open"),HYPERLINK("#'Main'!B1","Open"))</f>
        <v/>
      </c>
    </row>
    <row r="79" ht="18" customHeight="1">
      <c r="A79" s="35" t="inlineStr">
        <is>
          <t>https://africanmarketingconfederation.org/smoke-archive/page-11</t>
        </is>
      </c>
      <c r="B79" s="28" t="n">
        <v>0</v>
      </c>
      <c r="C79" s="28" t="n">
        <v>0</v>
      </c>
      <c r="D79" s="28" t="inlineStr"/>
      <c r="E79" s="28" t="n">
        <v>0</v>
      </c>
      <c r="F79" s="28" t="n">
        <v>0</v>
      </c>
      <c r="G79" s="28" t="n">
        <v>-1</v>
      </c>
      <c r="H79" s="28" t="inlineStr">
        <is>
          <t>Low</t>
        </is>
      </c>
      <c r="I79" s="28" t="inlineStr">
        <is>
          <t>Increase internal links from high-equity pages with descriptive anchors.</t>
        </is>
      </c>
      <c r="J79">
        <f>IFERROR(HYPERLINK("#'Main'!B"&amp;MATCH(TRIM(A79),'Main'!B:B,0),"Open"),HYPERLINK("#'Main'!B1","Open"))</f>
        <v/>
      </c>
    </row>
    <row r="80" ht="18" customHeight="1">
      <c r="A80" s="37" t="inlineStr">
        <is>
          <t>https://africanmarketingconfederation.org/smoke-archive/page-22</t>
        </is>
      </c>
      <c r="B80" s="30" t="n">
        <v>0</v>
      </c>
      <c r="C80" s="30" t="n">
        <v>0</v>
      </c>
      <c r="D80" s="30" t="inlineStr"/>
      <c r="E80" s="30" t="n">
        <v>0</v>
      </c>
      <c r="F80" s="30" t="n">
        <v>0</v>
      </c>
      <c r="G80" s="30" t="n">
        <v>-1</v>
      </c>
      <c r="H80" s="30" t="inlineStr">
        <is>
          <t>Low</t>
        </is>
      </c>
      <c r="I80" s="30" t="inlineStr">
        <is>
          <t>Increase internal links from high-equity pages with descriptive anchors.</t>
        </is>
      </c>
      <c r="J80" s="38">
        <f>IFERROR(HYPERLINK("#'Main'!B"&amp;MATCH(TRIM(A80),'Main'!B:B,0),"Open"),HYPERLINK("#'Main'!B1","Open"))</f>
        <v/>
      </c>
    </row>
    <row r="81" ht="18" customHeight="1">
      <c r="A81" s="35" t="inlineStr">
        <is>
          <t>https://africanmarketingconfederation.org/smoke-archive/page-33</t>
        </is>
      </c>
      <c r="B81" s="28" t="n">
        <v>0</v>
      </c>
      <c r="C81" s="28" t="n">
        <v>0</v>
      </c>
      <c r="D81" s="28" t="inlineStr"/>
      <c r="E81" s="28" t="n">
        <v>0</v>
      </c>
      <c r="F81" s="28" t="n">
        <v>0</v>
      </c>
      <c r="G81" s="28" t="n">
        <v>-1</v>
      </c>
      <c r="H81" s="28" t="inlineStr">
        <is>
          <t>Low</t>
        </is>
      </c>
      <c r="I81" s="28" t="inlineStr">
        <is>
          <t>Increase internal links from high-equity pages with descriptive anchors.</t>
        </is>
      </c>
      <c r="J81">
        <f>IFERROR(HYPERLINK("#'Main'!B"&amp;MATCH(TRIM(A81),'Main'!B:B,0),"Open"),HYPERLINK("#'Main'!B1","Open"))</f>
        <v/>
      </c>
    </row>
    <row r="82" ht="18" customHeight="1">
      <c r="A82" s="37" t="inlineStr">
        <is>
          <t>https://africanmarketingconfederation.org/smoke-archive/page-44</t>
        </is>
      </c>
      <c r="B82" s="30" t="n">
        <v>0</v>
      </c>
      <c r="C82" s="30" t="n">
        <v>0</v>
      </c>
      <c r="D82" s="30" t="inlineStr"/>
      <c r="E82" s="30" t="n">
        <v>0</v>
      </c>
      <c r="F82" s="30" t="n">
        <v>0</v>
      </c>
      <c r="G82" s="30" t="n">
        <v>-1</v>
      </c>
      <c r="H82" s="30" t="inlineStr">
        <is>
          <t>Low</t>
        </is>
      </c>
      <c r="I82" s="30" t="inlineStr">
        <is>
          <t>Increase internal links from high-equity pages with descriptive anchors.</t>
        </is>
      </c>
      <c r="J82" s="38">
        <f>IFERROR(HYPERLINK("#'Main'!B"&amp;MATCH(TRIM(A82),'Main'!B:B,0),"Open"),HYPERLINK("#'Main'!B1","Open"))</f>
        <v/>
      </c>
    </row>
    <row r="83" ht="18" customHeight="1">
      <c r="A83" s="35" t="inlineStr">
        <is>
          <t>https://africanmarketingconfederation.org/smoke-archive/page-55</t>
        </is>
      </c>
      <c r="B83" s="28" t="n">
        <v>0</v>
      </c>
      <c r="C83" s="28" t="n">
        <v>0</v>
      </c>
      <c r="D83" s="28" t="inlineStr"/>
      <c r="E83" s="28" t="n">
        <v>0</v>
      </c>
      <c r="F83" s="28" t="n">
        <v>0</v>
      </c>
      <c r="G83" s="28" t="n">
        <v>-1</v>
      </c>
      <c r="H83" s="28" t="inlineStr">
        <is>
          <t>Low</t>
        </is>
      </c>
      <c r="I83" s="28" t="inlineStr">
        <is>
          <t>Increase internal links from high-equity pages with descriptive anchors.</t>
        </is>
      </c>
      <c r="J83">
        <f>IFERROR(HYPERLINK("#'Main'!B"&amp;MATCH(TRIM(A83),'Main'!B:B,0),"Open"),HYPERLINK("#'Main'!B1","Open"))</f>
        <v/>
      </c>
    </row>
    <row r="84" ht="18" customHeight="1">
      <c r="A84" s="37" t="inlineStr">
        <is>
          <t>https://africanmarketingconfederation.org/smoke-archive/page-66</t>
        </is>
      </c>
      <c r="B84" s="30" t="n">
        <v>0</v>
      </c>
      <c r="C84" s="30" t="n">
        <v>0</v>
      </c>
      <c r="D84" s="30" t="inlineStr"/>
      <c r="E84" s="30" t="n">
        <v>0</v>
      </c>
      <c r="F84" s="30" t="n">
        <v>0</v>
      </c>
      <c r="G84" s="30" t="n">
        <v>-1</v>
      </c>
      <c r="H84" s="30" t="inlineStr">
        <is>
          <t>Low</t>
        </is>
      </c>
      <c r="I84" s="30" t="inlineStr">
        <is>
          <t>Increase internal links from high-equity pages with descriptive anchors.</t>
        </is>
      </c>
      <c r="J84" s="38">
        <f>IFERROR(HYPERLINK("#'Main'!B"&amp;MATCH(TRIM(A84),'Main'!B:B,0),"Open"),HYPERLINK("#'Main'!B1","Open"))</f>
        <v/>
      </c>
    </row>
    <row r="85" ht="18" customHeight="1">
      <c r="A85" s="35" t="inlineStr">
        <is>
          <t>https://africanmarketingconfederation.org/smoke-archive/page-77</t>
        </is>
      </c>
      <c r="B85" s="28" t="n">
        <v>0</v>
      </c>
      <c r="C85" s="28" t="n">
        <v>0</v>
      </c>
      <c r="D85" s="28" t="inlineStr"/>
      <c r="E85" s="28" t="n">
        <v>0</v>
      </c>
      <c r="F85" s="28" t="n">
        <v>0</v>
      </c>
      <c r="G85" s="28" t="n">
        <v>-1</v>
      </c>
      <c r="H85" s="28" t="inlineStr">
        <is>
          <t>Low</t>
        </is>
      </c>
      <c r="I85" s="28" t="inlineStr">
        <is>
          <t>Increase internal links from high-equity pages with descriptive anchors.</t>
        </is>
      </c>
      <c r="J85">
        <f>IFERROR(HYPERLINK("#'Main'!B"&amp;MATCH(TRIM(A85),'Main'!B:B,0),"Open"),HYPERLINK("#'Main'!B1","Open"))</f>
        <v/>
      </c>
    </row>
  </sheetData>
  <autoFilter ref="A2:J85"/>
  <mergeCells count="2">
    <mergeCell ref="A1:B1"/>
    <mergeCell ref="C1:H1"/>
  </mergeCells>
  <conditionalFormatting sqref="A3:I85">
    <cfRule type="expression" priority="1" dxfId="3" stopIfTrue="0">
      <formula>MOD(ROW(),2)=0</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s>
  <pageMargins left="0.75" right="0.75" top="1" bottom="1" header="0.5" footer="0.5"/>
  <pageSetup orientation="landscape" fitToHeight="0" fitToWidth="1"/>
  <legacyDrawing xmlns:r="http://schemas.openxmlformats.org/officeDocument/2006/relationships" r:id="anysvml"/>
</worksheet>
</file>

<file path=xl/worksheets/sheet27.xml><?xml version="1.0" encoding="utf-8"?>
<worksheet xmlns="http://schemas.openxmlformats.org/spreadsheetml/2006/main">
  <sheetPr>
    <tabColor rgb="008E44AD"/>
    <outlinePr summaryBelow="1" summaryRight="1"/>
    <pageSetUpPr fitToPage="1"/>
  </sheetPr>
  <dimension ref="A1:G2"/>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7" customWidth="1" min="1" max="1"/>
    <col width="20" customWidth="1" min="2" max="2"/>
    <col width="22" customWidth="1" min="3" max="3"/>
    <col width="18" customWidth="1" min="4" max="4"/>
    <col width="18" customWidth="1" min="5" max="5"/>
    <col width="22" customWidth="1" min="6" max="6"/>
    <col width="55" customWidth="1" min="7" max="7"/>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c r="A2" t="inlineStr">
        <is>
          <t>Destination URL</t>
        </is>
      </c>
      <c r="B2" t="inlineStr">
        <is>
          <t>Inbound Link Count</t>
        </is>
      </c>
      <c r="C2" t="inlineStr">
        <is>
          <t>Generic Anchor Count</t>
        </is>
      </c>
      <c r="D2" t="inlineStr">
        <is>
          <t>Generic Anchor %</t>
        </is>
      </c>
      <c r="E2" t="inlineStr">
        <is>
          <t>Top Anchor Texts</t>
        </is>
      </c>
      <c r="F2" t="inlineStr">
        <is>
          <t>Generic Anchor Dominance</t>
        </is>
      </c>
      <c r="G2" t="inlineStr">
        <is>
          <t>Recommended Action</t>
        </is>
      </c>
    </row>
  </sheetData>
  <mergeCells count="2">
    <mergeCell ref="C1:G1"/>
    <mergeCell ref="A1:B1"/>
  </mergeCells>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28.xml><?xml version="1.0" encoding="utf-8"?>
<worksheet xmlns="http://schemas.openxmlformats.org/spreadsheetml/2006/main">
  <sheetPr>
    <tabColor rgb="008E44AD"/>
    <outlinePr summaryBelow="1" summaryRight="1"/>
    <pageSetUpPr fitToPage="1"/>
  </sheetPr>
  <dimension ref="A1:I3"/>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12" customWidth="1" min="3" max="3"/>
    <col width="17" customWidth="1" min="4" max="4"/>
    <col width="22" customWidth="1" min="5" max="5"/>
    <col width="22" customWidth="1" min="6" max="6"/>
    <col width="48" customWidth="1" min="7" max="7"/>
    <col width="10" customWidth="1" min="8" max="8"/>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URL</t>
        </is>
      </c>
      <c r="B2" s="27" t="inlineStr">
        <is>
          <t>Current GSC Position</t>
        </is>
      </c>
      <c r="C2" s="27" t="inlineStr">
        <is>
          <t>GSC Clicks</t>
        </is>
      </c>
      <c r="D2" s="27" t="inlineStr">
        <is>
          <t>GSC Impressions</t>
        </is>
      </c>
      <c r="E2" s="26" t="inlineStr">
        <is>
          <t>Snippet Type Detected</t>
        </is>
      </c>
      <c r="F2" s="26" t="inlineStr">
        <is>
          <t>Featured Snippet Readiness</t>
        </is>
      </c>
      <c r="G2" s="26" t="inlineStr">
        <is>
          <t>Recommended Restructuring</t>
        </is>
      </c>
      <c r="H2" s="26" t="inlineStr">
        <is>
          <t>Effort</t>
        </is>
      </c>
      <c r="I2" s="26" t="inlineStr">
        <is>
          <t>Open in Main</t>
        </is>
      </c>
    </row>
    <row r="3" ht="18" customHeight="1">
      <c r="A3" s="35" t="inlineStr">
        <is>
          <t>https://africanmarketingconfederation.org/</t>
        </is>
      </c>
      <c r="B3" s="28" t="n">
        <v>5.6</v>
      </c>
      <c r="C3" s="28" t="n">
        <v>52</v>
      </c>
      <c r="D3" s="28" t="n">
        <v>1524</v>
      </c>
      <c r="E3" s="28" t="inlineStr">
        <is>
          <t>FAQ</t>
        </is>
      </c>
      <c r="F3" s="28" t="n">
        <v>9</v>
      </c>
      <c r="G3" s="28" t="inlineStr">
        <is>
          <t>Mirror each question heading with a 40–60 word direct answer paragraph.</t>
        </is>
      </c>
      <c r="H3" s="28" t="inlineStr">
        <is>
          <t>S</t>
        </is>
      </c>
      <c r="I3">
        <f>IFERROR(HYPERLINK("#'Main'!B"&amp;MATCH(TRIM(A3),'Main'!B:B,0),"Open"),HYPERLINK("#'Main'!B1","Open"))</f>
        <v/>
      </c>
    </row>
  </sheetData>
  <mergeCells count="2">
    <mergeCell ref="A1:B1"/>
    <mergeCell ref="C1:H1"/>
  </mergeCells>
  <conditionalFormatting sqref="A3:H3">
    <cfRule type="expression" priority="1" dxfId="3" stopIfTrue="0">
      <formula>MOD(ROW(),2)=0</formula>
    </cfRule>
  </conditionalFormatting>
  <hyperlinks>
    <hyperlink xmlns:r="http://schemas.openxmlformats.org/officeDocument/2006/relationships" ref="A1" r:id="rId1"/>
    <hyperlink xmlns:r="http://schemas.openxmlformats.org/officeDocument/2006/relationships" ref="A3" r:id="rId2"/>
  </hyperlinks>
  <pageMargins left="0.75" right="0.75" top="1" bottom="1" header="0.5" footer="0.5"/>
  <pageSetup orientation="landscape" fitToHeight="0" fitToWidth="1"/>
  <legacyDrawing xmlns:r="http://schemas.openxmlformats.org/officeDocument/2006/relationships" r:id="anysvml"/>
</worksheet>
</file>

<file path=xl/worksheets/sheet29.xml><?xml version="1.0" encoding="utf-8"?>
<worksheet xmlns="http://schemas.openxmlformats.org/spreadsheetml/2006/main">
  <sheetPr>
    <tabColor rgb="008E44AD"/>
    <outlinePr summaryBelow="1" summaryRight="1"/>
    <pageSetUpPr fitToPage="1"/>
  </sheetPr>
  <dimension ref="A1:G2"/>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0" customWidth="1" min="3" max="3"/>
    <col width="16" customWidth="1" min="4" max="4"/>
    <col width="19" customWidth="1" min="5" max="5"/>
    <col width="22" customWidth="1" min="6" max="6"/>
    <col width="20" customWidth="1" min="7" max="7"/>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c r="A2" t="inlineStr">
        <is>
          <t>Domain</t>
        </is>
      </c>
      <c r="B2" t="inlineStr">
        <is>
          <t>Service Name</t>
        </is>
      </c>
      <c r="C2" t="inlineStr">
        <is>
          <t>Category</t>
        </is>
      </c>
      <c r="D2" t="inlineStr">
        <is>
          <t>Pages Found On</t>
        </is>
      </c>
      <c r="E2" t="inlineStr">
        <is>
          <t>Average Size (KB)</t>
        </is>
      </c>
      <c r="F2" t="inlineStr">
        <is>
          <t>Total Transferred (KB)</t>
        </is>
      </c>
      <c r="G2" t="inlineStr">
        <is>
          <t>Is Render Blocking</t>
        </is>
      </c>
    </row>
  </sheetData>
  <mergeCells count="2">
    <mergeCell ref="C1:G1"/>
    <mergeCell ref="A1:B1"/>
  </mergeCells>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30.xml><?xml version="1.0" encoding="utf-8"?>
<worksheet xmlns="http://schemas.openxmlformats.org/spreadsheetml/2006/main">
  <sheetPr>
    <tabColor rgb="008E44AD"/>
    <outlinePr summaryBelow="1" summaryRight="1"/>
    <pageSetUpPr fitToPage="1"/>
  </sheetPr>
  <dimension ref="A1:M2"/>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13" customWidth="1" min="3" max="3"/>
    <col width="11" customWidth="1" min="4" max="4"/>
    <col width="10" customWidth="1" min="5" max="5"/>
    <col width="10" customWidth="1" min="6" max="6"/>
    <col width="11" customWidth="1" min="7" max="7"/>
    <col width="14" customWidth="1" min="8" max="8"/>
    <col width="10" customWidth="1" min="9" max="9"/>
    <col width="12" customWidth="1" min="10" max="10"/>
    <col width="16" customWidth="1" min="11" max="11"/>
    <col width="16" customWidth="1" min="12" max="12"/>
    <col width="22" customWidth="1" min="13" max="13"/>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c r="A2" t="inlineStr">
        <is>
          <t>Image URL</t>
        </is>
      </c>
      <c r="B2" t="inlineStr">
        <is>
          <t>Image Category</t>
        </is>
      </c>
      <c r="C2" t="inlineStr">
        <is>
          <t>Status Code</t>
        </is>
      </c>
      <c r="D2" t="inlineStr">
        <is>
          <t>Size (KB)</t>
        </is>
      </c>
      <c r="E2" t="inlineStr">
        <is>
          <t>Width</t>
        </is>
      </c>
      <c r="F2" t="inlineStr">
        <is>
          <t>Height</t>
        </is>
      </c>
      <c r="G2" t="inlineStr">
        <is>
          <t>Is Broken</t>
        </is>
      </c>
      <c r="H2" t="inlineStr">
        <is>
          <t>Is Oversized</t>
        </is>
      </c>
      <c r="I2" t="inlineStr">
        <is>
          <t>Alt Text</t>
        </is>
      </c>
      <c r="J2" t="inlineStr">
        <is>
          <t>Alt Source</t>
        </is>
      </c>
      <c r="K2" t="inlineStr">
        <is>
          <t>File Extension</t>
        </is>
      </c>
      <c r="L2" t="inlineStr">
        <is>
          <t>Found On Pages</t>
        </is>
      </c>
      <c r="M2" t="inlineStr">
        <is>
          <t>Found On Pages (first 5)</t>
        </is>
      </c>
    </row>
  </sheetData>
  <mergeCells count="2">
    <mergeCell ref="A1:B1"/>
    <mergeCell ref="C1:H1"/>
  </mergeCells>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31.xml><?xml version="1.0" encoding="utf-8"?>
<worksheet xmlns="http://schemas.openxmlformats.org/spreadsheetml/2006/main">
  <sheetPr>
    <tabColor rgb="0095A5A6"/>
    <outlinePr summaryBelow="1" summaryRight="1"/>
    <pageSetUpPr fitToPage="1"/>
  </sheetPr>
  <dimension ref="A1:G3"/>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17" customWidth="1" min="1" max="1"/>
    <col width="48" customWidth="1" min="2" max="2"/>
    <col width="45" customWidth="1" min="3" max="3"/>
    <col width="10" customWidth="1" min="4" max="4"/>
    <col width="11" customWidth="1" min="5" max="5"/>
    <col width="11" customWidth="1" min="6" max="6"/>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Stable Issue ID</t>
        </is>
      </c>
      <c r="B2" s="26" t="inlineStr">
        <is>
          <t>Issue</t>
        </is>
      </c>
      <c r="C2" s="26" t="inlineStr">
        <is>
          <t>URL</t>
        </is>
      </c>
      <c r="D2" s="26" t="inlineStr">
        <is>
          <t>Severity</t>
        </is>
      </c>
      <c r="E2" s="26" t="inlineStr">
        <is>
          <t>Last Seen</t>
        </is>
      </c>
      <c r="F2" s="27" t="inlineStr">
        <is>
          <t>Days Open</t>
        </is>
      </c>
      <c r="G2" s="26" t="inlineStr">
        <is>
          <t>Open in Main</t>
        </is>
      </c>
    </row>
    <row r="3" ht="18" customHeight="1">
      <c r="A3" s="32" t="inlineStr"/>
      <c r="B3" s="28" t="inlineStr">
        <is>
          <t>No previous run found — this is a baseline report.</t>
        </is>
      </c>
      <c r="C3" s="20" t="inlineStr"/>
      <c r="D3" s="28" t="inlineStr"/>
      <c r="E3" s="28" t="inlineStr"/>
      <c r="F3" s="28" t="inlineStr"/>
      <c r="G3">
        <f>IFERROR(HYPERLINK("#'Main'!B"&amp;MATCH(TRIM(C3),'Main'!B:B,0),"Open"),HYPERLINK("#'Main'!B1","Open"))</f>
        <v/>
      </c>
    </row>
  </sheetData>
  <mergeCells count="2">
    <mergeCell ref="C1:F1"/>
    <mergeCell ref="A1:B1"/>
  </mergeCells>
  <conditionalFormatting sqref="D3">
    <cfRule type="expression" priority="1" dxfId="0" stopIfTrue="1">
      <formula>LOWER(D2)="critical"</formula>
    </cfRule>
    <cfRule type="expression" priority="2" dxfId="1" stopIfTrue="1">
      <formula>LOWER(D2)="warning"</formula>
    </cfRule>
    <cfRule type="expression" priority="3" dxfId="2" stopIfTrue="1">
      <formula>OR(LOWER(D2)="pass",LOWER(D2)="observation")</formula>
    </cfRule>
  </conditionalFormatting>
  <conditionalFormatting sqref="A3:F3">
    <cfRule type="expression" priority="4"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xl/worksheets/sheet32.xml><?xml version="1.0" encoding="utf-8"?>
<worksheet xmlns="http://schemas.openxmlformats.org/spreadsheetml/2006/main">
  <sheetPr>
    <tabColor rgb="0095A5A6"/>
    <outlinePr summaryBelow="1" summaryRight="1"/>
    <pageSetUpPr fitToPage="1"/>
  </sheetPr>
  <dimension ref="A1:P89"/>
  <sheetViews>
    <sheetView showGridLines="0" tabSelected="0" workbookViewId="0">
      <pane xSplit="2" ySplit="2" topLeftCell="C3" activePane="bottomRight" state="frozen"/>
      <selection pane="topRight"/>
      <selection pane="bottomLeft"/>
      <selection pane="bottomRight"/>
      <selection pane="bottomLeft"/>
      <selection pane="bottomLeft"/>
    </sheetView>
  </sheetViews>
  <sheetFormatPr baseColWidth="8" defaultRowHeight="15"/>
  <cols>
    <col width="18" customWidth="1" min="1" max="1"/>
    <col width="45" customWidth="1" min="2" max="2"/>
    <col width="37" customWidth="1" min="3" max="3"/>
    <col width="10" customWidth="1" min="4" max="4"/>
    <col width="16" customWidth="1" min="5" max="5"/>
    <col width="55" customWidth="1" min="6" max="6"/>
    <col width="10" customWidth="1" min="7" max="7"/>
    <col width="11" customWidth="1" min="8" max="8"/>
    <col width="12" customWidth="1" min="9" max="9"/>
    <col width="11" customWidth="1" min="10" max="10"/>
    <col width="11" customWidth="1" min="11" max="11"/>
    <col width="28" customWidth="1" min="12" max="12"/>
    <col width="22" customWidth="1" min="13" max="13"/>
    <col width="22" customWidth="1" min="14" max="14"/>
    <col width="48" customWidth="1" min="15" max="15"/>
  </cols>
  <sheetData>
    <row r="1" ht="20" customHeight="1">
      <c r="A1" s="24" t="inlineStr">
        <is>
          <t>← Return to Executive Briefing</t>
        </is>
      </c>
      <c r="C1" s="25">
        <f>IFERROR(INDEX('Audit Run Details'!$B:$B,MATCH("Target Site",'Audit Run Details'!$A:$A,0)),"") &amp; " — " &amp; IFERROR(INDEX('Audit Run Details'!$B:$B,MATCH("Total URLs",'Audit Run Details'!$A:$A,0)),"") &amp; " URLs crawled — " &amp; LEFT(IFERROR(INDEX('Audit Run Details'!$B:$B,MATCH("Run Timestamp",'Audit Run Details'!$A:$A,0)),""),10)</f>
        <v/>
      </c>
    </row>
    <row r="2" ht="30" customHeight="1">
      <c r="A2" s="26" t="inlineStr">
        <is>
          <t>Section</t>
        </is>
      </c>
      <c r="B2" s="26" t="inlineStr">
        <is>
          <t>URL</t>
        </is>
      </c>
      <c r="C2" s="26" t="inlineStr">
        <is>
          <t>Issue</t>
        </is>
      </c>
      <c r="D2" s="26" t="inlineStr">
        <is>
          <t>Severity</t>
        </is>
      </c>
      <c r="E2" s="26" t="inlineStr">
        <is>
          <t>Previous Value</t>
        </is>
      </c>
      <c r="F2" s="26" t="inlineStr">
        <is>
          <t>Current Value</t>
        </is>
      </c>
      <c r="G2" s="26" t="inlineStr">
        <is>
          <t>Change</t>
        </is>
      </c>
      <c r="H2" s="26" t="inlineStr">
        <is>
          <t>Direction</t>
        </is>
      </c>
      <c r="I2" s="26" t="inlineStr">
        <is>
          <t>First Seen</t>
        </is>
      </c>
      <c r="J2" s="26" t="inlineStr">
        <is>
          <t>Last Seen</t>
        </is>
      </c>
      <c r="K2" s="27" t="inlineStr">
        <is>
          <t>Days Open</t>
        </is>
      </c>
      <c r="L2" s="26" t="inlineStr">
        <is>
          <t>Trend Run 1</t>
        </is>
      </c>
      <c r="M2" s="26" t="inlineStr">
        <is>
          <t>Trend Run 2 (populated on run 2+)</t>
        </is>
      </c>
      <c r="N2" s="26" t="inlineStr">
        <is>
          <t>Trend Run 3 (populated on run 3+)</t>
        </is>
      </c>
      <c r="O2" s="26" t="inlineStr">
        <is>
          <t>Notes</t>
        </is>
      </c>
      <c r="P2" s="26" t="inlineStr">
        <is>
          <t>Open in Main</t>
        </is>
      </c>
    </row>
    <row r="3" ht="18" customHeight="1">
      <c r="A3" s="32" t="inlineStr">
        <is>
          <t>Summary</t>
        </is>
      </c>
      <c r="B3" s="20" t="inlineStr"/>
      <c r="C3" s="28" t="inlineStr"/>
      <c r="D3" s="28" t="inlineStr"/>
      <c r="E3" s="28" t="inlineStr"/>
      <c r="F3" s="28" t="inlineStr"/>
      <c r="G3" s="28" t="inlineStr"/>
      <c r="H3" s="28" t="inlineStr"/>
      <c r="I3" s="28" t="inlineStr"/>
      <c r="J3" s="28" t="inlineStr"/>
      <c r="K3" s="28" t="inlineStr"/>
      <c r="L3" s="28" t="inlineStr"/>
      <c r="M3" s="28" t="inlineStr"/>
      <c r="N3" s="28" t="inlineStr"/>
      <c r="O3" s="28" t="inlineStr">
        <is>
          <t>Summary</t>
        </is>
      </c>
      <c r="P3">
        <f>IFERROR(HYPERLINK("#'Main'!B"&amp;MATCH(TRIM(B3),'Main'!B:B,0),"Open"),HYPERLINK("#'Main'!B1","Open"))</f>
        <v/>
      </c>
    </row>
    <row r="4" ht="18" customHeight="1">
      <c r="A4" s="32" t="inlineStr">
        <is>
          <t>Summary</t>
        </is>
      </c>
      <c r="B4" s="31" t="inlineStr"/>
      <c r="C4" s="30" t="inlineStr">
        <is>
          <t>Report Status</t>
        </is>
      </c>
      <c r="D4" s="30" t="inlineStr"/>
      <c r="E4" s="30" t="inlineStr"/>
      <c r="F4" s="30" t="inlineStr">
        <is>
          <t>No previous run found — this is a baseline report.</t>
        </is>
      </c>
      <c r="G4" s="30" t="inlineStr"/>
      <c r="H4" s="30" t="inlineStr"/>
      <c r="I4" s="30" t="inlineStr"/>
      <c r="J4" s="30" t="inlineStr"/>
      <c r="K4" s="30" t="inlineStr"/>
      <c r="L4" s="30" t="inlineStr"/>
      <c r="M4" s="30" t="inlineStr"/>
      <c r="N4" s="30" t="inlineStr"/>
      <c r="O4" s="30" t="inlineStr">
        <is>
          <t>No previous run found — this is a baseline report.</t>
        </is>
      </c>
      <c r="P4" s="38">
        <f>IFERROR(HYPERLINK("#'Main'!B"&amp;MATCH(TRIM(B4),'Main'!B:B,0),"Open"),HYPERLINK("#'Main'!B1","Open"))</f>
        <v/>
      </c>
    </row>
    <row r="5" ht="18" customHeight="1">
      <c r="A5" s="32" t="inlineStr">
        <is>
          <t>Summary</t>
        </is>
      </c>
      <c r="B5" s="20" t="inlineStr"/>
      <c r="C5" s="28" t="inlineStr">
        <is>
          <t>Current Issues (baseline inventory)</t>
        </is>
      </c>
      <c r="D5" s="28" t="inlineStr"/>
      <c r="E5" s="28" t="inlineStr"/>
      <c r="F5" s="28" t="n">
        <v>396</v>
      </c>
      <c r="G5" s="28" t="inlineStr"/>
      <c r="H5" s="28" t="inlineStr"/>
      <c r="I5" s="28" t="inlineStr"/>
      <c r="J5" s="28" t="inlineStr"/>
      <c r="K5" s="28" t="inlineStr"/>
      <c r="L5" s="28" t="inlineStr"/>
      <c r="M5" s="28" t="inlineStr"/>
      <c r="N5" s="28" t="inlineStr"/>
      <c r="O5" s="28" t="inlineStr"/>
      <c r="P5">
        <f>IFERROR(HYPERLINK("#'Main'!B"&amp;MATCH(TRIM(B5),'Main'!B:B,0),"Open"),HYPERLINK("#'Main'!B1","Open"))</f>
        <v/>
      </c>
    </row>
    <row r="6" ht="18" customHeight="1">
      <c r="A6" s="32" t="inlineStr">
        <is>
          <t>SEO Health Trend</t>
        </is>
      </c>
      <c r="B6" s="31" t="inlineStr"/>
      <c r="C6" s="30" t="inlineStr"/>
      <c r="D6" s="30" t="inlineStr"/>
      <c r="E6" s="30" t="inlineStr"/>
      <c r="F6" s="30" t="inlineStr"/>
      <c r="G6" s="30" t="inlineStr"/>
      <c r="H6" s="30" t="inlineStr"/>
      <c r="I6" s="30" t="inlineStr"/>
      <c r="J6" s="30" t="inlineStr"/>
      <c r="K6" s="30" t="inlineStr"/>
      <c r="L6" s="30" t="inlineStr"/>
      <c r="M6" s="30" t="inlineStr"/>
      <c r="N6" s="30" t="inlineStr"/>
      <c r="O6" s="30" t="inlineStr">
        <is>
          <t>SEO Health Trend</t>
        </is>
      </c>
      <c r="P6" s="38">
        <f>IFERROR(HYPERLINK("#'Main'!B"&amp;MATCH(TRIM(B6),'Main'!B:B,0),"Open"),HYPERLINK("#'Main'!B1","Open"))</f>
        <v/>
      </c>
    </row>
    <row r="7" ht="18" customHeight="1">
      <c r="A7" s="32" t="inlineStr">
        <is>
          <t>SEO Health Trend</t>
        </is>
      </c>
      <c r="B7" s="35" t="inlineStr">
        <is>
          <t>https://africanmarketingconfederation.org/</t>
        </is>
      </c>
      <c r="C7" s="28" t="inlineStr"/>
      <c r="D7" s="28" t="inlineStr"/>
      <c r="E7" s="28" t="inlineStr"/>
      <c r="F7" s="28" t="inlineStr"/>
      <c r="G7" s="28" t="inlineStr"/>
      <c r="H7" s="28" t="inlineStr"/>
      <c r="I7" s="28" t="inlineStr"/>
      <c r="J7" s="28" t="inlineStr"/>
      <c r="K7" s="28" t="inlineStr"/>
      <c r="L7" s="28" t="inlineStr">
        <is>
          <t>0.0 (2026-07-01 20:54:35)</t>
        </is>
      </c>
      <c r="M7" s="28" t="inlineStr"/>
      <c r="N7" s="28" t="inlineStr"/>
      <c r="O7" s="28" t="inlineStr"/>
      <c r="P7">
        <f>IFERROR(HYPERLINK("#'Main'!B"&amp;MATCH(TRIM(B7),'Main'!B:B,0),"Open"),HYPERLINK("#'Main'!B1","Open"))</f>
        <v/>
      </c>
    </row>
    <row r="8" ht="18" customHeight="1">
      <c r="A8" s="32" t="inlineStr">
        <is>
          <t>SEO Health Trend</t>
        </is>
      </c>
      <c r="B8" s="37" t="inlineStr">
        <is>
          <t>https://africanmarketingconfederation.org/discovered-via-bfs-1</t>
        </is>
      </c>
      <c r="C8" s="30" t="inlineStr"/>
      <c r="D8" s="30" t="inlineStr"/>
      <c r="E8" s="30" t="inlineStr"/>
      <c r="F8" s="30" t="inlineStr"/>
      <c r="G8" s="30" t="inlineStr"/>
      <c r="H8" s="30" t="inlineStr"/>
      <c r="I8" s="30" t="inlineStr"/>
      <c r="J8" s="30" t="inlineStr"/>
      <c r="K8" s="30" t="inlineStr"/>
      <c r="L8" s="30" t="inlineStr">
        <is>
          <t>70.0 (2026-07-01 20:54:35)</t>
        </is>
      </c>
      <c r="M8" s="30" t="inlineStr"/>
      <c r="N8" s="30" t="inlineStr"/>
      <c r="O8" s="30" t="inlineStr"/>
      <c r="P8" s="38">
        <f>IFERROR(HYPERLINK("#'Main'!B"&amp;MATCH(TRIM(B8),'Main'!B:B,0),"Open"),HYPERLINK("#'Main'!B1","Open"))</f>
        <v/>
      </c>
    </row>
    <row r="9" ht="18" customHeight="1">
      <c r="A9" s="32" t="inlineStr">
        <is>
          <t>SEO Health Trend</t>
        </is>
      </c>
      <c r="B9" s="35" t="inlineStr">
        <is>
          <t>https://africanmarketingconfederation.org/discovered-via-bfs-2</t>
        </is>
      </c>
      <c r="C9" s="28" t="inlineStr"/>
      <c r="D9" s="28" t="inlineStr"/>
      <c r="E9" s="28" t="inlineStr"/>
      <c r="F9" s="28" t="inlineStr"/>
      <c r="G9" s="28" t="inlineStr"/>
      <c r="H9" s="28" t="inlineStr"/>
      <c r="I9" s="28" t="inlineStr"/>
      <c r="J9" s="28" t="inlineStr"/>
      <c r="K9" s="28" t="inlineStr"/>
      <c r="L9" s="28" t="inlineStr">
        <is>
          <t>80.0 (2026-07-01 20:54:35)</t>
        </is>
      </c>
      <c r="M9" s="28" t="inlineStr"/>
      <c r="N9" s="28" t="inlineStr"/>
      <c r="O9" s="28" t="inlineStr"/>
      <c r="P9">
        <f>IFERROR(HYPERLINK("#'Main'!B"&amp;MATCH(TRIM(B9),'Main'!B:B,0),"Open"),HYPERLINK("#'Main'!B1","Open"))</f>
        <v/>
      </c>
    </row>
    <row r="10" ht="18" customHeight="1">
      <c r="A10" s="32" t="inlineStr">
        <is>
          <t>SEO Health Trend</t>
        </is>
      </c>
      <c r="B10" s="37" t="inlineStr">
        <is>
          <t>https://africanmarketingconfederation.org/discovered-via-bfs-3</t>
        </is>
      </c>
      <c r="C10" s="30" t="inlineStr"/>
      <c r="D10" s="30" t="inlineStr"/>
      <c r="E10" s="30" t="inlineStr"/>
      <c r="F10" s="30" t="inlineStr"/>
      <c r="G10" s="30" t="inlineStr"/>
      <c r="H10" s="30" t="inlineStr"/>
      <c r="I10" s="30" t="inlineStr"/>
      <c r="J10" s="30" t="inlineStr"/>
      <c r="K10" s="30" t="inlineStr"/>
      <c r="L10" s="30" t="inlineStr">
        <is>
          <t>80.0 (2026-07-01 20:54:35)</t>
        </is>
      </c>
      <c r="M10" s="30" t="inlineStr"/>
      <c r="N10" s="30" t="inlineStr"/>
      <c r="O10" s="30" t="inlineStr"/>
      <c r="P10" s="38">
        <f>IFERROR(HYPERLINK("#'Main'!B"&amp;MATCH(TRIM(B10),'Main'!B:B,0),"Open"),HYPERLINK("#'Main'!B1","Open"))</f>
        <v/>
      </c>
    </row>
    <row r="11" ht="18" customHeight="1">
      <c r="A11" s="32" t="inlineStr">
        <is>
          <t>SEO Health Trend</t>
        </is>
      </c>
      <c r="B11" s="35" t="inlineStr">
        <is>
          <t>https://africanmarketingconfederation.org/smoke-archive/page-1</t>
        </is>
      </c>
      <c r="C11" s="28" t="inlineStr"/>
      <c r="D11" s="28" t="inlineStr"/>
      <c r="E11" s="28" t="inlineStr"/>
      <c r="F11" s="28" t="inlineStr"/>
      <c r="G11" s="28" t="inlineStr"/>
      <c r="H11" s="28" t="inlineStr"/>
      <c r="I11" s="28" t="inlineStr"/>
      <c r="J11" s="28" t="inlineStr"/>
      <c r="K11" s="28" t="inlineStr"/>
      <c r="L11" s="28" t="inlineStr">
        <is>
          <t>80.0 (2026-07-01 20:54:35)</t>
        </is>
      </c>
      <c r="M11" s="28" t="inlineStr"/>
      <c r="N11" s="28" t="inlineStr"/>
      <c r="O11" s="28" t="inlineStr"/>
      <c r="P11">
        <f>IFERROR(HYPERLINK("#'Main'!B"&amp;MATCH(TRIM(B11),'Main'!B:B,0),"Open"),HYPERLINK("#'Main'!B1","Open"))</f>
        <v/>
      </c>
    </row>
    <row r="12" ht="18" customHeight="1">
      <c r="A12" s="32" t="inlineStr">
        <is>
          <t>SEO Health Trend</t>
        </is>
      </c>
      <c r="B12" s="37" t="inlineStr">
        <is>
          <t>https://africanmarketingconfederation.org/smoke-archive/page-10</t>
        </is>
      </c>
      <c r="C12" s="30" t="inlineStr"/>
      <c r="D12" s="30" t="inlineStr"/>
      <c r="E12" s="30" t="inlineStr"/>
      <c r="F12" s="30" t="inlineStr"/>
      <c r="G12" s="30" t="inlineStr"/>
      <c r="H12" s="30" t="inlineStr"/>
      <c r="I12" s="30" t="inlineStr"/>
      <c r="J12" s="30" t="inlineStr"/>
      <c r="K12" s="30" t="inlineStr"/>
      <c r="L12" s="30" t="inlineStr">
        <is>
          <t>60.0 (2026-07-01 20:54:35)</t>
        </is>
      </c>
      <c r="M12" s="30" t="inlineStr"/>
      <c r="N12" s="30" t="inlineStr"/>
      <c r="O12" s="30" t="inlineStr"/>
      <c r="P12" s="38">
        <f>IFERROR(HYPERLINK("#'Main'!B"&amp;MATCH(TRIM(B12),'Main'!B:B,0),"Open"),HYPERLINK("#'Main'!B1","Open"))</f>
        <v/>
      </c>
    </row>
    <row r="13" ht="18" customHeight="1">
      <c r="A13" s="32" t="inlineStr">
        <is>
          <t>SEO Health Trend</t>
        </is>
      </c>
      <c r="B13" s="35" t="inlineStr">
        <is>
          <t>https://africanmarketingconfederation.org/smoke-archive/page-11</t>
        </is>
      </c>
      <c r="C13" s="28" t="inlineStr"/>
      <c r="D13" s="28" t="inlineStr"/>
      <c r="E13" s="28" t="inlineStr"/>
      <c r="F13" s="28" t="inlineStr"/>
      <c r="G13" s="28" t="inlineStr"/>
      <c r="H13" s="28" t="inlineStr"/>
      <c r="I13" s="28" t="inlineStr"/>
      <c r="J13" s="28" t="inlineStr"/>
      <c r="K13" s="28" t="inlineStr"/>
      <c r="L13" s="28" t="inlineStr">
        <is>
          <t>80.0 (2026-07-01 20:54:35)</t>
        </is>
      </c>
      <c r="M13" s="28" t="inlineStr"/>
      <c r="N13" s="28" t="inlineStr"/>
      <c r="O13" s="28" t="inlineStr"/>
      <c r="P13">
        <f>IFERROR(HYPERLINK("#'Main'!B"&amp;MATCH(TRIM(B13),'Main'!B:B,0),"Open"),HYPERLINK("#'Main'!B1","Open"))</f>
        <v/>
      </c>
    </row>
    <row r="14" ht="18" customHeight="1">
      <c r="A14" s="32" t="inlineStr">
        <is>
          <t>SEO Health Trend</t>
        </is>
      </c>
      <c r="B14" s="37" t="inlineStr">
        <is>
          <t>https://africanmarketingconfederation.org/smoke-archive/page-12</t>
        </is>
      </c>
      <c r="C14" s="30" t="inlineStr"/>
      <c r="D14" s="30" t="inlineStr"/>
      <c r="E14" s="30" t="inlineStr"/>
      <c r="F14" s="30" t="inlineStr"/>
      <c r="G14" s="30" t="inlineStr"/>
      <c r="H14" s="30" t="inlineStr"/>
      <c r="I14" s="30" t="inlineStr"/>
      <c r="J14" s="30" t="inlineStr"/>
      <c r="K14" s="30" t="inlineStr"/>
      <c r="L14" s="30" t="inlineStr">
        <is>
          <t>55.0 (2026-07-01 20:54:35)</t>
        </is>
      </c>
      <c r="M14" s="30" t="inlineStr"/>
      <c r="N14" s="30" t="inlineStr"/>
      <c r="O14" s="30" t="inlineStr"/>
      <c r="P14" s="38">
        <f>IFERROR(HYPERLINK("#'Main'!B"&amp;MATCH(TRIM(B14),'Main'!B:B,0),"Open"),HYPERLINK("#'Main'!B1","Open"))</f>
        <v/>
      </c>
    </row>
    <row r="15" ht="18" customHeight="1">
      <c r="A15" s="32" t="inlineStr">
        <is>
          <t>SEO Health Trend</t>
        </is>
      </c>
      <c r="B15" s="35" t="inlineStr">
        <is>
          <t>https://africanmarketingconfederation.org/smoke-archive/page-13</t>
        </is>
      </c>
      <c r="C15" s="28" t="inlineStr"/>
      <c r="D15" s="28" t="inlineStr"/>
      <c r="E15" s="28" t="inlineStr"/>
      <c r="F15" s="28" t="inlineStr"/>
      <c r="G15" s="28" t="inlineStr"/>
      <c r="H15" s="28" t="inlineStr"/>
      <c r="I15" s="28" t="inlineStr"/>
      <c r="J15" s="28" t="inlineStr"/>
      <c r="K15" s="28" t="inlineStr"/>
      <c r="L15" s="28" t="inlineStr">
        <is>
          <t>0.0 (2026-07-01 20:54:35)</t>
        </is>
      </c>
      <c r="M15" s="28" t="inlineStr"/>
      <c r="N15" s="28" t="inlineStr"/>
      <c r="O15" s="28" t="inlineStr"/>
      <c r="P15">
        <f>IFERROR(HYPERLINK("#'Main'!B"&amp;MATCH(TRIM(B15),'Main'!B:B,0),"Open"),HYPERLINK("#'Main'!B1","Open"))</f>
        <v/>
      </c>
    </row>
    <row r="16" ht="18" customHeight="1">
      <c r="A16" s="32" t="inlineStr">
        <is>
          <t>SEO Health Trend</t>
        </is>
      </c>
      <c r="B16" s="37" t="inlineStr">
        <is>
          <t>https://africanmarketingconfederation.org/smoke-archive/page-14</t>
        </is>
      </c>
      <c r="C16" s="30" t="inlineStr"/>
      <c r="D16" s="30" t="inlineStr"/>
      <c r="E16" s="30" t="inlineStr"/>
      <c r="F16" s="30" t="inlineStr"/>
      <c r="G16" s="30" t="inlineStr"/>
      <c r="H16" s="30" t="inlineStr"/>
      <c r="I16" s="30" t="inlineStr"/>
      <c r="J16" s="30" t="inlineStr"/>
      <c r="K16" s="30" t="inlineStr"/>
      <c r="L16" s="30" t="inlineStr">
        <is>
          <t>70.0 (2026-07-01 20:54:35)</t>
        </is>
      </c>
      <c r="M16" s="30" t="inlineStr"/>
      <c r="N16" s="30" t="inlineStr"/>
      <c r="O16" s="30" t="inlineStr"/>
      <c r="P16" s="38">
        <f>IFERROR(HYPERLINK("#'Main'!B"&amp;MATCH(TRIM(B16),'Main'!B:B,0),"Open"),HYPERLINK("#'Main'!B1","Open"))</f>
        <v/>
      </c>
    </row>
    <row r="17" ht="18" customHeight="1">
      <c r="A17" s="32" t="inlineStr">
        <is>
          <t>SEO Health Trend</t>
        </is>
      </c>
      <c r="B17" s="35" t="inlineStr">
        <is>
          <t>https://africanmarketingconfederation.org/smoke-archive/page-15</t>
        </is>
      </c>
      <c r="C17" s="28" t="inlineStr"/>
      <c r="D17" s="28" t="inlineStr"/>
      <c r="E17" s="28" t="inlineStr"/>
      <c r="F17" s="28" t="inlineStr"/>
      <c r="G17" s="28" t="inlineStr"/>
      <c r="H17" s="28" t="inlineStr"/>
      <c r="I17" s="28" t="inlineStr"/>
      <c r="J17" s="28" t="inlineStr"/>
      <c r="K17" s="28" t="inlineStr"/>
      <c r="L17" s="28" t="inlineStr">
        <is>
          <t>60.0 (2026-07-01 20:54:35)</t>
        </is>
      </c>
      <c r="M17" s="28" t="inlineStr"/>
      <c r="N17" s="28" t="inlineStr"/>
      <c r="O17" s="28" t="inlineStr"/>
      <c r="P17">
        <f>IFERROR(HYPERLINK("#'Main'!B"&amp;MATCH(TRIM(B17),'Main'!B:B,0),"Open"),HYPERLINK("#'Main'!B1","Open"))</f>
        <v/>
      </c>
    </row>
    <row r="18" ht="18" customHeight="1">
      <c r="A18" s="32" t="inlineStr">
        <is>
          <t>SEO Health Trend</t>
        </is>
      </c>
      <c r="B18" s="37" t="inlineStr">
        <is>
          <t>https://africanmarketingconfederation.org/smoke-archive/page-16</t>
        </is>
      </c>
      <c r="C18" s="30" t="inlineStr"/>
      <c r="D18" s="30" t="inlineStr"/>
      <c r="E18" s="30" t="inlineStr"/>
      <c r="F18" s="30" t="inlineStr"/>
      <c r="G18" s="30" t="inlineStr"/>
      <c r="H18" s="30" t="inlineStr"/>
      <c r="I18" s="30" t="inlineStr"/>
      <c r="J18" s="30" t="inlineStr"/>
      <c r="K18" s="30" t="inlineStr"/>
      <c r="L18" s="30" t="inlineStr">
        <is>
          <t>80.0 (2026-07-01 20:54:35)</t>
        </is>
      </c>
      <c r="M18" s="30" t="inlineStr"/>
      <c r="N18" s="30" t="inlineStr"/>
      <c r="O18" s="30" t="inlineStr"/>
      <c r="P18" s="38">
        <f>IFERROR(HYPERLINK("#'Main'!B"&amp;MATCH(TRIM(B18),'Main'!B:B,0),"Open"),HYPERLINK("#'Main'!B1","Open"))</f>
        <v/>
      </c>
    </row>
    <row r="19" ht="18" customHeight="1">
      <c r="A19" s="32" t="inlineStr">
        <is>
          <t>SEO Health Trend</t>
        </is>
      </c>
      <c r="B19" s="35" t="inlineStr">
        <is>
          <t>https://africanmarketingconfederation.org/smoke-archive/page-17</t>
        </is>
      </c>
      <c r="C19" s="28" t="inlineStr"/>
      <c r="D19" s="28" t="inlineStr"/>
      <c r="E19" s="28" t="inlineStr"/>
      <c r="F19" s="28" t="inlineStr"/>
      <c r="G19" s="28" t="inlineStr"/>
      <c r="H19" s="28" t="inlineStr"/>
      <c r="I19" s="28" t="inlineStr"/>
      <c r="J19" s="28" t="inlineStr"/>
      <c r="K19" s="28" t="inlineStr"/>
      <c r="L19" s="28" t="inlineStr">
        <is>
          <t>0.0 (2026-07-01 20:54:35)</t>
        </is>
      </c>
      <c r="M19" s="28" t="inlineStr"/>
      <c r="N19" s="28" t="inlineStr"/>
      <c r="O19" s="28" t="inlineStr"/>
      <c r="P19">
        <f>IFERROR(HYPERLINK("#'Main'!B"&amp;MATCH(TRIM(B19),'Main'!B:B,0),"Open"),HYPERLINK("#'Main'!B1","Open"))</f>
        <v/>
      </c>
    </row>
    <row r="20" ht="18" customHeight="1">
      <c r="A20" s="32" t="inlineStr">
        <is>
          <t>SEO Health Trend</t>
        </is>
      </c>
      <c r="B20" s="37" t="inlineStr">
        <is>
          <t>https://africanmarketingconfederation.org/smoke-archive/page-18</t>
        </is>
      </c>
      <c r="C20" s="30" t="inlineStr"/>
      <c r="D20" s="30" t="inlineStr"/>
      <c r="E20" s="30" t="inlineStr"/>
      <c r="F20" s="30" t="inlineStr"/>
      <c r="G20" s="30" t="inlineStr"/>
      <c r="H20" s="30" t="inlineStr"/>
      <c r="I20" s="30" t="inlineStr"/>
      <c r="J20" s="30" t="inlineStr"/>
      <c r="K20" s="30" t="inlineStr"/>
      <c r="L20" s="30" t="inlineStr">
        <is>
          <t>60.0 (2026-07-01 20:54:35)</t>
        </is>
      </c>
      <c r="M20" s="30" t="inlineStr"/>
      <c r="N20" s="30" t="inlineStr"/>
      <c r="O20" s="30" t="inlineStr"/>
      <c r="P20" s="38">
        <f>IFERROR(HYPERLINK("#'Main'!B"&amp;MATCH(TRIM(B20),'Main'!B:B,0),"Open"),HYPERLINK("#'Main'!B1","Open"))</f>
        <v/>
      </c>
    </row>
    <row r="21" ht="18" customHeight="1">
      <c r="A21" s="32" t="inlineStr">
        <is>
          <t>SEO Health Trend</t>
        </is>
      </c>
      <c r="B21" s="35" t="inlineStr">
        <is>
          <t>https://africanmarketingconfederation.org/smoke-archive/page-19</t>
        </is>
      </c>
      <c r="C21" s="28" t="inlineStr"/>
      <c r="D21" s="28" t="inlineStr"/>
      <c r="E21" s="28" t="inlineStr"/>
      <c r="F21" s="28" t="inlineStr"/>
      <c r="G21" s="28" t="inlineStr"/>
      <c r="H21" s="28" t="inlineStr"/>
      <c r="I21" s="28" t="inlineStr"/>
      <c r="J21" s="28" t="inlineStr"/>
      <c r="K21" s="28" t="inlineStr"/>
      <c r="L21" s="28" t="inlineStr">
        <is>
          <t>80.0 (2026-07-01 20:54:35)</t>
        </is>
      </c>
      <c r="M21" s="28" t="inlineStr"/>
      <c r="N21" s="28" t="inlineStr"/>
      <c r="O21" s="28" t="inlineStr"/>
      <c r="P21">
        <f>IFERROR(HYPERLINK("#'Main'!B"&amp;MATCH(TRIM(B21),'Main'!B:B,0),"Open"),HYPERLINK("#'Main'!B1","Open"))</f>
        <v/>
      </c>
    </row>
    <row r="22" ht="18" customHeight="1">
      <c r="A22" s="32" t="inlineStr">
        <is>
          <t>SEO Health Trend</t>
        </is>
      </c>
      <c r="B22" s="37" t="inlineStr">
        <is>
          <t>https://africanmarketingconfederation.org/smoke-archive/page-2</t>
        </is>
      </c>
      <c r="C22" s="30" t="inlineStr"/>
      <c r="D22" s="30" t="inlineStr"/>
      <c r="E22" s="30" t="inlineStr"/>
      <c r="F22" s="30" t="inlineStr"/>
      <c r="G22" s="30" t="inlineStr"/>
      <c r="H22" s="30" t="inlineStr"/>
      <c r="I22" s="30" t="inlineStr"/>
      <c r="J22" s="30" t="inlineStr"/>
      <c r="K22" s="30" t="inlineStr"/>
      <c r="L22" s="30" t="inlineStr">
        <is>
          <t>80.0 (2026-07-01 20:54:35)</t>
        </is>
      </c>
      <c r="M22" s="30" t="inlineStr"/>
      <c r="N22" s="30" t="inlineStr"/>
      <c r="O22" s="30" t="inlineStr"/>
      <c r="P22" s="38">
        <f>IFERROR(HYPERLINK("#'Main'!B"&amp;MATCH(TRIM(B22),'Main'!B:B,0),"Open"),HYPERLINK("#'Main'!B1","Open"))</f>
        <v/>
      </c>
    </row>
    <row r="23" ht="18" customHeight="1">
      <c r="A23" s="32" t="inlineStr">
        <is>
          <t>SEO Health Trend</t>
        </is>
      </c>
      <c r="B23" s="35" t="inlineStr">
        <is>
          <t>https://africanmarketingconfederation.org/smoke-archive/page-20</t>
        </is>
      </c>
      <c r="C23" s="28" t="inlineStr"/>
      <c r="D23" s="28" t="inlineStr"/>
      <c r="E23" s="28" t="inlineStr"/>
      <c r="F23" s="28" t="inlineStr"/>
      <c r="G23" s="28" t="inlineStr"/>
      <c r="H23" s="28" t="inlineStr"/>
      <c r="I23" s="28" t="inlineStr"/>
      <c r="J23" s="28" t="inlineStr"/>
      <c r="K23" s="28" t="inlineStr"/>
      <c r="L23" s="28" t="inlineStr">
        <is>
          <t>70.0 (2026-07-01 20:54:35)</t>
        </is>
      </c>
      <c r="M23" s="28" t="inlineStr"/>
      <c r="N23" s="28" t="inlineStr"/>
      <c r="O23" s="28" t="inlineStr"/>
      <c r="P23">
        <f>IFERROR(HYPERLINK("#'Main'!B"&amp;MATCH(TRIM(B23),'Main'!B:B,0),"Open"),HYPERLINK("#'Main'!B1","Open"))</f>
        <v/>
      </c>
    </row>
    <row r="24" ht="18" customHeight="1">
      <c r="A24" s="32" t="inlineStr">
        <is>
          <t>SEO Health Trend</t>
        </is>
      </c>
      <c r="B24" s="37" t="inlineStr">
        <is>
          <t>https://africanmarketingconfederation.org/smoke-archive/page-21</t>
        </is>
      </c>
      <c r="C24" s="30" t="inlineStr"/>
      <c r="D24" s="30" t="inlineStr"/>
      <c r="E24" s="30" t="inlineStr"/>
      <c r="F24" s="30" t="inlineStr"/>
      <c r="G24" s="30" t="inlineStr"/>
      <c r="H24" s="30" t="inlineStr"/>
      <c r="I24" s="30" t="inlineStr"/>
      <c r="J24" s="30" t="inlineStr"/>
      <c r="K24" s="30" t="inlineStr"/>
      <c r="L24" s="30" t="inlineStr">
        <is>
          <t>70.0 (2026-07-01 20:54:35)</t>
        </is>
      </c>
      <c r="M24" s="30" t="inlineStr"/>
      <c r="N24" s="30" t="inlineStr"/>
      <c r="O24" s="30" t="inlineStr"/>
      <c r="P24" s="38">
        <f>IFERROR(HYPERLINK("#'Main'!B"&amp;MATCH(TRIM(B24),'Main'!B:B,0),"Open"),HYPERLINK("#'Main'!B1","Open"))</f>
        <v/>
      </c>
    </row>
    <row r="25" ht="18" customHeight="1">
      <c r="A25" s="32" t="inlineStr">
        <is>
          <t>SEO Health Trend</t>
        </is>
      </c>
      <c r="B25" s="35" t="inlineStr">
        <is>
          <t>https://africanmarketingconfederation.org/smoke-archive/page-22</t>
        </is>
      </c>
      <c r="C25" s="28" t="inlineStr"/>
      <c r="D25" s="28" t="inlineStr"/>
      <c r="E25" s="28" t="inlineStr"/>
      <c r="F25" s="28" t="inlineStr"/>
      <c r="G25" s="28" t="inlineStr"/>
      <c r="H25" s="28" t="inlineStr"/>
      <c r="I25" s="28" t="inlineStr"/>
      <c r="J25" s="28" t="inlineStr"/>
      <c r="K25" s="28" t="inlineStr"/>
      <c r="L25" s="28" t="inlineStr">
        <is>
          <t>80.0 (2026-07-01 20:54:35)</t>
        </is>
      </c>
      <c r="M25" s="28" t="inlineStr"/>
      <c r="N25" s="28" t="inlineStr"/>
      <c r="O25" s="28" t="inlineStr"/>
      <c r="P25">
        <f>IFERROR(HYPERLINK("#'Main'!B"&amp;MATCH(TRIM(B25),'Main'!B:B,0),"Open"),HYPERLINK("#'Main'!B1","Open"))</f>
        <v/>
      </c>
    </row>
    <row r="26" ht="18" customHeight="1">
      <c r="A26" s="32" t="inlineStr">
        <is>
          <t>SEO Health Trend</t>
        </is>
      </c>
      <c r="B26" s="37" t="inlineStr">
        <is>
          <t>https://africanmarketingconfederation.org/smoke-archive/page-23</t>
        </is>
      </c>
      <c r="C26" s="30" t="inlineStr"/>
      <c r="D26" s="30" t="inlineStr"/>
      <c r="E26" s="30" t="inlineStr"/>
      <c r="F26" s="30" t="inlineStr"/>
      <c r="G26" s="30" t="inlineStr"/>
      <c r="H26" s="30" t="inlineStr"/>
      <c r="I26" s="30" t="inlineStr"/>
      <c r="J26" s="30" t="inlineStr"/>
      <c r="K26" s="30" t="inlineStr"/>
      <c r="L26" s="30" t="inlineStr">
        <is>
          <t>80.0 (2026-07-01 20:54:35)</t>
        </is>
      </c>
      <c r="M26" s="30" t="inlineStr"/>
      <c r="N26" s="30" t="inlineStr"/>
      <c r="O26" s="30" t="inlineStr"/>
      <c r="P26" s="38">
        <f>IFERROR(HYPERLINK("#'Main'!B"&amp;MATCH(TRIM(B26),'Main'!B:B,0),"Open"),HYPERLINK("#'Main'!B1","Open"))</f>
        <v/>
      </c>
    </row>
    <row r="27" ht="18" customHeight="1">
      <c r="A27" s="32" t="inlineStr">
        <is>
          <t>SEO Health Trend</t>
        </is>
      </c>
      <c r="B27" s="35" t="inlineStr">
        <is>
          <t>https://africanmarketingconfederation.org/smoke-archive/page-24</t>
        </is>
      </c>
      <c r="C27" s="28" t="inlineStr"/>
      <c r="D27" s="28" t="inlineStr"/>
      <c r="E27" s="28" t="inlineStr"/>
      <c r="F27" s="28" t="inlineStr"/>
      <c r="G27" s="28" t="inlineStr"/>
      <c r="H27" s="28" t="inlineStr"/>
      <c r="I27" s="28" t="inlineStr"/>
      <c r="J27" s="28" t="inlineStr"/>
      <c r="K27" s="28" t="inlineStr"/>
      <c r="L27" s="28" t="inlineStr">
        <is>
          <t>45.0 (2026-07-01 20:54:35)</t>
        </is>
      </c>
      <c r="M27" s="28" t="inlineStr"/>
      <c r="N27" s="28" t="inlineStr"/>
      <c r="O27" s="28" t="inlineStr"/>
      <c r="P27">
        <f>IFERROR(HYPERLINK("#'Main'!B"&amp;MATCH(TRIM(B27),'Main'!B:B,0),"Open"),HYPERLINK("#'Main'!B1","Open"))</f>
        <v/>
      </c>
    </row>
    <row r="28" ht="18" customHeight="1">
      <c r="A28" s="32" t="inlineStr">
        <is>
          <t>SEO Health Trend</t>
        </is>
      </c>
      <c r="B28" s="37" t="inlineStr">
        <is>
          <t>https://africanmarketingconfederation.org/smoke-archive/page-25</t>
        </is>
      </c>
      <c r="C28" s="30" t="inlineStr"/>
      <c r="D28" s="30" t="inlineStr"/>
      <c r="E28" s="30" t="inlineStr"/>
      <c r="F28" s="30" t="inlineStr"/>
      <c r="G28" s="30" t="inlineStr"/>
      <c r="H28" s="30" t="inlineStr"/>
      <c r="I28" s="30" t="inlineStr"/>
      <c r="J28" s="30" t="inlineStr"/>
      <c r="K28" s="30" t="inlineStr"/>
      <c r="L28" s="30" t="inlineStr">
        <is>
          <t>60.0 (2026-07-01 20:54:35)</t>
        </is>
      </c>
      <c r="M28" s="30" t="inlineStr"/>
      <c r="N28" s="30" t="inlineStr"/>
      <c r="O28" s="30" t="inlineStr"/>
      <c r="P28" s="38">
        <f>IFERROR(HYPERLINK("#'Main'!B"&amp;MATCH(TRIM(B28),'Main'!B:B,0),"Open"),HYPERLINK("#'Main'!B1","Open"))</f>
        <v/>
      </c>
    </row>
    <row r="29" ht="18" customHeight="1">
      <c r="A29" s="32" t="inlineStr">
        <is>
          <t>SEO Health Trend</t>
        </is>
      </c>
      <c r="B29" s="35" t="inlineStr">
        <is>
          <t>https://africanmarketingconfederation.org/smoke-archive/page-26</t>
        </is>
      </c>
      <c r="C29" s="28" t="inlineStr"/>
      <c r="D29" s="28" t="inlineStr"/>
      <c r="E29" s="28" t="inlineStr"/>
      <c r="F29" s="28" t="inlineStr"/>
      <c r="G29" s="28" t="inlineStr"/>
      <c r="H29" s="28" t="inlineStr"/>
      <c r="I29" s="28" t="inlineStr"/>
      <c r="J29" s="28" t="inlineStr"/>
      <c r="K29" s="28" t="inlineStr"/>
      <c r="L29" s="28" t="inlineStr">
        <is>
          <t>0.0 (2026-07-01 20:54:35)</t>
        </is>
      </c>
      <c r="M29" s="28" t="inlineStr"/>
      <c r="N29" s="28" t="inlineStr"/>
      <c r="O29" s="28" t="inlineStr"/>
      <c r="P29">
        <f>IFERROR(HYPERLINK("#'Main'!B"&amp;MATCH(TRIM(B29),'Main'!B:B,0),"Open"),HYPERLINK("#'Main'!B1","Open"))</f>
        <v/>
      </c>
    </row>
    <row r="30" ht="18" customHeight="1">
      <c r="A30" s="32" t="inlineStr">
        <is>
          <t>SEO Health Trend</t>
        </is>
      </c>
      <c r="B30" s="37" t="inlineStr">
        <is>
          <t>https://africanmarketingconfederation.org/smoke-archive/page-27</t>
        </is>
      </c>
      <c r="C30" s="30" t="inlineStr"/>
      <c r="D30" s="30" t="inlineStr"/>
      <c r="E30" s="30" t="inlineStr"/>
      <c r="F30" s="30" t="inlineStr"/>
      <c r="G30" s="30" t="inlineStr"/>
      <c r="H30" s="30" t="inlineStr"/>
      <c r="I30" s="30" t="inlineStr"/>
      <c r="J30" s="30" t="inlineStr"/>
      <c r="K30" s="30" t="inlineStr"/>
      <c r="L30" s="30" t="inlineStr">
        <is>
          <t>70.0 (2026-07-01 20:54:35)</t>
        </is>
      </c>
      <c r="M30" s="30" t="inlineStr"/>
      <c r="N30" s="30" t="inlineStr"/>
      <c r="O30" s="30" t="inlineStr"/>
      <c r="P30" s="38">
        <f>IFERROR(HYPERLINK("#'Main'!B"&amp;MATCH(TRIM(B30),'Main'!B:B,0),"Open"),HYPERLINK("#'Main'!B1","Open"))</f>
        <v/>
      </c>
    </row>
    <row r="31" ht="18" customHeight="1">
      <c r="A31" s="32" t="inlineStr">
        <is>
          <t>SEO Health Trend</t>
        </is>
      </c>
      <c r="B31" s="35" t="inlineStr">
        <is>
          <t>https://africanmarketingconfederation.org/smoke-archive/page-28</t>
        </is>
      </c>
      <c r="C31" s="28" t="inlineStr"/>
      <c r="D31" s="28" t="inlineStr"/>
      <c r="E31" s="28" t="inlineStr"/>
      <c r="F31" s="28" t="inlineStr"/>
      <c r="G31" s="28" t="inlineStr"/>
      <c r="H31" s="28" t="inlineStr"/>
      <c r="I31" s="28" t="inlineStr"/>
      <c r="J31" s="28" t="inlineStr"/>
      <c r="K31" s="28" t="inlineStr"/>
      <c r="L31" s="28" t="inlineStr">
        <is>
          <t>80.0 (2026-07-01 20:54:35)</t>
        </is>
      </c>
      <c r="M31" s="28" t="inlineStr"/>
      <c r="N31" s="28" t="inlineStr"/>
      <c r="O31" s="28" t="inlineStr"/>
      <c r="P31">
        <f>IFERROR(HYPERLINK("#'Main'!B"&amp;MATCH(TRIM(B31),'Main'!B:B,0),"Open"),HYPERLINK("#'Main'!B1","Open"))</f>
        <v/>
      </c>
    </row>
    <row r="32" ht="18" customHeight="1">
      <c r="A32" s="32" t="inlineStr">
        <is>
          <t>SEO Health Trend</t>
        </is>
      </c>
      <c r="B32" s="37" t="inlineStr">
        <is>
          <t>https://africanmarketingconfederation.org/smoke-archive/page-29</t>
        </is>
      </c>
      <c r="C32" s="30" t="inlineStr"/>
      <c r="D32" s="30" t="inlineStr"/>
      <c r="E32" s="30" t="inlineStr"/>
      <c r="F32" s="30" t="inlineStr"/>
      <c r="G32" s="30" t="inlineStr"/>
      <c r="H32" s="30" t="inlineStr"/>
      <c r="I32" s="30" t="inlineStr"/>
      <c r="J32" s="30" t="inlineStr"/>
      <c r="K32" s="30" t="inlineStr"/>
      <c r="L32" s="30" t="inlineStr">
        <is>
          <t>80.0 (2026-07-01 20:54:35)</t>
        </is>
      </c>
      <c r="M32" s="30" t="inlineStr"/>
      <c r="N32" s="30" t="inlineStr"/>
      <c r="O32" s="30" t="inlineStr"/>
      <c r="P32" s="38">
        <f>IFERROR(HYPERLINK("#'Main'!B"&amp;MATCH(TRIM(B32),'Main'!B:B,0),"Open"),HYPERLINK("#'Main'!B1","Open"))</f>
        <v/>
      </c>
    </row>
    <row r="33" ht="18" customHeight="1">
      <c r="A33" s="32" t="inlineStr">
        <is>
          <t>SEO Health Trend</t>
        </is>
      </c>
      <c r="B33" s="35" t="inlineStr">
        <is>
          <t>https://africanmarketingconfederation.org/smoke-archive/page-3</t>
        </is>
      </c>
      <c r="C33" s="28" t="inlineStr"/>
      <c r="D33" s="28" t="inlineStr"/>
      <c r="E33" s="28" t="inlineStr"/>
      <c r="F33" s="28" t="inlineStr"/>
      <c r="G33" s="28" t="inlineStr"/>
      <c r="H33" s="28" t="inlineStr"/>
      <c r="I33" s="28" t="inlineStr"/>
      <c r="J33" s="28" t="inlineStr"/>
      <c r="K33" s="28" t="inlineStr"/>
      <c r="L33" s="28" t="inlineStr">
        <is>
          <t>80.0 (2026-07-01 20:54:35)</t>
        </is>
      </c>
      <c r="M33" s="28" t="inlineStr"/>
      <c r="N33" s="28" t="inlineStr"/>
      <c r="O33" s="28" t="inlineStr"/>
      <c r="P33">
        <f>IFERROR(HYPERLINK("#'Main'!B"&amp;MATCH(TRIM(B33),'Main'!B:B,0),"Open"),HYPERLINK("#'Main'!B1","Open"))</f>
        <v/>
      </c>
    </row>
    <row r="34" ht="18" customHeight="1">
      <c r="A34" s="32" t="inlineStr">
        <is>
          <t>SEO Health Trend</t>
        </is>
      </c>
      <c r="B34" s="37" t="inlineStr">
        <is>
          <t>https://africanmarketingconfederation.org/smoke-archive/page-30</t>
        </is>
      </c>
      <c r="C34" s="30" t="inlineStr"/>
      <c r="D34" s="30" t="inlineStr"/>
      <c r="E34" s="30" t="inlineStr"/>
      <c r="F34" s="30" t="inlineStr"/>
      <c r="G34" s="30" t="inlineStr"/>
      <c r="H34" s="30" t="inlineStr"/>
      <c r="I34" s="30" t="inlineStr"/>
      <c r="J34" s="30" t="inlineStr"/>
      <c r="K34" s="30" t="inlineStr"/>
      <c r="L34" s="30" t="inlineStr">
        <is>
          <t>50.0 (2026-07-01 20:54:35)</t>
        </is>
      </c>
      <c r="M34" s="30" t="inlineStr"/>
      <c r="N34" s="30" t="inlineStr"/>
      <c r="O34" s="30" t="inlineStr"/>
      <c r="P34" s="38">
        <f>IFERROR(HYPERLINK("#'Main'!B"&amp;MATCH(TRIM(B34),'Main'!B:B,0),"Open"),HYPERLINK("#'Main'!B1","Open"))</f>
        <v/>
      </c>
    </row>
    <row r="35" ht="18" customHeight="1">
      <c r="A35" s="32" t="inlineStr">
        <is>
          <t>SEO Health Trend</t>
        </is>
      </c>
      <c r="B35" s="35" t="inlineStr">
        <is>
          <t>https://africanmarketingconfederation.org/smoke-archive/page-31</t>
        </is>
      </c>
      <c r="C35" s="28" t="inlineStr"/>
      <c r="D35" s="28" t="inlineStr"/>
      <c r="E35" s="28" t="inlineStr"/>
      <c r="F35" s="28" t="inlineStr"/>
      <c r="G35" s="28" t="inlineStr"/>
      <c r="H35" s="28" t="inlineStr"/>
      <c r="I35" s="28" t="inlineStr"/>
      <c r="J35" s="28" t="inlineStr"/>
      <c r="K35" s="28" t="inlineStr"/>
      <c r="L35" s="28" t="inlineStr">
        <is>
          <t>80.0 (2026-07-01 20:54:35)</t>
        </is>
      </c>
      <c r="M35" s="28" t="inlineStr"/>
      <c r="N35" s="28" t="inlineStr"/>
      <c r="O35" s="28" t="inlineStr"/>
      <c r="P35">
        <f>IFERROR(HYPERLINK("#'Main'!B"&amp;MATCH(TRIM(B35),'Main'!B:B,0),"Open"),HYPERLINK("#'Main'!B1","Open"))</f>
        <v/>
      </c>
    </row>
    <row r="36" ht="18" customHeight="1">
      <c r="A36" s="32" t="inlineStr">
        <is>
          <t>SEO Health Trend</t>
        </is>
      </c>
      <c r="B36" s="37" t="inlineStr">
        <is>
          <t>https://africanmarketingconfederation.org/smoke-archive/page-32</t>
        </is>
      </c>
      <c r="C36" s="30" t="inlineStr"/>
      <c r="D36" s="30" t="inlineStr"/>
      <c r="E36" s="30" t="inlineStr"/>
      <c r="F36" s="30" t="inlineStr"/>
      <c r="G36" s="30" t="inlineStr"/>
      <c r="H36" s="30" t="inlineStr"/>
      <c r="I36" s="30" t="inlineStr"/>
      <c r="J36" s="30" t="inlineStr"/>
      <c r="K36" s="30" t="inlineStr"/>
      <c r="L36" s="30" t="inlineStr">
        <is>
          <t>80.0 (2026-07-01 20:54:35)</t>
        </is>
      </c>
      <c r="M36" s="30" t="inlineStr"/>
      <c r="N36" s="30" t="inlineStr"/>
      <c r="O36" s="30" t="inlineStr"/>
      <c r="P36" s="38">
        <f>IFERROR(HYPERLINK("#'Main'!B"&amp;MATCH(TRIM(B36),'Main'!B:B,0),"Open"),HYPERLINK("#'Main'!B1","Open"))</f>
        <v/>
      </c>
    </row>
    <row r="37" ht="18" customHeight="1">
      <c r="A37" s="32" t="inlineStr">
        <is>
          <t>SEO Health Trend</t>
        </is>
      </c>
      <c r="B37" s="35" t="inlineStr">
        <is>
          <t>https://africanmarketingconfederation.org/smoke-archive/page-33</t>
        </is>
      </c>
      <c r="C37" s="28" t="inlineStr"/>
      <c r="D37" s="28" t="inlineStr"/>
      <c r="E37" s="28" t="inlineStr"/>
      <c r="F37" s="28" t="inlineStr"/>
      <c r="G37" s="28" t="inlineStr"/>
      <c r="H37" s="28" t="inlineStr"/>
      <c r="I37" s="28" t="inlineStr"/>
      <c r="J37" s="28" t="inlineStr"/>
      <c r="K37" s="28" t="inlineStr"/>
      <c r="L37" s="28" t="inlineStr">
        <is>
          <t>80.0 (2026-07-01 20:54:35)</t>
        </is>
      </c>
      <c r="M37" s="28" t="inlineStr"/>
      <c r="N37" s="28" t="inlineStr"/>
      <c r="O37" s="28" t="inlineStr"/>
      <c r="P37">
        <f>IFERROR(HYPERLINK("#'Main'!B"&amp;MATCH(TRIM(B37),'Main'!B:B,0),"Open"),HYPERLINK("#'Main'!B1","Open"))</f>
        <v/>
      </c>
    </row>
    <row r="38" ht="18" customHeight="1">
      <c r="A38" s="32" t="inlineStr">
        <is>
          <t>SEO Health Trend</t>
        </is>
      </c>
      <c r="B38" s="37" t="inlineStr">
        <is>
          <t>https://africanmarketingconfederation.org/smoke-archive/page-34</t>
        </is>
      </c>
      <c r="C38" s="30" t="inlineStr"/>
      <c r="D38" s="30" t="inlineStr"/>
      <c r="E38" s="30" t="inlineStr"/>
      <c r="F38" s="30" t="inlineStr"/>
      <c r="G38" s="30" t="inlineStr"/>
      <c r="H38" s="30" t="inlineStr"/>
      <c r="I38" s="30" t="inlineStr"/>
      <c r="J38" s="30" t="inlineStr"/>
      <c r="K38" s="30" t="inlineStr"/>
      <c r="L38" s="30" t="inlineStr">
        <is>
          <t>0.0 (2026-07-01 20:54:35)</t>
        </is>
      </c>
      <c r="M38" s="30" t="inlineStr"/>
      <c r="N38" s="30" t="inlineStr"/>
      <c r="O38" s="30" t="inlineStr"/>
      <c r="P38" s="38">
        <f>IFERROR(HYPERLINK("#'Main'!B"&amp;MATCH(TRIM(B38),'Main'!B:B,0),"Open"),HYPERLINK("#'Main'!B1","Open"))</f>
        <v/>
      </c>
    </row>
    <row r="39" ht="18" customHeight="1">
      <c r="A39" s="32" t="inlineStr">
        <is>
          <t>SEO Health Trend</t>
        </is>
      </c>
      <c r="B39" s="35" t="inlineStr">
        <is>
          <t>https://africanmarketingconfederation.org/smoke-archive/page-35</t>
        </is>
      </c>
      <c r="C39" s="28" t="inlineStr"/>
      <c r="D39" s="28" t="inlineStr"/>
      <c r="E39" s="28" t="inlineStr"/>
      <c r="F39" s="28" t="inlineStr"/>
      <c r="G39" s="28" t="inlineStr"/>
      <c r="H39" s="28" t="inlineStr"/>
      <c r="I39" s="28" t="inlineStr"/>
      <c r="J39" s="28" t="inlineStr"/>
      <c r="K39" s="28" t="inlineStr"/>
      <c r="L39" s="28" t="inlineStr">
        <is>
          <t>50.0 (2026-07-01 20:54:35)</t>
        </is>
      </c>
      <c r="M39" s="28" t="inlineStr"/>
      <c r="N39" s="28" t="inlineStr"/>
      <c r="O39" s="28" t="inlineStr"/>
      <c r="P39">
        <f>IFERROR(HYPERLINK("#'Main'!B"&amp;MATCH(TRIM(B39),'Main'!B:B,0),"Open"),HYPERLINK("#'Main'!B1","Open"))</f>
        <v/>
      </c>
    </row>
    <row r="40" ht="18" customHeight="1">
      <c r="A40" s="32" t="inlineStr">
        <is>
          <t>SEO Health Trend</t>
        </is>
      </c>
      <c r="B40" s="37" t="inlineStr">
        <is>
          <t>https://africanmarketingconfederation.org/smoke-archive/page-36</t>
        </is>
      </c>
      <c r="C40" s="30" t="inlineStr"/>
      <c r="D40" s="30" t="inlineStr"/>
      <c r="E40" s="30" t="inlineStr"/>
      <c r="F40" s="30" t="inlineStr"/>
      <c r="G40" s="30" t="inlineStr"/>
      <c r="H40" s="30" t="inlineStr"/>
      <c r="I40" s="30" t="inlineStr"/>
      <c r="J40" s="30" t="inlineStr"/>
      <c r="K40" s="30" t="inlineStr"/>
      <c r="L40" s="30" t="inlineStr">
        <is>
          <t>45.0 (2026-07-01 20:54:35)</t>
        </is>
      </c>
      <c r="M40" s="30" t="inlineStr"/>
      <c r="N40" s="30" t="inlineStr"/>
      <c r="O40" s="30" t="inlineStr"/>
      <c r="P40" s="38">
        <f>IFERROR(HYPERLINK("#'Main'!B"&amp;MATCH(TRIM(B40),'Main'!B:B,0),"Open"),HYPERLINK("#'Main'!B1","Open"))</f>
        <v/>
      </c>
    </row>
    <row r="41" ht="18" customHeight="1">
      <c r="A41" s="32" t="inlineStr">
        <is>
          <t>SEO Health Trend</t>
        </is>
      </c>
      <c r="B41" s="35" t="inlineStr">
        <is>
          <t>https://africanmarketingconfederation.org/smoke-archive/page-37</t>
        </is>
      </c>
      <c r="C41" s="28" t="inlineStr"/>
      <c r="D41" s="28" t="inlineStr"/>
      <c r="E41" s="28" t="inlineStr"/>
      <c r="F41" s="28" t="inlineStr"/>
      <c r="G41" s="28" t="inlineStr"/>
      <c r="H41" s="28" t="inlineStr"/>
      <c r="I41" s="28" t="inlineStr"/>
      <c r="J41" s="28" t="inlineStr"/>
      <c r="K41" s="28" t="inlineStr"/>
      <c r="L41" s="28" t="inlineStr">
        <is>
          <t>80.0 (2026-07-01 20:54:35)</t>
        </is>
      </c>
      <c r="M41" s="28" t="inlineStr"/>
      <c r="N41" s="28" t="inlineStr"/>
      <c r="O41" s="28" t="inlineStr"/>
      <c r="P41">
        <f>IFERROR(HYPERLINK("#'Main'!B"&amp;MATCH(TRIM(B41),'Main'!B:B,0),"Open"),HYPERLINK("#'Main'!B1","Open"))</f>
        <v/>
      </c>
    </row>
    <row r="42" ht="18" customHeight="1">
      <c r="A42" s="32" t="inlineStr">
        <is>
          <t>SEO Health Trend</t>
        </is>
      </c>
      <c r="B42" s="37" t="inlineStr">
        <is>
          <t>https://africanmarketingconfederation.org/smoke-archive/page-38</t>
        </is>
      </c>
      <c r="C42" s="30" t="inlineStr"/>
      <c r="D42" s="30" t="inlineStr"/>
      <c r="E42" s="30" t="inlineStr"/>
      <c r="F42" s="30" t="inlineStr"/>
      <c r="G42" s="30" t="inlineStr"/>
      <c r="H42" s="30" t="inlineStr"/>
      <c r="I42" s="30" t="inlineStr"/>
      <c r="J42" s="30" t="inlineStr"/>
      <c r="K42" s="30" t="inlineStr"/>
      <c r="L42" s="30" t="inlineStr">
        <is>
          <t>80.0 (2026-07-01 20:54:35)</t>
        </is>
      </c>
      <c r="M42" s="30" t="inlineStr"/>
      <c r="N42" s="30" t="inlineStr"/>
      <c r="O42" s="30" t="inlineStr"/>
      <c r="P42" s="38">
        <f>IFERROR(HYPERLINK("#'Main'!B"&amp;MATCH(TRIM(B42),'Main'!B:B,0),"Open"),HYPERLINK("#'Main'!B1","Open"))</f>
        <v/>
      </c>
    </row>
    <row r="43" ht="18" customHeight="1">
      <c r="A43" s="32" t="inlineStr">
        <is>
          <t>SEO Health Trend</t>
        </is>
      </c>
      <c r="B43" s="35" t="inlineStr">
        <is>
          <t>https://africanmarketingconfederation.org/smoke-archive/page-39</t>
        </is>
      </c>
      <c r="C43" s="28" t="inlineStr"/>
      <c r="D43" s="28" t="inlineStr"/>
      <c r="E43" s="28" t="inlineStr"/>
      <c r="F43" s="28" t="inlineStr"/>
      <c r="G43" s="28" t="inlineStr"/>
      <c r="H43" s="28" t="inlineStr"/>
      <c r="I43" s="28" t="inlineStr"/>
      <c r="J43" s="28" t="inlineStr"/>
      <c r="K43" s="28" t="inlineStr"/>
      <c r="L43" s="28" t="inlineStr">
        <is>
          <t>0.0 (2026-07-01 20:54:35)</t>
        </is>
      </c>
      <c r="M43" s="28" t="inlineStr"/>
      <c r="N43" s="28" t="inlineStr"/>
      <c r="O43" s="28" t="inlineStr"/>
      <c r="P43">
        <f>IFERROR(HYPERLINK("#'Main'!B"&amp;MATCH(TRIM(B43),'Main'!B:B,0),"Open"),HYPERLINK("#'Main'!B1","Open"))</f>
        <v/>
      </c>
    </row>
    <row r="44" ht="18" customHeight="1">
      <c r="A44" s="32" t="inlineStr">
        <is>
          <t>SEO Health Trend</t>
        </is>
      </c>
      <c r="B44" s="37" t="inlineStr">
        <is>
          <t>https://africanmarketingconfederation.org/smoke-archive/page-4</t>
        </is>
      </c>
      <c r="C44" s="30" t="inlineStr"/>
      <c r="D44" s="30" t="inlineStr"/>
      <c r="E44" s="30" t="inlineStr"/>
      <c r="F44" s="30" t="inlineStr"/>
      <c r="G44" s="30" t="inlineStr"/>
      <c r="H44" s="30" t="inlineStr"/>
      <c r="I44" s="30" t="inlineStr"/>
      <c r="J44" s="30" t="inlineStr"/>
      <c r="K44" s="30" t="inlineStr"/>
      <c r="L44" s="30" t="inlineStr">
        <is>
          <t>90.0 (2026-07-01 20:54:35)</t>
        </is>
      </c>
      <c r="M44" s="30" t="inlineStr"/>
      <c r="N44" s="30" t="inlineStr"/>
      <c r="O44" s="30" t="inlineStr"/>
      <c r="P44" s="38">
        <f>IFERROR(HYPERLINK("#'Main'!B"&amp;MATCH(TRIM(B44),'Main'!B:B,0),"Open"),HYPERLINK("#'Main'!B1","Open"))</f>
        <v/>
      </c>
    </row>
    <row r="45" ht="18" customHeight="1">
      <c r="A45" s="32" t="inlineStr">
        <is>
          <t>SEO Health Trend</t>
        </is>
      </c>
      <c r="B45" s="35" t="inlineStr">
        <is>
          <t>https://africanmarketingconfederation.org/smoke-archive/page-40</t>
        </is>
      </c>
      <c r="C45" s="28" t="inlineStr"/>
      <c r="D45" s="28" t="inlineStr"/>
      <c r="E45" s="28" t="inlineStr"/>
      <c r="F45" s="28" t="inlineStr"/>
      <c r="G45" s="28" t="inlineStr"/>
      <c r="H45" s="28" t="inlineStr"/>
      <c r="I45" s="28" t="inlineStr"/>
      <c r="J45" s="28" t="inlineStr"/>
      <c r="K45" s="28" t="inlineStr"/>
      <c r="L45" s="28" t="inlineStr">
        <is>
          <t>60.0 (2026-07-01 20:54:35)</t>
        </is>
      </c>
      <c r="M45" s="28" t="inlineStr"/>
      <c r="N45" s="28" t="inlineStr"/>
      <c r="O45" s="28" t="inlineStr"/>
      <c r="P45">
        <f>IFERROR(HYPERLINK("#'Main'!B"&amp;MATCH(TRIM(B45),'Main'!B:B,0),"Open"),HYPERLINK("#'Main'!B1","Open"))</f>
        <v/>
      </c>
    </row>
    <row r="46" ht="18" customHeight="1">
      <c r="A46" s="32" t="inlineStr">
        <is>
          <t>SEO Health Trend</t>
        </is>
      </c>
      <c r="B46" s="37" t="inlineStr">
        <is>
          <t>https://africanmarketingconfederation.org/smoke-archive/page-41</t>
        </is>
      </c>
      <c r="C46" s="30" t="inlineStr"/>
      <c r="D46" s="30" t="inlineStr"/>
      <c r="E46" s="30" t="inlineStr"/>
      <c r="F46" s="30" t="inlineStr"/>
      <c r="G46" s="30" t="inlineStr"/>
      <c r="H46" s="30" t="inlineStr"/>
      <c r="I46" s="30" t="inlineStr"/>
      <c r="J46" s="30" t="inlineStr"/>
      <c r="K46" s="30" t="inlineStr"/>
      <c r="L46" s="30" t="inlineStr">
        <is>
          <t>80.0 (2026-07-01 20:54:35)</t>
        </is>
      </c>
      <c r="M46" s="30" t="inlineStr"/>
      <c r="N46" s="30" t="inlineStr"/>
      <c r="O46" s="30" t="inlineStr"/>
      <c r="P46" s="38">
        <f>IFERROR(HYPERLINK("#'Main'!B"&amp;MATCH(TRIM(B46),'Main'!B:B,0),"Open"),HYPERLINK("#'Main'!B1","Open"))</f>
        <v/>
      </c>
    </row>
    <row r="47" ht="18" customHeight="1">
      <c r="A47" s="32" t="inlineStr">
        <is>
          <t>SEO Health Trend</t>
        </is>
      </c>
      <c r="B47" s="35" t="inlineStr">
        <is>
          <t>https://africanmarketingconfederation.org/smoke-archive/page-42</t>
        </is>
      </c>
      <c r="C47" s="28" t="inlineStr"/>
      <c r="D47" s="28" t="inlineStr"/>
      <c r="E47" s="28" t="inlineStr"/>
      <c r="F47" s="28" t="inlineStr"/>
      <c r="G47" s="28" t="inlineStr"/>
      <c r="H47" s="28" t="inlineStr"/>
      <c r="I47" s="28" t="inlineStr"/>
      <c r="J47" s="28" t="inlineStr"/>
      <c r="K47" s="28" t="inlineStr"/>
      <c r="L47" s="28" t="inlineStr">
        <is>
          <t>60.0 (2026-07-01 20:54:35)</t>
        </is>
      </c>
      <c r="M47" s="28" t="inlineStr"/>
      <c r="N47" s="28" t="inlineStr"/>
      <c r="O47" s="28" t="inlineStr"/>
      <c r="P47">
        <f>IFERROR(HYPERLINK("#'Main'!B"&amp;MATCH(TRIM(B47),'Main'!B:B,0),"Open"),HYPERLINK("#'Main'!B1","Open"))</f>
        <v/>
      </c>
    </row>
    <row r="48" ht="18" customHeight="1">
      <c r="A48" s="32" t="inlineStr">
        <is>
          <t>SEO Health Trend</t>
        </is>
      </c>
      <c r="B48" s="37" t="inlineStr">
        <is>
          <t>https://africanmarketingconfederation.org/smoke-archive/page-43</t>
        </is>
      </c>
      <c r="C48" s="30" t="inlineStr"/>
      <c r="D48" s="30" t="inlineStr"/>
      <c r="E48" s="30" t="inlineStr"/>
      <c r="F48" s="30" t="inlineStr"/>
      <c r="G48" s="30" t="inlineStr"/>
      <c r="H48" s="30" t="inlineStr"/>
      <c r="I48" s="30" t="inlineStr"/>
      <c r="J48" s="30" t="inlineStr"/>
      <c r="K48" s="30" t="inlineStr"/>
      <c r="L48" s="30" t="inlineStr">
        <is>
          <t>80.0 (2026-07-01 20:54:35)</t>
        </is>
      </c>
      <c r="M48" s="30" t="inlineStr"/>
      <c r="N48" s="30" t="inlineStr"/>
      <c r="O48" s="30" t="inlineStr"/>
      <c r="P48" s="38">
        <f>IFERROR(HYPERLINK("#'Main'!B"&amp;MATCH(TRIM(B48),'Main'!B:B,0),"Open"),HYPERLINK("#'Main'!B1","Open"))</f>
        <v/>
      </c>
    </row>
    <row r="49" ht="18" customHeight="1">
      <c r="A49" s="32" t="inlineStr">
        <is>
          <t>SEO Health Trend</t>
        </is>
      </c>
      <c r="B49" s="35" t="inlineStr">
        <is>
          <t>https://africanmarketingconfederation.org/smoke-archive/page-44</t>
        </is>
      </c>
      <c r="C49" s="28" t="inlineStr"/>
      <c r="D49" s="28" t="inlineStr"/>
      <c r="E49" s="28" t="inlineStr"/>
      <c r="F49" s="28" t="inlineStr"/>
      <c r="G49" s="28" t="inlineStr"/>
      <c r="H49" s="28" t="inlineStr"/>
      <c r="I49" s="28" t="inlineStr"/>
      <c r="J49" s="28" t="inlineStr"/>
      <c r="K49" s="28" t="inlineStr"/>
      <c r="L49" s="28" t="inlineStr">
        <is>
          <t>90.0 (2026-07-01 20:54:35)</t>
        </is>
      </c>
      <c r="M49" s="28" t="inlineStr"/>
      <c r="N49" s="28" t="inlineStr"/>
      <c r="O49" s="28" t="inlineStr"/>
      <c r="P49">
        <f>IFERROR(HYPERLINK("#'Main'!B"&amp;MATCH(TRIM(B49),'Main'!B:B,0),"Open"),HYPERLINK("#'Main'!B1","Open"))</f>
        <v/>
      </c>
    </row>
    <row r="50" ht="18" customHeight="1">
      <c r="A50" s="32" t="inlineStr">
        <is>
          <t>SEO Health Trend</t>
        </is>
      </c>
      <c r="B50" s="37" t="inlineStr">
        <is>
          <t>https://africanmarketingconfederation.org/smoke-archive/page-45</t>
        </is>
      </c>
      <c r="C50" s="30" t="inlineStr"/>
      <c r="D50" s="30" t="inlineStr"/>
      <c r="E50" s="30" t="inlineStr"/>
      <c r="F50" s="30" t="inlineStr"/>
      <c r="G50" s="30" t="inlineStr"/>
      <c r="H50" s="30" t="inlineStr"/>
      <c r="I50" s="30" t="inlineStr"/>
      <c r="J50" s="30" t="inlineStr"/>
      <c r="K50" s="30" t="inlineStr"/>
      <c r="L50" s="30" t="inlineStr">
        <is>
          <t>50.0 (2026-07-01 20:54:35)</t>
        </is>
      </c>
      <c r="M50" s="30" t="inlineStr"/>
      <c r="N50" s="30" t="inlineStr"/>
      <c r="O50" s="30" t="inlineStr"/>
      <c r="P50" s="38">
        <f>IFERROR(HYPERLINK("#'Main'!B"&amp;MATCH(TRIM(B50),'Main'!B:B,0),"Open"),HYPERLINK("#'Main'!B1","Open"))</f>
        <v/>
      </c>
    </row>
    <row r="51" ht="18" customHeight="1">
      <c r="A51" s="32" t="inlineStr">
        <is>
          <t>SEO Health Trend</t>
        </is>
      </c>
      <c r="B51" s="35" t="inlineStr">
        <is>
          <t>https://africanmarketingconfederation.org/smoke-archive/page-46</t>
        </is>
      </c>
      <c r="C51" s="28" t="inlineStr"/>
      <c r="D51" s="28" t="inlineStr"/>
      <c r="E51" s="28" t="inlineStr"/>
      <c r="F51" s="28" t="inlineStr"/>
      <c r="G51" s="28" t="inlineStr"/>
      <c r="H51" s="28" t="inlineStr"/>
      <c r="I51" s="28" t="inlineStr"/>
      <c r="J51" s="28" t="inlineStr"/>
      <c r="K51" s="28" t="inlineStr"/>
      <c r="L51" s="28" t="inlineStr">
        <is>
          <t>80.0 (2026-07-01 20:54:35)</t>
        </is>
      </c>
      <c r="M51" s="28" t="inlineStr"/>
      <c r="N51" s="28" t="inlineStr"/>
      <c r="O51" s="28" t="inlineStr"/>
      <c r="P51">
        <f>IFERROR(HYPERLINK("#'Main'!B"&amp;MATCH(TRIM(B51),'Main'!B:B,0),"Open"),HYPERLINK("#'Main'!B1","Open"))</f>
        <v/>
      </c>
    </row>
    <row r="52" ht="18" customHeight="1">
      <c r="A52" s="32" t="inlineStr">
        <is>
          <t>SEO Health Trend</t>
        </is>
      </c>
      <c r="B52" s="37" t="inlineStr">
        <is>
          <t>https://africanmarketingconfederation.org/smoke-archive/page-47</t>
        </is>
      </c>
      <c r="C52" s="30" t="inlineStr"/>
      <c r="D52" s="30" t="inlineStr"/>
      <c r="E52" s="30" t="inlineStr"/>
      <c r="F52" s="30" t="inlineStr"/>
      <c r="G52" s="30" t="inlineStr"/>
      <c r="H52" s="30" t="inlineStr"/>
      <c r="I52" s="30" t="inlineStr"/>
      <c r="J52" s="30" t="inlineStr"/>
      <c r="K52" s="30" t="inlineStr"/>
      <c r="L52" s="30" t="inlineStr">
        <is>
          <t>80.0 (2026-07-01 20:54:35)</t>
        </is>
      </c>
      <c r="M52" s="30" t="inlineStr"/>
      <c r="N52" s="30" t="inlineStr"/>
      <c r="O52" s="30" t="inlineStr"/>
      <c r="P52" s="38">
        <f>IFERROR(HYPERLINK("#'Main'!B"&amp;MATCH(TRIM(B52),'Main'!B:B,0),"Open"),HYPERLINK("#'Main'!B1","Open"))</f>
        <v/>
      </c>
    </row>
    <row r="53" ht="18" customHeight="1">
      <c r="A53" s="32" t="inlineStr">
        <is>
          <t>SEO Health Trend</t>
        </is>
      </c>
      <c r="B53" s="35" t="inlineStr">
        <is>
          <t>https://africanmarketingconfederation.org/smoke-archive/page-48</t>
        </is>
      </c>
      <c r="C53" s="28" t="inlineStr"/>
      <c r="D53" s="28" t="inlineStr"/>
      <c r="E53" s="28" t="inlineStr"/>
      <c r="F53" s="28" t="inlineStr"/>
      <c r="G53" s="28" t="inlineStr"/>
      <c r="H53" s="28" t="inlineStr"/>
      <c r="I53" s="28" t="inlineStr"/>
      <c r="J53" s="28" t="inlineStr"/>
      <c r="K53" s="28" t="inlineStr"/>
      <c r="L53" s="28" t="inlineStr">
        <is>
          <t>45.0 (2026-07-01 20:54:35)</t>
        </is>
      </c>
      <c r="M53" s="28" t="inlineStr"/>
      <c r="N53" s="28" t="inlineStr"/>
      <c r="O53" s="28" t="inlineStr"/>
      <c r="P53">
        <f>IFERROR(HYPERLINK("#'Main'!B"&amp;MATCH(TRIM(B53),'Main'!B:B,0),"Open"),HYPERLINK("#'Main'!B1","Open"))</f>
        <v/>
      </c>
    </row>
    <row r="54" ht="18" customHeight="1">
      <c r="A54" s="32" t="inlineStr">
        <is>
          <t>SEO Health Trend</t>
        </is>
      </c>
      <c r="B54" s="37" t="inlineStr">
        <is>
          <t>https://africanmarketingconfederation.org/smoke-archive/page-49</t>
        </is>
      </c>
      <c r="C54" s="30" t="inlineStr"/>
      <c r="D54" s="30" t="inlineStr"/>
      <c r="E54" s="30" t="inlineStr"/>
      <c r="F54" s="30" t="inlineStr"/>
      <c r="G54" s="30" t="inlineStr"/>
      <c r="H54" s="30" t="inlineStr"/>
      <c r="I54" s="30" t="inlineStr"/>
      <c r="J54" s="30" t="inlineStr"/>
      <c r="K54" s="30" t="inlineStr"/>
      <c r="L54" s="30" t="inlineStr">
        <is>
          <t>70.0 (2026-07-01 20:54:35)</t>
        </is>
      </c>
      <c r="M54" s="30" t="inlineStr"/>
      <c r="N54" s="30" t="inlineStr"/>
      <c r="O54" s="30" t="inlineStr"/>
      <c r="P54" s="38">
        <f>IFERROR(HYPERLINK("#'Main'!B"&amp;MATCH(TRIM(B54),'Main'!B:B,0),"Open"),HYPERLINK("#'Main'!B1","Open"))</f>
        <v/>
      </c>
    </row>
    <row r="55" ht="18" customHeight="1">
      <c r="A55" s="32" t="inlineStr">
        <is>
          <t>SEO Health Trend</t>
        </is>
      </c>
      <c r="B55" s="35" t="inlineStr">
        <is>
          <t>https://africanmarketingconfederation.org/smoke-archive/page-5</t>
        </is>
      </c>
      <c r="C55" s="28" t="inlineStr"/>
      <c r="D55" s="28" t="inlineStr"/>
      <c r="E55" s="28" t="inlineStr"/>
      <c r="F55" s="28" t="inlineStr"/>
      <c r="G55" s="28" t="inlineStr"/>
      <c r="H55" s="28" t="inlineStr"/>
      <c r="I55" s="28" t="inlineStr"/>
      <c r="J55" s="28" t="inlineStr"/>
      <c r="K55" s="28" t="inlineStr"/>
      <c r="L55" s="28" t="inlineStr">
        <is>
          <t>60.0 (2026-07-01 20:54:35)</t>
        </is>
      </c>
      <c r="M55" s="28" t="inlineStr"/>
      <c r="N55" s="28" t="inlineStr"/>
      <c r="O55" s="28" t="inlineStr"/>
      <c r="P55">
        <f>IFERROR(HYPERLINK("#'Main'!B"&amp;MATCH(TRIM(B55),'Main'!B:B,0),"Open"),HYPERLINK("#'Main'!B1","Open"))</f>
        <v/>
      </c>
    </row>
    <row r="56" ht="18" customHeight="1">
      <c r="A56" s="32" t="inlineStr">
        <is>
          <t>SEO Health Trend</t>
        </is>
      </c>
      <c r="B56" s="37" t="inlineStr">
        <is>
          <t>https://africanmarketingconfederation.org/smoke-archive/page-50</t>
        </is>
      </c>
      <c r="C56" s="30" t="inlineStr"/>
      <c r="D56" s="30" t="inlineStr"/>
      <c r="E56" s="30" t="inlineStr"/>
      <c r="F56" s="30" t="inlineStr"/>
      <c r="G56" s="30" t="inlineStr"/>
      <c r="H56" s="30" t="inlineStr"/>
      <c r="I56" s="30" t="inlineStr"/>
      <c r="J56" s="30" t="inlineStr"/>
      <c r="K56" s="30" t="inlineStr"/>
      <c r="L56" s="30" t="inlineStr">
        <is>
          <t>60.0 (2026-07-01 20:54:35)</t>
        </is>
      </c>
      <c r="M56" s="30" t="inlineStr"/>
      <c r="N56" s="30" t="inlineStr"/>
      <c r="O56" s="30" t="inlineStr"/>
      <c r="P56" s="38">
        <f>IFERROR(HYPERLINK("#'Main'!B"&amp;MATCH(TRIM(B56),'Main'!B:B,0),"Open"),HYPERLINK("#'Main'!B1","Open"))</f>
        <v/>
      </c>
    </row>
    <row r="57" ht="18" customHeight="1">
      <c r="A57" s="32" t="inlineStr">
        <is>
          <t>SEO Health Trend</t>
        </is>
      </c>
      <c r="B57" s="35" t="inlineStr">
        <is>
          <t>https://africanmarketingconfederation.org/smoke-archive/page-51</t>
        </is>
      </c>
      <c r="C57" s="28" t="inlineStr"/>
      <c r="D57" s="28" t="inlineStr"/>
      <c r="E57" s="28" t="inlineStr"/>
      <c r="F57" s="28" t="inlineStr"/>
      <c r="G57" s="28" t="inlineStr"/>
      <c r="H57" s="28" t="inlineStr"/>
      <c r="I57" s="28" t="inlineStr"/>
      <c r="J57" s="28" t="inlineStr"/>
      <c r="K57" s="28" t="inlineStr"/>
      <c r="L57" s="28" t="inlineStr">
        <is>
          <t>0.0 (2026-07-01 20:54:35)</t>
        </is>
      </c>
      <c r="M57" s="28" t="inlineStr"/>
      <c r="N57" s="28" t="inlineStr"/>
      <c r="O57" s="28" t="inlineStr"/>
      <c r="P57">
        <f>IFERROR(HYPERLINK("#'Main'!B"&amp;MATCH(TRIM(B57),'Main'!B:B,0),"Open"),HYPERLINK("#'Main'!B1","Open"))</f>
        <v/>
      </c>
    </row>
    <row r="58" ht="18" customHeight="1">
      <c r="A58" s="32" t="inlineStr">
        <is>
          <t>SEO Health Trend</t>
        </is>
      </c>
      <c r="B58" s="37" t="inlineStr">
        <is>
          <t>https://africanmarketingconfederation.org/smoke-archive/page-52</t>
        </is>
      </c>
      <c r="C58" s="30" t="inlineStr"/>
      <c r="D58" s="30" t="inlineStr"/>
      <c r="E58" s="30" t="inlineStr"/>
      <c r="F58" s="30" t="inlineStr"/>
      <c r="G58" s="30" t="inlineStr"/>
      <c r="H58" s="30" t="inlineStr"/>
      <c r="I58" s="30" t="inlineStr"/>
      <c r="J58" s="30" t="inlineStr"/>
      <c r="K58" s="30" t="inlineStr"/>
      <c r="L58" s="30" t="inlineStr">
        <is>
          <t>0.0 (2026-07-01 20:54:35)</t>
        </is>
      </c>
      <c r="M58" s="30" t="inlineStr"/>
      <c r="N58" s="30" t="inlineStr"/>
      <c r="O58" s="30" t="inlineStr"/>
      <c r="P58" s="38">
        <f>IFERROR(HYPERLINK("#'Main'!B"&amp;MATCH(TRIM(B58),'Main'!B:B,0),"Open"),HYPERLINK("#'Main'!B1","Open"))</f>
        <v/>
      </c>
    </row>
    <row r="59" ht="18" customHeight="1">
      <c r="A59" s="32" t="inlineStr">
        <is>
          <t>SEO Health Trend</t>
        </is>
      </c>
      <c r="B59" s="35" t="inlineStr">
        <is>
          <t>https://africanmarketingconfederation.org/smoke-archive/page-53</t>
        </is>
      </c>
      <c r="C59" s="28" t="inlineStr"/>
      <c r="D59" s="28" t="inlineStr"/>
      <c r="E59" s="28" t="inlineStr"/>
      <c r="F59" s="28" t="inlineStr"/>
      <c r="G59" s="28" t="inlineStr"/>
      <c r="H59" s="28" t="inlineStr"/>
      <c r="I59" s="28" t="inlineStr"/>
      <c r="J59" s="28" t="inlineStr"/>
      <c r="K59" s="28" t="inlineStr"/>
      <c r="L59" s="28" t="inlineStr">
        <is>
          <t>80.0 (2026-07-01 20:54:35)</t>
        </is>
      </c>
      <c r="M59" s="28" t="inlineStr"/>
      <c r="N59" s="28" t="inlineStr"/>
      <c r="O59" s="28" t="inlineStr"/>
      <c r="P59">
        <f>IFERROR(HYPERLINK("#'Main'!B"&amp;MATCH(TRIM(B59),'Main'!B:B,0),"Open"),HYPERLINK("#'Main'!B1","Open"))</f>
        <v/>
      </c>
    </row>
    <row r="60" ht="18" customHeight="1">
      <c r="A60" s="32" t="inlineStr">
        <is>
          <t>SEO Health Trend</t>
        </is>
      </c>
      <c r="B60" s="37" t="inlineStr">
        <is>
          <t>https://africanmarketingconfederation.org/smoke-archive/page-54</t>
        </is>
      </c>
      <c r="C60" s="30" t="inlineStr"/>
      <c r="D60" s="30" t="inlineStr"/>
      <c r="E60" s="30" t="inlineStr"/>
      <c r="F60" s="30" t="inlineStr"/>
      <c r="G60" s="30" t="inlineStr"/>
      <c r="H60" s="30" t="inlineStr"/>
      <c r="I60" s="30" t="inlineStr"/>
      <c r="J60" s="30" t="inlineStr"/>
      <c r="K60" s="30" t="inlineStr"/>
      <c r="L60" s="30" t="inlineStr">
        <is>
          <t>60.0 (2026-07-01 20:54:35)</t>
        </is>
      </c>
      <c r="M60" s="30" t="inlineStr"/>
      <c r="N60" s="30" t="inlineStr"/>
      <c r="O60" s="30" t="inlineStr"/>
      <c r="P60" s="38">
        <f>IFERROR(HYPERLINK("#'Main'!B"&amp;MATCH(TRIM(B60),'Main'!B:B,0),"Open"),HYPERLINK("#'Main'!B1","Open"))</f>
        <v/>
      </c>
    </row>
    <row r="61" ht="18" customHeight="1">
      <c r="A61" s="32" t="inlineStr">
        <is>
          <t>SEO Health Trend</t>
        </is>
      </c>
      <c r="B61" s="35" t="inlineStr">
        <is>
          <t>https://africanmarketingconfederation.org/smoke-archive/page-55</t>
        </is>
      </c>
      <c r="C61" s="28" t="inlineStr"/>
      <c r="D61" s="28" t="inlineStr"/>
      <c r="E61" s="28" t="inlineStr"/>
      <c r="F61" s="28" t="inlineStr"/>
      <c r="G61" s="28" t="inlineStr"/>
      <c r="H61" s="28" t="inlineStr"/>
      <c r="I61" s="28" t="inlineStr"/>
      <c r="J61" s="28" t="inlineStr"/>
      <c r="K61" s="28" t="inlineStr"/>
      <c r="L61" s="28" t="inlineStr">
        <is>
          <t>60.0 (2026-07-01 20:54:35)</t>
        </is>
      </c>
      <c r="M61" s="28" t="inlineStr"/>
      <c r="N61" s="28" t="inlineStr"/>
      <c r="O61" s="28" t="inlineStr"/>
      <c r="P61">
        <f>IFERROR(HYPERLINK("#'Main'!B"&amp;MATCH(TRIM(B61),'Main'!B:B,0),"Open"),HYPERLINK("#'Main'!B1","Open"))</f>
        <v/>
      </c>
    </row>
    <row r="62" ht="18" customHeight="1">
      <c r="A62" s="32" t="inlineStr">
        <is>
          <t>SEO Health Trend</t>
        </is>
      </c>
      <c r="B62" s="37" t="inlineStr">
        <is>
          <t>https://africanmarketingconfederation.org/smoke-archive/page-56</t>
        </is>
      </c>
      <c r="C62" s="30" t="inlineStr"/>
      <c r="D62" s="30" t="inlineStr"/>
      <c r="E62" s="30" t="inlineStr"/>
      <c r="F62" s="30" t="inlineStr"/>
      <c r="G62" s="30" t="inlineStr"/>
      <c r="H62" s="30" t="inlineStr"/>
      <c r="I62" s="30" t="inlineStr"/>
      <c r="J62" s="30" t="inlineStr"/>
      <c r="K62" s="30" t="inlineStr"/>
      <c r="L62" s="30" t="inlineStr">
        <is>
          <t>70.0 (2026-07-01 20:54:35)</t>
        </is>
      </c>
      <c r="M62" s="30" t="inlineStr"/>
      <c r="N62" s="30" t="inlineStr"/>
      <c r="O62" s="30" t="inlineStr"/>
      <c r="P62" s="38">
        <f>IFERROR(HYPERLINK("#'Main'!B"&amp;MATCH(TRIM(B62),'Main'!B:B,0),"Open"),HYPERLINK("#'Main'!B1","Open"))</f>
        <v/>
      </c>
    </row>
    <row r="63" ht="18" customHeight="1">
      <c r="A63" s="32" t="inlineStr">
        <is>
          <t>SEO Health Trend</t>
        </is>
      </c>
      <c r="B63" s="35" t="inlineStr">
        <is>
          <t>https://africanmarketingconfederation.org/smoke-archive/page-57</t>
        </is>
      </c>
      <c r="C63" s="28" t="inlineStr"/>
      <c r="D63" s="28" t="inlineStr"/>
      <c r="E63" s="28" t="inlineStr"/>
      <c r="F63" s="28" t="inlineStr"/>
      <c r="G63" s="28" t="inlineStr"/>
      <c r="H63" s="28" t="inlineStr"/>
      <c r="I63" s="28" t="inlineStr"/>
      <c r="J63" s="28" t="inlineStr"/>
      <c r="K63" s="28" t="inlineStr"/>
      <c r="L63" s="28" t="inlineStr">
        <is>
          <t>80.0 (2026-07-01 20:54:35)</t>
        </is>
      </c>
      <c r="M63" s="28" t="inlineStr"/>
      <c r="N63" s="28" t="inlineStr"/>
      <c r="O63" s="28" t="inlineStr"/>
      <c r="P63">
        <f>IFERROR(HYPERLINK("#'Main'!B"&amp;MATCH(TRIM(B63),'Main'!B:B,0),"Open"),HYPERLINK("#'Main'!B1","Open"))</f>
        <v/>
      </c>
    </row>
    <row r="64" ht="18" customHeight="1">
      <c r="A64" s="32" t="inlineStr">
        <is>
          <t>SEO Health Trend</t>
        </is>
      </c>
      <c r="B64" s="37" t="inlineStr">
        <is>
          <t>https://africanmarketingconfederation.org/smoke-archive/page-58</t>
        </is>
      </c>
      <c r="C64" s="30" t="inlineStr"/>
      <c r="D64" s="30" t="inlineStr"/>
      <c r="E64" s="30" t="inlineStr"/>
      <c r="F64" s="30" t="inlineStr"/>
      <c r="G64" s="30" t="inlineStr"/>
      <c r="H64" s="30" t="inlineStr"/>
      <c r="I64" s="30" t="inlineStr"/>
      <c r="J64" s="30" t="inlineStr"/>
      <c r="K64" s="30" t="inlineStr"/>
      <c r="L64" s="30" t="inlineStr">
        <is>
          <t>80.0 (2026-07-01 20:54:35)</t>
        </is>
      </c>
      <c r="M64" s="30" t="inlineStr"/>
      <c r="N64" s="30" t="inlineStr"/>
      <c r="O64" s="30" t="inlineStr"/>
      <c r="P64" s="38">
        <f>IFERROR(HYPERLINK("#'Main'!B"&amp;MATCH(TRIM(B64),'Main'!B:B,0),"Open"),HYPERLINK("#'Main'!B1","Open"))</f>
        <v/>
      </c>
    </row>
    <row r="65" ht="18" customHeight="1">
      <c r="A65" s="32" t="inlineStr">
        <is>
          <t>SEO Health Trend</t>
        </is>
      </c>
      <c r="B65" s="35" t="inlineStr">
        <is>
          <t>https://africanmarketingconfederation.org/smoke-archive/page-59</t>
        </is>
      </c>
      <c r="C65" s="28" t="inlineStr"/>
      <c r="D65" s="28" t="inlineStr"/>
      <c r="E65" s="28" t="inlineStr"/>
      <c r="F65" s="28" t="inlineStr"/>
      <c r="G65" s="28" t="inlineStr"/>
      <c r="H65" s="28" t="inlineStr"/>
      <c r="I65" s="28" t="inlineStr"/>
      <c r="J65" s="28" t="inlineStr"/>
      <c r="K65" s="28" t="inlineStr"/>
      <c r="L65" s="28" t="inlineStr">
        <is>
          <t>80.0 (2026-07-01 20:54:35)</t>
        </is>
      </c>
      <c r="M65" s="28" t="inlineStr"/>
      <c r="N65" s="28" t="inlineStr"/>
      <c r="O65" s="28" t="inlineStr"/>
      <c r="P65">
        <f>IFERROR(HYPERLINK("#'Main'!B"&amp;MATCH(TRIM(B65),'Main'!B:B,0),"Open"),HYPERLINK("#'Main'!B1","Open"))</f>
        <v/>
      </c>
    </row>
    <row r="66" ht="18" customHeight="1">
      <c r="A66" s="32" t="inlineStr">
        <is>
          <t>SEO Health Trend</t>
        </is>
      </c>
      <c r="B66" s="37" t="inlineStr">
        <is>
          <t>https://africanmarketingconfederation.org/smoke-archive/page-6</t>
        </is>
      </c>
      <c r="C66" s="30" t="inlineStr"/>
      <c r="D66" s="30" t="inlineStr"/>
      <c r="E66" s="30" t="inlineStr"/>
      <c r="F66" s="30" t="inlineStr"/>
      <c r="G66" s="30" t="inlineStr"/>
      <c r="H66" s="30" t="inlineStr"/>
      <c r="I66" s="30" t="inlineStr"/>
      <c r="J66" s="30" t="inlineStr"/>
      <c r="K66" s="30" t="inlineStr"/>
      <c r="L66" s="30" t="inlineStr">
        <is>
          <t>70.0 (2026-07-01 20:54:35)</t>
        </is>
      </c>
      <c r="M66" s="30" t="inlineStr"/>
      <c r="N66" s="30" t="inlineStr"/>
      <c r="O66" s="30" t="inlineStr"/>
      <c r="P66" s="38">
        <f>IFERROR(HYPERLINK("#'Main'!B"&amp;MATCH(TRIM(B66),'Main'!B:B,0),"Open"),HYPERLINK("#'Main'!B1","Open"))</f>
        <v/>
      </c>
    </row>
    <row r="67" ht="18" customHeight="1">
      <c r="A67" s="32" t="inlineStr">
        <is>
          <t>SEO Health Trend</t>
        </is>
      </c>
      <c r="B67" s="35" t="inlineStr">
        <is>
          <t>https://africanmarketingconfederation.org/smoke-archive/page-60</t>
        </is>
      </c>
      <c r="C67" s="28" t="inlineStr"/>
      <c r="D67" s="28" t="inlineStr"/>
      <c r="E67" s="28" t="inlineStr"/>
      <c r="F67" s="28" t="inlineStr"/>
      <c r="G67" s="28" t="inlineStr"/>
      <c r="H67" s="28" t="inlineStr"/>
      <c r="I67" s="28" t="inlineStr"/>
      <c r="J67" s="28" t="inlineStr"/>
      <c r="K67" s="28" t="inlineStr"/>
      <c r="L67" s="28" t="inlineStr">
        <is>
          <t>35.0 (2026-07-01 20:54:35)</t>
        </is>
      </c>
      <c r="M67" s="28" t="inlineStr"/>
      <c r="N67" s="28" t="inlineStr"/>
      <c r="O67" s="28" t="inlineStr"/>
      <c r="P67">
        <f>IFERROR(HYPERLINK("#'Main'!B"&amp;MATCH(TRIM(B67),'Main'!B:B,0),"Open"),HYPERLINK("#'Main'!B1","Open"))</f>
        <v/>
      </c>
    </row>
    <row r="68" ht="18" customHeight="1">
      <c r="A68" s="32" t="inlineStr">
        <is>
          <t>SEO Health Trend</t>
        </is>
      </c>
      <c r="B68" s="37" t="inlineStr">
        <is>
          <t>https://africanmarketingconfederation.org/smoke-archive/page-61</t>
        </is>
      </c>
      <c r="C68" s="30" t="inlineStr"/>
      <c r="D68" s="30" t="inlineStr"/>
      <c r="E68" s="30" t="inlineStr"/>
      <c r="F68" s="30" t="inlineStr"/>
      <c r="G68" s="30" t="inlineStr"/>
      <c r="H68" s="30" t="inlineStr"/>
      <c r="I68" s="30" t="inlineStr"/>
      <c r="J68" s="30" t="inlineStr"/>
      <c r="K68" s="30" t="inlineStr"/>
      <c r="L68" s="30" t="inlineStr">
        <is>
          <t>80.0 (2026-07-01 20:54:35)</t>
        </is>
      </c>
      <c r="M68" s="30" t="inlineStr"/>
      <c r="N68" s="30" t="inlineStr"/>
      <c r="O68" s="30" t="inlineStr"/>
      <c r="P68" s="38">
        <f>IFERROR(HYPERLINK("#'Main'!B"&amp;MATCH(TRIM(B68),'Main'!B:B,0),"Open"),HYPERLINK("#'Main'!B1","Open"))</f>
        <v/>
      </c>
    </row>
    <row r="69" ht="18" customHeight="1">
      <c r="A69" s="32" t="inlineStr">
        <is>
          <t>SEO Health Trend</t>
        </is>
      </c>
      <c r="B69" s="35" t="inlineStr">
        <is>
          <t>https://africanmarketingconfederation.org/smoke-archive/page-62</t>
        </is>
      </c>
      <c r="C69" s="28" t="inlineStr"/>
      <c r="D69" s="28" t="inlineStr"/>
      <c r="E69" s="28" t="inlineStr"/>
      <c r="F69" s="28" t="inlineStr"/>
      <c r="G69" s="28" t="inlineStr"/>
      <c r="H69" s="28" t="inlineStr"/>
      <c r="I69" s="28" t="inlineStr"/>
      <c r="J69" s="28" t="inlineStr"/>
      <c r="K69" s="28" t="inlineStr"/>
      <c r="L69" s="28" t="inlineStr">
        <is>
          <t>80.0 (2026-07-01 20:54:35)</t>
        </is>
      </c>
      <c r="M69" s="28" t="inlineStr"/>
      <c r="N69" s="28" t="inlineStr"/>
      <c r="O69" s="28" t="inlineStr"/>
      <c r="P69">
        <f>IFERROR(HYPERLINK("#'Main'!B"&amp;MATCH(TRIM(B69),'Main'!B:B,0),"Open"),HYPERLINK("#'Main'!B1","Open"))</f>
        <v/>
      </c>
    </row>
    <row r="70" ht="18" customHeight="1">
      <c r="A70" s="32" t="inlineStr">
        <is>
          <t>SEO Health Trend</t>
        </is>
      </c>
      <c r="B70" s="37" t="inlineStr">
        <is>
          <t>https://africanmarketingconfederation.org/smoke-archive/page-63</t>
        </is>
      </c>
      <c r="C70" s="30" t="inlineStr"/>
      <c r="D70" s="30" t="inlineStr"/>
      <c r="E70" s="30" t="inlineStr"/>
      <c r="F70" s="30" t="inlineStr"/>
      <c r="G70" s="30" t="inlineStr"/>
      <c r="H70" s="30" t="inlineStr"/>
      <c r="I70" s="30" t="inlineStr"/>
      <c r="J70" s="30" t="inlineStr"/>
      <c r="K70" s="30" t="inlineStr"/>
      <c r="L70" s="30" t="inlineStr">
        <is>
          <t>60.0 (2026-07-01 20:54:35)</t>
        </is>
      </c>
      <c r="M70" s="30" t="inlineStr"/>
      <c r="N70" s="30" t="inlineStr"/>
      <c r="O70" s="30" t="inlineStr"/>
      <c r="P70" s="38">
        <f>IFERROR(HYPERLINK("#'Main'!B"&amp;MATCH(TRIM(B70),'Main'!B:B,0),"Open"),HYPERLINK("#'Main'!B1","Open"))</f>
        <v/>
      </c>
    </row>
    <row r="71" ht="18" customHeight="1">
      <c r="A71" s="32" t="inlineStr">
        <is>
          <t>SEO Health Trend</t>
        </is>
      </c>
      <c r="B71" s="35" t="inlineStr">
        <is>
          <t>https://africanmarketingconfederation.org/smoke-archive/page-64</t>
        </is>
      </c>
      <c r="C71" s="28" t="inlineStr"/>
      <c r="D71" s="28" t="inlineStr"/>
      <c r="E71" s="28" t="inlineStr"/>
      <c r="F71" s="28" t="inlineStr"/>
      <c r="G71" s="28" t="inlineStr"/>
      <c r="H71" s="28" t="inlineStr"/>
      <c r="I71" s="28" t="inlineStr"/>
      <c r="J71" s="28" t="inlineStr"/>
      <c r="K71" s="28" t="inlineStr"/>
      <c r="L71" s="28" t="inlineStr">
        <is>
          <t>80.0 (2026-07-01 20:54:35)</t>
        </is>
      </c>
      <c r="M71" s="28" t="inlineStr"/>
      <c r="N71" s="28" t="inlineStr"/>
      <c r="O71" s="28" t="inlineStr"/>
      <c r="P71">
        <f>IFERROR(HYPERLINK("#'Main'!B"&amp;MATCH(TRIM(B71),'Main'!B:B,0),"Open"),HYPERLINK("#'Main'!B1","Open"))</f>
        <v/>
      </c>
    </row>
    <row r="72" ht="18" customHeight="1">
      <c r="A72" s="32" t="inlineStr">
        <is>
          <t>SEO Health Trend</t>
        </is>
      </c>
      <c r="B72" s="37" t="inlineStr">
        <is>
          <t>https://africanmarketingconfederation.org/smoke-archive/page-65</t>
        </is>
      </c>
      <c r="C72" s="30" t="inlineStr"/>
      <c r="D72" s="30" t="inlineStr"/>
      <c r="E72" s="30" t="inlineStr"/>
      <c r="F72" s="30" t="inlineStr"/>
      <c r="G72" s="30" t="inlineStr"/>
      <c r="H72" s="30" t="inlineStr"/>
      <c r="I72" s="30" t="inlineStr"/>
      <c r="J72" s="30" t="inlineStr"/>
      <c r="K72" s="30" t="inlineStr"/>
      <c r="L72" s="30" t="inlineStr">
        <is>
          <t>0.0 (2026-07-01 20:54:35)</t>
        </is>
      </c>
      <c r="M72" s="30" t="inlineStr"/>
      <c r="N72" s="30" t="inlineStr"/>
      <c r="O72" s="30" t="inlineStr"/>
      <c r="P72" s="38">
        <f>IFERROR(HYPERLINK("#'Main'!B"&amp;MATCH(TRIM(B72),'Main'!B:B,0),"Open"),HYPERLINK("#'Main'!B1","Open"))</f>
        <v/>
      </c>
    </row>
    <row r="73" ht="18" customHeight="1">
      <c r="A73" s="32" t="inlineStr">
        <is>
          <t>SEO Health Trend</t>
        </is>
      </c>
      <c r="B73" s="35" t="inlineStr">
        <is>
          <t>https://africanmarketingconfederation.org/smoke-archive/page-66</t>
        </is>
      </c>
      <c r="C73" s="28" t="inlineStr"/>
      <c r="D73" s="28" t="inlineStr"/>
      <c r="E73" s="28" t="inlineStr"/>
      <c r="F73" s="28" t="inlineStr"/>
      <c r="G73" s="28" t="inlineStr"/>
      <c r="H73" s="28" t="inlineStr"/>
      <c r="I73" s="28" t="inlineStr"/>
      <c r="J73" s="28" t="inlineStr"/>
      <c r="K73" s="28" t="inlineStr"/>
      <c r="L73" s="28" t="inlineStr">
        <is>
          <t>70.0 (2026-07-01 20:54:35)</t>
        </is>
      </c>
      <c r="M73" s="28" t="inlineStr"/>
      <c r="N73" s="28" t="inlineStr"/>
      <c r="O73" s="28" t="inlineStr"/>
      <c r="P73">
        <f>IFERROR(HYPERLINK("#'Main'!B"&amp;MATCH(TRIM(B73),'Main'!B:B,0),"Open"),HYPERLINK("#'Main'!B1","Open"))</f>
        <v/>
      </c>
    </row>
    <row r="74" ht="18" customHeight="1">
      <c r="A74" s="32" t="inlineStr">
        <is>
          <t>SEO Health Trend</t>
        </is>
      </c>
      <c r="B74" s="37" t="inlineStr">
        <is>
          <t>https://africanmarketingconfederation.org/smoke-archive/page-67</t>
        </is>
      </c>
      <c r="C74" s="30" t="inlineStr"/>
      <c r="D74" s="30" t="inlineStr"/>
      <c r="E74" s="30" t="inlineStr"/>
      <c r="F74" s="30" t="inlineStr"/>
      <c r="G74" s="30" t="inlineStr"/>
      <c r="H74" s="30" t="inlineStr"/>
      <c r="I74" s="30" t="inlineStr"/>
      <c r="J74" s="30" t="inlineStr"/>
      <c r="K74" s="30" t="inlineStr"/>
      <c r="L74" s="30" t="inlineStr">
        <is>
          <t>80.0 (2026-07-01 20:54:35)</t>
        </is>
      </c>
      <c r="M74" s="30" t="inlineStr"/>
      <c r="N74" s="30" t="inlineStr"/>
      <c r="O74" s="30" t="inlineStr"/>
      <c r="P74" s="38">
        <f>IFERROR(HYPERLINK("#'Main'!B"&amp;MATCH(TRIM(B74),'Main'!B:B,0),"Open"),HYPERLINK("#'Main'!B1","Open"))</f>
        <v/>
      </c>
    </row>
    <row r="75" ht="18" customHeight="1">
      <c r="A75" s="32" t="inlineStr">
        <is>
          <t>SEO Health Trend</t>
        </is>
      </c>
      <c r="B75" s="35" t="inlineStr">
        <is>
          <t>https://africanmarketingconfederation.org/smoke-archive/page-68</t>
        </is>
      </c>
      <c r="C75" s="28" t="inlineStr"/>
      <c r="D75" s="28" t="inlineStr"/>
      <c r="E75" s="28" t="inlineStr"/>
      <c r="F75" s="28" t="inlineStr"/>
      <c r="G75" s="28" t="inlineStr"/>
      <c r="H75" s="28" t="inlineStr"/>
      <c r="I75" s="28" t="inlineStr"/>
      <c r="J75" s="28" t="inlineStr"/>
      <c r="K75" s="28" t="inlineStr"/>
      <c r="L75" s="28" t="inlineStr">
        <is>
          <t>0.0 (2026-07-01 20:54:35)</t>
        </is>
      </c>
      <c r="M75" s="28" t="inlineStr"/>
      <c r="N75" s="28" t="inlineStr"/>
      <c r="O75" s="28" t="inlineStr"/>
      <c r="P75">
        <f>IFERROR(HYPERLINK("#'Main'!B"&amp;MATCH(TRIM(B75),'Main'!B:B,0),"Open"),HYPERLINK("#'Main'!B1","Open"))</f>
        <v/>
      </c>
    </row>
    <row r="76" ht="18" customHeight="1">
      <c r="A76" s="32" t="inlineStr">
        <is>
          <t>SEO Health Trend</t>
        </is>
      </c>
      <c r="B76" s="37" t="inlineStr">
        <is>
          <t>https://africanmarketingconfederation.org/smoke-archive/page-69</t>
        </is>
      </c>
      <c r="C76" s="30" t="inlineStr"/>
      <c r="D76" s="30" t="inlineStr"/>
      <c r="E76" s="30" t="inlineStr"/>
      <c r="F76" s="30" t="inlineStr"/>
      <c r="G76" s="30" t="inlineStr"/>
      <c r="H76" s="30" t="inlineStr"/>
      <c r="I76" s="30" t="inlineStr"/>
      <c r="J76" s="30" t="inlineStr"/>
      <c r="K76" s="30" t="inlineStr"/>
      <c r="L76" s="30" t="inlineStr">
        <is>
          <t>80.0 (2026-07-01 20:54:35)</t>
        </is>
      </c>
      <c r="M76" s="30" t="inlineStr"/>
      <c r="N76" s="30" t="inlineStr"/>
      <c r="O76" s="30" t="inlineStr"/>
      <c r="P76" s="38">
        <f>IFERROR(HYPERLINK("#'Main'!B"&amp;MATCH(TRIM(B76),'Main'!B:B,0),"Open"),HYPERLINK("#'Main'!B1","Open"))</f>
        <v/>
      </c>
    </row>
    <row r="77" ht="18" customHeight="1">
      <c r="A77" s="32" t="inlineStr">
        <is>
          <t>SEO Health Trend</t>
        </is>
      </c>
      <c r="B77" s="35" t="inlineStr">
        <is>
          <t>https://africanmarketingconfederation.org/smoke-archive/page-7</t>
        </is>
      </c>
      <c r="C77" s="28" t="inlineStr"/>
      <c r="D77" s="28" t="inlineStr"/>
      <c r="E77" s="28" t="inlineStr"/>
      <c r="F77" s="28" t="inlineStr"/>
      <c r="G77" s="28" t="inlineStr"/>
      <c r="H77" s="28" t="inlineStr"/>
      <c r="I77" s="28" t="inlineStr"/>
      <c r="J77" s="28" t="inlineStr"/>
      <c r="K77" s="28" t="inlineStr"/>
      <c r="L77" s="28" t="inlineStr">
        <is>
          <t>70.0 (2026-07-01 20:54:35)</t>
        </is>
      </c>
      <c r="M77" s="28" t="inlineStr"/>
      <c r="N77" s="28" t="inlineStr"/>
      <c r="O77" s="28" t="inlineStr"/>
      <c r="P77">
        <f>IFERROR(HYPERLINK("#'Main'!B"&amp;MATCH(TRIM(B77),'Main'!B:B,0),"Open"),HYPERLINK("#'Main'!B1","Open"))</f>
        <v/>
      </c>
    </row>
    <row r="78" ht="18" customHeight="1">
      <c r="A78" s="32" t="inlineStr">
        <is>
          <t>SEO Health Trend</t>
        </is>
      </c>
      <c r="B78" s="37" t="inlineStr">
        <is>
          <t>https://africanmarketingconfederation.org/smoke-archive/page-70</t>
        </is>
      </c>
      <c r="C78" s="30" t="inlineStr"/>
      <c r="D78" s="30" t="inlineStr"/>
      <c r="E78" s="30" t="inlineStr"/>
      <c r="F78" s="30" t="inlineStr"/>
      <c r="G78" s="30" t="inlineStr"/>
      <c r="H78" s="30" t="inlineStr"/>
      <c r="I78" s="30" t="inlineStr"/>
      <c r="J78" s="30" t="inlineStr"/>
      <c r="K78" s="30" t="inlineStr"/>
      <c r="L78" s="30" t="inlineStr">
        <is>
          <t>50.0 (2026-07-01 20:54:35)</t>
        </is>
      </c>
      <c r="M78" s="30" t="inlineStr"/>
      <c r="N78" s="30" t="inlineStr"/>
      <c r="O78" s="30" t="inlineStr"/>
      <c r="P78" s="38">
        <f>IFERROR(HYPERLINK("#'Main'!B"&amp;MATCH(TRIM(B78),'Main'!B:B,0),"Open"),HYPERLINK("#'Main'!B1","Open"))</f>
        <v/>
      </c>
    </row>
    <row r="79" ht="18" customHeight="1">
      <c r="A79" s="32" t="inlineStr">
        <is>
          <t>SEO Health Trend</t>
        </is>
      </c>
      <c r="B79" s="35" t="inlineStr">
        <is>
          <t>https://africanmarketingconfederation.org/smoke-archive/page-71</t>
        </is>
      </c>
      <c r="C79" s="28" t="inlineStr"/>
      <c r="D79" s="28" t="inlineStr"/>
      <c r="E79" s="28" t="inlineStr"/>
      <c r="F79" s="28" t="inlineStr"/>
      <c r="G79" s="28" t="inlineStr"/>
      <c r="H79" s="28" t="inlineStr"/>
      <c r="I79" s="28" t="inlineStr"/>
      <c r="J79" s="28" t="inlineStr"/>
      <c r="K79" s="28" t="inlineStr"/>
      <c r="L79" s="28" t="inlineStr">
        <is>
          <t>80.0 (2026-07-01 20:54:35)</t>
        </is>
      </c>
      <c r="M79" s="28" t="inlineStr"/>
      <c r="N79" s="28" t="inlineStr"/>
      <c r="O79" s="28" t="inlineStr"/>
      <c r="P79">
        <f>IFERROR(HYPERLINK("#'Main'!B"&amp;MATCH(TRIM(B79),'Main'!B:B,0),"Open"),HYPERLINK("#'Main'!B1","Open"))</f>
        <v/>
      </c>
    </row>
    <row r="80" ht="18" customHeight="1">
      <c r="A80" s="32" t="inlineStr">
        <is>
          <t>SEO Health Trend</t>
        </is>
      </c>
      <c r="B80" s="37" t="inlineStr">
        <is>
          <t>https://africanmarketingconfederation.org/smoke-archive/page-72</t>
        </is>
      </c>
      <c r="C80" s="30" t="inlineStr"/>
      <c r="D80" s="30" t="inlineStr"/>
      <c r="E80" s="30" t="inlineStr"/>
      <c r="F80" s="30" t="inlineStr"/>
      <c r="G80" s="30" t="inlineStr"/>
      <c r="H80" s="30" t="inlineStr"/>
      <c r="I80" s="30" t="inlineStr"/>
      <c r="J80" s="30" t="inlineStr"/>
      <c r="K80" s="30" t="inlineStr"/>
      <c r="L80" s="30" t="inlineStr">
        <is>
          <t>35.0 (2026-07-01 20:54:35)</t>
        </is>
      </c>
      <c r="M80" s="30" t="inlineStr"/>
      <c r="N80" s="30" t="inlineStr"/>
      <c r="O80" s="30" t="inlineStr"/>
      <c r="P80" s="38">
        <f>IFERROR(HYPERLINK("#'Main'!B"&amp;MATCH(TRIM(B80),'Main'!B:B,0),"Open"),HYPERLINK("#'Main'!B1","Open"))</f>
        <v/>
      </c>
    </row>
    <row r="81" ht="18" customHeight="1">
      <c r="A81" s="32" t="inlineStr">
        <is>
          <t>SEO Health Trend</t>
        </is>
      </c>
      <c r="B81" s="35" t="inlineStr">
        <is>
          <t>https://africanmarketingconfederation.org/smoke-archive/page-73</t>
        </is>
      </c>
      <c r="C81" s="28" t="inlineStr"/>
      <c r="D81" s="28" t="inlineStr"/>
      <c r="E81" s="28" t="inlineStr"/>
      <c r="F81" s="28" t="inlineStr"/>
      <c r="G81" s="28" t="inlineStr"/>
      <c r="H81" s="28" t="inlineStr"/>
      <c r="I81" s="28" t="inlineStr"/>
      <c r="J81" s="28" t="inlineStr"/>
      <c r="K81" s="28" t="inlineStr"/>
      <c r="L81" s="28" t="inlineStr">
        <is>
          <t>80.0 (2026-07-01 20:54:35)</t>
        </is>
      </c>
      <c r="M81" s="28" t="inlineStr"/>
      <c r="N81" s="28" t="inlineStr"/>
      <c r="O81" s="28" t="inlineStr"/>
      <c r="P81">
        <f>IFERROR(HYPERLINK("#'Main'!B"&amp;MATCH(TRIM(B81),'Main'!B:B,0),"Open"),HYPERLINK("#'Main'!B1","Open"))</f>
        <v/>
      </c>
    </row>
    <row r="82" ht="18" customHeight="1">
      <c r="A82" s="32" t="inlineStr">
        <is>
          <t>SEO Health Trend</t>
        </is>
      </c>
      <c r="B82" s="37" t="inlineStr">
        <is>
          <t>https://africanmarketingconfederation.org/smoke-archive/page-74</t>
        </is>
      </c>
      <c r="C82" s="30" t="inlineStr"/>
      <c r="D82" s="30" t="inlineStr"/>
      <c r="E82" s="30" t="inlineStr"/>
      <c r="F82" s="30" t="inlineStr"/>
      <c r="G82" s="30" t="inlineStr"/>
      <c r="H82" s="30" t="inlineStr"/>
      <c r="I82" s="30" t="inlineStr"/>
      <c r="J82" s="30" t="inlineStr"/>
      <c r="K82" s="30" t="inlineStr"/>
      <c r="L82" s="30" t="inlineStr">
        <is>
          <t>80.0 (2026-07-01 20:54:35)</t>
        </is>
      </c>
      <c r="M82" s="30" t="inlineStr"/>
      <c r="N82" s="30" t="inlineStr"/>
      <c r="O82" s="30" t="inlineStr"/>
      <c r="P82" s="38">
        <f>IFERROR(HYPERLINK("#'Main'!B"&amp;MATCH(TRIM(B82),'Main'!B:B,0),"Open"),HYPERLINK("#'Main'!B1","Open"))</f>
        <v/>
      </c>
    </row>
    <row r="83" ht="18" customHeight="1">
      <c r="A83" s="32" t="inlineStr">
        <is>
          <t>SEO Health Trend</t>
        </is>
      </c>
      <c r="B83" s="35" t="inlineStr">
        <is>
          <t>https://africanmarketingconfederation.org/smoke-archive/page-75</t>
        </is>
      </c>
      <c r="C83" s="28" t="inlineStr"/>
      <c r="D83" s="28" t="inlineStr"/>
      <c r="E83" s="28" t="inlineStr"/>
      <c r="F83" s="28" t="inlineStr"/>
      <c r="G83" s="28" t="inlineStr"/>
      <c r="H83" s="28" t="inlineStr"/>
      <c r="I83" s="28" t="inlineStr"/>
      <c r="J83" s="28" t="inlineStr"/>
      <c r="K83" s="28" t="inlineStr"/>
      <c r="L83" s="28" t="inlineStr">
        <is>
          <t>60.0 (2026-07-01 20:54:35)</t>
        </is>
      </c>
      <c r="M83" s="28" t="inlineStr"/>
      <c r="N83" s="28" t="inlineStr"/>
      <c r="O83" s="28" t="inlineStr"/>
      <c r="P83">
        <f>IFERROR(HYPERLINK("#'Main'!B"&amp;MATCH(TRIM(B83),'Main'!B:B,0),"Open"),HYPERLINK("#'Main'!B1","Open"))</f>
        <v/>
      </c>
    </row>
    <row r="84" ht="18" customHeight="1">
      <c r="A84" s="32" t="inlineStr">
        <is>
          <t>SEO Health Trend</t>
        </is>
      </c>
      <c r="B84" s="37" t="inlineStr">
        <is>
          <t>https://africanmarketingconfederation.org/smoke-archive/page-76</t>
        </is>
      </c>
      <c r="C84" s="30" t="inlineStr"/>
      <c r="D84" s="30" t="inlineStr"/>
      <c r="E84" s="30" t="inlineStr"/>
      <c r="F84" s="30" t="inlineStr"/>
      <c r="G84" s="30" t="inlineStr"/>
      <c r="H84" s="30" t="inlineStr"/>
      <c r="I84" s="30" t="inlineStr"/>
      <c r="J84" s="30" t="inlineStr"/>
      <c r="K84" s="30" t="inlineStr"/>
      <c r="L84" s="30" t="inlineStr">
        <is>
          <t>90.0 (2026-07-01 20:54:35)</t>
        </is>
      </c>
      <c r="M84" s="30" t="inlineStr"/>
      <c r="N84" s="30" t="inlineStr"/>
      <c r="O84" s="30" t="inlineStr"/>
      <c r="P84" s="38">
        <f>IFERROR(HYPERLINK("#'Main'!B"&amp;MATCH(TRIM(B84),'Main'!B:B,0),"Open"),HYPERLINK("#'Main'!B1","Open"))</f>
        <v/>
      </c>
    </row>
    <row r="85" ht="18" customHeight="1">
      <c r="A85" s="32" t="inlineStr">
        <is>
          <t>SEO Health Trend</t>
        </is>
      </c>
      <c r="B85" s="35" t="inlineStr">
        <is>
          <t>https://africanmarketingconfederation.org/smoke-archive/page-77</t>
        </is>
      </c>
      <c r="C85" s="28" t="inlineStr"/>
      <c r="D85" s="28" t="inlineStr"/>
      <c r="E85" s="28" t="inlineStr"/>
      <c r="F85" s="28" t="inlineStr"/>
      <c r="G85" s="28" t="inlineStr"/>
      <c r="H85" s="28" t="inlineStr"/>
      <c r="I85" s="28" t="inlineStr"/>
      <c r="J85" s="28" t="inlineStr"/>
      <c r="K85" s="28" t="inlineStr"/>
      <c r="L85" s="28" t="inlineStr">
        <is>
          <t>70.0 (2026-07-01 20:54:35)</t>
        </is>
      </c>
      <c r="M85" s="28" t="inlineStr"/>
      <c r="N85" s="28" t="inlineStr"/>
      <c r="O85" s="28" t="inlineStr"/>
      <c r="P85">
        <f>IFERROR(HYPERLINK("#'Main'!B"&amp;MATCH(TRIM(B85),'Main'!B:B,0),"Open"),HYPERLINK("#'Main'!B1","Open"))</f>
        <v/>
      </c>
    </row>
    <row r="86" ht="18" customHeight="1">
      <c r="A86" s="32" t="inlineStr">
        <is>
          <t>SEO Health Trend</t>
        </is>
      </c>
      <c r="B86" s="37" t="inlineStr">
        <is>
          <t>https://africanmarketingconfederation.org/smoke-archive/page-78</t>
        </is>
      </c>
      <c r="C86" s="30" t="inlineStr"/>
      <c r="D86" s="30" t="inlineStr"/>
      <c r="E86" s="30" t="inlineStr"/>
      <c r="F86" s="30" t="inlineStr"/>
      <c r="G86" s="30" t="inlineStr"/>
      <c r="H86" s="30" t="inlineStr"/>
      <c r="I86" s="30" t="inlineStr"/>
      <c r="J86" s="30" t="inlineStr"/>
      <c r="K86" s="30" t="inlineStr"/>
      <c r="L86" s="30" t="inlineStr">
        <is>
          <t>0.0 (2026-07-01 20:54:35)</t>
        </is>
      </c>
      <c r="M86" s="30" t="inlineStr"/>
      <c r="N86" s="30" t="inlineStr"/>
      <c r="O86" s="30" t="inlineStr"/>
      <c r="P86" s="38">
        <f>IFERROR(HYPERLINK("#'Main'!B"&amp;MATCH(TRIM(B86),'Main'!B:B,0),"Open"),HYPERLINK("#'Main'!B1","Open"))</f>
        <v/>
      </c>
    </row>
    <row r="87" ht="18" customHeight="1">
      <c r="A87" s="32" t="inlineStr">
        <is>
          <t>SEO Health Trend</t>
        </is>
      </c>
      <c r="B87" s="35" t="inlineStr">
        <is>
          <t>https://africanmarketingconfederation.org/smoke-archive/page-79</t>
        </is>
      </c>
      <c r="C87" s="28" t="inlineStr"/>
      <c r="D87" s="28" t="inlineStr"/>
      <c r="E87" s="28" t="inlineStr"/>
      <c r="F87" s="28" t="inlineStr"/>
      <c r="G87" s="28" t="inlineStr"/>
      <c r="H87" s="28" t="inlineStr"/>
      <c r="I87" s="28" t="inlineStr"/>
      <c r="J87" s="28" t="inlineStr"/>
      <c r="K87" s="28" t="inlineStr"/>
      <c r="L87" s="28" t="inlineStr">
        <is>
          <t>80.0 (2026-07-01 20:54:35)</t>
        </is>
      </c>
      <c r="M87" s="28" t="inlineStr"/>
      <c r="N87" s="28" t="inlineStr"/>
      <c r="O87" s="28" t="inlineStr"/>
      <c r="P87">
        <f>IFERROR(HYPERLINK("#'Main'!B"&amp;MATCH(TRIM(B87),'Main'!B:B,0),"Open"),HYPERLINK("#'Main'!B1","Open"))</f>
        <v/>
      </c>
    </row>
    <row r="88" ht="18" customHeight="1">
      <c r="A88" s="32" t="inlineStr">
        <is>
          <t>SEO Health Trend</t>
        </is>
      </c>
      <c r="B88" s="37" t="inlineStr">
        <is>
          <t>https://africanmarketingconfederation.org/smoke-archive/page-8</t>
        </is>
      </c>
      <c r="C88" s="30" t="inlineStr"/>
      <c r="D88" s="30" t="inlineStr"/>
      <c r="E88" s="30" t="inlineStr"/>
      <c r="F88" s="30" t="inlineStr"/>
      <c r="G88" s="30" t="inlineStr"/>
      <c r="H88" s="30" t="inlineStr"/>
      <c r="I88" s="30" t="inlineStr"/>
      <c r="J88" s="30" t="inlineStr"/>
      <c r="K88" s="30" t="inlineStr"/>
      <c r="L88" s="30" t="inlineStr">
        <is>
          <t>80.0 (2026-07-01 20:54:35)</t>
        </is>
      </c>
      <c r="M88" s="30" t="inlineStr"/>
      <c r="N88" s="30" t="inlineStr"/>
      <c r="O88" s="30" t="inlineStr"/>
      <c r="P88" s="38">
        <f>IFERROR(HYPERLINK("#'Main'!B"&amp;MATCH(TRIM(B88),'Main'!B:B,0),"Open"),HYPERLINK("#'Main'!B1","Open"))</f>
        <v/>
      </c>
    </row>
    <row r="89" ht="18" customHeight="1">
      <c r="A89" s="32" t="inlineStr">
        <is>
          <t>SEO Health Trend</t>
        </is>
      </c>
      <c r="B89" s="35" t="inlineStr">
        <is>
          <t>https://africanmarketingconfederation.org/smoke-archive/page-9</t>
        </is>
      </c>
      <c r="C89" s="28" t="inlineStr"/>
      <c r="D89" s="28" t="inlineStr"/>
      <c r="E89" s="28" t="inlineStr"/>
      <c r="F89" s="28" t="inlineStr"/>
      <c r="G89" s="28" t="inlineStr"/>
      <c r="H89" s="28" t="inlineStr"/>
      <c r="I89" s="28" t="inlineStr"/>
      <c r="J89" s="28" t="inlineStr"/>
      <c r="K89" s="28" t="inlineStr"/>
      <c r="L89" s="28" t="inlineStr">
        <is>
          <t>70.0 (2026-07-01 20:54:35)</t>
        </is>
      </c>
      <c r="M89" s="28" t="inlineStr"/>
      <c r="N89" s="28" t="inlineStr"/>
      <c r="O89" s="28" t="inlineStr"/>
      <c r="P89">
        <f>IFERROR(HYPERLINK("#'Main'!B"&amp;MATCH(TRIM(B89),'Main'!B:B,0),"Open"),HYPERLINK("#'Main'!B1","Open"))</f>
        <v/>
      </c>
    </row>
  </sheetData>
  <autoFilter ref="A2:P89"/>
  <mergeCells count="2">
    <mergeCell ref="A1:B1"/>
    <mergeCell ref="C1:H1"/>
  </mergeCells>
  <conditionalFormatting sqref="D3:D89">
    <cfRule type="expression" priority="1" dxfId="0" stopIfTrue="1">
      <formula>LOWER(D2)="critical"</formula>
    </cfRule>
    <cfRule type="expression" priority="2" dxfId="1" stopIfTrue="1">
      <formula>LOWER(D2)="warning"</formula>
    </cfRule>
    <cfRule type="expression" priority="3" dxfId="2" stopIfTrue="1">
      <formula>OR(LOWER(D2)="pass",LOWER(D2)="observation")</formula>
    </cfRule>
  </conditionalFormatting>
  <conditionalFormatting sqref="A3:O89">
    <cfRule type="expression" priority="4" dxfId="3" stopIfTrue="0">
      <formula>MOD(ROW(),2)=0</formula>
    </cfRule>
  </conditionalFormatting>
  <hyperlinks>
    <hyperlink xmlns:r="http://schemas.openxmlformats.org/officeDocument/2006/relationships" ref="A1"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 xmlns:r="http://schemas.openxmlformats.org/officeDocument/2006/relationships" ref="B30" r:id="rId25"/>
    <hyperlink xmlns:r="http://schemas.openxmlformats.org/officeDocument/2006/relationships" ref="B31" r:id="rId26"/>
    <hyperlink xmlns:r="http://schemas.openxmlformats.org/officeDocument/2006/relationships" ref="B32"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7" r:id="rId32"/>
    <hyperlink xmlns:r="http://schemas.openxmlformats.org/officeDocument/2006/relationships" ref="B38" r:id="rId33"/>
    <hyperlink xmlns:r="http://schemas.openxmlformats.org/officeDocument/2006/relationships" ref="B39" r:id="rId34"/>
    <hyperlink xmlns:r="http://schemas.openxmlformats.org/officeDocument/2006/relationships" ref="B40" r:id="rId35"/>
    <hyperlink xmlns:r="http://schemas.openxmlformats.org/officeDocument/2006/relationships" ref="B41" r:id="rId36"/>
    <hyperlink xmlns:r="http://schemas.openxmlformats.org/officeDocument/2006/relationships" ref="B42" r:id="rId37"/>
    <hyperlink xmlns:r="http://schemas.openxmlformats.org/officeDocument/2006/relationships" ref="B43" r:id="rId38"/>
    <hyperlink xmlns:r="http://schemas.openxmlformats.org/officeDocument/2006/relationships" ref="B44" r:id="rId39"/>
    <hyperlink xmlns:r="http://schemas.openxmlformats.org/officeDocument/2006/relationships" ref="B45" r:id="rId40"/>
    <hyperlink xmlns:r="http://schemas.openxmlformats.org/officeDocument/2006/relationships" ref="B46" r:id="rId41"/>
    <hyperlink xmlns:r="http://schemas.openxmlformats.org/officeDocument/2006/relationships" ref="B47" r:id="rId42"/>
    <hyperlink xmlns:r="http://schemas.openxmlformats.org/officeDocument/2006/relationships" ref="B48" r:id="rId43"/>
    <hyperlink xmlns:r="http://schemas.openxmlformats.org/officeDocument/2006/relationships" ref="B49" r:id="rId44"/>
    <hyperlink xmlns:r="http://schemas.openxmlformats.org/officeDocument/2006/relationships" ref="B50" r:id="rId45"/>
    <hyperlink xmlns:r="http://schemas.openxmlformats.org/officeDocument/2006/relationships" ref="B51" r:id="rId46"/>
    <hyperlink xmlns:r="http://schemas.openxmlformats.org/officeDocument/2006/relationships" ref="B52" r:id="rId47"/>
    <hyperlink xmlns:r="http://schemas.openxmlformats.org/officeDocument/2006/relationships" ref="B53" r:id="rId48"/>
    <hyperlink xmlns:r="http://schemas.openxmlformats.org/officeDocument/2006/relationships" ref="B54" r:id="rId49"/>
    <hyperlink xmlns:r="http://schemas.openxmlformats.org/officeDocument/2006/relationships" ref="B55" r:id="rId50"/>
    <hyperlink xmlns:r="http://schemas.openxmlformats.org/officeDocument/2006/relationships" ref="B56" r:id="rId51"/>
    <hyperlink xmlns:r="http://schemas.openxmlformats.org/officeDocument/2006/relationships" ref="B57" r:id="rId52"/>
    <hyperlink xmlns:r="http://schemas.openxmlformats.org/officeDocument/2006/relationships" ref="B58" r:id="rId53"/>
    <hyperlink xmlns:r="http://schemas.openxmlformats.org/officeDocument/2006/relationships" ref="B59" r:id="rId54"/>
    <hyperlink xmlns:r="http://schemas.openxmlformats.org/officeDocument/2006/relationships" ref="B60" r:id="rId55"/>
    <hyperlink xmlns:r="http://schemas.openxmlformats.org/officeDocument/2006/relationships" ref="B61" r:id="rId56"/>
    <hyperlink xmlns:r="http://schemas.openxmlformats.org/officeDocument/2006/relationships" ref="B62" r:id="rId57"/>
    <hyperlink xmlns:r="http://schemas.openxmlformats.org/officeDocument/2006/relationships" ref="B63" r:id="rId58"/>
    <hyperlink xmlns:r="http://schemas.openxmlformats.org/officeDocument/2006/relationships" ref="B64" r:id="rId59"/>
    <hyperlink xmlns:r="http://schemas.openxmlformats.org/officeDocument/2006/relationships" ref="B65" r:id="rId60"/>
    <hyperlink xmlns:r="http://schemas.openxmlformats.org/officeDocument/2006/relationships" ref="B66" r:id="rId61"/>
    <hyperlink xmlns:r="http://schemas.openxmlformats.org/officeDocument/2006/relationships" ref="B67" r:id="rId62"/>
    <hyperlink xmlns:r="http://schemas.openxmlformats.org/officeDocument/2006/relationships" ref="B68" r:id="rId63"/>
    <hyperlink xmlns:r="http://schemas.openxmlformats.org/officeDocument/2006/relationships" ref="B69" r:id="rId64"/>
    <hyperlink xmlns:r="http://schemas.openxmlformats.org/officeDocument/2006/relationships" ref="B70" r:id="rId65"/>
    <hyperlink xmlns:r="http://schemas.openxmlformats.org/officeDocument/2006/relationships" ref="B71" r:id="rId66"/>
    <hyperlink xmlns:r="http://schemas.openxmlformats.org/officeDocument/2006/relationships" ref="B72" r:id="rId67"/>
    <hyperlink xmlns:r="http://schemas.openxmlformats.org/officeDocument/2006/relationships" ref="B73" r:id="rId68"/>
    <hyperlink xmlns:r="http://schemas.openxmlformats.org/officeDocument/2006/relationships" ref="B74" r:id="rId69"/>
    <hyperlink xmlns:r="http://schemas.openxmlformats.org/officeDocument/2006/relationships" ref="B75" r:id="rId70"/>
    <hyperlink xmlns:r="http://schemas.openxmlformats.org/officeDocument/2006/relationships" ref="B76" r:id="rId71"/>
    <hyperlink xmlns:r="http://schemas.openxmlformats.org/officeDocument/2006/relationships" ref="B77" r:id="rId72"/>
    <hyperlink xmlns:r="http://schemas.openxmlformats.org/officeDocument/2006/relationships" ref="B78" r:id="rId73"/>
    <hyperlink xmlns:r="http://schemas.openxmlformats.org/officeDocument/2006/relationships" ref="B79" r:id="rId74"/>
    <hyperlink xmlns:r="http://schemas.openxmlformats.org/officeDocument/2006/relationships" ref="B80" r:id="rId75"/>
    <hyperlink xmlns:r="http://schemas.openxmlformats.org/officeDocument/2006/relationships" ref="B81" r:id="rId76"/>
    <hyperlink xmlns:r="http://schemas.openxmlformats.org/officeDocument/2006/relationships" ref="B82" r:id="rId77"/>
    <hyperlink xmlns:r="http://schemas.openxmlformats.org/officeDocument/2006/relationships" ref="B83" r:id="rId78"/>
    <hyperlink xmlns:r="http://schemas.openxmlformats.org/officeDocument/2006/relationships" ref="B84" r:id="rId79"/>
    <hyperlink xmlns:r="http://schemas.openxmlformats.org/officeDocument/2006/relationships" ref="B85" r:id="rId80"/>
    <hyperlink xmlns:r="http://schemas.openxmlformats.org/officeDocument/2006/relationships" ref="B86" r:id="rId81"/>
    <hyperlink xmlns:r="http://schemas.openxmlformats.org/officeDocument/2006/relationships" ref="B87" r:id="rId82"/>
    <hyperlink xmlns:r="http://schemas.openxmlformats.org/officeDocument/2006/relationships" ref="B88" r:id="rId83"/>
    <hyperlink xmlns:r="http://schemas.openxmlformats.org/officeDocument/2006/relationships" ref="B89" r:id="rId84"/>
  </hyperlinks>
  <pageMargins left="0.75" right="0.75" top="1" bottom="1" header="0.5" footer="0.5"/>
  <pageSetup orientation="landscape" fitToHeight="0" fitToWidth="1"/>
  <legacyDrawing xmlns:r="http://schemas.openxmlformats.org/officeDocument/2006/relationships" r:id="anysvml"/>
</worksheet>
</file>

<file path=xl/worksheets/sheet33.xml><?xml version="1.0" encoding="utf-8"?>
<worksheet xmlns="http://schemas.openxmlformats.org/spreadsheetml/2006/main">
  <sheetPr>
    <tabColor rgb="0095A5A6"/>
    <outlinePr summaryBelow="1" summaryRight="1"/>
    <pageSetUpPr fitToPage="1"/>
  </sheetPr>
  <dimension ref="A1:B25"/>
  <sheetViews>
    <sheetView showGridLines="0" tabSelected="0" workbookViewId="0">
      <pane xSplit="2" ySplit="2" topLeftCell="C3" activePane="bottomRight" state="frozen"/>
      <selection pane="topRight"/>
      <selection pane="bottomLeft"/>
      <selection pane="bottomRight" activeCell="A1" sqref="A1"/>
    </sheetView>
  </sheetViews>
  <sheetFormatPr baseColWidth="8" defaultRowHeight="15"/>
  <cols>
    <col width="34" customWidth="1" min="1" max="1"/>
    <col width="48" customWidth="1" min="2" max="2"/>
  </cols>
  <sheetData>
    <row r="1" ht="20" customHeight="1">
      <c r="A1" s="24" t="inlineStr">
        <is>
          <t>← Return to Executive Briefing</t>
        </is>
      </c>
    </row>
    <row r="2" ht="30" customHeight="1">
      <c r="A2" s="26" t="inlineStr">
        <is>
          <t>Key</t>
        </is>
      </c>
      <c r="B2" s="26" t="inlineStr">
        <is>
          <t>Value</t>
        </is>
      </c>
    </row>
    <row r="3" ht="18" customHeight="1">
      <c r="A3" s="32" t="inlineStr">
        <is>
          <t>Target Site</t>
        </is>
      </c>
      <c r="B3" s="28" t="inlineStr">
        <is>
          <t>africanmarketingconfederation.org</t>
        </is>
      </c>
    </row>
    <row r="4" ht="18" customHeight="1">
      <c r="A4" s="32" t="inlineStr">
        <is>
          <t>Run Timestamp</t>
        </is>
      </c>
      <c r="B4" s="30" t="inlineStr">
        <is>
          <t>2026-07-01 20:54:35</t>
        </is>
      </c>
    </row>
    <row r="5" ht="18" customHeight="1">
      <c r="A5" s="32" t="inlineStr">
        <is>
          <t>Total URLs</t>
        </is>
      </c>
      <c r="B5" s="28" t="n">
        <v>83</v>
      </c>
    </row>
    <row r="6" ht="18" customHeight="1">
      <c r="A6" s="32" t="inlineStr">
        <is>
          <t>Duration (s)</t>
        </is>
      </c>
      <c r="B6" s="30" t="n">
        <v>0</v>
      </c>
    </row>
    <row r="7" ht="18" customHeight="1">
      <c r="A7" s="32" t="inlineStr">
        <is>
          <t>Crawl Mode</t>
        </is>
      </c>
      <c r="B7" s="28" t="inlineStr">
        <is>
          <t>accurate</t>
        </is>
      </c>
    </row>
    <row r="8" ht="18" customHeight="1">
      <c r="A8" s="32" t="inlineStr">
        <is>
          <t>Extraction Source Rendered Count</t>
        </is>
      </c>
      <c r="B8" s="30" t="n">
        <v>83</v>
      </c>
    </row>
    <row r="9" ht="18" customHeight="1">
      <c r="A9" s="32" t="inlineStr">
        <is>
          <t>Extraction Source Raw HTTP Count</t>
        </is>
      </c>
      <c r="B9" s="28" t="n">
        <v>0</v>
      </c>
    </row>
    <row r="10" ht="18" customHeight="1">
      <c r="A10" s="32" t="inlineStr">
        <is>
          <t>Extraction Source Fallback Count</t>
        </is>
      </c>
      <c r="B10" s="30" t="n">
        <v>0</v>
      </c>
    </row>
    <row r="11" ht="18" customHeight="1">
      <c r="A11" s="32" t="inlineStr">
        <is>
          <t>GSC Data Freshness</t>
        </is>
      </c>
      <c r="B11" s="28" t="inlineStr">
        <is>
          <t>2026-06-01 to 2026-06-30 (30-day window; excludes today; typical GSC lag ~48h)</t>
        </is>
      </c>
    </row>
    <row r="12" ht="18" customHeight="1">
      <c r="A12" s="32" t="inlineStr">
        <is>
          <t>GSC Coverage Note</t>
        </is>
      </c>
      <c r="B12" s="30" t="inlineStr">
        <is>
          <t>1 URL(s) matched Search Analytics; 82 unmatched; 0 low-impression (CTR directional only)</t>
        </is>
      </c>
    </row>
    <row r="13" ht="18" customHeight="1">
      <c r="A13" s="32" t="inlineStr">
        <is>
          <t>Mode</t>
        </is>
      </c>
      <c r="B13" s="28" t="inlineStr">
        <is>
          <t>Full Suite</t>
        </is>
      </c>
    </row>
    <row r="14" ht="18" customHeight="1">
      <c r="A14" s="32" t="inlineStr">
        <is>
          <t>Semantic Engine (install probe)</t>
        </is>
      </c>
      <c r="B14" s="30" t="inlineStr">
        <is>
          <t>spaCy optional extra not installed; crawls use keyword fallback for entity columns. Install full NER with: uv sync --extra semantic  (includes spaCy + en_core_web_sm); or run: uv run hype-frog --install-semantic</t>
        </is>
      </c>
    </row>
    <row r="15" ht="18" customHeight="1">
      <c r="A15" s="32" t="inlineStr">
        <is>
          <t>Semantic Analysis Modes (crawl)</t>
        </is>
      </c>
      <c r="B15" s="28" t="inlineStr">
        <is>
          <t>No content</t>
        </is>
      </c>
    </row>
    <row r="16" ht="18" customHeight="1">
      <c r="A16" s="32" t="inlineStr">
        <is>
          <t>Workers</t>
        </is>
      </c>
      <c r="B16" s="30" t="n">
        <v>6</v>
      </c>
    </row>
    <row r="17" ht="18" customHeight="1">
      <c r="A17" s="32" t="inlineStr">
        <is>
          <t>Delay Seconds</t>
        </is>
      </c>
      <c r="B17" s="28" t="n">
        <v>0</v>
      </c>
    </row>
    <row r="18" ht="18" customHeight="1">
      <c r="A18" s="32" t="inlineStr">
        <is>
          <t>Retries</t>
        </is>
      </c>
      <c r="B18" s="30" t="n">
        <v>3</v>
      </c>
    </row>
    <row r="19" ht="18" customHeight="1">
      <c r="A19" s="32" t="inlineStr">
        <is>
          <t>Timeout Seconds</t>
        </is>
      </c>
      <c r="B19" s="28" t="n">
        <v>20</v>
      </c>
    </row>
    <row r="20" ht="18" customHeight="1">
      <c r="A20" s="32" t="inlineStr">
        <is>
          <t>Checkpoint Every</t>
        </is>
      </c>
      <c r="B20" s="30" t="n">
        <v>0</v>
      </c>
    </row>
    <row r="21" ht="18" customHeight="1">
      <c r="A21" s="32" t="inlineStr">
        <is>
          <t>Previous Audit Path</t>
        </is>
      </c>
      <c r="B21" s="28" t="inlineStr">
        <is>
          <t>Not supplied</t>
        </is>
      </c>
    </row>
    <row r="22" ht="18" customHeight="1">
      <c r="A22" s="32" t="inlineStr">
        <is>
          <t>External Link Unique Denominator</t>
        </is>
      </c>
      <c r="B22" s="30" t="n">
        <v>0</v>
      </c>
    </row>
    <row r="23" ht="18" customHeight="1">
      <c r="A23" s="32" t="inlineStr">
        <is>
          <t>External Link Unique 200 OK</t>
        </is>
      </c>
      <c r="B23" s="28" t="n">
        <v>0</v>
      </c>
    </row>
    <row r="24" ht="18" customHeight="1">
      <c r="A24" s="32" t="inlineStr">
        <is>
          <t>External Sniff Performed</t>
        </is>
      </c>
      <c r="B24" s="30" t="n">
        <v>1</v>
      </c>
    </row>
    <row r="25" ht="18" customHeight="1">
      <c r="A25" s="32" t="inlineStr">
        <is>
          <t>OG Image Validation Performed</t>
        </is>
      </c>
      <c r="B25" s="28" t="n">
        <v>1</v>
      </c>
    </row>
  </sheetData>
  <mergeCells count="1">
    <mergeCell ref="A1:B1"/>
  </mergeCells>
  <conditionalFormatting sqref="A3:B25">
    <cfRule type="expression" priority="1" dxfId="3" stopIfTrue="0">
      <formula>MOD(ROW(),2)=0</formula>
    </cfRule>
  </conditionalFormatting>
  <hyperlinks>
    <hyperlink xmlns:r="http://schemas.openxmlformats.org/officeDocument/2006/relationships" ref="A1" r:id="rId1"/>
  </hyperlinks>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2026-07-01T20:54:35Z</dcterms:created>
  <dcterms:modified xmlns:dcterms="http://purl.org/dc/terms/" xmlns:xsi="http://www.w3.org/2001/XMLSchema-instance" xsi:type="dcterms:W3CDTF">2026-07-01T20:54:38Z</dcterms:modified>
</cp:coreProperties>
</file>