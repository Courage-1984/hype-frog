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1.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Dashboard" sheetId="2" state="visible" r:id="rId2"/>
    <sheet xmlns:r="http://schemas.openxmlformats.org/officeDocument/2006/relationships" name="Content Optimization Hub" sheetId="3" state="visible" r:id="rId3"/>
    <sheet xmlns:r="http://schemas.openxmlformats.org/officeDocument/2006/relationships" name="Quick Reference Guide" sheetId="4" state="visible" r:id="rId4"/>
    <sheet xmlns:r="http://schemas.openxmlformats.org/officeDocument/2006/relationships" name="FixPlan" sheetId="5" state="visible" r:id="rId5"/>
    <sheet xmlns:r="http://schemas.openxmlformats.org/officeDocument/2006/relationships" name="Main" sheetId="6" state="visible" r:id="rId6"/>
    <sheet xmlns:r="http://schemas.openxmlformats.org/officeDocument/2006/relationships" name="Technical" sheetId="7" state="visible" r:id="rId7"/>
    <sheet xmlns:r="http://schemas.openxmlformats.org/officeDocument/2006/relationships" name="Content" sheetId="8" state="visible" r:id="rId8"/>
    <sheet xmlns:r="http://schemas.openxmlformats.org/officeDocument/2006/relationships" name="AEO" sheetId="9" state="visible" r:id="rId9"/>
    <sheet xmlns:r="http://schemas.openxmlformats.org/officeDocument/2006/relationships" name="Schema &amp; Metadata" sheetId="10" state="visible" r:id="rId10"/>
    <sheet xmlns:r="http://schemas.openxmlformats.org/officeDocument/2006/relationships" name="Links" sheetId="11" state="visible" r:id="rId11"/>
    <sheet xmlns:r="http://schemas.openxmlformats.org/officeDocument/2006/relationships" name="Indexability" sheetId="12" state="visible" r:id="rId12"/>
    <sheet xmlns:r="http://schemas.openxmlformats.org/officeDocument/2006/relationships" name="Redirects" sheetId="13" state="visible" r:id="rId13"/>
    <sheet xmlns:r="http://schemas.openxmlformats.org/officeDocument/2006/relationships" name="Priority URLs" sheetId="14" state="visible" r:id="rId14"/>
    <sheet xmlns:r="http://schemas.openxmlformats.org/officeDocument/2006/relationships" name="AIOSEO" sheetId="15" state="visible" r:id="rId15"/>
    <sheet xmlns:r="http://schemas.openxmlformats.org/officeDocument/2006/relationships" name="Security" sheetId="16" state="visible" r:id="rId16"/>
    <sheet xmlns:r="http://schemas.openxmlformats.org/officeDocument/2006/relationships" name="Summary" sheetId="17" state="visible" r:id="rId17"/>
    <sheet xmlns:r="http://schemas.openxmlformats.org/officeDocument/2006/relationships" name="LinksDetail" sheetId="18" state="visible" r:id="rId18"/>
    <sheet xmlns:r="http://schemas.openxmlformats.org/officeDocument/2006/relationships" name="Media" sheetId="19" state="visible" r:id="rId19"/>
    <sheet xmlns:r="http://schemas.openxmlformats.org/officeDocument/2006/relationships" name="Duplicates" sheetId="20" state="visible" r:id="rId20"/>
    <sheet xmlns:r="http://schemas.openxmlformats.org/officeDocument/2006/relationships" name="Pattern and Template Issues" sheetId="21" state="visible" r:id="rId21"/>
    <sheet xmlns:r="http://schemas.openxmlformats.org/officeDocument/2006/relationships" name="PSI Performance" sheetId="22" state="visible" r:id="rId22"/>
    <sheet xmlns:r="http://schemas.openxmlformats.org/officeDocument/2006/relationships" name="IssueInventory" sheetId="23" state="visible" r:id="rId23"/>
    <sheet xmlns:r="http://schemas.openxmlformats.org/officeDocument/2006/relationships" name="CrawlGraph" sheetId="24" state="visible" r:id="rId24"/>
    <sheet xmlns:r="http://schemas.openxmlformats.org/officeDocument/2006/relationships" name="SitemapQA" sheetId="25" state="visible" r:id="rId25"/>
    <sheet xmlns:r="http://schemas.openxmlformats.org/officeDocument/2006/relationships" name="DeltaFromPreviousRun" sheetId="26" state="hidden" r:id="rId26"/>
    <sheet xmlns:r="http://schemas.openxmlformats.org/officeDocument/2006/relationships" name="RunMetadata" sheetId="27" state="hidden" r:id="rId27"/>
    <sheet xmlns:r="http://schemas.openxmlformats.org/officeDocument/2006/relationships" name="ResolvedIssues" sheetId="28" state="visible" r:id="rId28"/>
    <sheet xmlns:r="http://schemas.openxmlformats.org/officeDocument/2006/relationships" name="Glossary &amp; Legend" sheetId="29" state="visible" r:id="rId29"/>
  </sheets>
  <definedNames>
    <definedName name="_xlnm._FilterDatabase" localSheetId="1" hidden="1">'Dashboard'!$A$1:$Y$79</definedName>
    <definedName name="_xlnm._FilterDatabase" localSheetId="2" hidden="1">'Content Optimization Hub'!$A$2:$Y$13</definedName>
    <definedName name="_xlnm._FilterDatabase" localSheetId="3" hidden="1">'Quick Reference Guide'!$A$1:$F$20</definedName>
    <definedName name="_xlnm._FilterDatabase" localSheetId="4" hidden="1">'FixPlan'!$A$1:$AG$35</definedName>
    <definedName name="_xlnm._FilterDatabase" localSheetId="5" hidden="1">'Main'!$A$1:$BB$11</definedName>
    <definedName name="_xlnm._FilterDatabase" localSheetId="6" hidden="1">'Technical'!$A$1:$CQ$11</definedName>
    <definedName name="_xlnm._FilterDatabase" localSheetId="7" hidden="1">'Content'!$A$1:$O$11</definedName>
    <definedName name="_xlnm._FilterDatabase" localSheetId="8" hidden="1">'AEO'!$A$1:$T$11</definedName>
    <definedName name="_xlnm._FilterDatabase" localSheetId="9" hidden="1">'Schema &amp; Metadata'!$A$1:$L$11</definedName>
    <definedName name="_xlnm._FilterDatabase" localSheetId="10" hidden="1">'Links'!$A$1:$M$11</definedName>
    <definedName name="_xlnm._FilterDatabase" localSheetId="11" hidden="1">'Indexability'!$A$1:$N$11</definedName>
    <definedName name="_xlnm._FilterDatabase" localSheetId="12" hidden="1">'Redirects'!$A$1:$K$11</definedName>
    <definedName name="_xlnm._FilterDatabase" localSheetId="13" hidden="1">'Priority URLs'!$A$1:$U$11</definedName>
    <definedName name="_xlnm._FilterDatabase" localSheetId="14" hidden="1">'AIOSEO'!$A$1:$V$96</definedName>
    <definedName name="_xlnm._FilterDatabase" localSheetId="15" hidden="1">'Security'!$A$1:$N$11</definedName>
    <definedName name="_xlnm._FilterDatabase" localSheetId="16" hidden="1">'Summary'!$A$1:$H$52</definedName>
    <definedName name="_xlnm._FilterDatabase" localSheetId="17" hidden="1">'LinksDetail'!$A$1:$J$454</definedName>
    <definedName name="_xlnm._FilterDatabase" localSheetId="18" hidden="1">'Media'!$A$1:$M$11</definedName>
    <definedName name="_xlnm._FilterDatabase" localSheetId="19" hidden="1">'Duplicates'!$A$1:$H$11</definedName>
    <definedName name="_xlnm._FilterDatabase" localSheetId="21" hidden="1">'PSI Performance'!$A$1:$I$11</definedName>
    <definedName name="_xlnm._FilterDatabase" localSheetId="22" hidden="1">'IssueInventory'!$A$1:$L$11</definedName>
    <definedName name="_xlnm._FilterDatabase" localSheetId="23" hidden="1">'CrawlGraph'!$A$1:$I$11</definedName>
    <definedName name="_xlnm._FilterDatabase" localSheetId="24" hidden="1">'SitemapQA'!$A$1:$R$86</definedName>
    <definedName name="_xlnm._FilterDatabase" localSheetId="28" hidden="1">'Glossary &amp; Legend'!$A$1:$G$24</definedName>
  </definedNames>
  <calcPr calcId="124519" calcMode="auto"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8">
    <font>
      <name val="Calibri"/>
      <family val="2"/>
      <color theme="1"/>
      <sz val="11"/>
      <scheme val="minor"/>
    </font>
    <font>
      <b val="1"/>
    </font>
    <font>
      <name val="Calibri"/>
      <family val="2"/>
      <color theme="10"/>
      <sz val="12"/>
      <scheme val="minor"/>
    </font>
    <font>
      <b val="1"/>
      <color rgb="002F6FA3"/>
      <u val="single"/>
    </font>
    <font>
      <b val="1"/>
      <color rgb="00FFFFFF"/>
    </font>
    <font>
      <b val="1"/>
      <color rgb="00000000"/>
      <sz val="11"/>
    </font>
    <font>
      <b val="1"/>
      <color rgb="002F3A4A"/>
    </font>
    <font>
      <b val="1"/>
      <color rgb="00FFFFFF"/>
      <u val="single"/>
    </font>
  </fonts>
  <fills count="18">
    <fill>
      <patternFill/>
    </fill>
    <fill>
      <patternFill patternType="gray125"/>
    </fill>
    <fill>
      <patternFill patternType="solid">
        <fgColor rgb="00D9EAD3"/>
        <bgColor rgb="00D9EAD3"/>
      </patternFill>
    </fill>
    <fill>
      <patternFill patternType="solid">
        <fgColor rgb="00F4CCCC"/>
        <bgColor rgb="00F4CCCC"/>
      </patternFill>
    </fill>
    <fill>
      <patternFill patternType="solid">
        <fgColor rgb="00F4B183"/>
        <bgColor rgb="00F4B183"/>
      </patternFill>
    </fill>
    <fill>
      <patternFill patternType="solid">
        <fgColor rgb="00F7F7F7"/>
        <bgColor rgb="00F7F7F7"/>
      </patternFill>
    </fill>
    <fill>
      <patternFill patternType="solid">
        <fgColor rgb="002F3A4A"/>
        <bgColor rgb="002F3A4A"/>
      </patternFill>
    </fill>
    <fill>
      <patternFill patternType="solid">
        <fgColor rgb="00ADD8E6"/>
      </patternFill>
    </fill>
    <fill>
      <patternFill patternType="solid">
        <fgColor rgb="00C6EFCE"/>
      </patternFill>
    </fill>
    <fill>
      <patternFill patternType="solid">
        <fgColor rgb="00FFCC99"/>
      </patternFill>
    </fill>
    <fill>
      <patternFill patternType="solid">
        <fgColor rgb="00FFC1C1"/>
      </patternFill>
    </fill>
    <fill>
      <patternFill patternType="solid">
        <fgColor rgb="00F5F7FA"/>
      </patternFill>
    </fill>
    <fill>
      <patternFill patternType="solid">
        <fgColor rgb="00E5E7EB"/>
      </patternFill>
    </fill>
    <fill>
      <patternFill patternType="solid">
        <fgColor rgb="002F3A4A"/>
      </patternFill>
    </fill>
    <fill>
      <patternFill patternType="solid">
        <fgColor rgb="00BFE9E4"/>
        <bgColor rgb="00BFE9E4"/>
      </patternFill>
    </fill>
    <fill>
      <patternFill patternType="solid">
        <fgColor rgb="00D9D2E9"/>
        <bgColor rgb="00D9D2E9"/>
      </patternFill>
    </fill>
    <fill>
      <patternFill patternType="solid">
        <fgColor rgb="00FFF2CC"/>
        <bgColor rgb="00FFF2CC"/>
      </patternFill>
    </fill>
    <fill>
      <patternFill patternType="solid">
        <fgColor rgb="001F4E78"/>
        <bgColor rgb="001F4E78"/>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58">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2" borderId="0" applyAlignment="1" pivotButton="0" quotePrefix="0" xfId="0">
      <alignment vertical="top"/>
    </xf>
    <xf numFmtId="0" fontId="0" fillId="0" borderId="0" applyAlignment="1" pivotButton="0" quotePrefix="0" xfId="0">
      <alignment vertical="top"/>
    </xf>
    <xf numFmtId="0" fontId="5" fillId="7" borderId="0" applyAlignment="1" pivotButton="0" quotePrefix="0" xfId="0">
      <alignment horizontal="center" vertical="center" wrapText="1"/>
    </xf>
    <xf numFmtId="0" fontId="5" fillId="12" borderId="0" applyAlignment="1" pivotButton="0" quotePrefix="0" xfId="0">
      <alignment horizontal="center" vertical="center" wrapText="1"/>
    </xf>
    <xf numFmtId="0" fontId="0" fillId="2" borderId="0" applyAlignment="1" pivotButton="0" quotePrefix="0" xfId="0">
      <alignment horizontal="left" vertical="center"/>
    </xf>
    <xf numFmtId="0" fontId="0" fillId="8" borderId="0" applyAlignment="1" pivotButton="0" quotePrefix="0" xfId="0">
      <alignment horizontal="center" vertical="center"/>
    </xf>
    <xf numFmtId="10" fontId="0" fillId="8" borderId="0" applyAlignment="1" pivotButton="0" quotePrefix="0" xfId="0">
      <alignment vertical="top"/>
    </xf>
    <xf numFmtId="0" fontId="0" fillId="9" borderId="0" applyAlignment="1" pivotButton="0" quotePrefix="0" xfId="0">
      <alignment horizontal="center" vertical="center"/>
    </xf>
    <xf numFmtId="0" fontId="0" fillId="11" borderId="0" applyAlignment="1" pivotButton="0" quotePrefix="0" xfId="0">
      <alignment horizontal="center" vertical="center"/>
    </xf>
    <xf numFmtId="0" fontId="0" fillId="10" borderId="0" applyAlignment="1" pivotButton="0" quotePrefix="0" xfId="0">
      <alignment horizontal="center" vertical="center"/>
    </xf>
    <xf numFmtId="0" fontId="0" fillId="0" borderId="0" applyAlignment="1" pivotButton="0" quotePrefix="0" xfId="0">
      <alignment horizontal="center" vertical="center"/>
    </xf>
    <xf numFmtId="0" fontId="5" fillId="13" borderId="0" applyAlignment="1" pivotButton="0" quotePrefix="0" xfId="0">
      <alignment horizontal="center" vertical="center" wrapText="1"/>
    </xf>
    <xf numFmtId="0" fontId="0" fillId="11" borderId="0" applyAlignment="1" pivotButton="0" quotePrefix="0" xfId="0">
      <alignment vertical="top"/>
    </xf>
    <xf numFmtId="0" fontId="3" fillId="11" borderId="0" applyAlignment="1" pivotButton="0" quotePrefix="0" xfId="0">
      <alignment vertical="top" wrapText="1"/>
    </xf>
    <xf numFmtId="0" fontId="0" fillId="8" borderId="0" applyAlignment="1" pivotButton="0" quotePrefix="0" xfId="0">
      <alignment vertical="top"/>
    </xf>
    <xf numFmtId="0" fontId="0" fillId="11" borderId="0" applyAlignment="1" pivotButton="0" quotePrefix="0" xfId="0">
      <alignment horizontal="left" vertical="top" wrapText="1"/>
    </xf>
    <xf numFmtId="10" fontId="0" fillId="11" borderId="0" applyAlignment="1" pivotButton="0" quotePrefix="0" xfId="0">
      <alignment horizontal="center" vertical="center"/>
    </xf>
    <xf numFmtId="0" fontId="6" fillId="14" borderId="0" applyAlignment="1" pivotButton="0" quotePrefix="0" xfId="0">
      <alignment horizontal="left" vertical="center"/>
    </xf>
    <xf numFmtId="0" fontId="4" fillId="6" borderId="1" applyAlignment="1" pivotButton="0" quotePrefix="0" xfId="0">
      <alignment horizontal="center" vertical="center" wrapText="1"/>
    </xf>
    <xf numFmtId="0" fontId="0" fillId="5" borderId="0" applyAlignment="1" pivotButton="0" quotePrefix="0" xfId="0">
      <alignment vertical="top"/>
    </xf>
    <xf numFmtId="0" fontId="4" fillId="6" borderId="0" applyAlignment="1" pivotButton="0" quotePrefix="0" xfId="1">
      <alignment horizontal="center" vertical="center" wrapText="1"/>
    </xf>
    <xf numFmtId="0" fontId="0" fillId="5" borderId="0" pivotButton="0" quotePrefix="0" xfId="0"/>
    <xf numFmtId="0" fontId="0" fillId="3" borderId="0" applyAlignment="1" pivotButton="0" quotePrefix="0" xfId="0">
      <alignment vertical="top"/>
    </xf>
    <xf numFmtId="165" fontId="0" fillId="3" borderId="0" applyAlignment="1" pivotButton="0" quotePrefix="0" xfId="0">
      <alignment vertical="top"/>
    </xf>
    <xf numFmtId="165" fontId="0" fillId="5" borderId="0" applyAlignment="1" pivotButton="0" quotePrefix="0" xfId="0">
      <alignment vertical="top"/>
    </xf>
    <xf numFmtId="0" fontId="0" fillId="5" borderId="0" applyAlignment="1" pivotButton="0" quotePrefix="0" xfId="0">
      <alignment vertical="top" shrinkToFit="1"/>
    </xf>
    <xf numFmtId="165" fontId="0" fillId="16" borderId="0" applyAlignment="1" pivotButton="0" quotePrefix="0" xfId="0">
      <alignment vertical="top"/>
    </xf>
    <xf numFmtId="166" fontId="0" fillId="5"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0" fontId="0" fillId="4" borderId="0" applyAlignment="1" pivotButton="0" quotePrefix="0" xfId="0">
      <alignment vertical="top"/>
    </xf>
    <xf numFmtId="165" fontId="0" fillId="2" borderId="0" applyAlignment="1" pivotButton="0" quotePrefix="0" xfId="0">
      <alignment vertical="top"/>
    </xf>
    <xf numFmtId="0" fontId="0" fillId="16" borderId="0" applyAlignment="1" pivotButton="0" quotePrefix="0" xfId="0">
      <alignment vertical="top"/>
    </xf>
    <xf numFmtId="0" fontId="0" fillId="15" borderId="0" applyAlignment="1" pivotButton="0" quotePrefix="0" xfId="0">
      <alignment vertical="top"/>
    </xf>
    <xf numFmtId="165" fontId="0" fillId="15" borderId="0" applyAlignment="1" pivotButton="0" quotePrefix="0" xfId="0">
      <alignment vertical="top"/>
    </xf>
    <xf numFmtId="0" fontId="4" fillId="6" borderId="0" applyAlignment="1" pivotButton="0" quotePrefix="0" xfId="0">
      <alignment horizontal="center" vertical="center" wrapText="1"/>
    </xf>
    <xf numFmtId="0" fontId="2" fillId="5" borderId="0" applyAlignment="1" pivotButton="0" quotePrefix="0" xfId="1">
      <alignment vertical="top" wrapText="1"/>
    </xf>
    <xf numFmtId="164" fontId="0" fillId="5" borderId="0" applyAlignment="1" pivotButton="0" quotePrefix="0" xfId="0">
      <alignment vertical="top"/>
    </xf>
    <xf numFmtId="0" fontId="2" fillId="0" borderId="0" applyAlignment="1" pivotButton="0" quotePrefix="0" xfId="1">
      <alignment vertical="top" wrapText="1"/>
    </xf>
    <xf numFmtId="164" fontId="0" fillId="0" borderId="0" applyAlignment="1" pivotButton="0" quotePrefix="0" xfId="0">
      <alignment vertical="top"/>
    </xf>
    <xf numFmtId="0" fontId="0" fillId="5" borderId="0" applyAlignment="1" pivotButton="0" quotePrefix="0" xfId="0">
      <alignment vertical="top" wrapText="1"/>
    </xf>
    <xf numFmtId="0" fontId="0" fillId="2" borderId="0" applyAlignment="1" pivotButton="0" quotePrefix="0" xfId="0">
      <alignment vertical="top" shrinkToFit="1"/>
    </xf>
    <xf numFmtId="0" fontId="0" fillId="0" borderId="0" applyAlignment="1" pivotButton="0" quotePrefix="0" xfId="0">
      <alignment vertical="top" wrapText="1"/>
    </xf>
    <xf numFmtId="0" fontId="0" fillId="2" borderId="0" applyAlignment="1" pivotButton="0" quotePrefix="0" xfId="0">
      <alignment vertical="top" wrapText="1"/>
    </xf>
    <xf numFmtId="0" fontId="7" fillId="17" borderId="0" applyAlignment="1" pivotButton="0" quotePrefix="0" xfId="1">
      <alignment horizontal="center" vertical="center"/>
    </xf>
    <xf numFmtId="0" fontId="2" fillId="5" borderId="0" applyAlignment="1" pivotButton="0" quotePrefix="0" xfId="1">
      <alignment vertical="top"/>
    </xf>
    <xf numFmtId="0" fontId="2" fillId="0" borderId="0" applyAlignment="1" pivotButton="0" quotePrefix="0" xfId="1">
      <alignment vertical="top"/>
    </xf>
    <xf numFmtId="0" fontId="2" fillId="5" borderId="0" pivotButton="0" quotePrefix="0" xfId="1"/>
    <xf numFmtId="0" fontId="2" fillId="0" borderId="0" pivotButton="0" quotePrefix="0" xfId="1"/>
    <xf numFmtId="167" fontId="0" fillId="3" borderId="0" applyAlignment="1" pivotButton="0" quotePrefix="0" xfId="0">
      <alignment vertical="top"/>
    </xf>
    <xf numFmtId="167" fontId="0" fillId="5" borderId="0" applyAlignment="1" pivotButton="0" quotePrefix="0" xfId="0">
      <alignment vertical="top"/>
    </xf>
    <xf numFmtId="167" fontId="0" fillId="0" borderId="0" applyAlignment="1" pivotButton="0" quotePrefix="0" xfId="0">
      <alignment vertical="top"/>
    </xf>
    <xf numFmtId="167" fontId="0" fillId="16" borderId="0" applyAlignment="1" pivotButton="0" quotePrefix="0" xfId="0">
      <alignment vertical="top"/>
    </xf>
    <xf numFmtId="166" fontId="0" fillId="2" borderId="0" applyAlignment="1" pivotButton="0" quotePrefix="0" xfId="0">
      <alignment vertical="top"/>
    </xf>
  </cellXfs>
  <cellStyles count="2">
    <cellStyle name="Normal" xfId="0" builtinId="0" hidden="0"/>
    <cellStyle name="Hyperlink" xfId="1" builtinId="8" hidden="0"/>
  </cellStyles>
  <dxfs count="12">
    <dxf>
      <font>
        <b val="1"/>
        <color rgb="009C0006"/>
      </font>
      <fill>
        <patternFill patternType="solid">
          <fgColor rgb="00FFC7CE"/>
        </patternFill>
      </fill>
    </dxf>
    <dxf>
      <font>
        <b val="1"/>
        <color rgb="009C5700"/>
      </font>
      <fill>
        <patternFill patternType="solid">
          <fgColor rgb="00FFEB9C"/>
        </patternFill>
      </fill>
    </dxf>
    <dxf>
      <fill>
        <patternFill patternType="solid">
          <fgColor rgb="00FFC7CE"/>
        </patternFill>
      </fill>
    </dxf>
    <dxf>
      <fill>
        <patternFill patternType="solid">
          <fgColor rgb="00C6EFCE"/>
        </patternFill>
      </fill>
    </dxf>
    <dxf>
      <fill>
        <patternFill patternType="solid">
          <fgColor rgb="00D9EAD3"/>
        </patternFill>
      </fill>
    </dxf>
    <dxf>
      <fill>
        <patternFill patternType="solid">
          <fgColor rgb="00FFF2CC"/>
        </patternFill>
      </fill>
    </dxf>
    <dxf>
      <fill>
        <patternFill patternType="solid">
          <fgColor rgb="00FFEB9C"/>
        </patternFill>
      </fill>
    </dxf>
    <dxf>
      <fill>
        <patternFill patternType="solid">
          <fgColor rgb="00FFCC99"/>
        </patternFill>
      </fill>
    </dxf>
    <dxf>
      <font>
        <color rgb="009C0006"/>
      </font>
      <fill>
        <patternFill patternType="solid">
          <fgColor rgb="00FFC7CE"/>
          <b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SEO Audit Bot</author>
  </authors>
  <commentList>
    <comment ref="D1" authorId="0" shapeId="0">
      <text>
        <t>Largest Contentful Paint. Target: &lt; 2.5 seconds.</t>
      </text>
    </comment>
    <comment ref="E1" authorId="0" shapeId="0">
      <text>
        <t>Cumulative Layout Shift. Target: &lt; 0.1.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Dashboard!A1" TargetMode="External" Id="rId1"/></Relationships>
</file>

<file path=xl/worksheets/_rels/sheet5.xml.rels><Relationships xmlns="http://schemas.openxmlformats.org/package/2006/relationships"><Relationship Type="http://schemas.openxmlformats.org/officeDocument/2006/relationships/hyperlink" Target="#Dashboard!A1" TargetMode="External" Id="rId1"/></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 TargetMode="External" Id="rId6"/><Relationship Type="http://schemas.openxmlformats.org/officeDocument/2006/relationships/hyperlink" Target="https://africanmarketingconfederation.org/amc-conference-2022-prospectus" TargetMode="External" Id="rId7"/><Relationship Type="http://schemas.openxmlformats.org/officeDocument/2006/relationships/hyperlink" Target="https://africanmarketingconfederation.org/amc-conference-2022-thank-you"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 TargetMode="External" Id="rId10"/><Relationship Type="http://schemas.openxmlformats.org/officeDocument/2006/relationships/hyperlink" Target="https://africanmarketingconfederation.org/amc-conference-2023/amc-awards-book-now" TargetMode="External" Id="rId11"/></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 TargetMode="External" Id="rId6"/><Relationship Type="http://schemas.openxmlformats.org/officeDocument/2006/relationships/hyperlink" Target="https://africanmarketingconfederation.org/amc-conference-2022-prospectus" TargetMode="External" Id="rId7"/><Relationship Type="http://schemas.openxmlformats.org/officeDocument/2006/relationships/hyperlink" Target="https://africanmarketingconfederation.org/amc-conference-2022-thank-you"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 TargetMode="External" Id="rId10"/><Relationship Type="http://schemas.openxmlformats.org/officeDocument/2006/relationships/hyperlink" Target="https://africanmarketingconfederation.org/amc-conference-2023/amc-awards-book-now" TargetMode="External" Id="rId11"/></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wp-admin/post.php?post=8&amp;action=edit" TargetMode="External" Id="rId3"/><Relationship Type="http://schemas.openxmlformats.org/officeDocument/2006/relationships/hyperlink" Target="#Links!A1"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wp-admin/post.php?post=84&amp;action=edit" TargetMode="External" Id="rId6"/><Relationship Type="http://schemas.openxmlformats.org/officeDocument/2006/relationships/hyperlink" Target="#Links!A1" TargetMode="External" Id="rId7"/><Relationship Type="http://schemas.openxmlformats.org/officeDocument/2006/relationships/hyperlink" Target="https://africanmarketingconfederation.org/african-marketing-confederation-tourism-chapter" TargetMode="External" Id="rId8"/><Relationship Type="http://schemas.openxmlformats.org/officeDocument/2006/relationships/hyperlink" Target="https://africanmarketingconfederation.org/wp-admin/post.php?post=28165&amp;action=edit" TargetMode="External" Id="rId9"/><Relationship Type="http://schemas.openxmlformats.org/officeDocument/2006/relationships/hyperlink" Target="#Links!A1" TargetMode="External" Id="rId10"/><Relationship Type="http://schemas.openxmlformats.org/officeDocument/2006/relationships/hyperlink" Target="https://africanmarketingconfederation.org/amc-awards-2024" TargetMode="External" Id="rId11"/><Relationship Type="http://schemas.openxmlformats.org/officeDocument/2006/relationships/hyperlink" Target="https://africanmarketingconfederation.org/wp-admin/post.php?post=16125&amp;action=edit" TargetMode="External" Id="rId12"/><Relationship Type="http://schemas.openxmlformats.org/officeDocument/2006/relationships/hyperlink" Target="#Links!A1" TargetMode="External" Id="rId13"/><Relationship Type="http://schemas.openxmlformats.org/officeDocument/2006/relationships/hyperlink" Target="https://africanmarketingconfederation.org/amc-conference-2022" TargetMode="External" Id="rId14"/><Relationship Type="http://schemas.openxmlformats.org/officeDocument/2006/relationships/hyperlink" Target="https://africanmarketingconfederation.org/wp-admin/post.php?post=4494&amp;action=edit" TargetMode="External" Id="rId15"/><Relationship Type="http://schemas.openxmlformats.org/officeDocument/2006/relationships/hyperlink" Target="#Links!A1" TargetMode="External" Id="rId16"/><Relationship Type="http://schemas.openxmlformats.org/officeDocument/2006/relationships/hyperlink" Target="https://africanmarketingconfederation.org/amc-conference-2022-prospectus" TargetMode="External" Id="rId17"/><Relationship Type="http://schemas.openxmlformats.org/officeDocument/2006/relationships/hyperlink" Target="https://africanmarketingconfederation.org/wp-admin/post.php?post=5619&amp;action=edit" TargetMode="External" Id="rId18"/><Relationship Type="http://schemas.openxmlformats.org/officeDocument/2006/relationships/hyperlink" Target="#Links!A1" TargetMode="External" Id="rId19"/><Relationship Type="http://schemas.openxmlformats.org/officeDocument/2006/relationships/hyperlink" Target="https://africanmarketingconfederation.org/amc-conference-2022-thank-you" TargetMode="External" Id="rId20"/><Relationship Type="http://schemas.openxmlformats.org/officeDocument/2006/relationships/hyperlink" Target="https://africanmarketingconfederation.org/wp-admin/post.php?post=4941&amp;action=edit" TargetMode="External" Id="rId21"/><Relationship Type="http://schemas.openxmlformats.org/officeDocument/2006/relationships/hyperlink" Target="#Links!A1" TargetMode="External" Id="rId22"/><Relationship Type="http://schemas.openxmlformats.org/officeDocument/2006/relationships/hyperlink" Target="https://africanmarketingconfederation.org/amc-conference-2023" TargetMode="External" Id="rId23"/><Relationship Type="http://schemas.openxmlformats.org/officeDocument/2006/relationships/hyperlink" Target="https://africanmarketingconfederation.org/wp-admin/post.php?post=12371&amp;action=edit" TargetMode="External" Id="rId24"/><Relationship Type="http://schemas.openxmlformats.org/officeDocument/2006/relationships/hyperlink" Target="#Links!A1" TargetMode="External" Id="rId25"/><Relationship Type="http://schemas.openxmlformats.org/officeDocument/2006/relationships/hyperlink" Target="https://africanmarketingconfederation.org/amc-conference-2023/amc-awards" TargetMode="External" Id="rId26"/><Relationship Type="http://schemas.openxmlformats.org/officeDocument/2006/relationships/hyperlink" Target="https://africanmarketingconfederation.org/wp-admin/post.php?post=12954&amp;action=edit" TargetMode="External" Id="rId27"/><Relationship Type="http://schemas.openxmlformats.org/officeDocument/2006/relationships/hyperlink" Target="#Links!A1" TargetMode="External" Id="rId28"/><Relationship Type="http://schemas.openxmlformats.org/officeDocument/2006/relationships/hyperlink" Target="https://africanmarketingconfederation.org/amc-conference-2023/amc-awards-book-now" TargetMode="External" Id="rId29"/><Relationship Type="http://schemas.openxmlformats.org/officeDocument/2006/relationships/hyperlink" Target="https://africanmarketingconfederation.org/wp-admin/post.php?post=13164&amp;action=edit" TargetMode="External" Id="rId30"/><Relationship Type="http://schemas.openxmlformats.org/officeDocument/2006/relationships/hyperlink" Target="#Links!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https://africanmarketingconfederation.org/wp-admin/post.php?post=13164&amp;action=edit" TargetMode="External" Id="rId33"/><Relationship Type="http://schemas.openxmlformats.org/officeDocument/2006/relationships/hyperlink" Target="#Main!A1" TargetMode="External" Id="rId34"/><Relationship Type="http://schemas.openxmlformats.org/officeDocument/2006/relationships/hyperlink" Target="https://africanmarketingconfederation.org/" TargetMode="External" Id="rId35"/><Relationship Type="http://schemas.openxmlformats.org/officeDocument/2006/relationships/hyperlink" Target="https://africanmarketingconfederation.org/wp-admin/post.php?post=8&amp;action=edit"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bout-us" TargetMode="External" Id="rId38"/><Relationship Type="http://schemas.openxmlformats.org/officeDocument/2006/relationships/hyperlink" Target="https://africanmarketingconfederation.org/wp-admin/post.php?post=84&amp;action=edit" TargetMode="External" Id="rId39"/><Relationship Type="http://schemas.openxmlformats.org/officeDocument/2006/relationships/hyperlink" Target="#AEO!A1" TargetMode="External" Id="rId40"/><Relationship Type="http://schemas.openxmlformats.org/officeDocument/2006/relationships/hyperlink" Target="https://africanmarketingconfederation.org/african-marketing-confederation-tourism-chapter" TargetMode="External" Id="rId41"/><Relationship Type="http://schemas.openxmlformats.org/officeDocument/2006/relationships/hyperlink" Target="https://africanmarketingconfederation.org/wp-admin/post.php?post=28165&amp;action=edit"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awards-2024" TargetMode="External" Id="rId44"/><Relationship Type="http://schemas.openxmlformats.org/officeDocument/2006/relationships/hyperlink" Target="https://africanmarketingconfederation.org/wp-admin/post.php?post=16125&amp;action=edit" TargetMode="External" Id="rId45"/><Relationship Type="http://schemas.openxmlformats.org/officeDocument/2006/relationships/hyperlink" Target="#AEO!A1"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wp-admin/post.php?post=4494&amp;action=edit"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2-prospectus" TargetMode="External" Id="rId50"/><Relationship Type="http://schemas.openxmlformats.org/officeDocument/2006/relationships/hyperlink" Target="https://africanmarketingconfederation.org/wp-admin/post.php?post=5619&amp;action=edit" TargetMode="External" Id="rId51"/><Relationship Type="http://schemas.openxmlformats.org/officeDocument/2006/relationships/hyperlink" Target="#AEO!A1" TargetMode="External" Id="rId52"/><Relationship Type="http://schemas.openxmlformats.org/officeDocument/2006/relationships/hyperlink" Target="https://africanmarketingconfederation.org/amc-conference-2022-thank-you" TargetMode="External" Id="rId53"/><Relationship Type="http://schemas.openxmlformats.org/officeDocument/2006/relationships/hyperlink" Target="https://africanmarketingconfederation.org/wp-admin/post.php?post=4941&amp;action=edit"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3" TargetMode="External" Id="rId56"/><Relationship Type="http://schemas.openxmlformats.org/officeDocument/2006/relationships/hyperlink" Target="https://africanmarketingconfederation.org/wp-admin/post.php?post=12371&amp;action=edit" TargetMode="External" Id="rId57"/><Relationship Type="http://schemas.openxmlformats.org/officeDocument/2006/relationships/hyperlink" Target="#AEO!A1" TargetMode="External" Id="rId58"/><Relationship Type="http://schemas.openxmlformats.org/officeDocument/2006/relationships/hyperlink" Target="https://africanmarketingconfederation.org/amc-conference-2023/amc-awards" TargetMode="External" Id="rId59"/><Relationship Type="http://schemas.openxmlformats.org/officeDocument/2006/relationships/hyperlink" Target="https://africanmarketingconfederation.org/wp-admin/post.php?post=12954&amp;action=edit"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3/amc-awards-book-now" TargetMode="External" Id="rId62"/><Relationship Type="http://schemas.openxmlformats.org/officeDocument/2006/relationships/hyperlink" Target="https://africanmarketingconfederation.org/wp-admin/post.php?post=13164&amp;action=edit" TargetMode="External" Id="rId63"/><Relationship Type="http://schemas.openxmlformats.org/officeDocument/2006/relationships/hyperlink" Target="#AEO!A1" TargetMode="External" Id="rId64"/><Relationship Type="http://schemas.openxmlformats.org/officeDocument/2006/relationships/hyperlink" Target="https://africanmarketingconfederation.org/" TargetMode="External" Id="rId65"/><Relationship Type="http://schemas.openxmlformats.org/officeDocument/2006/relationships/hyperlink" Target="https://africanmarketingconfederation.org/wp-admin/post.php?post=8&amp;action=edit" TargetMode="External" Id="rId66"/><Relationship Type="http://schemas.openxmlformats.org/officeDocument/2006/relationships/hyperlink" Target="#Media!A1" TargetMode="External" Id="rId67"/><Relationship Type="http://schemas.openxmlformats.org/officeDocument/2006/relationships/hyperlink" Target="https://africanmarketingconfederation.org/" TargetMode="External" Id="rId68"/><Relationship Type="http://schemas.openxmlformats.org/officeDocument/2006/relationships/hyperlink" Target="https://africanmarketingconfederation.org/wp-admin/post.php?post=8&amp;action=edit" TargetMode="External" Id="rId69"/><Relationship Type="http://schemas.openxmlformats.org/officeDocument/2006/relationships/hyperlink" Target="#Content!A1" TargetMode="External" Id="rId70"/><Relationship Type="http://schemas.openxmlformats.org/officeDocument/2006/relationships/hyperlink" Target="https://africanmarketingconfederation.org/about-us" TargetMode="External" Id="rId71"/><Relationship Type="http://schemas.openxmlformats.org/officeDocument/2006/relationships/hyperlink" Target="https://africanmarketingconfederation.org/wp-admin/post.php?post=84&amp;action=edit" TargetMode="External" Id="rId72"/><Relationship Type="http://schemas.openxmlformats.org/officeDocument/2006/relationships/hyperlink" Target="#Media!A1" TargetMode="External" Id="rId73"/><Relationship Type="http://schemas.openxmlformats.org/officeDocument/2006/relationships/hyperlink" Target="https://africanmarketingconfederation.org/about-us" TargetMode="External" Id="rId74"/><Relationship Type="http://schemas.openxmlformats.org/officeDocument/2006/relationships/hyperlink" Target="https://africanmarketingconfederation.org/wp-admin/post.php?post=84&amp;action=edit" TargetMode="External" Id="rId75"/><Relationship Type="http://schemas.openxmlformats.org/officeDocument/2006/relationships/hyperlink" Target="#Content!A1" TargetMode="External" Id="rId76"/><Relationship Type="http://schemas.openxmlformats.org/officeDocument/2006/relationships/hyperlink" Target="https://africanmarketingconfederation.org/amc-awards-2024" TargetMode="External" Id="rId77"/><Relationship Type="http://schemas.openxmlformats.org/officeDocument/2006/relationships/hyperlink" Target="https://africanmarketingconfederation.org/wp-admin/post.php?post=16125&amp;action=edit" TargetMode="External" Id="rId78"/><Relationship Type="http://schemas.openxmlformats.org/officeDocument/2006/relationships/hyperlink" Target="#Media!A1" TargetMode="External" Id="rId79"/><Relationship Type="http://schemas.openxmlformats.org/officeDocument/2006/relationships/hyperlink" Target="https://africanmarketingconfederation.org/amc-conference-2022" TargetMode="External" Id="rId80"/><Relationship Type="http://schemas.openxmlformats.org/officeDocument/2006/relationships/hyperlink" Target="https://africanmarketingconfederation.org/wp-admin/post.php?post=4494&amp;action=edit" TargetMode="External" Id="rId81"/><Relationship Type="http://schemas.openxmlformats.org/officeDocument/2006/relationships/hyperlink" Target="#Media!A1" TargetMode="External" Id="rId82"/><Relationship Type="http://schemas.openxmlformats.org/officeDocument/2006/relationships/hyperlink" Target="https://africanmarketingconfederation.org/amc-conference-2022" TargetMode="External" Id="rId83"/><Relationship Type="http://schemas.openxmlformats.org/officeDocument/2006/relationships/hyperlink" Target="https://africanmarketingconfederation.org/wp-admin/post.php?post=4494&amp;action=edit" TargetMode="External" Id="rId84"/><Relationship Type="http://schemas.openxmlformats.org/officeDocument/2006/relationships/hyperlink" Target="#Content!A1" TargetMode="External" Id="rId85"/><Relationship Type="http://schemas.openxmlformats.org/officeDocument/2006/relationships/hyperlink" Target="https://africanmarketingconfederation.org/amc-conference-2022" TargetMode="External" Id="rId86"/><Relationship Type="http://schemas.openxmlformats.org/officeDocument/2006/relationships/hyperlink" Target="https://africanmarketingconfederation.org/wp-admin/post.php?post=4494&amp;action=edit" TargetMode="External" Id="rId87"/><Relationship Type="http://schemas.openxmlformats.org/officeDocument/2006/relationships/hyperlink" Target="#Content!A1" TargetMode="External" Id="rId88"/><Relationship Type="http://schemas.openxmlformats.org/officeDocument/2006/relationships/hyperlink" Target="https://africanmarketingconfederation.org/amc-conference-2022-prospectus" TargetMode="External" Id="rId89"/><Relationship Type="http://schemas.openxmlformats.org/officeDocument/2006/relationships/hyperlink" Target="https://africanmarketingconfederation.org/wp-admin/post.php?post=5619&amp;action=edit" TargetMode="External" Id="rId90"/><Relationship Type="http://schemas.openxmlformats.org/officeDocument/2006/relationships/hyperlink" Target="#Media!A1" TargetMode="External" Id="rId91"/><Relationship Type="http://schemas.openxmlformats.org/officeDocument/2006/relationships/hyperlink" Target="https://africanmarketingconfederation.org/amc-conference-2022-prospectus" TargetMode="External" Id="rId92"/><Relationship Type="http://schemas.openxmlformats.org/officeDocument/2006/relationships/hyperlink" Target="https://africanmarketingconfederation.org/wp-admin/post.php?post=5619&amp;action=edit" TargetMode="External" Id="rId93"/><Relationship Type="http://schemas.openxmlformats.org/officeDocument/2006/relationships/hyperlink" Target="#Content!A1" TargetMode="External" Id="rId94"/><Relationship Type="http://schemas.openxmlformats.org/officeDocument/2006/relationships/hyperlink" Target="https://africanmarketingconfederation.org/amc-conference-2022-prospectus" TargetMode="External" Id="rId95"/><Relationship Type="http://schemas.openxmlformats.org/officeDocument/2006/relationships/hyperlink" Target="https://africanmarketingconfederation.org/wp-admin/post.php?post=5619&amp;action=edit" TargetMode="External" Id="rId96"/><Relationship Type="http://schemas.openxmlformats.org/officeDocument/2006/relationships/hyperlink" Target="#Content!A1" TargetMode="External" Id="rId97"/><Relationship Type="http://schemas.openxmlformats.org/officeDocument/2006/relationships/hyperlink" Target="https://africanmarketingconfederation.org/amc-conference-2022-thank-you" TargetMode="External" Id="rId98"/><Relationship Type="http://schemas.openxmlformats.org/officeDocument/2006/relationships/hyperlink" Target="https://africanmarketingconfederation.org/wp-admin/post.php?post=4941&amp;action=edit" TargetMode="External" Id="rId99"/><Relationship Type="http://schemas.openxmlformats.org/officeDocument/2006/relationships/hyperlink" Target="#Media!A1" TargetMode="External" Id="rId100"/><Relationship Type="http://schemas.openxmlformats.org/officeDocument/2006/relationships/hyperlink" Target="https://africanmarketingconfederation.org/amc-conference-2022-thank-you" TargetMode="External" Id="rId101"/><Relationship Type="http://schemas.openxmlformats.org/officeDocument/2006/relationships/hyperlink" Target="https://africanmarketingconfederation.org/wp-admin/post.php?post=4941&amp;action=edit" TargetMode="External" Id="rId102"/><Relationship Type="http://schemas.openxmlformats.org/officeDocument/2006/relationships/hyperlink" Target="#Content!A1" TargetMode="External" Id="rId103"/><Relationship Type="http://schemas.openxmlformats.org/officeDocument/2006/relationships/hyperlink" Target="https://africanmarketingconfederation.org/amc-conference-2023" TargetMode="External" Id="rId104"/><Relationship Type="http://schemas.openxmlformats.org/officeDocument/2006/relationships/hyperlink" Target="https://africanmarketingconfederation.org/wp-admin/post.php?post=12371&amp;action=edit" TargetMode="External" Id="rId105"/><Relationship Type="http://schemas.openxmlformats.org/officeDocument/2006/relationships/hyperlink" Target="#Media!A1" TargetMode="External" Id="rId106"/><Relationship Type="http://schemas.openxmlformats.org/officeDocument/2006/relationships/hyperlink" Target="https://africanmarketingconfederation.org/amc-conference-2023/amc-awards" TargetMode="External" Id="rId107"/><Relationship Type="http://schemas.openxmlformats.org/officeDocument/2006/relationships/hyperlink" Target="https://africanmarketingconfederation.org/wp-admin/post.php?post=12954&amp;action=edit" TargetMode="External" Id="rId108"/><Relationship Type="http://schemas.openxmlformats.org/officeDocument/2006/relationships/hyperlink" Target="#Media!A1" TargetMode="External" Id="rId109"/><Relationship Type="http://schemas.openxmlformats.org/officeDocument/2006/relationships/hyperlink" Target="https://africanmarketingconfederation.org/amc-conference-2023/amc-awards-book-now" TargetMode="External" Id="rId110"/><Relationship Type="http://schemas.openxmlformats.org/officeDocument/2006/relationships/hyperlink" Target="https://africanmarketingconfederation.org/wp-admin/post.php?post=13164&amp;action=edit" TargetMode="External" Id="rId111"/><Relationship Type="http://schemas.openxmlformats.org/officeDocument/2006/relationships/hyperlink" Target="#Media!A1" TargetMode="External" Id="rId112"/><Relationship Type="http://schemas.openxmlformats.org/officeDocument/2006/relationships/hyperlink" Target="https://africanmarketingconfederation.org/amc-conference-2023/amc-awards-book-now" TargetMode="External" Id="rId113"/><Relationship Type="http://schemas.openxmlformats.org/officeDocument/2006/relationships/hyperlink" Target="https://africanmarketingconfederation.org/wp-admin/post.php?post=13164&amp;action=edit" TargetMode="External" Id="rId114"/><Relationship Type="http://schemas.openxmlformats.org/officeDocument/2006/relationships/hyperlink" Target="#Content!A1" TargetMode="External" Id="rId115"/><Relationship Type="http://schemas.openxmlformats.org/officeDocument/2006/relationships/hyperlink" Target="https://africanmarketingconfederation.org/amc-conference-2023/amc-awards-book-now" TargetMode="External" Id="rId116"/><Relationship Type="http://schemas.openxmlformats.org/officeDocument/2006/relationships/hyperlink" Target="https://africanmarketingconfederation.org/wp-admin/post.php?post=13164&amp;action=edit" TargetMode="External" Id="rId117"/><Relationship Type="http://schemas.openxmlformats.org/officeDocument/2006/relationships/hyperlink" Target="#Content!A1" TargetMode="External" Id="rId118"/><Relationship Type="http://schemas.openxmlformats.org/officeDocument/2006/relationships/hyperlink" Target="https://africanmarketingconfederation.org/" TargetMode="External" Id="rId119"/><Relationship Type="http://schemas.openxmlformats.org/officeDocument/2006/relationships/hyperlink" Target="https://africanmarketingconfederation.org/wp-admin/post.php?post=8&amp;action=edit" TargetMode="External" Id="rId120"/><Relationship Type="http://schemas.openxmlformats.org/officeDocument/2006/relationships/hyperlink" Target="#Schema &amp; Metadata!A1" TargetMode="External" Id="rId121"/><Relationship Type="http://schemas.openxmlformats.org/officeDocument/2006/relationships/hyperlink" Target="https://africanmarketingconfederation.org/about-us" TargetMode="External" Id="rId122"/><Relationship Type="http://schemas.openxmlformats.org/officeDocument/2006/relationships/hyperlink" Target="https://africanmarketingconfederation.org/wp-admin/post.php?post=84&amp;action=edit" TargetMode="External" Id="rId123"/><Relationship Type="http://schemas.openxmlformats.org/officeDocument/2006/relationships/hyperlink" Target="#Schema &amp; Metadata!A1" TargetMode="External" Id="rId124"/><Relationship Type="http://schemas.openxmlformats.org/officeDocument/2006/relationships/hyperlink" Target="https://africanmarketingconfederation.org/african-marketing-confederation-tourism-chapter" TargetMode="External" Id="rId125"/><Relationship Type="http://schemas.openxmlformats.org/officeDocument/2006/relationships/hyperlink" Target="https://africanmarketingconfederation.org/wp-admin/post.php?post=28165&amp;action=edit" TargetMode="External" Id="rId126"/><Relationship Type="http://schemas.openxmlformats.org/officeDocument/2006/relationships/hyperlink" Target="#Schema &amp; Metadata!A1" TargetMode="External" Id="rId127"/><Relationship Type="http://schemas.openxmlformats.org/officeDocument/2006/relationships/hyperlink" Target="https://africanmarketingconfederation.org/amc-awards-2024" TargetMode="External" Id="rId128"/><Relationship Type="http://schemas.openxmlformats.org/officeDocument/2006/relationships/hyperlink" Target="https://africanmarketingconfederation.org/wp-admin/post.php?post=16125&amp;action=edit" TargetMode="External" Id="rId129"/><Relationship Type="http://schemas.openxmlformats.org/officeDocument/2006/relationships/hyperlink" Target="#Schema &amp; Metadata!A1" TargetMode="External" Id="rId130"/><Relationship Type="http://schemas.openxmlformats.org/officeDocument/2006/relationships/hyperlink" Target="https://africanmarketingconfederation.org/amc-conference-2022" TargetMode="External" Id="rId131"/><Relationship Type="http://schemas.openxmlformats.org/officeDocument/2006/relationships/hyperlink" Target="https://africanmarketingconfederation.org/wp-admin/post.php?post=4494&amp;action=edit" TargetMode="External" Id="rId132"/><Relationship Type="http://schemas.openxmlformats.org/officeDocument/2006/relationships/hyperlink" Target="#Schema &amp; Metadata!A1" TargetMode="External" Id="rId133"/><Relationship Type="http://schemas.openxmlformats.org/officeDocument/2006/relationships/hyperlink" Target="https://africanmarketingconfederation.org/amc-conference-2022-prospectus" TargetMode="External" Id="rId134"/><Relationship Type="http://schemas.openxmlformats.org/officeDocument/2006/relationships/hyperlink" Target="https://africanmarketingconfederation.org/wp-admin/post.php?post=5619&amp;action=edit" TargetMode="External" Id="rId135"/><Relationship Type="http://schemas.openxmlformats.org/officeDocument/2006/relationships/hyperlink" Target="#Schema &amp; Metadata!A1" TargetMode="External" Id="rId136"/><Relationship Type="http://schemas.openxmlformats.org/officeDocument/2006/relationships/hyperlink" Target="https://africanmarketingconfederation.org/amc-conference-2022-thank-you" TargetMode="External" Id="rId137"/><Relationship Type="http://schemas.openxmlformats.org/officeDocument/2006/relationships/hyperlink" Target="https://africanmarketingconfederation.org/wp-admin/post.php?post=4941&amp;action=edit" TargetMode="External" Id="rId138"/><Relationship Type="http://schemas.openxmlformats.org/officeDocument/2006/relationships/hyperlink" Target="#Schema &amp; Metadata!A1" TargetMode="External" Id="rId139"/><Relationship Type="http://schemas.openxmlformats.org/officeDocument/2006/relationships/hyperlink" Target="https://africanmarketingconfederation.org/amc-conference-2023" TargetMode="External" Id="rId140"/><Relationship Type="http://schemas.openxmlformats.org/officeDocument/2006/relationships/hyperlink" Target="https://africanmarketingconfederation.org/wp-admin/post.php?post=12371&amp;action=edit" TargetMode="External" Id="rId141"/><Relationship Type="http://schemas.openxmlformats.org/officeDocument/2006/relationships/hyperlink" Target="#Schema &amp; Metadata!A1" TargetMode="External" Id="rId142"/><Relationship Type="http://schemas.openxmlformats.org/officeDocument/2006/relationships/hyperlink" Target="https://africanmarketingconfederation.org/amc-conference-2023/amc-awards" TargetMode="External" Id="rId143"/><Relationship Type="http://schemas.openxmlformats.org/officeDocument/2006/relationships/hyperlink" Target="https://africanmarketingconfederation.org/wp-admin/post.php?post=12954&amp;action=edit" TargetMode="External" Id="rId144"/><Relationship Type="http://schemas.openxmlformats.org/officeDocument/2006/relationships/hyperlink" Target="#Schema &amp; Metadata!A1" TargetMode="External" Id="rId145"/><Relationship Type="http://schemas.openxmlformats.org/officeDocument/2006/relationships/hyperlink" Target="https://africanmarketingconfederation.org/amc-conference-2023/amc-awards-book-now" TargetMode="External" Id="rId146"/><Relationship Type="http://schemas.openxmlformats.org/officeDocument/2006/relationships/hyperlink" Target="https://africanmarketingconfederation.org/wp-admin/post.php?post=13164&amp;action=edit" TargetMode="External" Id="rId147"/><Relationship Type="http://schemas.openxmlformats.org/officeDocument/2006/relationships/hyperlink" Target="#Schema &amp; Metadata!A1" TargetMode="External" Id="rId148"/><Relationship Type="http://schemas.openxmlformats.org/officeDocument/2006/relationships/hyperlink" Target="https://africanmarketingconfederation.org/about-us" TargetMode="External" Id="rId149"/><Relationship Type="http://schemas.openxmlformats.org/officeDocument/2006/relationships/hyperlink" Target="https://africanmarketingconfederation.org/wp-admin/post.php?post=84&amp;action=edit" TargetMode="External" Id="rId150"/><Relationship Type="http://schemas.openxmlformats.org/officeDocument/2006/relationships/hyperlink" Target="#Main!A1" TargetMode="External" Id="rId151"/><Relationship Type="http://schemas.openxmlformats.org/officeDocument/2006/relationships/hyperlink" Target="https://africanmarketingconfederation.org/african-marketing-confederation-tourism-chapter" TargetMode="External" Id="rId152"/><Relationship Type="http://schemas.openxmlformats.org/officeDocument/2006/relationships/hyperlink" Target="https://africanmarketingconfederation.org/wp-admin/post.php?post=28165&amp;action=edit" TargetMode="External" Id="rId153"/><Relationship Type="http://schemas.openxmlformats.org/officeDocument/2006/relationships/hyperlink" Target="#Main!A1" TargetMode="External" Id="rId154"/><Relationship Type="http://schemas.openxmlformats.org/officeDocument/2006/relationships/hyperlink" Target="https://africanmarketingconfederation.org/amc-awards-2024" TargetMode="External" Id="rId155"/><Relationship Type="http://schemas.openxmlformats.org/officeDocument/2006/relationships/hyperlink" Target="https://africanmarketingconfederation.org/wp-admin/post.php?post=16125&amp;action=edit" TargetMode="External" Id="rId156"/><Relationship Type="http://schemas.openxmlformats.org/officeDocument/2006/relationships/hyperlink" Target="#Main!A1" TargetMode="External" Id="rId157"/><Relationship Type="http://schemas.openxmlformats.org/officeDocument/2006/relationships/hyperlink" Target="https://africanmarketingconfederation.org/amc-conference-2022" TargetMode="External" Id="rId158"/><Relationship Type="http://schemas.openxmlformats.org/officeDocument/2006/relationships/hyperlink" Target="https://africanmarketingconfederation.org/wp-admin/post.php?post=4494&amp;action=edit" TargetMode="External" Id="rId159"/><Relationship Type="http://schemas.openxmlformats.org/officeDocument/2006/relationships/hyperlink" Target="#Main!A1" TargetMode="External" Id="rId160"/><Relationship Type="http://schemas.openxmlformats.org/officeDocument/2006/relationships/hyperlink" Target="https://africanmarketingconfederation.org/amc-conference-2022-prospectus" TargetMode="External" Id="rId161"/><Relationship Type="http://schemas.openxmlformats.org/officeDocument/2006/relationships/hyperlink" Target="https://africanmarketingconfederation.org/wp-admin/post.php?post=5619&amp;action=edit" TargetMode="External" Id="rId162"/><Relationship Type="http://schemas.openxmlformats.org/officeDocument/2006/relationships/hyperlink" Target="#Main!A1" TargetMode="External" Id="rId163"/><Relationship Type="http://schemas.openxmlformats.org/officeDocument/2006/relationships/hyperlink" Target="https://africanmarketingconfederation.org/amc-conference-2022-thank-you" TargetMode="External" Id="rId164"/><Relationship Type="http://schemas.openxmlformats.org/officeDocument/2006/relationships/hyperlink" Target="https://africanmarketingconfederation.org/wp-admin/post.php?post=4941&amp;action=edit" TargetMode="External" Id="rId165"/><Relationship Type="http://schemas.openxmlformats.org/officeDocument/2006/relationships/hyperlink" Target="#Main!A1" TargetMode="External" Id="rId166"/><Relationship Type="http://schemas.openxmlformats.org/officeDocument/2006/relationships/hyperlink" Target="https://africanmarketingconfederation.org/amc-conference-2023" TargetMode="External" Id="rId167"/><Relationship Type="http://schemas.openxmlformats.org/officeDocument/2006/relationships/hyperlink" Target="https://africanmarketingconfederation.org/wp-admin/post.php?post=12371&amp;action=edit" TargetMode="External" Id="rId168"/><Relationship Type="http://schemas.openxmlformats.org/officeDocument/2006/relationships/hyperlink" Target="#Main!A1" TargetMode="External" Id="rId169"/><Relationship Type="http://schemas.openxmlformats.org/officeDocument/2006/relationships/hyperlink" Target="https://africanmarketingconfederation.org/amc-conference-2023/amc-awards" TargetMode="External" Id="rId170"/><Relationship Type="http://schemas.openxmlformats.org/officeDocument/2006/relationships/hyperlink" Target="https://africanmarketingconfederation.org/wp-admin/post.php?post=12954&amp;action=edit" TargetMode="External" Id="rId171"/><Relationship Type="http://schemas.openxmlformats.org/officeDocument/2006/relationships/hyperlink" Target="#Main!A1" TargetMode="External" Id="rId172"/><Relationship Type="http://schemas.openxmlformats.org/officeDocument/2006/relationships/hyperlink" Target="https://africanmarketingconfederation.org/" TargetMode="External" Id="rId173"/><Relationship Type="http://schemas.openxmlformats.org/officeDocument/2006/relationships/hyperlink" Target="https://africanmarketingconfederation.org/wp-admin/post.php?post=8&amp;action=edit"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about-us" TargetMode="External" Id="rId176"/><Relationship Type="http://schemas.openxmlformats.org/officeDocument/2006/relationships/hyperlink" Target="https://africanmarketingconfederation.org/wp-admin/post.php?post=84&amp;action=edit" TargetMode="External" Id="rId177"/><Relationship Type="http://schemas.openxmlformats.org/officeDocument/2006/relationships/hyperlink" Target="#AEO!A1" TargetMode="External" Id="rId178"/><Relationship Type="http://schemas.openxmlformats.org/officeDocument/2006/relationships/hyperlink" Target="https://africanmarketingconfederation.org/african-marketing-confederation-tourism-chapter" TargetMode="External" Id="rId179"/><Relationship Type="http://schemas.openxmlformats.org/officeDocument/2006/relationships/hyperlink" Target="https://africanmarketingconfederation.org/wp-admin/post.php?post=28165&amp;action=edit"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amc-awards-2024" TargetMode="External" Id="rId182"/><Relationship Type="http://schemas.openxmlformats.org/officeDocument/2006/relationships/hyperlink" Target="https://africanmarketingconfederation.org/wp-admin/post.php?post=16125&amp;action=edit"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amc-conference-2022" TargetMode="External" Id="rId185"/><Relationship Type="http://schemas.openxmlformats.org/officeDocument/2006/relationships/hyperlink" Target="https://africanmarketingconfederation.org/wp-admin/post.php?post=4494&amp;action=edit" TargetMode="External" Id="rId186"/><Relationship Type="http://schemas.openxmlformats.org/officeDocument/2006/relationships/hyperlink" Target="#AEO!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https://africanmarketingconfederation.org/wp-admin/post.php?post=5619&amp;action=edit" TargetMode="External" Id="rId189"/><Relationship Type="http://schemas.openxmlformats.org/officeDocument/2006/relationships/hyperlink" Target="#AEO!A1" TargetMode="External" Id="rId190"/><Relationship Type="http://schemas.openxmlformats.org/officeDocument/2006/relationships/hyperlink" Target="https://africanmarketingconfederation.org/amc-conference-2022-thank-you" TargetMode="External" Id="rId191"/><Relationship Type="http://schemas.openxmlformats.org/officeDocument/2006/relationships/hyperlink" Target="https://africanmarketingconfederation.org/wp-admin/post.php?post=4941&amp;action=edit" TargetMode="External" Id="rId192"/><Relationship Type="http://schemas.openxmlformats.org/officeDocument/2006/relationships/hyperlink" Target="#AEO!A1" TargetMode="External" Id="rId193"/><Relationship Type="http://schemas.openxmlformats.org/officeDocument/2006/relationships/hyperlink" Target="https://africanmarketingconfederation.org/amc-conference-2023" TargetMode="External" Id="rId194"/><Relationship Type="http://schemas.openxmlformats.org/officeDocument/2006/relationships/hyperlink" Target="https://africanmarketingconfederation.org/wp-admin/post.php?post=12371&amp;action=edit"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amc-conference-2023/amc-awards" TargetMode="External" Id="rId197"/><Relationship Type="http://schemas.openxmlformats.org/officeDocument/2006/relationships/hyperlink" Target="https://africanmarketingconfederation.org/wp-admin/post.php?post=12954&amp;action=edit" TargetMode="External" Id="rId198"/><Relationship Type="http://schemas.openxmlformats.org/officeDocument/2006/relationships/hyperlink" Target="#AEO!A1" TargetMode="External" Id="rId199"/><Relationship Type="http://schemas.openxmlformats.org/officeDocument/2006/relationships/hyperlink" Target="https://africanmarketingconfederation.org/amc-conference-2023/amc-awards-book-now" TargetMode="External" Id="rId200"/><Relationship Type="http://schemas.openxmlformats.org/officeDocument/2006/relationships/hyperlink" Target="https://africanmarketingconfederation.org/wp-admin/post.php?post=13164&amp;action=edit" TargetMode="External" Id="rId201"/><Relationship Type="http://schemas.openxmlformats.org/officeDocument/2006/relationships/hyperlink" Target="#AEO!A1" TargetMode="External" Id="rId202"/><Relationship Type="http://schemas.openxmlformats.org/officeDocument/2006/relationships/hyperlink" Target="https://africanmarketingconfederation.org/" TargetMode="External" Id="rId203"/><Relationship Type="http://schemas.openxmlformats.org/officeDocument/2006/relationships/hyperlink" Target="https://africanmarketingconfederation.org/wp-admin/post.php?post=8&amp;action=edit"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 TargetMode="External" Id="rId206"/><Relationship Type="http://schemas.openxmlformats.org/officeDocument/2006/relationships/hyperlink" Target="https://africanmarketingconfederation.org/wp-admin/post.php?post=8&amp;action=edit"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about-us" TargetMode="External" Id="rId209"/><Relationship Type="http://schemas.openxmlformats.org/officeDocument/2006/relationships/hyperlink" Target="https://africanmarketingconfederation.org/wp-admin/post.php?post=84&amp;action=edit"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african-marketing-confederation-tourism-chapter" TargetMode="External" Id="rId212"/><Relationship Type="http://schemas.openxmlformats.org/officeDocument/2006/relationships/hyperlink" Target="https://africanmarketingconfederation.org/wp-admin/post.php?post=28165&amp;action=edit" TargetMode="External" Id="rId213"/><Relationship Type="http://schemas.openxmlformats.org/officeDocument/2006/relationships/hyperlink" Target="#Content!A1" TargetMode="External" Id="rId214"/><Relationship Type="http://schemas.openxmlformats.org/officeDocument/2006/relationships/hyperlink" Target="https://africanmarketingconfederation.org/african-marketing-confederation-tourism-chapter" TargetMode="External" Id="rId215"/><Relationship Type="http://schemas.openxmlformats.org/officeDocument/2006/relationships/hyperlink" Target="https://africanmarketingconfederation.org/wp-admin/post.php?post=28165&amp;action=edit" TargetMode="External" Id="rId216"/><Relationship Type="http://schemas.openxmlformats.org/officeDocument/2006/relationships/hyperlink" Target="#AEO!A1" TargetMode="External" Id="rId217"/><Relationship Type="http://schemas.openxmlformats.org/officeDocument/2006/relationships/hyperlink" Target="https://africanmarketingconfederation.org/amc-awards-2024" TargetMode="External" Id="rId218"/><Relationship Type="http://schemas.openxmlformats.org/officeDocument/2006/relationships/hyperlink" Target="https://africanmarketingconfederation.org/wp-admin/post.php?post=16125&amp;action=edit" TargetMode="External" Id="rId219"/><Relationship Type="http://schemas.openxmlformats.org/officeDocument/2006/relationships/hyperlink" Target="#Content!A1" TargetMode="External" Id="rId220"/><Relationship Type="http://schemas.openxmlformats.org/officeDocument/2006/relationships/hyperlink" Target="https://africanmarketingconfederation.org/amc-awards-2024" TargetMode="External" Id="rId221"/><Relationship Type="http://schemas.openxmlformats.org/officeDocument/2006/relationships/hyperlink" Target="https://africanmarketingconfederation.org/wp-admin/post.php?post=16125&amp;action=edit"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amc-conference-2022" TargetMode="External" Id="rId224"/><Relationship Type="http://schemas.openxmlformats.org/officeDocument/2006/relationships/hyperlink" Target="https://africanmarketingconfederation.org/wp-admin/post.php?post=4494&amp;action=edit" TargetMode="External" Id="rId225"/><Relationship Type="http://schemas.openxmlformats.org/officeDocument/2006/relationships/hyperlink" Target="#AEO!A1" TargetMode="External" Id="rId226"/><Relationship Type="http://schemas.openxmlformats.org/officeDocument/2006/relationships/hyperlink" Target="https://africanmarketingconfederation.org/amc-conference-2022-prospectus" TargetMode="External" Id="rId227"/><Relationship Type="http://schemas.openxmlformats.org/officeDocument/2006/relationships/hyperlink" Target="https://africanmarketingconfederation.org/wp-admin/post.php?post=5619&amp;action=edit" TargetMode="External" Id="rId228"/><Relationship Type="http://schemas.openxmlformats.org/officeDocument/2006/relationships/hyperlink" Target="#AEO!A1" TargetMode="External" Id="rId229"/><Relationship Type="http://schemas.openxmlformats.org/officeDocument/2006/relationships/hyperlink" Target="https://africanmarketingconfederation.org/amc-conference-2022-thank-you" TargetMode="External" Id="rId230"/><Relationship Type="http://schemas.openxmlformats.org/officeDocument/2006/relationships/hyperlink" Target="https://africanmarketingconfederation.org/wp-admin/post.php?post=4941&amp;action=edit" TargetMode="External" Id="rId231"/><Relationship Type="http://schemas.openxmlformats.org/officeDocument/2006/relationships/hyperlink" Target="#AEO!A1" TargetMode="External" Id="rId232"/><Relationship Type="http://schemas.openxmlformats.org/officeDocument/2006/relationships/hyperlink" Target="https://africanmarketingconfederation.org/amc-conference-2023" TargetMode="External" Id="rId233"/><Relationship Type="http://schemas.openxmlformats.org/officeDocument/2006/relationships/hyperlink" Target="https://africanmarketingconfederation.org/wp-admin/post.php?post=12371&amp;action=edit"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mc-conference-2023/amc-awards" TargetMode="External" Id="rId236"/><Relationship Type="http://schemas.openxmlformats.org/officeDocument/2006/relationships/hyperlink" Target="https://africanmarketingconfederation.org/wp-admin/post.php?post=12954&amp;action=edit"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mc-conference-2023/amc-awards-book-now" TargetMode="External" Id="rId239"/><Relationship Type="http://schemas.openxmlformats.org/officeDocument/2006/relationships/hyperlink" Target="https://africanmarketingconfederation.org/wp-admin/post.php?post=13164&amp;action=edit" TargetMode="External" Id="rId240"/><Relationship Type="http://schemas.openxmlformats.org/officeDocument/2006/relationships/hyperlink" Target="#AEO!A1" TargetMode="External" Id="rId241"/><Relationship Type="http://schemas.openxmlformats.org/officeDocument/2006/relationships/hyperlink" Target="https://africanmarketingconfederation.org/" TargetMode="External" Id="rId242"/><Relationship Type="http://schemas.openxmlformats.org/officeDocument/2006/relationships/hyperlink" Target="https://africanmarketingconfederation.org/wp-admin/post.php?post=8&amp;action=edit" TargetMode="External" Id="rId243"/><Relationship Type="http://schemas.openxmlformats.org/officeDocument/2006/relationships/hyperlink" Target="#AEO!A1" TargetMode="External" Id="rId244"/><Relationship Type="http://schemas.openxmlformats.org/officeDocument/2006/relationships/hyperlink" Target="https://africanmarketingconfederation.org/about-us" TargetMode="External" Id="rId245"/><Relationship Type="http://schemas.openxmlformats.org/officeDocument/2006/relationships/hyperlink" Target="https://africanmarketingconfederation.org/wp-admin/post.php?post=84&amp;action=edit" TargetMode="External" Id="rId246"/><Relationship Type="http://schemas.openxmlformats.org/officeDocument/2006/relationships/hyperlink" Target="#AEO!A1" TargetMode="External" Id="rId247"/><Relationship Type="http://schemas.openxmlformats.org/officeDocument/2006/relationships/hyperlink" Target="https://africanmarketingconfederation.org/african-marketing-confederation-tourism-chapter" TargetMode="External" Id="rId248"/><Relationship Type="http://schemas.openxmlformats.org/officeDocument/2006/relationships/hyperlink" Target="https://africanmarketingconfederation.org/wp-admin/post.php?post=28165&amp;action=edit" TargetMode="External" Id="rId249"/><Relationship Type="http://schemas.openxmlformats.org/officeDocument/2006/relationships/hyperlink" Target="#AEO!A1" TargetMode="External" Id="rId250"/><Relationship Type="http://schemas.openxmlformats.org/officeDocument/2006/relationships/hyperlink" Target="https://africanmarketingconfederation.org/amc-awards-2024" TargetMode="External" Id="rId251"/><Relationship Type="http://schemas.openxmlformats.org/officeDocument/2006/relationships/hyperlink" Target="https://africanmarketingconfederation.org/wp-admin/post.php?post=16125&amp;action=edit" TargetMode="External" Id="rId252"/><Relationship Type="http://schemas.openxmlformats.org/officeDocument/2006/relationships/hyperlink" Target="#AEO!A1" TargetMode="External" Id="rId253"/><Relationship Type="http://schemas.openxmlformats.org/officeDocument/2006/relationships/hyperlink" Target="https://africanmarketingconfederation.org/amc-conference-2022" TargetMode="External" Id="rId254"/><Relationship Type="http://schemas.openxmlformats.org/officeDocument/2006/relationships/hyperlink" Target="https://africanmarketingconfederation.org/wp-admin/post.php?post=4494&amp;action=edit" TargetMode="External" Id="rId255"/><Relationship Type="http://schemas.openxmlformats.org/officeDocument/2006/relationships/hyperlink" Target="#AEO!A1" TargetMode="External" Id="rId256"/><Relationship Type="http://schemas.openxmlformats.org/officeDocument/2006/relationships/hyperlink" Target="https://africanmarketingconfederation.org/amc-conference-2022-prospectus" TargetMode="External" Id="rId257"/><Relationship Type="http://schemas.openxmlformats.org/officeDocument/2006/relationships/hyperlink" Target="https://africanmarketingconfederation.org/wp-admin/post.php?post=5619&amp;action=edit" TargetMode="External" Id="rId258"/><Relationship Type="http://schemas.openxmlformats.org/officeDocument/2006/relationships/hyperlink" Target="#AEO!A1" TargetMode="External" Id="rId259"/><Relationship Type="http://schemas.openxmlformats.org/officeDocument/2006/relationships/hyperlink" Target="https://africanmarketingconfederation.org/amc-conference-2022-thank-you" TargetMode="External" Id="rId260"/><Relationship Type="http://schemas.openxmlformats.org/officeDocument/2006/relationships/hyperlink" Target="https://africanmarketingconfederation.org/wp-admin/post.php?post=4941&amp;action=edit" TargetMode="External" Id="rId261"/><Relationship Type="http://schemas.openxmlformats.org/officeDocument/2006/relationships/hyperlink" Target="#AEO!A1" TargetMode="External" Id="rId262"/><Relationship Type="http://schemas.openxmlformats.org/officeDocument/2006/relationships/hyperlink" Target="https://africanmarketingconfederation.org/amc-conference-2023" TargetMode="External" Id="rId263"/><Relationship Type="http://schemas.openxmlformats.org/officeDocument/2006/relationships/hyperlink" Target="https://africanmarketingconfederation.org/wp-admin/post.php?post=12371&amp;action=edit" TargetMode="External" Id="rId264"/><Relationship Type="http://schemas.openxmlformats.org/officeDocument/2006/relationships/hyperlink" Target="#AEO!A1" TargetMode="External" Id="rId265"/><Relationship Type="http://schemas.openxmlformats.org/officeDocument/2006/relationships/hyperlink" Target="https://africanmarketingconfederation.org/amc-conference-2023/amc-awards" TargetMode="External" Id="rId266"/><Relationship Type="http://schemas.openxmlformats.org/officeDocument/2006/relationships/hyperlink" Target="https://africanmarketingconfederation.org/wp-admin/post.php?post=12954&amp;action=edit" TargetMode="External" Id="rId267"/><Relationship Type="http://schemas.openxmlformats.org/officeDocument/2006/relationships/hyperlink" Target="#AEO!A1" TargetMode="External" Id="rId268"/><Relationship Type="http://schemas.openxmlformats.org/officeDocument/2006/relationships/hyperlink" Target="https://africanmarketingconfederation.org/amc-conference-2023/amc-awards-book-now" TargetMode="External" Id="rId269"/><Relationship Type="http://schemas.openxmlformats.org/officeDocument/2006/relationships/hyperlink" Target="https://africanmarketingconfederation.org/wp-admin/post.php?post=13164&amp;action=edit" TargetMode="External" Id="rId270"/><Relationship Type="http://schemas.openxmlformats.org/officeDocument/2006/relationships/hyperlink" Target="#AEO!A1" TargetMode="External" Id="rId271"/><Relationship Type="http://schemas.openxmlformats.org/officeDocument/2006/relationships/hyperlink" Target="https://africanmarketingconfederation.org/" TargetMode="External" Id="rId272"/><Relationship Type="http://schemas.openxmlformats.org/officeDocument/2006/relationships/hyperlink" Target="https://africanmarketingconfederation.org/wp-admin/post.php?post=8&amp;action=edit" TargetMode="External" Id="rId273"/><Relationship Type="http://schemas.openxmlformats.org/officeDocument/2006/relationships/hyperlink" Target="#Main!A1" TargetMode="External" Id="rId274"/><Relationship Type="http://schemas.openxmlformats.org/officeDocument/2006/relationships/hyperlink" Target="https://africanmarketingconfederation.org/about-us" TargetMode="External" Id="rId275"/><Relationship Type="http://schemas.openxmlformats.org/officeDocument/2006/relationships/hyperlink" Target="https://africanmarketingconfederation.org/wp-admin/post.php?post=84&amp;action=edit" TargetMode="External" Id="rId276"/><Relationship Type="http://schemas.openxmlformats.org/officeDocument/2006/relationships/hyperlink" Target="#Main!A1" TargetMode="External" Id="rId277"/><Relationship Type="http://schemas.openxmlformats.org/officeDocument/2006/relationships/hyperlink" Target="https://africanmarketingconfederation.org/african-marketing-confederation-tourism-chapter" TargetMode="External" Id="rId278"/><Relationship Type="http://schemas.openxmlformats.org/officeDocument/2006/relationships/hyperlink" Target="https://africanmarketingconfederation.org/wp-admin/post.php?post=28165&amp;action=edit" TargetMode="External" Id="rId279"/><Relationship Type="http://schemas.openxmlformats.org/officeDocument/2006/relationships/hyperlink" Target="#Main!A1" TargetMode="External" Id="rId280"/><Relationship Type="http://schemas.openxmlformats.org/officeDocument/2006/relationships/hyperlink" Target="https://africanmarketingconfederation.org/amc-conference-2022-prospectus" TargetMode="External" Id="rId281"/><Relationship Type="http://schemas.openxmlformats.org/officeDocument/2006/relationships/hyperlink" Target="https://africanmarketingconfederation.org/wp-admin/post.php?post=5619&amp;action=edit" TargetMode="External" Id="rId282"/><Relationship Type="http://schemas.openxmlformats.org/officeDocument/2006/relationships/hyperlink" Target="#Main!A1" TargetMode="External" Id="rId283"/><Relationship Type="http://schemas.openxmlformats.org/officeDocument/2006/relationships/hyperlink" Target="https://africanmarketingconfederation.org/amc-conference-2022-thank-you" TargetMode="External" Id="rId284"/><Relationship Type="http://schemas.openxmlformats.org/officeDocument/2006/relationships/hyperlink" Target="https://africanmarketingconfederation.org/wp-admin/post.php?post=4941&amp;action=edit" TargetMode="External" Id="rId285"/><Relationship Type="http://schemas.openxmlformats.org/officeDocument/2006/relationships/hyperlink" Target="#Main!A1" TargetMode="External" Id="rId286"/></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20" TargetMode="External" Id="rId2"/><Relationship Type="http://schemas.openxmlformats.org/officeDocument/2006/relationships/hyperlink" Target="#AEO!A1" TargetMode="External" Id="rId3"/><Relationship Type="http://schemas.openxmlformats.org/officeDocument/2006/relationships/hyperlink" Target="#FixPlan!A14" TargetMode="External" Id="rId4"/><Relationship Type="http://schemas.openxmlformats.org/officeDocument/2006/relationships/hyperlink" Target="#AEO!A1" TargetMode="External" Id="rId5"/><Relationship Type="http://schemas.openxmlformats.org/officeDocument/2006/relationships/hyperlink" Target="#FixPlan!A30" TargetMode="External" Id="rId6"/><Relationship Type="http://schemas.openxmlformats.org/officeDocument/2006/relationships/hyperlink" Target="#AEO!A1" TargetMode="External" Id="rId7"/><Relationship Type="http://schemas.openxmlformats.org/officeDocument/2006/relationships/hyperlink" Target="#FixPlan!A29" TargetMode="External" Id="rId8"/><Relationship Type="http://schemas.openxmlformats.org/officeDocument/2006/relationships/hyperlink" Target="#AEO!A1" TargetMode="External" Id="rId9"/><Relationship Type="http://schemas.openxmlformats.org/officeDocument/2006/relationships/hyperlink" Target="#FixPlan!A28" TargetMode="External" Id="rId10"/><Relationship Type="http://schemas.openxmlformats.org/officeDocument/2006/relationships/hyperlink" Target="#AEO!A1" TargetMode="External" Id="rId11"/><Relationship Type="http://schemas.openxmlformats.org/officeDocument/2006/relationships/hyperlink" Target="#FixPlan!A8" TargetMode="External" Id="rId12"/><Relationship Type="http://schemas.openxmlformats.org/officeDocument/2006/relationships/hyperlink" Target="#Links!A1" TargetMode="External" Id="rId13"/><Relationship Type="http://schemas.openxmlformats.org/officeDocument/2006/relationships/hyperlink" Target="#FixPlan!A7" TargetMode="External" Id="rId14"/><Relationship Type="http://schemas.openxmlformats.org/officeDocument/2006/relationships/hyperlink" Target="#Technical!A1" TargetMode="External" Id="rId15"/><Relationship Type="http://schemas.openxmlformats.org/officeDocument/2006/relationships/hyperlink" Target="#FixPlan!A5" TargetMode="External" Id="rId16"/><Relationship Type="http://schemas.openxmlformats.org/officeDocument/2006/relationships/hyperlink" Target="#Indexability!A1" TargetMode="External" Id="rId17"/><Relationship Type="http://schemas.openxmlformats.org/officeDocument/2006/relationships/hyperlink" Target="#FixPlan!A3" TargetMode="External" Id="rId18"/><Relationship Type="http://schemas.openxmlformats.org/officeDocument/2006/relationships/hyperlink" Target="#Technical!A1" TargetMode="External" Id="rId19"/><Relationship Type="http://schemas.openxmlformats.org/officeDocument/2006/relationships/hyperlink" Target="#FixPlan!A4" TargetMode="External" Id="rId20"/><Relationship Type="http://schemas.openxmlformats.org/officeDocument/2006/relationships/hyperlink" Target="#Indexability!A1" TargetMode="External" Id="rId21"/><Relationship Type="http://schemas.openxmlformats.org/officeDocument/2006/relationships/hyperlink" Target="#FixPlan!A2" TargetMode="External" Id="rId22"/><Relationship Type="http://schemas.openxmlformats.org/officeDocument/2006/relationships/hyperlink" Target="#Technical!A1" TargetMode="External" Id="rId23"/><Relationship Type="http://schemas.openxmlformats.org/officeDocument/2006/relationships/hyperlink" Target="#FixPlan!A6" TargetMode="External" Id="rId24"/><Relationship Type="http://schemas.openxmlformats.org/officeDocument/2006/relationships/hyperlink" Target="#Technical!A1" TargetMode="External" Id="rId25"/><Relationship Type="http://schemas.openxmlformats.org/officeDocument/2006/relationships/hyperlink" Target="#FixPlan!A20" TargetMode="External" Id="rId26"/><Relationship Type="http://schemas.openxmlformats.org/officeDocument/2006/relationships/hyperlink" Target="#AEO!A1" TargetMode="External" Id="rId27"/><Relationship Type="http://schemas.openxmlformats.org/officeDocument/2006/relationships/hyperlink" Target="#FixPlan!A16" TargetMode="External" Id="rId28"/><Relationship Type="http://schemas.openxmlformats.org/officeDocument/2006/relationships/hyperlink" Target="#Technical!A1" TargetMode="External" Id="rId29"/><Relationship Type="http://schemas.openxmlformats.org/officeDocument/2006/relationships/hyperlink" Target="#FixPlan!A11" TargetMode="External" Id="rId30"/><Relationship Type="http://schemas.openxmlformats.org/officeDocument/2006/relationships/hyperlink" Target="#Technical!A1" TargetMode="External" Id="rId31"/><Relationship Type="http://schemas.openxmlformats.org/officeDocument/2006/relationships/hyperlink" Target="#FixPlan!A12"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Technical!A1" TargetMode="External" Id="rId35"/><Relationship Type="http://schemas.openxmlformats.org/officeDocument/2006/relationships/hyperlink" Target="#FixPlan!A13" TargetMode="External" Id="rId36"/><Relationship Type="http://schemas.openxmlformats.org/officeDocument/2006/relationships/hyperlink" Target="#Technical!A1" TargetMode="External" Id="rId37"/><Relationship Type="http://schemas.openxmlformats.org/officeDocument/2006/relationships/hyperlink" Target="#FixPlan!A18" TargetMode="External" Id="rId38"/><Relationship Type="http://schemas.openxmlformats.org/officeDocument/2006/relationships/hyperlink" Target="#Indexability!A1" TargetMode="External" Id="rId39"/><Relationship Type="http://schemas.openxmlformats.org/officeDocument/2006/relationships/hyperlink" Target="#FixPlan!A15" TargetMode="External" Id="rId40"/><Relationship Type="http://schemas.openxmlformats.org/officeDocument/2006/relationships/hyperlink" Target="#Technical!A1" TargetMode="External" Id="rId41"/><Relationship Type="http://schemas.openxmlformats.org/officeDocument/2006/relationships/hyperlink" Target="#FixPlan!A19" TargetMode="External" Id="rId42"/><Relationship Type="http://schemas.openxmlformats.org/officeDocument/2006/relationships/hyperlink" Target="#Technical!A1" TargetMode="External" Id="rId43"/><Relationship Type="http://schemas.openxmlformats.org/officeDocument/2006/relationships/hyperlink" Target="#FixPlan!A14" TargetMode="External" Id="rId44"/><Relationship Type="http://schemas.openxmlformats.org/officeDocument/2006/relationships/hyperlink" Target="#AEO!A1" TargetMode="External" Id="rId45"/><Relationship Type="http://schemas.openxmlformats.org/officeDocument/2006/relationships/hyperlink" Target="#FixPlan!A17" TargetMode="External" Id="rId46"/><Relationship Type="http://schemas.openxmlformats.org/officeDocument/2006/relationships/hyperlink" Target="#Technical!A1" TargetMode="External" Id="rId47"/><Relationship Type="http://schemas.openxmlformats.org/officeDocument/2006/relationships/hyperlink" Target="#FixPlan!A9" TargetMode="External" Id="rId48"/><Relationship Type="http://schemas.openxmlformats.org/officeDocument/2006/relationships/hyperlink" Target="#Technical!A1" TargetMode="External" Id="rId49"/><Relationship Type="http://schemas.openxmlformats.org/officeDocument/2006/relationships/hyperlink" Target="#FixPlan!A35" TargetMode="External" Id="rId50"/><Relationship Type="http://schemas.openxmlformats.org/officeDocument/2006/relationships/hyperlink" Target="#Technical!A1" TargetMode="External" Id="rId51"/><Relationship Type="http://schemas.openxmlformats.org/officeDocument/2006/relationships/hyperlink" Target="#FixPlan!A30" TargetMode="External" Id="rId52"/><Relationship Type="http://schemas.openxmlformats.org/officeDocument/2006/relationships/hyperlink" Target="#Technical!A1" TargetMode="External" Id="rId53"/><Relationship Type="http://schemas.openxmlformats.org/officeDocument/2006/relationships/hyperlink" Target="#FixPlan!A29" TargetMode="External" Id="rId54"/><Relationship Type="http://schemas.openxmlformats.org/officeDocument/2006/relationships/hyperlink" Target="#Technical!A1" TargetMode="External" Id="rId55"/><Relationship Type="http://schemas.openxmlformats.org/officeDocument/2006/relationships/hyperlink" Target="#FixPlan!A26" TargetMode="External" Id="rId56"/><Relationship Type="http://schemas.openxmlformats.org/officeDocument/2006/relationships/hyperlink" Target="#Technical!A1" TargetMode="External" Id="rId57"/><Relationship Type="http://schemas.openxmlformats.org/officeDocument/2006/relationships/hyperlink" Target="#FixPlan!A28" TargetMode="External" Id="rId58"/><Relationship Type="http://schemas.openxmlformats.org/officeDocument/2006/relationships/hyperlink" Target="#AEO!A1" TargetMode="External" Id="rId59"/><Relationship Type="http://schemas.openxmlformats.org/officeDocument/2006/relationships/hyperlink" Target="#FixPlan!A27" TargetMode="External" Id="rId60"/><Relationship Type="http://schemas.openxmlformats.org/officeDocument/2006/relationships/hyperlink" Target="#Technical!A1" TargetMode="External" Id="rId61"/><Relationship Type="http://schemas.openxmlformats.org/officeDocument/2006/relationships/hyperlink" Target="#FixPlan!A22" TargetMode="External" Id="rId62"/><Relationship Type="http://schemas.openxmlformats.org/officeDocument/2006/relationships/hyperlink" Target="#Technical!A1" TargetMode="External" Id="rId63"/><Relationship Type="http://schemas.openxmlformats.org/officeDocument/2006/relationships/hyperlink" Target="#FixPlan!A32" TargetMode="External" Id="rId64"/><Relationship Type="http://schemas.openxmlformats.org/officeDocument/2006/relationships/hyperlink" Target="#Technical!A1" TargetMode="External" Id="rId65"/><Relationship Type="http://schemas.openxmlformats.org/officeDocument/2006/relationships/hyperlink" Target="#FixPlan!A31" TargetMode="External" Id="rId66"/><Relationship Type="http://schemas.openxmlformats.org/officeDocument/2006/relationships/hyperlink" Target="#Technical!A1" TargetMode="External" Id="rId67"/><Relationship Type="http://schemas.openxmlformats.org/officeDocument/2006/relationships/hyperlink" Target="#FixPlan!A23" TargetMode="External" Id="rId68"/><Relationship Type="http://schemas.openxmlformats.org/officeDocument/2006/relationships/hyperlink" Target="#Technical!A1" TargetMode="External" Id="rId69"/><Relationship Type="http://schemas.openxmlformats.org/officeDocument/2006/relationships/hyperlink" Target="#FixPlan!A33" TargetMode="External" Id="rId70"/><Relationship Type="http://schemas.openxmlformats.org/officeDocument/2006/relationships/hyperlink" Target="#Technical!A1" TargetMode="External" Id="rId71"/><Relationship Type="http://schemas.openxmlformats.org/officeDocument/2006/relationships/hyperlink" Target="#FixPlan!A25" TargetMode="External" Id="rId72"/><Relationship Type="http://schemas.openxmlformats.org/officeDocument/2006/relationships/hyperlink" Target="#Technical!A1" TargetMode="External" Id="rId73"/><Relationship Type="http://schemas.openxmlformats.org/officeDocument/2006/relationships/hyperlink" Target="#FixPlan!A24" TargetMode="External" Id="rId74"/><Relationship Type="http://schemas.openxmlformats.org/officeDocument/2006/relationships/hyperlink" Target="#Technical!A1" TargetMode="External" Id="rId75"/><Relationship Type="http://schemas.openxmlformats.org/officeDocument/2006/relationships/hyperlink" Target="#FixPlan!A21" TargetMode="External" Id="rId76"/><Relationship Type="http://schemas.openxmlformats.org/officeDocument/2006/relationships/hyperlink" Target="#Technical!A1" TargetMode="External" Id="rId77"/><Relationship Type="http://schemas.openxmlformats.org/officeDocument/2006/relationships/hyperlink" Target="#FixPlan!A34" TargetMode="External" Id="rId78"/><Relationship Type="http://schemas.openxmlformats.org/officeDocument/2006/relationships/hyperlink" Target="#Technical!A1" TargetMode="External" Id="rId79"/><Relationship Type="http://schemas.openxmlformats.org/officeDocument/2006/relationships/hyperlink" Target="#Pattern and Template Issues!A1" TargetMode="External" Id="rId80"/><Relationship Type="http://schemas.openxmlformats.org/officeDocument/2006/relationships/hyperlink" Target="#Pattern and Template Issues!A1" TargetMode="External" Id="rId81"/><Relationship Type="http://schemas.openxmlformats.org/officeDocument/2006/relationships/hyperlink" Target="#Pattern and Template Issues!A1" TargetMode="External" Id="rId82"/><Relationship Type="http://schemas.openxmlformats.org/officeDocument/2006/relationships/hyperlink" Target="#Pattern and Template Issues!A1" TargetMode="External" Id="rId83"/><Relationship Type="http://schemas.openxmlformats.org/officeDocument/2006/relationships/hyperlink" Target="#Pattern and Template Issues!A1" TargetMode="External" Id="rId84"/><Relationship Type="http://schemas.openxmlformats.org/officeDocument/2006/relationships/hyperlink" Target="#Pattern and Template Issues!A1" TargetMode="External" Id="rId85"/><Relationship Type="http://schemas.openxmlformats.org/officeDocument/2006/relationships/hyperlink" Target="#Pattern and Template Issues!A1" TargetMode="External" Id="rId86"/><Relationship Type="http://schemas.openxmlformats.org/officeDocument/2006/relationships/hyperlink" Target="#Pattern and Template Issues!A1" TargetMode="External" Id="rId87"/></Relationships>
</file>

<file path=xl/worksheets/_rels/sheet18.xml.rels><Relationships xmlns="http://schemas.openxmlformats.org/package/2006/relationships"><Relationship Type="http://schemas.openxmlformats.org/officeDocument/2006/relationships/hyperlink" Target="#Dashboard!A1" TargetMode="External" Id="rId1"/></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Technical!A1" TargetMode="External" Id="rId3"/><Relationship Type="http://schemas.openxmlformats.org/officeDocument/2006/relationships/hyperlink" Target="https://africanmarketingconfederation.org/" TargetMode="External" Id="rId4"/><Relationship Type="http://schemas.openxmlformats.org/officeDocument/2006/relationships/hyperlink" Target="#Technical!A1"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amc-awards-2024" TargetMode="External" Id="rId8"/><Relationship Type="http://schemas.openxmlformats.org/officeDocument/2006/relationships/hyperlink" Target="#Technical!A1" TargetMode="External" Id="rId9"/><Relationship Type="http://schemas.openxmlformats.org/officeDocument/2006/relationships/hyperlink" Target="https://africanmarketingconfederation.org/amc-conference-2022-prospectus" TargetMode="External" Id="rId10"/><Relationship Type="http://schemas.openxmlformats.org/officeDocument/2006/relationships/hyperlink" Target="#Technical!A1" TargetMode="External" Id="rId11"/><Relationship Type="http://schemas.openxmlformats.org/officeDocument/2006/relationships/hyperlink" Target="https://africanmarketingconfederation.org/amc-conference-2022-thank-you"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amc-conference-2022" TargetMode="External" Id="rId14"/><Relationship Type="http://schemas.openxmlformats.org/officeDocument/2006/relationships/hyperlink" Target="#Technical!A1" TargetMode="External" Id="rId15"/><Relationship Type="http://schemas.openxmlformats.org/officeDocument/2006/relationships/hyperlink" Target="https://africanmarketingconfederation.org/amc-conference-2023" TargetMode="External" Id="rId16"/><Relationship Type="http://schemas.openxmlformats.org/officeDocument/2006/relationships/hyperlink" Target="#Technical!A1" TargetMode="External" Id="rId17"/><Relationship Type="http://schemas.openxmlformats.org/officeDocument/2006/relationships/hyperlink" Target="https://africanmarketingconfederation.org/amc-conference-2023/amc-awards-book-now" TargetMode="External" Id="rId18"/><Relationship Type="http://schemas.openxmlformats.org/officeDocument/2006/relationships/hyperlink" Target="#Technical!A1" TargetMode="External" Id="rId19"/><Relationship Type="http://schemas.openxmlformats.org/officeDocument/2006/relationships/hyperlink" Target="https://africanmarketingconfederation.org/amc-conference-2023/amc-awards" TargetMode="External" Id="rId20"/><Relationship Type="http://schemas.openxmlformats.org/officeDocument/2006/relationships/hyperlink" Target="#Technical!A1" TargetMode="External" Id="rId21"/></Relationships>
</file>

<file path=xl/worksheets/_rels/sheet2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_rels/sheet27.xml.rels><Relationships xmlns="http://schemas.openxmlformats.org/package/2006/relationships"><Relationship Type="http://schemas.openxmlformats.org/officeDocument/2006/relationships/hyperlink" Target="#Dashboard!A1" TargetMode="External" Id="rId1"/></Relationships>
</file>

<file path=xl/worksheets/_rels/sheet28.xml.rels><Relationships xmlns="http://schemas.openxmlformats.org/package/2006/relationships"><Relationship Type="http://schemas.openxmlformats.org/officeDocument/2006/relationships/hyperlink" Target="#Dashboard!A1" TargetMode="External" Id="rId1"/></Relationships>
</file>

<file path=xl/worksheets/_rels/sheet29.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C30"/>
  <sheetViews>
    <sheetView workbookViewId="0"/>
  </sheetViews>
  <sheetFormatPr baseColWidth="8" defaultRowHeight="15"/>
  <sheetData>
    <row r="1">
      <c r="A1" s="1" t="inlineStr">
        <is>
          <t>Table of Contents</t>
        </is>
      </c>
      <c r="B1" s="1" t="inlineStr">
        <is>
          <t>Unnamed: 1</t>
        </is>
      </c>
      <c r="C1" s="1" t="inlineStr">
        <is>
          <t>Unnamed: 2</t>
        </is>
      </c>
    </row>
    <row r="2">
      <c r="A2" t="inlineStr">
        <is>
          <t>Section</t>
        </is>
      </c>
      <c r="B2" t="inlineStr">
        <is>
          <t>Open</t>
        </is>
      </c>
      <c r="C2" t="inlineStr">
        <is>
          <t>Description</t>
        </is>
      </c>
    </row>
    <row r="3">
      <c r="A3" t="inlineStr">
        <is>
          <t>Dashboard</t>
        </is>
      </c>
      <c r="B3" t="inlineStr">
        <is>
          <t>Open</t>
        </is>
      </c>
      <c r="C3" t="inlineStr">
        <is>
          <t>Primary columns: Executive SEO &amp; AEO Performance Report, Unnamed: 1, Unnamed: 2, Unnamed: 3, Unnamed: 4, Unnamed: 5, Unnamed: 6, Unnamed: 7, Unnamed: 8, Unnamed: 9</t>
        </is>
      </c>
    </row>
    <row r="4">
      <c r="A4" t="inlineStr">
        <is>
          <t>Content Optimization Hub</t>
        </is>
      </c>
      <c r="B4" t="inlineStr">
        <is>
          <t>Open</t>
        </is>
      </c>
      <c r="C4" t="inlineStr">
        <is>
          <t>Primary columns: CONTENT HUB INSTRUCTIONS: 1. Draft in 'Proposed' columns. | 2. Watch 'Count' for Green. | 3. Click 'Elementor' link. | 4. Mark 'Status' as 'Completed'. | NOTE: If images show '#BLOCKED!', click the 'Sec…</t>
        </is>
      </c>
    </row>
    <row r="5">
      <c r="A5" t="inlineStr">
        <is>
          <t>Quick Reference Guide</t>
        </is>
      </c>
      <c r="B5" t="inlineStr">
        <is>
          <t>Open</t>
        </is>
      </c>
      <c r="C5" t="inlineStr">
        <is>
          <t>Primary columns: Section, Item, Guideline, Why It Matters, BACK TO DASHBOARD, BACK TO DASHBOARD_1</t>
        </is>
      </c>
    </row>
    <row r="6">
      <c r="A6" t="inlineStr">
        <is>
          <t>FixPlan</t>
        </is>
      </c>
      <c r="B6" t="inlineStr">
        <is>
          <t>Open</t>
        </is>
      </c>
      <c r="C6" t="inlineStr">
        <is>
          <t>Primary columns: Issue Type, Severity, Priority Score, Affected Count, Affected URLs, Detail Reference Tab, Resolution Type, URL, Recommended Fix, Likely Root Cause</t>
        </is>
      </c>
    </row>
    <row r="7">
      <c r="A7" t="inlineStr">
        <is>
          <t>Main</t>
        </is>
      </c>
      <c r="B7" t="inlineStr">
        <is>
          <t>Open</t>
        </is>
      </c>
      <c r="C7" t="inlineStr">
        <is>
          <t>Primary columns: Health Icon, URL, Status Code, Indexability, Load Time (s), Title, Meta Description, Word Count (Body), SEO Health Score, Severity Badge</t>
        </is>
      </c>
    </row>
    <row r="8">
      <c r="A8" t="inlineStr">
        <is>
          <t>Technical</t>
        </is>
      </c>
      <c r="B8" t="inlineStr">
        <is>
          <t>Open</t>
        </is>
      </c>
      <c r="C8" t="inlineStr">
        <is>
          <t>Primary columns: URL, Status Code, Status Class, SEO Health Score, Severity Badge, Action Needed, Indexability Reason, TTFB (ms), Total Request Time (ms), Final URL</t>
        </is>
      </c>
    </row>
    <row r="9">
      <c r="A9" t="inlineStr">
        <is>
          <t>PSI Performance</t>
        </is>
      </c>
      <c r="B9" t="inlineStr">
        <is>
          <t>Open</t>
        </is>
      </c>
      <c r="C9" t="inlineStr">
        <is>
          <t>Primary columns: URL, Desktop Score, Mobile Score, Mobile LCP, Mobile CLS, Mobile TTFB, Open in Main, BACK TO DASHBOARD, BACK TO DASHBOARD_1</t>
        </is>
      </c>
    </row>
    <row r="10">
      <c r="A10" t="inlineStr">
        <is>
          <t>Content</t>
        </is>
      </c>
      <c r="B10" t="inlineStr">
        <is>
          <t>Open</t>
        </is>
      </c>
      <c r="C10" t="inlineStr">
        <is>
          <t>Primary columns: URL, Word Count, Word Count Band, Readability (Rough Flesch), H1 Count, Missing H1 Flag, Multiple H1 Flag, Title Missing, Meta Description Missing, Thin Content Flag</t>
        </is>
      </c>
    </row>
    <row r="11">
      <c r="A11" t="inlineStr">
        <is>
          <t>AEO</t>
        </is>
      </c>
      <c r="B11" t="inlineStr">
        <is>
          <t>Open</t>
        </is>
      </c>
      <c r="C11" t="inlineStr">
        <is>
          <t>Primary columns: URL, AEO Readiness Score, AEO Badge, Why It Matters, FAQ Section Count, Question Heading Count, Paragraphs 40-60 Words Count, QAPage/FAQ Schema Present, Speakable Schema Present, HowTo Signal</t>
        </is>
      </c>
    </row>
    <row r="12">
      <c r="A12" t="inlineStr">
        <is>
          <t>Schema &amp; Metadata</t>
        </is>
      </c>
      <c r="B12" t="inlineStr">
        <is>
          <t>Open</t>
        </is>
      </c>
      <c r="C12" t="inlineStr">
        <is>
          <t>Primary columns: URL, Schema Types Found, Schema Types Count, Schema Parse Errors, OG Title, OG Description, OG Image, Open Graph Complete, Twitter Card Type, Open in Main</t>
        </is>
      </c>
    </row>
    <row r="13">
      <c r="A13" t="inlineStr">
        <is>
          <t>Links</t>
        </is>
      </c>
      <c r="B13" t="inlineStr">
        <is>
          <t>Open</t>
        </is>
      </c>
      <c r="C13" t="inlineStr">
        <is>
          <t>Primary columns: URL, Internal Links Count, Unique Internal Links Count, Broken Internal Links Count, Unresolved Internal Links Count, Generic Anchor Text Count, External Links Count, Nofollow Internal Links Count, Nofo…</t>
        </is>
      </c>
    </row>
    <row r="14">
      <c r="A14" t="inlineStr">
        <is>
          <t>Indexability</t>
        </is>
      </c>
      <c r="B14" t="inlineStr">
        <is>
          <t>Open</t>
        </is>
      </c>
      <c r="C14" t="inlineStr">
        <is>
          <t>Primary columns: URL, Status Code, Status Class, Indexability Reason, Canonical URL, Canonical Type, Canonical Matches Final URL, Canonical in Sitemap Match, Meta Robots Raw, X-Robots-Tag</t>
        </is>
      </c>
    </row>
    <row r="15">
      <c r="A15" t="inlineStr">
        <is>
          <t>Redirects</t>
        </is>
      </c>
      <c r="B15" t="inlineStr">
        <is>
          <t>Open</t>
        </is>
      </c>
      <c r="C15" t="inlineStr">
        <is>
          <t>Primary columns: URL, Status Code, Final URL, Redirect Chain Length, Redirect Target, Redirect Hops, HTTP-&gt;HTTPS Redirect, Redirect Loop Flag, Open in Main, BACK TO DASHBOARD</t>
        </is>
      </c>
    </row>
    <row r="16">
      <c r="A16" t="inlineStr">
        <is>
          <t>Priority URLs</t>
        </is>
      </c>
      <c r="B16" t="inlineStr">
        <is>
          <t>Open</t>
        </is>
      </c>
      <c r="C16" t="inlineStr">
        <is>
          <t>Primary columns: URL, Business Risk Score, Severity Badge, SEO Health Score, GSC Impressions, GSC CTR, Revenue Intent, Critical Issues Count, Warning Issues Count, Action Needed</t>
        </is>
      </c>
    </row>
    <row r="17">
      <c r="A17" t="inlineStr">
        <is>
          <t>AIOSEO</t>
        </is>
      </c>
      <c r="B17" t="inlineStr">
        <is>
          <t>Open</t>
        </is>
      </c>
      <c r="C17" t="inlineStr">
        <is>
          <t>Primary columns: URL, WordPress Post ID, Direct Edit Link, AIOSEO Panel, Severity, Issue, Priority Score, Current Value, Recommended Target, How to Fix in AIOSEO</t>
        </is>
      </c>
    </row>
    <row r="18">
      <c r="A18" t="inlineStr">
        <is>
          <t>Security</t>
        </is>
      </c>
      <c r="B18" t="inlineStr">
        <is>
          <t>Open</t>
        </is>
      </c>
      <c r="C18" t="inlineStr">
        <is>
          <t>Primary columns: URL, Strict-Transport-Security, Content-Security-Policy, X-Content-Type-Options, X-Frame-Options, Referrer-Policy, Permissions-Policy, Robots.txt Accessible, Sitemap in Robots.txt, Robots.txt Crawl-Delay</t>
        </is>
      </c>
    </row>
    <row r="19">
      <c r="A19" t="inlineStr">
        <is>
          <t>Summary</t>
        </is>
      </c>
      <c r="B19" t="inlineStr">
        <is>
          <t>Open</t>
        </is>
      </c>
      <c r="C19" t="inlineStr">
        <is>
          <t>Primary columns: Section, Severity, Issue, Affected URL Count, Reference Tab, Affected URLs (sample), BACK TO DASHBOARD, BACK TO DASHBOARD_1</t>
        </is>
      </c>
    </row>
    <row r="20">
      <c r="A20" t="inlineStr">
        <is>
          <t>LinksDetail</t>
        </is>
      </c>
      <c r="B20" t="inlineStr">
        <is>
          <t>Open</t>
        </is>
      </c>
      <c r="C20" t="inlineStr">
        <is>
          <t>Primary columns: Source URL, Target URL, Anchor Text, Rel, Link Type, Nofollow, Target Status (if crawled), Crawlable, BACK TO DASHBOARD, BACK TO DASHBOARD_1</t>
        </is>
      </c>
    </row>
    <row r="21">
      <c r="A21" t="inlineStr">
        <is>
          <t>Media</t>
        </is>
      </c>
      <c r="B21" t="inlineStr">
        <is>
          <t>Open</t>
        </is>
      </c>
      <c r="C21" t="inlineStr">
        <is>
          <t>Primary columns: URL, Image Count, Images, Images Missing Alt, Image Alt Coverage (%), Image Extension Distribution, Likely Large Image Count, Image Filename Quality Issues, Image On Canonical Domain (%), Mixed Content…</t>
        </is>
      </c>
    </row>
    <row r="22">
      <c r="A22" t="inlineStr">
        <is>
          <t>Pattern and Template Issues</t>
        </is>
      </c>
      <c r="B22" t="inlineStr">
        <is>
          <t>Open</t>
        </is>
      </c>
      <c r="C22" t="inlineStr">
        <is>
          <t>Primary columns: WHAT IS THIS? This tab detects structural flaws coded into your page templates. Fixing one template here can instantly fix hundreds of pages., Column_2, Column_3, Column_4, Column_5, BACK TO DASHBOARD,…</t>
        </is>
      </c>
    </row>
    <row r="23">
      <c r="A23" t="inlineStr">
        <is>
          <t>Duplicates</t>
        </is>
      </c>
      <c r="B23" t="inlineStr">
        <is>
          <t>Open</t>
        </is>
      </c>
      <c r="C23" t="inlineStr">
        <is>
          <t>Primary columns: URL, Title Duplicate Count, Meta Description Duplicate Count, Title Duplicate URLs, Meta Duplicate URLs, Open in Main, BACK TO DASHBOARD, BACK TO DASHBOARD_1</t>
        </is>
      </c>
    </row>
    <row r="24">
      <c r="A24" t="inlineStr">
        <is>
          <t>IssueInventory</t>
        </is>
      </c>
      <c r="B24" t="inlineStr">
        <is>
          <t>Open</t>
        </is>
      </c>
      <c r="C24" t="inlineStr">
        <is>
          <t>Primary columns: URL, Issue, Severity, Reference Tab, Stable Issue ID, Owner, Status, Sprint, Open in Main, Open in Reference</t>
        </is>
      </c>
    </row>
    <row r="25">
      <c r="A25" t="inlineStr">
        <is>
          <t>RunMetadata</t>
        </is>
      </c>
      <c r="B25" t="inlineStr">
        <is>
          <t>Open</t>
        </is>
      </c>
      <c r="C25" t="inlineStr">
        <is>
          <t>Primary columns: Key, Value, BACK TO DASHBOARD, BACK TO DASHBOARD_1</t>
        </is>
      </c>
    </row>
    <row r="26">
      <c r="A26" t="inlineStr">
        <is>
          <t>DeltaFromPreviousRun</t>
        </is>
      </c>
      <c r="B26" t="inlineStr">
        <is>
          <t>Open</t>
        </is>
      </c>
      <c r="C26" t="inlineStr">
        <is>
          <t>Primary columns: Metric, Count, BACK TO DASHBOARD, BACK TO DASHBOARD_1</t>
        </is>
      </c>
    </row>
    <row r="27">
      <c r="A27" t="inlineStr">
        <is>
          <t>ResolvedIssues</t>
        </is>
      </c>
      <c r="B27" t="inlineStr">
        <is>
          <t>Open</t>
        </is>
      </c>
      <c r="C27" t="inlineStr">
        <is>
          <t>Primary columns: Stable Issue ID, Issue, URL, Open in Main, BACK TO DASHBOARD, BACK TO DASHBOARD_1</t>
        </is>
      </c>
    </row>
    <row r="28">
      <c r="A28" t="inlineStr">
        <is>
          <t>Glossary &amp; Legend</t>
        </is>
      </c>
      <c r="B28" t="inlineStr">
        <is>
          <t>Open</t>
        </is>
      </c>
      <c r="C28" t="inlineStr">
        <is>
          <t>Primary columns: Section, Term, Meaning, Values/Threshold, Related Tabs, BACK TO DASHBOARD, BACK TO DASHBOARD_1</t>
        </is>
      </c>
    </row>
    <row r="29">
      <c r="A29" t="inlineStr">
        <is>
          <t>CrawlGraph</t>
        </is>
      </c>
      <c r="B29" t="inlineStr">
        <is>
          <t>Open</t>
        </is>
      </c>
      <c r="C29" t="inlineStr">
        <is>
          <t>Primary columns: URL, Inlinks Count, Inlinks URLs, Orphan Candidate, Click Depth, Internal PageRank, Open in Main, BACK TO DASHBOARD, BACK TO DASHBOARD_1</t>
        </is>
      </c>
    </row>
    <row r="30">
      <c r="A30" t="inlineStr">
        <is>
          <t>SitemapQA</t>
        </is>
      </c>
      <c r="B30" t="inlineStr">
        <is>
          <t>Open</t>
        </is>
      </c>
      <c r="C30" t="inlineStr">
        <is>
          <t>Primary columns: Sitemap URL, Final URL, Status Code, Found via Crawl, Found via Sitemap, Discovery Source, In Sitemap but Non-200, Sitemap URL Redirects, In Sitemap but Canonicalized Elsewhere, Missing &lt;lastmod&gt;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8" customWidth="1" min="2" max="2"/>
    <col width="15" customWidth="1" min="3" max="3"/>
    <col width="15" customWidth="1" min="4" max="4"/>
    <col width="60" customWidth="1" min="5" max="5"/>
    <col width="12" customWidth="1" min="6" max="6"/>
    <col width="15" customWidth="1" min="7" max="7"/>
    <col width="15" customWidth="1" min="8" max="8"/>
    <col width="15" customWidth="1" min="9" max="9"/>
    <col width="15" customWidth="1" min="10" max="10"/>
    <col width="15" customWidth="1" min="11" max="11"/>
  </cols>
  <sheetData>
    <row r="1">
      <c r="A1" s="2" t="inlineStr">
        <is>
          <t>Executive SEO &amp; AEO Performance Report</t>
        </is>
      </c>
      <c r="B1" s="2" t="inlineStr">
        <is>
          <t>Unnamed: 1</t>
        </is>
      </c>
      <c r="C1" s="2" t="inlineStr">
        <is>
          <t>Unnamed: 2</t>
        </is>
      </c>
      <c r="D1" s="2" t="inlineStr">
        <is>
          <t>Unnamed: 3</t>
        </is>
      </c>
      <c r="E1" s="2" t="inlineStr">
        <is>
          <t>Unnamed: 4</t>
        </is>
      </c>
      <c r="F1" s="2" t="inlineStr">
        <is>
          <t>Unnamed: 5</t>
        </is>
      </c>
      <c r="G1" s="2" t="inlineStr">
        <is>
          <t>Unnamed: 6</t>
        </is>
      </c>
      <c r="H1" s="2" t="inlineStr">
        <is>
          <t>Unnamed: 7</t>
        </is>
      </c>
      <c r="I1" s="2" t="inlineStr">
        <is>
          <t>Unnamed: 8</t>
        </is>
      </c>
      <c r="J1" s="2" t="inlineStr">
        <is>
          <t>Unnamed: 9</t>
        </is>
      </c>
      <c r="K1" s="2" t="inlineStr">
        <is>
          <t>Unnamed: 10</t>
        </is>
      </c>
    </row>
    <row r="2">
      <c r="A2" s="3" t="inlineStr">
        <is>
          <t>Executive SEO &amp; AEO Dashboard</t>
        </is>
      </c>
      <c r="B2" s="4" t="inlineStr"/>
      <c r="C2" s="4" t="inlineStr"/>
      <c r="D2" s="4" t="inlineStr"/>
      <c r="E2" s="4" t="inlineStr"/>
      <c r="F2" s="4" t="inlineStr"/>
      <c r="G2" s="4" t="inlineStr"/>
      <c r="H2" s="4" t="inlineStr"/>
      <c r="I2" s="4" t="inlineStr"/>
      <c r="J2" s="4" t="inlineStr"/>
      <c r="K2" s="4" t="inlineStr"/>
    </row>
    <row r="3">
      <c r="A3" s="3" t="inlineStr"/>
      <c r="B3" s="4" t="inlineStr"/>
      <c r="C3" s="4" t="inlineStr"/>
      <c r="D3" s="4" t="inlineStr"/>
      <c r="E3" s="4" t="inlineStr"/>
      <c r="F3" s="4" t="inlineStr"/>
      <c r="G3" s="4" t="inlineStr"/>
      <c r="H3" s="4" t="inlineStr"/>
      <c r="I3" s="4" t="inlineStr"/>
      <c r="J3" s="4" t="inlineStr"/>
      <c r="K3" s="4" t="inlineStr"/>
    </row>
    <row r="4" ht="20" customHeight="1">
      <c r="A4" s="3" t="inlineStr">
        <is>
          <t>EXECUTIVE METRICS</t>
        </is>
      </c>
      <c r="B4" s="4" t="inlineStr">
        <is>
          <t>Value</t>
        </is>
      </c>
      <c r="C4" s="4" t="inlineStr"/>
      <c r="D4" s="5" t="inlineStr">
        <is>
          <t>Status</t>
        </is>
      </c>
      <c r="E4" s="5" t="inlineStr">
        <is>
          <t>Count</t>
        </is>
      </c>
      <c r="F4" s="4" t="inlineStr"/>
      <c r="G4" s="6" t="inlineStr">
        <is>
          <t>OWNER ISSUE SUMMARY</t>
        </is>
      </c>
    </row>
    <row r="5" ht="20" customHeight="1">
      <c r="A5" s="7" t="inlineStr">
        <is>
          <t>Total URLs</t>
        </is>
      </c>
      <c r="B5" s="4" t="n">
        <v>10</v>
      </c>
      <c r="C5" s="4" t="inlineStr"/>
      <c r="D5" s="8" t="inlineStr">
        <is>
          <t>200 OK</t>
        </is>
      </c>
      <c r="E5" s="8" t="n">
        <v>10</v>
      </c>
      <c r="F5" s="4" t="inlineStr"/>
      <c r="G5" s="5" t="inlineStr">
        <is>
          <t>Owner</t>
        </is>
      </c>
      <c r="H5" s="5" t="inlineStr">
        <is>
          <t>Issue Rows</t>
        </is>
      </c>
      <c r="I5" s="5" t="inlineStr">
        <is>
          <t>Affected URLs</t>
        </is>
      </c>
      <c r="J5" s="5" t="inlineStr">
        <is>
          <t>Critical</t>
        </is>
      </c>
      <c r="K5" s="5" t="inlineStr">
        <is>
          <t>Warning</t>
        </is>
      </c>
    </row>
    <row r="6" ht="20" customHeight="1">
      <c r="A6" s="7" t="inlineStr">
        <is>
          <t>Overall Health Score</t>
        </is>
      </c>
      <c r="B6" s="9">
        <f>IFERROR(100.0/100,0)</f>
        <v/>
      </c>
      <c r="C6" s="4" t="inlineStr"/>
      <c r="D6" s="10" t="inlineStr">
        <is>
          <t>3xx Redirects</t>
        </is>
      </c>
      <c r="E6" s="10" t="n">
        <v>0</v>
      </c>
      <c r="F6" s="4" t="inlineStr"/>
      <c r="G6" s="11">
        <f>HYPERLINK("#'FixPlan'!A1","Dev")</f>
        <v/>
      </c>
      <c r="H6" s="11" t="n">
        <v>9</v>
      </c>
      <c r="I6" s="11" t="n">
        <v>0</v>
      </c>
      <c r="J6" s="11" t="n">
        <v>4</v>
      </c>
      <c r="K6" s="11" t="n">
        <v>4</v>
      </c>
    </row>
    <row r="7" ht="20" customHeight="1">
      <c r="A7" s="7" t="inlineStr">
        <is>
          <t>SEO Pass Rate %</t>
        </is>
      </c>
      <c r="B7" s="9">
        <f>IFERROR(10/10,0)</f>
        <v/>
      </c>
      <c r="C7" s="4" t="inlineStr"/>
      <c r="D7" s="12" t="inlineStr">
        <is>
          <t>4xx Errors</t>
        </is>
      </c>
      <c r="E7" s="12" t="n">
        <v>0</v>
      </c>
      <c r="F7" s="4" t="inlineStr"/>
      <c r="G7" s="11">
        <f>HYPERLINK("#'FixPlan'!A1","Server/Host")</f>
        <v/>
      </c>
      <c r="H7" s="11" t="n">
        <v>5</v>
      </c>
      <c r="I7" s="11" t="n">
        <v>0</v>
      </c>
      <c r="J7" s="11" t="n">
        <v>2</v>
      </c>
      <c r="K7" s="11" t="n">
        <v>0</v>
      </c>
    </row>
    <row r="8" ht="20" customHeight="1">
      <c r="A8" s="7" t="inlineStr">
        <is>
          <t>Pass URLs</t>
        </is>
      </c>
      <c r="B8" s="4" t="n">
        <v>10</v>
      </c>
      <c r="C8" s="4" t="inlineStr"/>
      <c r="D8" s="12" t="inlineStr">
        <is>
          <t>5xx Errors</t>
        </is>
      </c>
      <c r="E8" s="12" t="n">
        <v>0</v>
      </c>
      <c r="F8" s="4" t="inlineStr"/>
      <c r="G8" s="11">
        <f>HYPERLINK("#'FixPlan'!A1","Copy Writer")</f>
        <v/>
      </c>
      <c r="H8" s="11" t="n">
        <v>20</v>
      </c>
      <c r="I8" s="11" t="n">
        <v>0</v>
      </c>
      <c r="J8" s="11" t="n">
        <v>1</v>
      </c>
      <c r="K8" s="11" t="n">
        <v>8</v>
      </c>
    </row>
    <row r="9" ht="20" customHeight="1">
      <c r="A9" s="7" t="inlineStr">
        <is>
          <t>Critical URLs</t>
        </is>
      </c>
      <c r="B9" s="4" t="n">
        <v>0</v>
      </c>
      <c r="C9" s="4" t="inlineStr"/>
      <c r="D9" s="10" t="inlineStr">
        <is>
          <t>Other</t>
        </is>
      </c>
      <c r="E9" s="10" t="n">
        <v>0</v>
      </c>
      <c r="F9" s="4" t="inlineStr"/>
      <c r="G9" s="4" t="inlineStr"/>
      <c r="H9" s="4" t="inlineStr"/>
      <c r="I9" s="4" t="inlineStr"/>
      <c r="J9" s="4" t="inlineStr"/>
      <c r="K9" s="4" t="inlineStr"/>
    </row>
    <row r="10" ht="20" customHeight="1">
      <c r="A10" s="7" t="inlineStr">
        <is>
          <t>Warning URLs</t>
        </is>
      </c>
      <c r="B10" s="4" t="n">
        <v>0</v>
      </c>
      <c r="C10" s="4" t="inlineStr"/>
      <c r="D10" s="13" t="inlineStr"/>
      <c r="E10" s="13" t="inlineStr"/>
      <c r="F10" s="4" t="inlineStr"/>
      <c r="G10" s="4" t="inlineStr"/>
      <c r="H10" s="4" t="inlineStr"/>
      <c r="I10" s="4" t="inlineStr"/>
      <c r="J10" s="4" t="inlineStr"/>
      <c r="K10" s="4" t="inlineStr"/>
    </row>
    <row r="11" ht="20" customHeight="1">
      <c r="A11" s="7" t="inlineStr">
        <is>
          <t>Error Rate % (4xx/5xx)</t>
        </is>
      </c>
      <c r="B11" s="9">
        <f>IFERROR(0/10,0)</f>
        <v/>
      </c>
      <c r="C11" s="4" t="inlineStr"/>
      <c r="D11" s="13" t="inlineStr"/>
      <c r="E11" s="13" t="inlineStr"/>
      <c r="F11" s="4" t="inlineStr"/>
      <c r="G11" s="4" t="inlineStr"/>
      <c r="H11" s="4" t="inlineStr"/>
      <c r="I11" s="4" t="inlineStr"/>
      <c r="J11" s="4" t="inlineStr"/>
      <c r="K11" s="4" t="inlineStr"/>
    </row>
    <row r="12" ht="20" customHeight="1">
      <c r="A12" s="7" t="inlineStr">
        <is>
          <t>Crawl Success Rate % (2xx)</t>
        </is>
      </c>
      <c r="B12" s="9">
        <f>IFERROR(10/10,0)</f>
        <v/>
      </c>
      <c r="C12" s="4" t="inlineStr"/>
      <c r="D12" s="5" t="inlineStr">
        <is>
          <t>Severity</t>
        </is>
      </c>
      <c r="E12" s="5" t="inlineStr">
        <is>
          <t>Count</t>
        </is>
      </c>
      <c r="F12" s="4" t="inlineStr"/>
      <c r="G12" s="4" t="inlineStr"/>
      <c r="H12" s="4" t="inlineStr"/>
      <c r="I12" s="4" t="inlineStr"/>
      <c r="J12" s="14" t="inlineStr">
        <is>
          <t>Quick Navigation</t>
        </is>
      </c>
      <c r="K12" s="14" t="inlineStr">
        <is>
          <t>Open</t>
        </is>
      </c>
    </row>
    <row r="13" ht="20" customHeight="1">
      <c r="A13" s="7" t="inlineStr">
        <is>
          <t>Critical URL Rate %</t>
        </is>
      </c>
      <c r="B13" s="9">
        <f>IFERROR(0/10,0)</f>
        <v/>
      </c>
      <c r="C13" s="4" t="inlineStr"/>
      <c r="D13" s="12" t="inlineStr">
        <is>
          <t>Critical</t>
        </is>
      </c>
      <c r="E13" s="12" t="n">
        <v>7</v>
      </c>
      <c r="F13" s="4" t="inlineStr"/>
      <c r="G13" s="4" t="inlineStr"/>
      <c r="H13" s="4" t="inlineStr"/>
      <c r="I13" s="4" t="inlineStr"/>
      <c r="J13" s="15" t="inlineStr">
        <is>
          <t>Fix Plan</t>
        </is>
      </c>
      <c r="K13" s="16">
        <f>HYPERLINK("#FixPlan!A1","Open")</f>
        <v/>
      </c>
    </row>
    <row r="14" ht="20" customHeight="1">
      <c r="A14" s="7" t="inlineStr">
        <is>
          <t>Warning URL Rate %</t>
        </is>
      </c>
      <c r="B14" s="9">
        <f>IFERROR(0/10,0)</f>
        <v/>
      </c>
      <c r="C14" s="4" t="inlineStr"/>
      <c r="D14" s="10" t="inlineStr">
        <is>
          <t>Warning</t>
        </is>
      </c>
      <c r="E14" s="10" t="n">
        <v>12</v>
      </c>
      <c r="F14" s="4" t="inlineStr"/>
      <c r="G14" s="4" t="inlineStr"/>
      <c r="H14" s="4" t="inlineStr"/>
      <c r="I14" s="4" t="inlineStr"/>
      <c r="J14" s="15" t="inlineStr">
        <is>
          <t>Main URL Data</t>
        </is>
      </c>
      <c r="K14" s="16">
        <f>HYPERLINK("#Main!A1","Open")</f>
        <v/>
      </c>
    </row>
    <row r="15" ht="20" customHeight="1">
      <c r="A15" s="3" t="inlineStr">
        <is>
          <t>Projected Health Score % (if all To Do done)</t>
        </is>
      </c>
      <c r="B15" s="9" t="n">
        <v>1</v>
      </c>
      <c r="C15" s="4" t="inlineStr"/>
      <c r="D15" s="10" t="inlineStr">
        <is>
          <t>Medium</t>
        </is>
      </c>
      <c r="E15" s="10" t="n">
        <v>0</v>
      </c>
      <c r="F15" s="4" t="inlineStr"/>
      <c r="G15" s="4" t="inlineStr"/>
      <c r="H15" s="4" t="inlineStr"/>
      <c r="I15" s="4" t="inlineStr"/>
      <c r="J15" s="15" t="inlineStr">
        <is>
          <t>Technical Diagnostics</t>
        </is>
      </c>
      <c r="K15" s="16">
        <f>HYPERLINK("#Technical!A1","Open")</f>
        <v/>
      </c>
    </row>
    <row r="16" ht="20" customHeight="1">
      <c r="A16" s="3" t="inlineStr">
        <is>
          <t>Projected Pass Rate % (if all To Do done)</t>
        </is>
      </c>
      <c r="B16" s="9" t="n">
        <v>1</v>
      </c>
      <c r="C16" s="4" t="inlineStr"/>
      <c r="D16" s="17" t="inlineStr">
        <is>
          <t>Low</t>
        </is>
      </c>
      <c r="E16" s="17" t="n">
        <v>15</v>
      </c>
      <c r="F16" s="4" t="inlineStr"/>
      <c r="G16" s="4" t="inlineStr"/>
      <c r="H16" s="4" t="inlineStr"/>
      <c r="I16" s="4" t="inlineStr"/>
      <c r="J16" s="15" t="inlineStr">
        <is>
          <t>Indexability</t>
        </is>
      </c>
      <c r="K16" s="16">
        <f>HYPERLINK("#Indexability!A1","Open")</f>
        <v/>
      </c>
    </row>
    <row r="17" ht="20" customHeight="1">
      <c r="A17" s="3" t="inlineStr">
        <is>
          <t>Content Hub Readiness (%)</t>
        </is>
      </c>
      <c r="B17" s="17" t="n">
        <v>0</v>
      </c>
      <c r="C17" s="4" t="inlineStr"/>
      <c r="D17" s="4" t="inlineStr"/>
      <c r="E17" s="4" t="inlineStr"/>
      <c r="F17" s="4" t="inlineStr"/>
      <c r="G17" s="4" t="inlineStr"/>
      <c r="H17" s="4" t="inlineStr"/>
      <c r="I17" s="4" t="inlineStr"/>
      <c r="J17" s="15" t="inlineStr">
        <is>
          <t>AEO Opportunities</t>
        </is>
      </c>
      <c r="K17" s="16">
        <f>HYPERLINK("#AEO!A1","Open")</f>
        <v/>
      </c>
    </row>
    <row r="18" ht="20" customHeight="1">
      <c r="A18" s="3" t="inlineStr">
        <is>
          <t>URLs with Schema</t>
        </is>
      </c>
      <c r="B18" s="4" t="n">
        <v>0</v>
      </c>
      <c r="C18" s="4" t="inlineStr"/>
      <c r="D18" s="4" t="inlineStr"/>
      <c r="E18" s="4" t="inlineStr"/>
      <c r="F18" s="4" t="inlineStr"/>
      <c r="G18" s="4" t="inlineStr"/>
      <c r="H18" s="4" t="inlineStr"/>
      <c r="I18" s="4" t="inlineStr"/>
      <c r="J18" s="15" t="inlineStr">
        <is>
          <t>AIOSEO Action Queue</t>
        </is>
      </c>
      <c r="K18" s="16">
        <f>HYPERLINK("#AIOSEO!A1","Open")</f>
        <v/>
      </c>
    </row>
    <row r="19" ht="20" customHeight="1">
      <c r="A19" s="3" t="inlineStr">
        <is>
          <t>Broken Internal Links</t>
        </is>
      </c>
      <c r="B19" s="4" t="n">
        <v>0</v>
      </c>
      <c r="C19" s="4" t="inlineStr"/>
      <c r="D19" s="4" t="inlineStr"/>
      <c r="E19" s="4" t="inlineStr"/>
      <c r="F19" s="4" t="inlineStr"/>
      <c r="G19" s="4" t="inlineStr"/>
      <c r="H19" s="4" t="inlineStr"/>
      <c r="I19" s="4" t="inlineStr"/>
      <c r="J19" s="4" t="inlineStr"/>
      <c r="K19" s="4" t="inlineStr"/>
    </row>
    <row r="20" ht="20" customHeight="1">
      <c r="A20" s="3" t="inlineStr"/>
      <c r="B20" s="4" t="inlineStr"/>
      <c r="C20" s="4" t="inlineStr"/>
      <c r="D20" s="4" t="inlineStr"/>
      <c r="E20" s="5" t="inlineStr">
        <is>
          <t>Traditional SEO vs. 2026 AEO Readiness</t>
        </is>
      </c>
      <c r="G20" s="4" t="inlineStr"/>
      <c r="H20" s="4" t="inlineStr"/>
      <c r="I20" s="4" t="inlineStr"/>
      <c r="J20" s="5" t="inlineStr">
        <is>
          <t>BUSINESS IMPACT SUMMARY</t>
        </is>
      </c>
    </row>
    <row r="21" ht="20" customHeight="1">
      <c r="A21" s="3" t="inlineStr"/>
      <c r="B21" s="4" t="inlineStr"/>
      <c r="C21" s="4" t="inlineStr"/>
      <c r="D21" s="4" t="inlineStr"/>
      <c r="E21" s="5" t="inlineStr">
        <is>
          <t>Dimension</t>
        </is>
      </c>
      <c r="F21" s="5" t="inlineStr">
        <is>
          <t>Score</t>
        </is>
      </c>
      <c r="G21" s="4" t="inlineStr"/>
      <c r="H21" s="4" t="inlineStr"/>
      <c r="I21" s="4" t="inlineStr"/>
      <c r="J21" s="18" t="inlineStr">
        <is>
          <t>0 error URLs detected (0 4xx / 0 5xx). Critical issue volume is 0 URLs and warning volume is 0. Top blocker: N/A affecting 0 URLs.</t>
        </is>
      </c>
    </row>
    <row r="22" ht="20" customHeight="1">
      <c r="A22" s="3" t="inlineStr"/>
      <c r="B22" s="4" t="inlineStr"/>
      <c r="C22" s="4" t="inlineStr"/>
      <c r="D22" s="4" t="inlineStr"/>
      <c r="E22" s="11" t="inlineStr">
        <is>
          <t>Traditional SEO</t>
        </is>
      </c>
      <c r="F22" s="19" t="n">
        <v>1</v>
      </c>
      <c r="G22" s="4" t="inlineStr"/>
      <c r="H22" s="4" t="inlineStr"/>
      <c r="I22" s="4" t="inlineStr"/>
    </row>
    <row r="23" ht="20" customHeight="1">
      <c r="A23" s="3" t="inlineStr"/>
      <c r="B23" s="4" t="inlineStr"/>
      <c r="C23" s="4" t="inlineStr"/>
      <c r="D23" s="4" t="inlineStr"/>
      <c r="E23" s="11" t="inlineStr">
        <is>
          <t>2026 AEO Readiness</t>
        </is>
      </c>
      <c r="F23" s="19" t="n">
        <v>0</v>
      </c>
      <c r="G23" s="4" t="inlineStr"/>
      <c r="H23" s="4" t="inlineStr"/>
      <c r="I23" s="4" t="inlineStr"/>
    </row>
    <row r="24" ht="20" customHeight="1">
      <c r="A24" s="3" t="inlineStr"/>
      <c r="B24" s="4" t="inlineStr"/>
      <c r="C24" s="4" t="inlineStr"/>
      <c r="D24" s="4" t="inlineStr"/>
      <c r="E24" s="5" t="inlineStr">
        <is>
          <t>Strategic Narrative</t>
        </is>
      </c>
      <c r="F24" s="4" t="inlineStr"/>
      <c r="G24" s="4" t="inlineStr"/>
      <c r="H24" s="4" t="inlineStr"/>
      <c r="I24" s="4" t="inlineStr"/>
    </row>
    <row r="25" ht="20" customHeight="1">
      <c r="A25" s="3" t="inlineStr"/>
      <c r="B25" s="4" t="inlineStr"/>
      <c r="C25" s="4" t="inlineStr"/>
      <c r="D25" s="4" t="inlineStr"/>
      <c r="E25" s="18" t="inlineStr">
        <is>
          <t>High SEO / Low AEO suggests the site is visible to humans but invisible to AI answer engines.</t>
        </is>
      </c>
      <c r="G25" s="4" t="inlineStr"/>
      <c r="H25" s="4" t="inlineStr"/>
      <c r="I25" s="4" t="inlineStr"/>
      <c r="J25" s="4" t="inlineStr"/>
      <c r="K25" s="4" t="inlineStr"/>
    </row>
    <row r="26" ht="20" customHeight="1">
      <c r="A26" s="3" t="inlineStr"/>
      <c r="B26" s="4" t="inlineStr"/>
      <c r="C26" s="4" t="inlineStr"/>
      <c r="D26" s="4" t="inlineStr"/>
      <c r="G26" s="4" t="inlineStr"/>
      <c r="H26" s="4" t="inlineStr"/>
      <c r="I26" s="4" t="inlineStr"/>
      <c r="J26" s="4" t="inlineStr"/>
      <c r="K26" s="4" t="inlineStr"/>
    </row>
    <row r="27" ht="20" customHeight="1">
      <c r="A27" s="3" t="inlineStr"/>
      <c r="B27" s="4" t="inlineStr"/>
      <c r="C27" s="4" t="inlineStr"/>
      <c r="D27" s="4" t="inlineStr"/>
      <c r="G27" s="4" t="inlineStr"/>
      <c r="H27" s="4" t="inlineStr"/>
      <c r="I27" s="4" t="inlineStr"/>
      <c r="J27" s="4" t="inlineStr"/>
      <c r="K27" s="4" t="inlineStr"/>
    </row>
    <row r="28" ht="20" customHeight="1">
      <c r="A28" s="3" t="inlineStr"/>
      <c r="B28" s="4" t="inlineStr"/>
      <c r="C28" s="4" t="inlineStr"/>
      <c r="D28" s="4" t="inlineStr"/>
      <c r="E28" s="4" t="inlineStr"/>
      <c r="F28" s="4" t="inlineStr"/>
      <c r="G28" s="4" t="inlineStr"/>
      <c r="H28" s="4" t="inlineStr"/>
      <c r="I28" s="4" t="inlineStr"/>
      <c r="J28" s="4" t="inlineStr"/>
      <c r="K28" s="4" t="inlineStr"/>
    </row>
    <row r="29" ht="20" customHeight="1">
      <c r="A29" s="3" t="inlineStr"/>
      <c r="B29" s="4" t="inlineStr"/>
      <c r="C29" s="4" t="inlineStr"/>
      <c r="D29" s="4" t="inlineStr"/>
      <c r="E29" s="4" t="inlineStr"/>
      <c r="F29" s="4" t="inlineStr"/>
      <c r="G29" s="4" t="inlineStr"/>
      <c r="H29" s="4" t="inlineStr"/>
      <c r="I29" s="4" t="inlineStr"/>
      <c r="J29" s="4" t="inlineStr"/>
      <c r="K29" s="4" t="inlineStr"/>
    </row>
    <row r="30" ht="20" customHeight="1">
      <c r="A30" s="3" t="inlineStr"/>
      <c r="B30" s="4" t="inlineStr"/>
      <c r="C30" s="4" t="inlineStr"/>
      <c r="D30" s="4" t="inlineStr"/>
      <c r="E30" s="4" t="inlineStr"/>
      <c r="F30" s="4" t="inlineStr"/>
      <c r="G30" s="4" t="inlineStr"/>
      <c r="H30" s="4" t="inlineStr"/>
      <c r="I30" s="4" t="inlineStr"/>
      <c r="J30" s="4" t="inlineStr"/>
      <c r="K30" s="4" t="inlineStr"/>
    </row>
    <row r="31" ht="20" customHeight="1">
      <c r="A31" s="3" t="inlineStr"/>
      <c r="B31" s="4" t="inlineStr"/>
      <c r="C31" s="4" t="inlineStr"/>
      <c r="D31" s="4" t="inlineStr"/>
      <c r="E31" s="4" t="inlineStr"/>
      <c r="F31" s="4" t="inlineStr"/>
      <c r="G31" s="4" t="inlineStr"/>
      <c r="H31" s="4" t="inlineStr"/>
      <c r="I31" s="4" t="inlineStr"/>
      <c r="J31" s="4" t="inlineStr"/>
      <c r="K31" s="4" t="inlineStr"/>
    </row>
    <row r="32" ht="20" customHeight="1">
      <c r="A32" s="3" t="inlineStr"/>
      <c r="B32" s="4" t="inlineStr"/>
      <c r="C32" s="4" t="inlineStr"/>
      <c r="D32" s="4" t="inlineStr"/>
      <c r="E32" s="4" t="inlineStr"/>
      <c r="F32" s="4" t="inlineStr"/>
      <c r="G32" s="4" t="inlineStr"/>
      <c r="H32" s="4" t="inlineStr"/>
      <c r="I32" s="4" t="inlineStr"/>
      <c r="J32" s="4" t="inlineStr"/>
      <c r="K32" s="4" t="inlineStr"/>
    </row>
    <row r="33" ht="20" customHeight="1">
      <c r="A33" s="3" t="inlineStr"/>
      <c r="B33" s="4" t="inlineStr"/>
      <c r="C33" s="4" t="inlineStr"/>
      <c r="D33" s="4" t="inlineStr"/>
      <c r="E33" s="4" t="inlineStr"/>
      <c r="F33" s="4" t="inlineStr"/>
      <c r="G33" s="4" t="inlineStr"/>
      <c r="H33" s="4" t="inlineStr"/>
      <c r="I33" s="4" t="inlineStr"/>
      <c r="J33" s="4" t="inlineStr"/>
      <c r="K33" s="4" t="inlineStr"/>
    </row>
    <row r="34" ht="20" customHeight="1">
      <c r="A34" s="3" t="inlineStr"/>
      <c r="B34" s="4" t="inlineStr"/>
      <c r="C34" s="4" t="inlineStr"/>
      <c r="D34" s="4" t="inlineStr"/>
      <c r="E34" s="4" t="inlineStr"/>
      <c r="F34" s="4" t="inlineStr"/>
      <c r="G34" s="4" t="inlineStr"/>
      <c r="H34" s="4" t="inlineStr"/>
      <c r="I34" s="4" t="inlineStr"/>
      <c r="J34" s="4" t="inlineStr"/>
      <c r="K34" s="4" t="inlineStr"/>
    </row>
    <row r="35" ht="20" customHeight="1">
      <c r="A35" s="3" t="inlineStr"/>
      <c r="B35" s="4" t="inlineStr"/>
      <c r="C35" s="4" t="inlineStr"/>
      <c r="D35" s="4" t="inlineStr"/>
      <c r="E35" s="4" t="inlineStr"/>
      <c r="F35" s="4" t="inlineStr"/>
      <c r="G35" s="4" t="inlineStr"/>
      <c r="H35" s="4" t="inlineStr"/>
      <c r="I35" s="4" t="inlineStr"/>
      <c r="J35" s="4" t="inlineStr"/>
      <c r="K35" s="4" t="inlineStr"/>
    </row>
    <row r="36" ht="20" customHeight="1">
      <c r="A36" s="3" t="inlineStr"/>
      <c r="B36" s="4" t="inlineStr"/>
      <c r="C36" s="4" t="inlineStr"/>
      <c r="D36" s="4" t="inlineStr"/>
      <c r="E36" s="4" t="inlineStr"/>
      <c r="F36" s="4" t="inlineStr"/>
      <c r="G36" s="4" t="inlineStr"/>
      <c r="H36" s="4" t="inlineStr"/>
      <c r="I36" s="4" t="inlineStr"/>
      <c r="J36" s="4" t="inlineStr"/>
      <c r="K36" s="4" t="inlineStr"/>
    </row>
    <row r="37" ht="20" customHeight="1">
      <c r="A37" s="3" t="inlineStr"/>
      <c r="B37" s="4" t="inlineStr"/>
      <c r="C37" s="4" t="inlineStr"/>
      <c r="D37" s="4" t="inlineStr"/>
      <c r="E37" s="4" t="inlineStr"/>
      <c r="F37" s="4" t="inlineStr"/>
      <c r="G37" s="4" t="inlineStr"/>
      <c r="H37" s="4" t="inlineStr"/>
      <c r="I37" s="4" t="inlineStr"/>
      <c r="J37" s="4" t="inlineStr"/>
      <c r="K37" s="4" t="inlineStr"/>
    </row>
    <row r="38" ht="20" customHeight="1">
      <c r="A38" s="3" t="inlineStr"/>
      <c r="B38" s="4" t="inlineStr"/>
      <c r="C38" s="4" t="inlineStr"/>
      <c r="D38" s="4" t="inlineStr"/>
      <c r="E38" s="4" t="inlineStr"/>
      <c r="F38" s="4" t="inlineStr"/>
      <c r="G38" s="4" t="inlineStr"/>
      <c r="H38" s="4" t="inlineStr"/>
      <c r="I38" s="4" t="inlineStr"/>
      <c r="J38" s="4" t="inlineStr"/>
      <c r="K38" s="4" t="inlineStr"/>
    </row>
    <row r="39" ht="20" customHeight="1">
      <c r="A39" s="3" t="inlineStr"/>
      <c r="B39" s="4" t="inlineStr"/>
      <c r="C39" s="4" t="inlineStr"/>
      <c r="D39" s="4" t="inlineStr"/>
      <c r="E39" s="4" t="inlineStr"/>
      <c r="F39" s="4" t="inlineStr"/>
      <c r="G39" s="4" t="inlineStr"/>
      <c r="H39" s="4" t="inlineStr"/>
      <c r="I39" s="4" t="inlineStr"/>
      <c r="J39" s="4" t="inlineStr"/>
      <c r="K39" s="4" t="inlineStr"/>
    </row>
    <row r="40" ht="20" customHeight="1">
      <c r="A40" s="3" t="inlineStr"/>
      <c r="B40" s="4" t="inlineStr"/>
      <c r="C40" s="4" t="inlineStr"/>
      <c r="D40" s="4" t="inlineStr"/>
      <c r="E40" s="4" t="inlineStr"/>
      <c r="F40" s="4" t="inlineStr"/>
      <c r="G40" s="4" t="inlineStr"/>
      <c r="H40" s="4" t="inlineStr"/>
      <c r="I40" s="4" t="inlineStr"/>
      <c r="J40" s="4" t="inlineStr"/>
      <c r="K40" s="4" t="inlineStr"/>
    </row>
    <row r="41" ht="20" customHeight="1">
      <c r="A41" s="3" t="inlineStr"/>
      <c r="B41" s="4" t="inlineStr"/>
      <c r="C41" s="4" t="inlineStr"/>
      <c r="D41" s="4" t="inlineStr"/>
      <c r="E41" s="4" t="inlineStr"/>
      <c r="F41" s="4" t="inlineStr"/>
      <c r="G41" s="4" t="inlineStr"/>
      <c r="H41" s="4" t="inlineStr"/>
      <c r="I41" s="4" t="inlineStr"/>
      <c r="J41" s="4" t="inlineStr"/>
      <c r="K41" s="4" t="inlineStr"/>
    </row>
    <row r="42" ht="20" customHeight="1">
      <c r="A42" s="3" t="inlineStr"/>
      <c r="B42" s="4" t="inlineStr"/>
      <c r="C42" s="4" t="inlineStr"/>
      <c r="D42" s="4" t="inlineStr"/>
      <c r="E42" s="4" t="inlineStr"/>
      <c r="F42" s="4" t="inlineStr"/>
      <c r="G42" s="4" t="inlineStr"/>
      <c r="H42" s="4" t="inlineStr"/>
      <c r="I42" s="4" t="inlineStr"/>
      <c r="J42" s="4" t="inlineStr"/>
      <c r="K42" s="4" t="inlineStr"/>
    </row>
    <row r="43" ht="20" customHeight="1">
      <c r="A43" s="3" t="inlineStr"/>
      <c r="B43" s="4" t="inlineStr"/>
      <c r="C43" s="4" t="inlineStr"/>
      <c r="D43" s="4" t="inlineStr"/>
      <c r="E43" s="4" t="inlineStr"/>
      <c r="F43" s="4" t="inlineStr"/>
      <c r="G43" s="4" t="inlineStr"/>
      <c r="H43" s="4" t="inlineStr"/>
      <c r="I43" s="4" t="inlineStr"/>
      <c r="J43" s="4" t="inlineStr"/>
      <c r="K43" s="4" t="inlineStr"/>
    </row>
    <row r="44" ht="20" customHeight="1">
      <c r="A44" s="3" t="inlineStr"/>
      <c r="B44" s="5" t="inlineStr">
        <is>
          <t>TOP ISSUES TO FIX FIRST</t>
        </is>
      </c>
      <c r="C44" s="5" t="inlineStr">
        <is>
          <t>Affected URLs</t>
        </is>
      </c>
      <c r="D44" s="4" t="inlineStr"/>
      <c r="E44" s="4" t="inlineStr"/>
      <c r="F44" s="4" t="inlineStr"/>
      <c r="G44" s="4" t="inlineStr"/>
      <c r="H44" s="4" t="inlineStr"/>
      <c r="I44" s="4" t="inlineStr"/>
      <c r="J44" s="4" t="inlineStr"/>
      <c r="K44" s="4" t="inlineStr"/>
    </row>
    <row r="45" ht="20" customHeight="1">
      <c r="A45" s="3" t="inlineStr"/>
      <c r="B45" s="16">
        <f>HYPERLINK("#FixPlan!A8","Broken Internal Links")</f>
        <v/>
      </c>
      <c r="C45" s="15" t="n">
        <v>0</v>
      </c>
      <c r="D45" s="4" t="inlineStr"/>
      <c r="E45" s="4" t="inlineStr"/>
      <c r="F45" s="4" t="inlineStr"/>
      <c r="G45" s="4" t="inlineStr"/>
      <c r="H45" s="4" t="inlineStr"/>
      <c r="I45" s="4" t="inlineStr"/>
      <c r="J45" s="4" t="inlineStr"/>
      <c r="K45" s="4" t="inlineStr"/>
    </row>
    <row r="46" ht="20" customHeight="1">
      <c r="A46" s="3" t="inlineStr"/>
      <c r="B46" s="16">
        <f>HYPERLINK("#FixPlan!A7","CWV LCP Above 4.0s")</f>
        <v/>
      </c>
      <c r="C46" s="15" t="n">
        <v>0</v>
      </c>
      <c r="D46" s="4" t="inlineStr"/>
      <c r="E46" s="4" t="inlineStr"/>
      <c r="F46" s="4" t="inlineStr"/>
      <c r="G46" s="4" t="inlineStr"/>
      <c r="H46" s="4" t="inlineStr"/>
      <c r="I46" s="4" t="inlineStr"/>
      <c r="J46" s="4" t="inlineStr"/>
      <c r="K46" s="4" t="inlineStr"/>
    </row>
    <row r="47" ht="20" customHeight="1">
      <c r="A47" s="3" t="inlineStr"/>
      <c r="B47" s="16">
        <f>HYPERLINK("#FixPlan!A5","Canonical Points Elsewhere")</f>
        <v/>
      </c>
      <c r="C47" s="15" t="n">
        <v>0</v>
      </c>
      <c r="D47" s="4" t="inlineStr"/>
      <c r="E47" s="4" t="inlineStr"/>
      <c r="F47" s="4" t="inlineStr"/>
      <c r="G47" s="4" t="inlineStr"/>
      <c r="H47" s="4" t="inlineStr"/>
      <c r="I47" s="4" t="inlineStr"/>
      <c r="J47" s="4" t="inlineStr"/>
      <c r="K47" s="4" t="inlineStr"/>
    </row>
    <row r="48" ht="20" customHeight="1">
      <c r="A48" s="3" t="inlineStr"/>
      <c r="B48" s="16">
        <f>HYPERLINK("#FixPlan!A3","Missing Title")</f>
        <v/>
      </c>
      <c r="C48" s="15" t="n">
        <v>0</v>
      </c>
      <c r="D48" s="4" t="inlineStr"/>
      <c r="E48" s="4" t="inlineStr"/>
      <c r="F48" s="4" t="inlineStr"/>
      <c r="G48" s="4" t="inlineStr"/>
      <c r="H48" s="4" t="inlineStr"/>
      <c r="I48" s="4" t="inlineStr"/>
      <c r="J48" s="4" t="inlineStr"/>
      <c r="K48" s="4" t="inlineStr"/>
    </row>
    <row r="49" ht="20" customHeight="1">
      <c r="A49" s="3" t="inlineStr"/>
      <c r="B49" s="16">
        <f>HYPERLINK("#FixPlan!A4","Noindex Directive")</f>
        <v/>
      </c>
      <c r="C49" s="15" t="n">
        <v>0</v>
      </c>
      <c r="D49" s="4" t="inlineStr"/>
      <c r="E49" s="4" t="inlineStr"/>
      <c r="F49" s="4" t="inlineStr"/>
      <c r="G49" s="4" t="inlineStr"/>
      <c r="H49" s="4" t="inlineStr"/>
      <c r="I49" s="4" t="inlineStr"/>
      <c r="J49" s="4" t="inlineStr"/>
      <c r="K49" s="4" t="inlineStr"/>
    </row>
    <row r="50" ht="20" customHeight="1"/>
    <row r="51" ht="20" customHeight="1"/>
    <row r="52" ht="20" customHeight="1"/>
    <row r="53" ht="20" customHeight="1"/>
    <row r="54" ht="20" customHeight="1"/>
    <row r="55" ht="20" customHeight="1"/>
    <row r="56" ht="20" customHeight="1"/>
    <row r="57" ht="20" customHeight="1"/>
    <row r="58" ht="20" customHeight="1"/>
    <row r="59" ht="20" customHeight="1"/>
    <row r="60"/>
    <row r="61"/>
    <row r="62"/>
    <row r="63"/>
    <row r="64"/>
    <row r="65"/>
    <row r="66"/>
    <row r="67"/>
    <row r="68"/>
    <row r="69"/>
    <row r="70"/>
    <row r="71"/>
    <row r="72"/>
    <row r="73"/>
    <row r="74"/>
    <row r="75"/>
    <row r="76"/>
    <row r="77"/>
    <row r="78"/>
    <row r="79"/>
  </sheetData>
  <autoFilter ref="A1:Y79"/>
  <mergeCells count="5">
    <mergeCell ref="E25:F27"/>
    <mergeCell ref="E20:F20"/>
    <mergeCell ref="J20:K20"/>
    <mergeCell ref="J21:K24"/>
    <mergeCell ref="G4:K4"/>
  </mergeCells>
  <dataValidations count="39">
    <dataValidation sqref="A1" showDropDown="0" showInputMessage="1" showErrorMessage="0" allowBlank="1" promptTitle="Executive SEO &amp; AEO Performance " prompt="Executive SEO &amp; AEO Performance Report. Review this metric to identify risk, then use linked tabs for details and remediation." type="custom">
      <formula1>TRUE</formula1>
    </dataValidation>
    <dataValidation sqref="B1" showDropDown="0" showInputMessage="1" showErrorMessage="0" allowBlank="1" promptTitle="Unnamed: 1" prompt="Unnamed: 1. Review this metric to identify risk, then use linked tabs for details and remediation." type="custom">
      <formula1>TRUE</formula1>
    </dataValidation>
    <dataValidation sqref="C1" showDropDown="0" showInputMessage="1" showErrorMessage="0" allowBlank="1" promptTitle="Unnamed: 2" prompt="Unnamed: 2. Review this metric to identify risk, then use linked tabs for details and remediation." type="custom">
      <formula1>TRUE</formula1>
    </dataValidation>
    <dataValidation sqref="D1" showDropDown="0" showInputMessage="1" showErrorMessage="0" allowBlank="1" promptTitle="Unnamed: 3" prompt="Unnamed: 3. Review this metric to identify risk, then use linked tabs for details and remediation." type="custom">
      <formula1>TRUE</formula1>
    </dataValidation>
    <dataValidation sqref="E1" showDropDown="0" showInputMessage="1" showErrorMessage="0" allowBlank="1" promptTitle="Unnamed: 4" prompt="Unnamed: 4. Review this metric to identify risk, then use linked tabs for details and remediation." type="custom">
      <formula1>TRUE</formula1>
    </dataValidation>
    <dataValidation sqref="F1" showDropDown="0" showInputMessage="1" showErrorMessage="0" allowBlank="1" promptTitle="Unnamed: 5" prompt="Unnamed: 5. Review this metric to identify risk, then use linked tabs for details and remediation." type="custom">
      <formula1>TRUE</formula1>
    </dataValidation>
    <dataValidation sqref="G1" showDropDown="0" showInputMessage="1" showErrorMessage="0" allowBlank="1" promptTitle="Unnamed: 6" prompt="Unnamed: 6. Review this metric to identify risk, then use linked tabs for details and remediation." type="custom">
      <formula1>TRUE</formula1>
    </dataValidation>
    <dataValidation sqref="H1" showDropDown="0" showInputMessage="1" showErrorMessage="0" allowBlank="1" promptTitle="Unnamed: 7" prompt="Unnamed: 7. Review this metric to identify risk, then use linked tabs for details and remediation." type="custom">
      <formula1>TRUE</formula1>
    </dataValidation>
    <dataValidation sqref="I1" showDropDown="0" showInputMessage="1" showErrorMessage="0" allowBlank="1" promptTitle="Unnamed: 8" prompt="Unnamed: 8. Review this metric to identify risk, then use linked tabs for details and remediation." type="custom">
      <formula1>TRUE</formula1>
    </dataValidation>
    <dataValidation sqref="J1" showDropDown="0" showInputMessage="1" showErrorMessage="0" allowBlank="1" promptTitle="Unnamed: 9" prompt="Unnamed: 9. Review this metric to identify risk, then use linked tabs for details and remediation." type="custom">
      <formula1>TRUE</formula1>
    </dataValidation>
    <dataValidation sqref="K1" showDropDown="0" showInputMessage="1" showErrorMessage="0" allowBlank="1" promptTitle="Unnamed: 10" prompt="Unnamed: 10.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15" showDropDown="0" showInputMessage="1" showErrorMessage="0" allowBlank="1" promptTitle="KPI C15" prompt="Projected Health Score if all current To Do items are completed in this cycle." type="custom">
      <formula1>TRUE</formula1>
    </dataValidation>
    <dataValidation sqref="C16" showDropDown="0" showInputMessage="1" showErrorMessage="0" allowBlank="1" promptTitle="KPI C16" prompt="Projected Pass Rate if all current To Do items are completed in this cycle." type="custom">
      <formula1>TRUE</formula1>
    </dataValidation>
    <dataValidation sqref="C17" showDropDown="0" showInputMessage="1" showErrorMessage="0" allowBlank="1" promptTitle="KPI C17" prompt="Content Hub Readiness %. Calculated as completed content items divided by total tracked content URLs." type="custom">
      <formula1>TRUE</formula1>
    </dataValidation>
    <dataValidation sqref="C32" showDropDown="0" showInputMessage="1" showErrorMessage="0" allowBlank="1" promptTitle="KPI C32" prompt="Most widespread issue from FixPlan by affected URL count." type="custom">
      <formula1>TRUE</formula1>
    </dataValidation>
    <dataValidation sqref="C33" showDropDown="0" showInputMessage="1" showErrorMessage="0" allowBlank="1" promptTitle="KPI C33" prompt="Number of URLs impacted by the top blocking issue." type="custom">
      <formula1>TRUE</formula1>
    </dataValidation>
    <dataValidation sqref="C34" showDropDown="0" showInputMessage="1" showErrorMessage="0" allowBlank="1" promptTitle="KPI C34" prompt="Total URLs returning client/server errors (4xx + 5xx)." type="custom">
      <formula1>TRUE</formula1>
    </dataValidation>
    <dataValidation sqref="C35" showDropDown="0" showInputMessage="1" showErrorMessage="0" allowBlank="1" promptTitle="KPI C35" prompt="Average Time to First Byte across Technical URLs (ms)." type="custom">
      <formula1>TRUE</formula1>
    </dataValidation>
    <dataValidation sqref="C45" showDropDown="0" showInputMessage="1" showErrorMessage="0" allowBlank="1" promptTitle="KPI C45" prompt="Affected URL count for the highest-priority issue (linked to FixPlan)."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C48" showDropDown="0" showInputMessage="1" showErrorMessage="0" allowBlank="1" promptTitle="KPI C48" prompt="Affected URL count for the next issue in the priority list." type="custom">
      <formula1>TRUE</formula1>
    </dataValidation>
    <dataValidation sqref="C49" showDropDown="0" showInputMessage="1" showErrorMessage="0" allowBlank="1" promptTitle="KPI C49"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3"/>
  <sheetViews>
    <sheetView workbookViewId="0">
      <pane xSplit="2" ySplit="1" topLeftCell="C2" activePane="bottomRight" state="frozen"/>
      <selection pane="topRight"/>
      <selection pane="bottomLeft"/>
      <selection pane="bottomRight"/>
      <selection pane="bottomLeft"/>
      <selection pane="bottomLeft"/>
      <selection pane="bottomLeft"/>
    </sheetView>
  </sheetViews>
  <sheetFormatPr baseColWidth="8" defaultRowHeight="15"/>
  <cols>
    <col width="60" customWidth="1" min="1" max="1"/>
    <col width="12" customWidth="1" min="2" max="2"/>
    <col width="16" customWidth="1" min="3" max="3"/>
    <col width="60" customWidth="1" min="4" max="4"/>
    <col width="60" customWidth="1" min="5" max="5"/>
    <col width="60" customWidth="1" min="6" max="6"/>
    <col width="49" customWidth="1" min="7" max="7"/>
    <col width="60" customWidth="1" min="8" max="8"/>
    <col width="60" customWidth="1" min="9" max="9"/>
    <col width="30" customWidth="1" min="10" max="10"/>
    <col width="13" customWidth="1" min="11" max="11"/>
    <col width="60" customWidth="1" min="12" max="12"/>
    <col width="36" customWidth="1" min="13" max="13"/>
    <col width="13" customWidth="1" min="14" max="14"/>
    <col width="60" customWidth="1" min="15" max="15"/>
    <col width="22" customWidth="1" min="16" max="16"/>
    <col width="24" customWidth="1" min="17" max="17"/>
    <col width="14" customWidth="1" min="18" max="18"/>
    <col width="60" customWidth="1" min="19" max="19"/>
    <col width="18" customWidth="1" min="20" max="20"/>
    <col width="19" customWidth="1" min="21" max="21"/>
    <col width="13" customWidth="1" min="22" max="22"/>
    <col width="18" customWidth="1" min="23" max="23"/>
    <col width="13" customWidth="1" min="24" max="24"/>
    <col width="14" customWidth="1" min="25" max="25"/>
  </cols>
  <sheetData>
    <row r="1" ht="28" customHeight="1">
      <c r="A1" s="20" t="inlineStr">
        <is>
          <t>CONTENT HUB INSTRUCTIONS: 1. Draft in 'Proposed' columns. | 2. Watch 'Count' for Green. | 3. Click 'Elementor' link. | 4. Mark 'Status' as 'Completed'. | NOTE: If images show '#BLOCKED!', click the 'Security Warning' bar at the top of Excel and select 'Enable Content'.</t>
        </is>
      </c>
    </row>
    <row r="2">
      <c r="A2" s="21" t="inlineStr">
        <is>
          <t>CONTENT HUB INSTRUCTIONS: 1. Draft in 'Proposed' columns. | 2. Watch 'Count' for Green. | 3. Click 'Elementor' link. | 4. Mark 'Status' as 'Completed'. | NOTE: If images show '#BLOCKED!', click the 'Security Warning' bar at the top of Excel and select 'En</t>
        </is>
      </c>
      <c r="B2" s="21" t="inlineStr">
        <is>
          <t>Unnamed: 1</t>
        </is>
      </c>
      <c r="C2" s="21" t="inlineStr">
        <is>
          <t>Unnamed: 2</t>
        </is>
      </c>
      <c r="D2" s="21" t="inlineStr">
        <is>
          <t>Unnamed: 3</t>
        </is>
      </c>
      <c r="E2" s="21" t="inlineStr">
        <is>
          <t>Unnamed: 4</t>
        </is>
      </c>
      <c r="F2" s="21" t="inlineStr">
        <is>
          <t>Unnamed: 5</t>
        </is>
      </c>
      <c r="G2" s="21" t="inlineStr">
        <is>
          <t>Unnamed: 6</t>
        </is>
      </c>
      <c r="H2" s="21" t="inlineStr">
        <is>
          <t>Unnamed: 7</t>
        </is>
      </c>
      <c r="I2" s="21" t="inlineStr">
        <is>
          <t>Unnamed: 8</t>
        </is>
      </c>
      <c r="J2" s="21" t="inlineStr">
        <is>
          <t>Unnamed: 9</t>
        </is>
      </c>
      <c r="K2" s="21" t="inlineStr">
        <is>
          <t>Unnamed: 10</t>
        </is>
      </c>
      <c r="L2" s="21" t="inlineStr">
        <is>
          <t>Unnamed: 11</t>
        </is>
      </c>
      <c r="M2" s="21" t="inlineStr">
        <is>
          <t>Unnamed: 12</t>
        </is>
      </c>
      <c r="N2" s="21" t="inlineStr">
        <is>
          <t>Unnamed: 13</t>
        </is>
      </c>
      <c r="O2" s="21" t="inlineStr">
        <is>
          <t>Unnamed: 14</t>
        </is>
      </c>
      <c r="P2" s="21" t="inlineStr">
        <is>
          <t>Unnamed: 15</t>
        </is>
      </c>
      <c r="Q2" s="21" t="inlineStr">
        <is>
          <t>Unnamed: 16</t>
        </is>
      </c>
      <c r="R2" s="21" t="inlineStr">
        <is>
          <t>Unnamed: 17</t>
        </is>
      </c>
      <c r="S2" s="21" t="inlineStr">
        <is>
          <t>Unnamed: 18</t>
        </is>
      </c>
      <c r="T2" s="21" t="inlineStr">
        <is>
          <t>Unnamed: 19</t>
        </is>
      </c>
      <c r="U2" s="21" t="inlineStr">
        <is>
          <t>Unnamed: 20</t>
        </is>
      </c>
      <c r="V2" s="21" t="inlineStr">
        <is>
          <t>Unnamed: 21</t>
        </is>
      </c>
      <c r="W2" s="21" t="inlineStr">
        <is>
          <t>Unnamed: 22</t>
        </is>
      </c>
      <c r="X2" s="21" t="inlineStr">
        <is>
          <t>Unnamed: 23</t>
        </is>
      </c>
      <c r="Y2" s="21" t="inlineStr">
        <is>
          <t>Unnamed: 24</t>
        </is>
      </c>
    </row>
    <row r="3">
      <c r="A3" s="3" t="inlineStr">
        <is>
          <t>Action Required</t>
        </is>
      </c>
      <c r="B3" s="22" t="inlineStr">
        <is>
          <t>Status</t>
        </is>
      </c>
      <c r="C3" s="22" t="inlineStr">
        <is>
          <t>Assigned Owner</t>
        </is>
      </c>
      <c r="D3" s="22" t="inlineStr">
        <is>
          <t>Content Cluster ID</t>
        </is>
      </c>
      <c r="E3" s="22" t="inlineStr">
        <is>
          <t>URL</t>
        </is>
      </c>
      <c r="F3" s="22" t="inlineStr">
        <is>
          <t>Elementor Builder Link</t>
        </is>
      </c>
      <c r="G3" s="22" t="inlineStr">
        <is>
          <t>Target Keywords</t>
        </is>
      </c>
      <c r="H3" s="22" t="inlineStr">
        <is>
          <t>Current Page Copy Snippet</t>
        </is>
      </c>
      <c r="I3" s="22" t="inlineStr">
        <is>
          <t>Current Title</t>
        </is>
      </c>
      <c r="J3" s="22" t="inlineStr">
        <is>
          <t>Proposed Title (50-60 Chars)</t>
        </is>
      </c>
      <c r="K3" s="22" t="inlineStr">
        <is>
          <t>Title Count</t>
        </is>
      </c>
      <c r="L3" s="22" t="inlineStr">
        <is>
          <t>Current Meta Desc</t>
        </is>
      </c>
      <c r="M3" s="22" t="inlineStr">
        <is>
          <t>Proposed Meta Desc (120-160 Chars)</t>
        </is>
      </c>
      <c r="N3" s="22" t="inlineStr">
        <is>
          <t>Desc Count</t>
        </is>
      </c>
      <c r="O3" s="22" t="inlineStr">
        <is>
          <t>Current H-Tag Structure</t>
        </is>
      </c>
      <c r="P3" s="22" t="inlineStr">
        <is>
          <t>Proposed H-Tag Fixes</t>
        </is>
      </c>
      <c r="Q3" s="22" t="inlineStr">
        <is>
          <t>AEO Answer Block Draft</t>
        </is>
      </c>
      <c r="R3" s="22" t="inlineStr">
        <is>
          <t>FAQ/QA Draft</t>
        </is>
      </c>
      <c r="S3" s="22" t="inlineStr">
        <is>
          <t>Current OG-Image URL</t>
        </is>
      </c>
      <c r="T3" s="22" t="inlineStr">
        <is>
          <t>OG Image Preview</t>
        </is>
      </c>
      <c r="U3" s="22" t="inlineStr">
        <is>
          <t>Social Share Note</t>
        </is>
      </c>
      <c r="V3" s="22" t="inlineStr">
        <is>
          <t>SEO Score</t>
        </is>
      </c>
      <c r="W3" s="22" t="inlineStr">
        <is>
          <t>Technical Health</t>
        </is>
      </c>
      <c r="X3" s="22" t="inlineStr">
        <is>
          <t>Copy Score</t>
        </is>
      </c>
      <c r="Y3" s="22" t="inlineStr">
        <is>
          <t>Open in Main</t>
        </is>
      </c>
    </row>
    <row r="4">
      <c r="A4" s="3" t="inlineStr">
        <is>
          <t>Needs Copy</t>
        </is>
      </c>
      <c r="B4" s="22" t="inlineStr">
        <is>
          <t>To Do</t>
        </is>
      </c>
      <c r="C4" s="22" t="inlineStr">
        <is>
          <t>Unassigned</t>
        </is>
      </c>
      <c r="D4" s="22" t="inlineStr">
        <is>
          <t>home-african-marketing-confed</t>
        </is>
      </c>
      <c r="E4" s="22" t="inlineStr">
        <is>
          <t>https://africanmarketingconfederation.org/</t>
        </is>
      </c>
      <c r="F4" s="22" t="inlineStr">
        <is>
          <t>https://africanmarketingconfederation.org/wp-admin/post.php?post=8&amp;action=elementor</t>
        </is>
      </c>
      <c r="G4" s="22" t="inlineStr"/>
      <c r="H4" s="22" t="inlineStr">
        <is>
          <t>European marketers gather to choose their top achievers for 2026 Marketing associations from across Europe nominated national champions, with 10 finalists competing for the Marketer of the Year title. Read More » April 30, 2026</t>
        </is>
      </c>
      <c r="I4" s="22" t="inlineStr">
        <is>
          <t>African Marketing Confederation - Uniting Marketers for Excellence</t>
        </is>
      </c>
      <c r="J4" s="22" t="inlineStr"/>
      <c r="K4" s="22" t="inlineStr"/>
      <c r="L4" s="22" t="inlineStr">
        <is>
          <t>The African Marketing Confederation is the ground-breaking Pan-African body driving the development of top marketing standards across Africa and beyond.</t>
        </is>
      </c>
      <c r="M4" s="22" t="inlineStr"/>
      <c r="N4" s="22" t="inlineStr"/>
      <c r="O4" s="22" t="inlineStr">
        <is>
          <t>H1: ABOUT The African Marketing Confederation
H2: The 2026 AMC Conference
H2: Meets the Mighty Victoria Falls
H2: 23-25 September | Livingstone, Zambia
H2: The 2026 AMC Conference
H2: Meets the Mighty Victoria Falls</t>
        </is>
      </c>
      <c r="P4" s="22" t="inlineStr"/>
      <c r="Q4" s="22" t="inlineStr"/>
      <c r="R4" s="22" t="inlineStr"/>
      <c r="S4" s="22" t="inlineStr">
        <is>
          <t>https://africanmarketingconfederation.org/wp-content/uploads/2026/03/og-image.png</t>
        </is>
      </c>
      <c r="T4" s="22" t="inlineStr"/>
      <c r="U4" s="22" t="inlineStr"/>
      <c r="V4" s="22" t="n">
        <v>18.75</v>
      </c>
      <c r="W4" s="22" t="n">
        <v>0</v>
      </c>
      <c r="X4" s="22" t="n">
        <v>75</v>
      </c>
      <c r="Y4" s="22" t="inlineStr">
        <is>
          <t>Open</t>
        </is>
      </c>
    </row>
    <row r="5">
      <c r="A5" s="3" t="inlineStr">
        <is>
          <t>Needs Copy</t>
        </is>
      </c>
      <c r="B5" s="22" t="inlineStr">
        <is>
          <t>To Do</t>
        </is>
      </c>
      <c r="C5" s="22" t="inlineStr">
        <is>
          <t>Unassigned</t>
        </is>
      </c>
      <c r="D5" s="22" t="inlineStr">
        <is>
          <t>about-us-african-marketing-confed</t>
        </is>
      </c>
      <c r="E5" s="22" t="inlineStr">
        <is>
          <t>https://africanmarketingconfederation.org/about-us</t>
        </is>
      </c>
      <c r="F5" s="22" t="inlineStr">
        <is>
          <t>https://africanmarketingconfederation.org/wp-admin/post.php?post=84&amp;action=elementor</t>
        </is>
      </c>
      <c r="G5" s="22" t="inlineStr">
        <is>
          <t>About Us</t>
        </is>
      </c>
      <c r="H5" s="22" t="inlineStr">
        <is>
          <t>Skip to content ABOUT The African Marketing Confederation The African Marketing Confederation is the ground-breaking Pan African body of marketing professionals spearheading the ongoing development of the highest possible standards of marketing acro...</t>
        </is>
      </c>
      <c r="I5" s="22" t="inlineStr">
        <is>
          <t>African Marketing Confederation – The Leading Marketing Professional Body – African Marketing Confederation</t>
        </is>
      </c>
      <c r="J5" s="22" t="inlineStr"/>
      <c r="K5" s="22" t="inlineStr"/>
      <c r="L5" s="22"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M5" s="22" t="inlineStr"/>
      <c r="N5" s="22" t="inlineStr"/>
      <c r="O5" s="22" t="inlineStr">
        <is>
          <t>H1: ABOUT The African Marketing Confederation
H3: African Marketing Confederation  PRESIDENT’S COUNCIL
H2: Helen McIntee
H2: President and  Co-founder
H2: David Balikuddembe
H2: Secretary General</t>
        </is>
      </c>
      <c r="P5" s="22" t="inlineStr"/>
      <c r="Q5" s="22" t="inlineStr"/>
      <c r="R5" s="22" t="inlineStr"/>
      <c r="S5" s="22" t="inlineStr">
        <is>
          <t>https://africanmarketingconfederation.org/wp-content/uploads/2026/03/og-image.png</t>
        </is>
      </c>
      <c r="T5" s="22" t="inlineStr"/>
      <c r="U5" s="22" t="inlineStr"/>
      <c r="V5" s="22" t="n">
        <v>18.75</v>
      </c>
      <c r="W5" s="22" t="n">
        <v>0</v>
      </c>
      <c r="X5" s="22" t="n">
        <v>75</v>
      </c>
      <c r="Y5" s="22" t="inlineStr">
        <is>
          <t>Open</t>
        </is>
      </c>
    </row>
    <row r="6">
      <c r="A6" s="3" t="inlineStr">
        <is>
          <t>Needs Copy</t>
        </is>
      </c>
      <c r="B6" s="22" t="inlineStr">
        <is>
          <t>To Do</t>
        </is>
      </c>
      <c r="C6" s="22" t="inlineStr">
        <is>
          <t>Unassigned</t>
        </is>
      </c>
      <c r="D6" s="22" t="inlineStr">
        <is>
          <t>african-marketing-confederation-tourism-chapter-african-marketing-confed</t>
        </is>
      </c>
      <c r="E6" s="22" t="inlineStr">
        <is>
          <t>https://africanmarketingconfederation.org/african-marketing-confederation-tourism-chapter</t>
        </is>
      </c>
      <c r="F6" s="22" t="inlineStr">
        <is>
          <t>https://africanmarketingconfederation.org/wp-admin/post.php?post=28165&amp;action=elementor</t>
        </is>
      </c>
      <c r="G6" s="22" t="inlineStr">
        <is>
          <t>African Marketing Confederation Tourism Chapter</t>
        </is>
      </c>
      <c r="H6" s="22" t="inlineStr">
        <is>
          <t>Skip to content African Marketing Confederation Tourism Chapter Shaping Africa’s Tourism Narrative Through Strategic Marketing Tourism is one of Africa’s most powerful economic engines – generating jobs, stimulating investment, and fostering cultural...</t>
        </is>
      </c>
      <c r="I6" s="22" t="inlineStr">
        <is>
          <t>African Marketing Confederation Tourism Chapter – African Marketing Confederation</t>
        </is>
      </c>
      <c r="J6" s="22" t="inlineStr"/>
      <c r="K6" s="22" t="inlineStr"/>
      <c r="L6" s="22"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M6" s="22" t="inlineStr"/>
      <c r="N6" s="22" t="inlineStr"/>
      <c r="O6" s="22" t="inlineStr">
        <is>
          <t>H1: African Marketing Confederation Tourism Chapter
H3: Shaping Africa’s Tourism Narrative Through Strategic Marketing
H2: Charting the Course: Purpose, Mission &amp; Vision for Africa’s Tourism Future
H2: Our Goals and Objectives:</t>
        </is>
      </c>
      <c r="P6" s="22" t="inlineStr"/>
      <c r="Q6" s="22" t="inlineStr"/>
      <c r="R6" s="22" t="inlineStr"/>
      <c r="S6" s="22" t="inlineStr">
        <is>
          <t>https://africanmarketingconfederation.org/wp-content/uploads/2026/03/og-image.png</t>
        </is>
      </c>
      <c r="T6" s="22" t="inlineStr"/>
      <c r="U6" s="22" t="inlineStr"/>
      <c r="V6" s="22" t="n">
        <v>25</v>
      </c>
      <c r="W6" s="22" t="n">
        <v>0</v>
      </c>
      <c r="X6" s="22" t="n">
        <v>100</v>
      </c>
      <c r="Y6" s="22" t="inlineStr">
        <is>
          <t>Open</t>
        </is>
      </c>
    </row>
    <row r="7">
      <c r="A7" s="3" t="inlineStr">
        <is>
          <t>Needs Copy</t>
        </is>
      </c>
      <c r="B7" s="22" t="inlineStr">
        <is>
          <t>To Do</t>
        </is>
      </c>
      <c r="C7" s="22" t="inlineStr">
        <is>
          <t>Unassigned</t>
        </is>
      </c>
      <c r="D7" s="22" t="inlineStr">
        <is>
          <t>amc-awards-2024-amc-awards-{n}-–-african</t>
        </is>
      </c>
      <c r="E7" s="22" t="inlineStr">
        <is>
          <t>https://africanmarketingconfederation.org/amc-awards-2024</t>
        </is>
      </c>
      <c r="F7" s="22" t="inlineStr">
        <is>
          <t>https://africanmarketingconfederation.org/wp-admin/post.php?post=16125&amp;action=elementor</t>
        </is>
      </c>
      <c r="G7" s="22" t="inlineStr">
        <is>
          <t>Amc Awards 2024</t>
        </is>
      </c>
      <c r="H7" s="22" t="inlineStr">
        <is>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is>
      </c>
      <c r="I7" s="22" t="inlineStr">
        <is>
          <t>AMC Awards 2024 – African Marketing Confederation</t>
        </is>
      </c>
      <c r="J7" s="22" t="inlineStr"/>
      <c r="K7" s="22" t="inlineStr"/>
      <c r="L7" s="22"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M7" s="22" t="inlineStr"/>
      <c r="N7" s="22" t="inlineStr"/>
      <c r="O7" s="22" t="inlineStr">
        <is>
          <t>H1: NOMINATIONS are Open !
H2: Awards Categories
H2: Tourism &amp; Destination Marketing Campaign
H2: of the Year
H2: Best Social Media Campaign
of the Year
H2: Best Social Media Campaign</t>
        </is>
      </c>
      <c r="P7" s="22" t="inlineStr"/>
      <c r="Q7" s="22" t="inlineStr"/>
      <c r="R7" s="22" t="inlineStr"/>
      <c r="S7" s="22" t="inlineStr">
        <is>
          <t>https://africanmarketingconfederation.org/wp-content/uploads/2021/08/amc_faw.png</t>
        </is>
      </c>
      <c r="T7" s="22" t="inlineStr"/>
      <c r="U7" s="22" t="inlineStr"/>
      <c r="V7" s="22" t="n">
        <v>25</v>
      </c>
      <c r="W7" s="22" t="n">
        <v>0</v>
      </c>
      <c r="X7" s="22" t="n">
        <v>100</v>
      </c>
      <c r="Y7" s="22" t="inlineStr">
        <is>
          <t>Open</t>
        </is>
      </c>
    </row>
    <row r="8">
      <c r="A8" s="3" t="inlineStr">
        <is>
          <t>Needs Copy</t>
        </is>
      </c>
      <c r="B8" s="22" t="inlineStr">
        <is>
          <t>To Do</t>
        </is>
      </c>
      <c r="C8" s="22" t="inlineStr">
        <is>
          <t>Unassigned</t>
        </is>
      </c>
      <c r="D8" s="22" t="inlineStr">
        <is>
          <t>amc-conference-2022-amc-conference-{n}-–-afr</t>
        </is>
      </c>
      <c r="E8" s="22" t="inlineStr">
        <is>
          <t>https://africanmarketingconfederation.org/amc-conference-2022</t>
        </is>
      </c>
      <c r="F8" s="22" t="inlineStr">
        <is>
          <t>https://africanmarketingconfederation.org/wp-admin/post.php?post=4494&amp;action=elementor</t>
        </is>
      </c>
      <c r="G8" s="22" t="inlineStr">
        <is>
          <t>Amc Conference 2022</t>
        </is>
      </c>
      <c r="H8" s="22" t="inlineStr">
        <is>
          <t>AMC officially welcomes new member associations into the fold October 8, 2024 No Comments Angola, Botswana, Ethiopia, Mozambique and Tanzania receive their membership certificates. AMC now has 16 members. Read More »</t>
        </is>
      </c>
      <c r="I8" s="22" t="inlineStr">
        <is>
          <t>AMC Conference 2022 – African Marketing Confederation</t>
        </is>
      </c>
      <c r="J8" s="22" t="inlineStr"/>
      <c r="K8" s="22" t="inlineStr"/>
      <c r="L8" s="22"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M8" s="22" t="inlineStr"/>
      <c r="N8" s="22" t="inlineStr"/>
      <c r="O8" s="22" t="inlineStr">
        <is>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is>
      </c>
      <c r="P8" s="22" t="inlineStr"/>
      <c r="Q8" s="22" t="inlineStr"/>
      <c r="R8" s="22" t="inlineStr"/>
      <c r="S8" s="22" t="inlineStr">
        <is>
          <t>https://africanmarketingconfederation.org/wp-content/uploads/2026/03/og-image.png</t>
        </is>
      </c>
      <c r="T8" s="22" t="inlineStr"/>
      <c r="U8" s="22" t="inlineStr"/>
      <c r="V8" s="22" t="n">
        <v>11.25</v>
      </c>
      <c r="W8" s="22" t="n">
        <v>0</v>
      </c>
      <c r="X8" s="22" t="n">
        <v>45</v>
      </c>
      <c r="Y8" s="22" t="inlineStr">
        <is>
          <t>Open</t>
        </is>
      </c>
    </row>
    <row r="9">
      <c r="A9" s="3" t="inlineStr">
        <is>
          <t>Needs Copy</t>
        </is>
      </c>
      <c r="B9" s="22" t="inlineStr">
        <is>
          <t>To Do</t>
        </is>
      </c>
      <c r="C9" s="22" t="inlineStr">
        <is>
          <t>Unassigned</t>
        </is>
      </c>
      <c r="D9" s="22" t="inlineStr">
        <is>
          <t>amc-conference-2022-prospectus-amc-conference-{n}-–-pro</t>
        </is>
      </c>
      <c r="E9" s="22" t="inlineStr">
        <is>
          <t>https://africanmarketingconfederation.org/amc-conference-2022-prospectus</t>
        </is>
      </c>
      <c r="F9" s="22" t="inlineStr">
        <is>
          <t>https://africanmarketingconfederation.org/wp-admin/post.php?post=5619&amp;action=elementor</t>
        </is>
      </c>
      <c r="G9" s="22" t="inlineStr">
        <is>
          <t>Amc Conference 2022 Prospectus</t>
        </is>
      </c>
      <c r="H9" s="22" t="inlineStr">
        <is>
          <t>Skip to content AMC Conference 2022 23 - 24 March 2022 Navigating Africa’s Unique Marketing Mix BOOK NOW 00 Days 00 Hours 00 Minutes 00 Seconds download prospectus To download the AMC 2022 Conference Prospectus please complete the form below: First ...</t>
        </is>
      </c>
      <c r="I9" s="22" t="inlineStr">
        <is>
          <t>AMC Conference 2022 – Prospectus – African Marketing Confederation</t>
        </is>
      </c>
      <c r="J9" s="22" t="inlineStr"/>
      <c r="K9" s="22" t="inlineStr"/>
      <c r="L9" s="22"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M9" s="22" t="inlineStr"/>
      <c r="N9" s="22" t="inlineStr"/>
      <c r="O9" s="22" t="inlineStr">
        <is>
          <t>H2: AMC Conference 2022
H2: download prospectus
H2: BOOK NOW FOR THE AMC CONFERENCE 2022</t>
        </is>
      </c>
      <c r="P9" s="22" t="inlineStr"/>
      <c r="Q9" s="22" t="inlineStr"/>
      <c r="R9" s="22" t="inlineStr"/>
      <c r="S9" s="22" t="inlineStr">
        <is>
          <t>https://africanmarketingconfederation.org/wp-content/uploads/2026/03/og-image.png</t>
        </is>
      </c>
      <c r="T9" s="22" t="inlineStr"/>
      <c r="U9" s="22" t="inlineStr"/>
      <c r="V9" s="22" t="n">
        <v>11.25</v>
      </c>
      <c r="W9" s="22" t="n">
        <v>0</v>
      </c>
      <c r="X9" s="22" t="n">
        <v>45</v>
      </c>
      <c r="Y9" s="22" t="inlineStr">
        <is>
          <t>Open</t>
        </is>
      </c>
    </row>
    <row r="10">
      <c r="A10" s="3" t="inlineStr">
        <is>
          <t>Needs Copy</t>
        </is>
      </c>
      <c r="B10" s="22" t="inlineStr">
        <is>
          <t>To Do</t>
        </is>
      </c>
      <c r="C10" s="22" t="inlineStr">
        <is>
          <t>Unassigned</t>
        </is>
      </c>
      <c r="D10" s="22" t="inlineStr">
        <is>
          <t>amc-conference-2022-thank-you-amc-conference-{n}-–-tha</t>
        </is>
      </c>
      <c r="E10" s="22" t="inlineStr">
        <is>
          <t>https://africanmarketingconfederation.org/amc-conference-2022-thank-you</t>
        </is>
      </c>
      <c r="F10" s="22" t="inlineStr">
        <is>
          <t>https://africanmarketingconfederation.org/wp-admin/post.php?post=4941&amp;action=elementor</t>
        </is>
      </c>
      <c r="G10" s="22" t="inlineStr">
        <is>
          <t>Amc Conference 2022 Thank You</t>
        </is>
      </c>
      <c r="H10" s="22" t="inlineStr">
        <is>
          <t>Skip to content AMC Conference 2022 23 - 24 March 2022 Navigating Africa’s Unique Marketing Mix ENQUIRE NOW 00 Days 00 Hours 00 Minutes 00 Seconds Success! Thank you for completing the enquiry form. Our team will contact you shortly! × The AMC Confer...</t>
        </is>
      </c>
      <c r="I10" s="22" t="inlineStr">
        <is>
          <t>AMC Conference 2022 – Thank You – African Marketing Confederation</t>
        </is>
      </c>
      <c r="J10" s="22" t="inlineStr"/>
      <c r="K10" s="22" t="inlineStr"/>
      <c r="L10" s="22"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M10" s="22" t="inlineStr"/>
      <c r="N10" s="22" t="inlineStr"/>
      <c r="O10" s="22" t="inlineStr">
        <is>
          <t>H2: AMC Conference 2022
H2: WHO SHOULD ATTEND
H2: Countries Participating
H3: South Africa
H3: Nigeria
H3: Morocco</t>
        </is>
      </c>
      <c r="P10" s="22" t="inlineStr"/>
      <c r="Q10" s="22" t="inlineStr"/>
      <c r="R10" s="22" t="inlineStr"/>
      <c r="S10" s="22" t="inlineStr">
        <is>
          <t>https://africanmarketingconfederation.org/wp-content/uploads/2026/03/og-image.png</t>
        </is>
      </c>
      <c r="T10" s="22" t="inlineStr"/>
      <c r="U10" s="22" t="inlineStr"/>
      <c r="V10" s="22" t="n">
        <v>17.5</v>
      </c>
      <c r="W10" s="22" t="n">
        <v>0</v>
      </c>
      <c r="X10" s="22" t="n">
        <v>70</v>
      </c>
      <c r="Y10" s="22" t="inlineStr">
        <is>
          <t>Open</t>
        </is>
      </c>
    </row>
    <row r="11">
      <c r="A11" s="3" t="inlineStr">
        <is>
          <t>Needs Copy</t>
        </is>
      </c>
      <c r="B11" s="22" t="inlineStr">
        <is>
          <t>To Do</t>
        </is>
      </c>
      <c r="C11" s="22" t="inlineStr">
        <is>
          <t>Unassigned</t>
        </is>
      </c>
      <c r="D11" s="22" t="inlineStr">
        <is>
          <t>amc-conference-2023-amc-conference-{n}-–-afr</t>
        </is>
      </c>
      <c r="E11" s="22" t="inlineStr">
        <is>
          <t>https://africanmarketingconfederation.org/amc-conference-2023</t>
        </is>
      </c>
      <c r="F11" s="22" t="inlineStr">
        <is>
          <t>https://africanmarketingconfederation.org/wp-admin/post.php?post=12371&amp;action=elementor</t>
        </is>
      </c>
      <c r="G11" s="22" t="inlineStr">
        <is>
          <t>Amc Conference 2023</t>
        </is>
      </c>
      <c r="H11" s="22" t="inlineStr">
        <is>
          <t>AMC Conference 6 - 9 September 2023 Imperial Botanical Beach Hotel, Entebbe, Uganda Thank you for joining us! View Presentations 2nd Annual African Marketing Confederation Conference Africa's $3.4 trillion Economy: Opportunities for Marketers Welcome...</t>
        </is>
      </c>
      <c r="I11" s="22" t="inlineStr">
        <is>
          <t>AMC Conference 2023 – African Marketing Confederation</t>
        </is>
      </c>
      <c r="J11" s="22" t="inlineStr"/>
      <c r="K11" s="22" t="inlineStr"/>
      <c r="L11" s="2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M11" s="22" t="inlineStr"/>
      <c r="N11" s="22" t="inlineStr"/>
      <c r="O11" s="22" t="inlineStr">
        <is>
          <t>H1: AMC Conference
H2: Africa's $3.4 trillion Economy: Opportunities for Marketers
H2: Thank you for joining us!
H2: Topics covered
H3: Africa Free Trade Area
H3: Business Intelligence</t>
        </is>
      </c>
      <c r="P11" s="22" t="inlineStr"/>
      <c r="Q11" s="22" t="inlineStr"/>
      <c r="R11" s="22" t="inlineStr"/>
      <c r="S11" s="22" t="inlineStr">
        <is>
          <t>https://africanmarketingconfederation.org/wp-content/uploads/2021/08/amc_faw.png</t>
        </is>
      </c>
      <c r="T11" s="22" t="inlineStr"/>
      <c r="U11" s="22" t="inlineStr"/>
      <c r="V11" s="22" t="n">
        <v>25</v>
      </c>
      <c r="W11" s="22" t="n">
        <v>0</v>
      </c>
      <c r="X11" s="22" t="n">
        <v>100</v>
      </c>
      <c r="Y11" s="22" t="inlineStr">
        <is>
          <t>Open</t>
        </is>
      </c>
    </row>
    <row r="12">
      <c r="A12" s="3" t="inlineStr">
        <is>
          <t>Needs Copy</t>
        </is>
      </c>
      <c r="B12" s="22" t="inlineStr">
        <is>
          <t>To Do</t>
        </is>
      </c>
      <c r="C12" s="22" t="inlineStr">
        <is>
          <t>Unassigned</t>
        </is>
      </c>
      <c r="D12" s="22" t="inlineStr">
        <is>
          <t>amc-conference-2023-amc-awards-–-african-mar</t>
        </is>
      </c>
      <c r="E12" s="22" t="inlineStr">
        <is>
          <t>https://africanmarketingconfederation.org/amc-conference-2023/amc-awards</t>
        </is>
      </c>
      <c r="F12" s="22" t="inlineStr">
        <is>
          <t>https://africanmarketingconfederation.org/wp-admin/post.php?post=12954&amp;action=elementor</t>
        </is>
      </c>
      <c r="G12" s="22" t="inlineStr">
        <is>
          <t>Amc Awards</t>
        </is>
      </c>
      <c r="H12" s="22" t="inlineStr">
        <is>
          <t>Skip to content AMC Awards Welcome to the prestigious African Marketing Confederation Awards, a distinguished event that celebrates and acknowledges the remarkable achievements, cutting-edge innovations, and exceptional leadership demonstrated by out...</t>
        </is>
      </c>
      <c r="I12" s="22" t="inlineStr">
        <is>
          <t>AMC Awards – African Marketing Confederation</t>
        </is>
      </c>
      <c r="J12" s="22" t="inlineStr"/>
      <c r="K12" s="22" t="inlineStr"/>
      <c r="L12" s="22"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M12" s="22" t="inlineStr"/>
      <c r="N12" s="22" t="inlineStr"/>
      <c r="O12" s="22" t="inlineStr">
        <is>
          <t>H1: AMC Awards
H2: AMC AWARD Winners</t>
        </is>
      </c>
      <c r="P12" s="22" t="inlineStr"/>
      <c r="Q12" s="22" t="inlineStr"/>
      <c r="R12" s="22" t="inlineStr"/>
      <c r="S12" s="22" t="inlineStr">
        <is>
          <t>https://africanmarketingconfederation.org/wp-content/uploads/2021/08/amc_faw.png</t>
        </is>
      </c>
      <c r="T12" s="22" t="inlineStr"/>
      <c r="U12" s="22" t="inlineStr"/>
      <c r="V12" s="22" t="n">
        <v>25</v>
      </c>
      <c r="W12" s="22" t="n">
        <v>0</v>
      </c>
      <c r="X12" s="22" t="n">
        <v>100</v>
      </c>
      <c r="Y12" s="22" t="inlineStr">
        <is>
          <t>Open</t>
        </is>
      </c>
    </row>
    <row r="13">
      <c r="A13" s="3" t="inlineStr">
        <is>
          <t>Needs Copy</t>
        </is>
      </c>
      <c r="B13" s="22" t="inlineStr">
        <is>
          <t>To Do</t>
        </is>
      </c>
      <c r="C13" s="22" t="inlineStr">
        <is>
          <t>Unassigned</t>
        </is>
      </c>
      <c r="D13" s="22" t="inlineStr">
        <is>
          <t>amc-conference-2023-amc-awards-|-book-now-–-</t>
        </is>
      </c>
      <c r="E13" s="22" t="inlineStr">
        <is>
          <t>https://africanmarketingconfederation.org/amc-conference-2023/amc-awards-book-now</t>
        </is>
      </c>
      <c r="F13" s="22" t="inlineStr">
        <is>
          <t>https://africanmarketingconfederation.org/wp-admin/post.php?post=13164&amp;action=elementor</t>
        </is>
      </c>
      <c r="G13" s="22" t="inlineStr">
        <is>
          <t>Amc Awards Book Now</t>
        </is>
      </c>
      <c r="H13" s="22" t="inlineStr">
        <is>
          <t>Skip to content English Français Português Español Igbo Deutsch Kiswahili ພາສາລາວ العربية Afsoomaali Sesotho 简体中文 Русский Zulu en 0 Your Cart Your cart is empty Return to Shop Continue Shopping Notifications</t>
        </is>
      </c>
      <c r="I13" s="22" t="inlineStr">
        <is>
          <t>AMC Awards | Book Now – African Marketing Confederation</t>
        </is>
      </c>
      <c r="J13" s="22" t="inlineStr"/>
      <c r="K13" s="22" t="inlineStr"/>
      <c r="L13" s="22" t="inlineStr">
        <is>
          <t>MISSING DESCRIPTION</t>
        </is>
      </c>
      <c r="M13" s="22" t="inlineStr"/>
      <c r="N13" s="22" t="inlineStr"/>
      <c r="O13" s="22" t="inlineStr"/>
      <c r="P13" s="22" t="inlineStr"/>
      <c r="Q13" s="22" t="inlineStr"/>
      <c r="R13" s="22" t="inlineStr"/>
      <c r="S13" s="22" t="inlineStr">
        <is>
          <t>https://africanmarketingconfederation.org/wp-content/uploads/2021/08/amc_faw.png</t>
        </is>
      </c>
      <c r="T13" s="22" t="inlineStr"/>
      <c r="U13" s="22" t="inlineStr"/>
      <c r="V13" s="22" t="n">
        <v>6.25</v>
      </c>
      <c r="W13" s="22" t="n">
        <v>0</v>
      </c>
      <c r="X13" s="22" t="n">
        <v>25</v>
      </c>
      <c r="Y13" s="22" t="inlineStr">
        <is>
          <t>Open</t>
        </is>
      </c>
    </row>
  </sheetData>
  <autoFilter ref="A2:Y13"/>
  <mergeCells count="1">
    <mergeCell ref="A1:Y1"/>
  </mergeCells>
  <dataValidations count="1">
    <dataValidation sqref="A1" showDropDown="0" showInputMessage="1" showErrorMessage="0" allowBlank="1" promptTitle="CONTENT HUB INSTRUCTIONS: 1. Dra" prompt="Link quality and crawl-path metric. Fix: repair broken links and improve internal linking relevance." type="custom">
      <formula1>TRUE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1" customWidth="1" min="2" max="2"/>
    <col width="60" customWidth="1" min="3" max="3"/>
    <col width="60" customWidth="1" min="4" max="4"/>
    <col width="19" customWidth="1" min="5" max="5"/>
  </cols>
  <sheetData>
    <row r="1">
      <c r="A1" s="21" t="inlineStr">
        <is>
          <t>Section</t>
        </is>
      </c>
      <c r="B1" s="21" t="inlineStr">
        <is>
          <t>Item</t>
        </is>
      </c>
      <c r="C1" s="21" t="inlineStr">
        <is>
          <t>Guideline</t>
        </is>
      </c>
      <c r="D1" s="21" t="inlineStr">
        <is>
          <t>Why It Matters</t>
        </is>
      </c>
      <c r="E1" s="21" t="inlineStr">
        <is>
          <t>BACK TO DASHBOARD</t>
        </is>
      </c>
      <c r="F1" s="23" t="inlineStr">
        <is>
          <t>BACK TO DASHBOARD_1</t>
        </is>
      </c>
    </row>
    <row r="2">
      <c r="A2" s="3" t="inlineStr">
        <is>
          <t>[Meta Data Standards]</t>
        </is>
      </c>
      <c r="B2" s="22" t="inlineStr"/>
      <c r="C2" s="22" t="inlineStr"/>
      <c r="D2" s="22" t="inlineStr"/>
      <c r="E2" s="22" t="inlineStr"/>
      <c r="F2" s="24" t="n"/>
    </row>
    <row r="3">
      <c r="A3" s="3" t="inlineStr"/>
      <c r="B3" s="4" t="inlineStr">
        <is>
          <t>Meta Title</t>
        </is>
      </c>
      <c r="C3" s="4" t="inlineStr">
        <is>
          <t>50-60 characters. Place primary keyword at the front. Avoid brand repetition unless there is space.</t>
        </is>
      </c>
      <c r="D3" s="4" t="inlineStr">
        <is>
          <t>Improves clarity and reduces SERP truncation risk.</t>
        </is>
      </c>
      <c r="E3" s="4" t="inlineStr"/>
    </row>
    <row r="4">
      <c r="A4" s="3" t="inlineStr"/>
      <c r="B4" s="22" t="inlineStr">
        <is>
          <t>Meta Description</t>
        </is>
      </c>
      <c r="C4" s="22" t="inlineStr">
        <is>
          <t>120-160 characters. Must contain a clear Call-To-Action (CTA) and active verbs.</t>
        </is>
      </c>
      <c r="D4" s="22" t="inlineStr">
        <is>
          <t>Supports stronger click-through and intent alignment.</t>
        </is>
      </c>
      <c r="E4" s="22" t="inlineStr"/>
      <c r="F4" s="24" t="n"/>
    </row>
    <row r="5">
      <c r="A5" s="3" t="inlineStr"/>
      <c r="B5" s="4" t="inlineStr">
        <is>
          <t>Target Keywords</t>
        </is>
      </c>
      <c r="C5" s="4" t="inlineStr">
        <is>
          <t>1 Primary, 2 Secondary per page. Do not keyword stuff; focus on user intent.</t>
        </is>
      </c>
      <c r="D5" s="4" t="inlineStr">
        <is>
          <t>Keeps copy focused on topical relevance over keyword density.</t>
        </is>
      </c>
      <c r="E5" s="4" t="inlineStr"/>
    </row>
    <row r="6">
      <c r="A6" s="3" t="inlineStr"/>
      <c r="B6" s="22" t="inlineStr"/>
      <c r="C6" s="22" t="inlineStr"/>
      <c r="D6" s="22" t="inlineStr"/>
      <c r="E6" s="22" t="inlineStr"/>
      <c r="F6" s="24" t="n"/>
    </row>
    <row r="7">
      <c r="A7" s="3" t="inlineStr">
        <is>
          <t>[On-Page Structure (H-Tags)]</t>
        </is>
      </c>
      <c r="B7" s="4" t="inlineStr"/>
      <c r="C7" s="4" t="inlineStr"/>
      <c r="D7" s="4" t="inlineStr"/>
      <c r="E7" s="4" t="inlineStr"/>
    </row>
    <row r="8">
      <c r="A8" s="3" t="inlineStr"/>
      <c r="B8" s="22" t="inlineStr">
        <is>
          <t>H1 Tag</t>
        </is>
      </c>
      <c r="C8" s="22" t="inlineStr">
        <is>
          <t>Exactly ONE per page. Must contain the primary topic/keyword. Think of it as the 'Book Title'.</t>
        </is>
      </c>
      <c r="D8" s="22" t="inlineStr">
        <is>
          <t>Provides the clearest top-level topical signal.</t>
        </is>
      </c>
      <c r="E8" s="22" t="inlineStr"/>
      <c r="F8" s="24" t="n"/>
    </row>
    <row r="9">
      <c r="A9" s="3" t="inlineStr"/>
      <c r="B9" s="4" t="inlineStr">
        <is>
          <t>H2 Tags</t>
        </is>
      </c>
      <c r="C9" s="4" t="inlineStr">
        <is>
          <t>Main sections. Use question formats (Who, What, How) to trigger Answer Engine extraction.</t>
        </is>
      </c>
      <c r="D9" s="4" t="inlineStr">
        <is>
          <t>Improves structured scannability for users and LLMs.</t>
        </is>
      </c>
      <c r="E9" s="4" t="inlineStr"/>
    </row>
    <row r="10">
      <c r="A10" s="3" t="inlineStr"/>
      <c r="B10" s="22" t="inlineStr">
        <is>
          <t>H3 Tags</t>
        </is>
      </c>
      <c r="C10" s="22" t="inlineStr">
        <is>
          <t>Sub-sections under H2s. Use for lists, steps, or detailed breakdowns.</t>
        </is>
      </c>
      <c r="D10" s="22" t="inlineStr">
        <is>
          <t>Strengthens hierarchy and supports extraction-ready formatting.</t>
        </is>
      </c>
      <c r="E10" s="22" t="inlineStr"/>
      <c r="F10" s="24" t="n"/>
    </row>
    <row r="11">
      <c r="A11" s="3" t="inlineStr"/>
      <c r="B11" s="4" t="inlineStr">
        <is>
          <t>H4-H6 Tags</t>
        </is>
      </c>
      <c r="C11" s="4" t="inlineStr">
        <is>
          <t>Use sparingly. Only for granular formatting within complex H3 topics.</t>
        </is>
      </c>
      <c r="D11" s="4" t="inlineStr">
        <is>
          <t>Avoids over-nesting while preserving semantic structure.</t>
        </is>
      </c>
      <c r="E11" s="4" t="inlineStr"/>
    </row>
    <row r="12">
      <c r="A12" s="3" t="inlineStr"/>
      <c r="B12" s="22" t="inlineStr"/>
      <c r="C12" s="22" t="inlineStr"/>
      <c r="D12" s="22" t="inlineStr"/>
      <c r="E12" s="22" t="inlineStr"/>
      <c r="F12" s="24" t="n"/>
    </row>
    <row r="13">
      <c r="A13" s="3" t="inlineStr">
        <is>
          <t>[AEO (Answer Engine Optimization) &amp; Content]</t>
        </is>
      </c>
      <c r="B13" s="4" t="inlineStr"/>
      <c r="C13" s="4" t="inlineStr"/>
      <c r="D13" s="4" t="inlineStr"/>
      <c r="E13" s="4" t="inlineStr"/>
    </row>
    <row r="14">
      <c r="A14" s="3" t="inlineStr"/>
      <c r="B14" s="22" t="inlineStr">
        <is>
          <t>AEO Answer Blocks</t>
        </is>
      </c>
      <c r="C14" s="22" t="inlineStr">
        <is>
          <t>40-60 words. Placed directly beneath an H2 question. Must be factual, objective, and devoid of marketing fluff (e.g., 'The best way to...').</t>
        </is>
      </c>
      <c r="D14" s="22" t="inlineStr">
        <is>
          <t>Optimizes direct extraction for answer engines and voice search.</t>
        </is>
      </c>
      <c r="E14" s="22" t="inlineStr"/>
      <c r="F14" s="24" t="n"/>
    </row>
    <row r="15">
      <c r="A15" s="3" t="inlineStr"/>
      <c r="B15" s="4" t="inlineStr">
        <is>
          <t>FAQ Schema</t>
        </is>
      </c>
      <c r="C15" s="4" t="inlineStr">
        <is>
          <t>Minimum 2-3 questions per informational page. Answers must be direct and stand alone without needing the rest of the page for context.</t>
        </is>
      </c>
      <c r="D15" s="4" t="inlineStr">
        <is>
          <t>Improves machine readability and rich-answer eligibility.</t>
        </is>
      </c>
      <c r="E15" s="4" t="inlineStr"/>
    </row>
    <row r="16">
      <c r="A16" s="3" t="inlineStr"/>
      <c r="B16" s="22" t="inlineStr">
        <is>
          <t>Content Readability</t>
        </is>
      </c>
      <c r="C16" s="22" t="inlineStr">
        <is>
          <t>Keep sentences under 20 words. Use bullet points for any list of 3 or more items.</t>
        </is>
      </c>
      <c r="D16" s="22" t="inlineStr">
        <is>
          <t>Increases comprehension and snippet usability.</t>
        </is>
      </c>
      <c r="E16" s="22" t="inlineStr"/>
      <c r="F16" s="24" t="n"/>
    </row>
    <row r="17">
      <c r="A17" s="3" t="inlineStr"/>
      <c r="B17" s="4" t="inlineStr"/>
      <c r="C17" s="4" t="inlineStr"/>
      <c r="D17" s="4" t="inlineStr"/>
      <c r="E17" s="4" t="inlineStr"/>
    </row>
    <row r="18">
      <c r="A18" s="3" t="inlineStr">
        <is>
          <t>[Visual &amp; Social Branding]</t>
        </is>
      </c>
      <c r="B18" s="22" t="inlineStr"/>
      <c r="C18" s="22" t="inlineStr"/>
      <c r="D18" s="22" t="inlineStr"/>
      <c r="E18" s="22" t="inlineStr"/>
      <c r="F18" s="24" t="n"/>
    </row>
    <row r="19">
      <c r="A19" s="3" t="inlineStr"/>
      <c r="B19" s="4" t="inlineStr">
        <is>
          <t>OG Image</t>
        </is>
      </c>
      <c r="C19" s="4" t="inlineStr">
        <is>
          <t>1200 x 630 pixels. Keep text centered (safe zone) so it isn't cropped by mobile devices on LinkedIn/X.</t>
        </is>
      </c>
      <c r="D19" s="4" t="inlineStr">
        <is>
          <t>Ensures consistent social card presentation.</t>
        </is>
      </c>
      <c r="E19" s="4" t="inlineStr"/>
    </row>
    <row r="20">
      <c r="A20" s="3" t="inlineStr"/>
      <c r="B20" s="22" t="inlineStr">
        <is>
          <t>Social Share Note</t>
        </is>
      </c>
      <c r="C20" s="22" t="inlineStr">
        <is>
          <t>Customize the message for the platform. LinkedIn = Professional insight. X (Twitter) = Quick hook. Facebook = Conversational.</t>
        </is>
      </c>
      <c r="D20" s="22" t="inlineStr">
        <is>
          <t>Improves engagement by matching platform context.</t>
        </is>
      </c>
      <c r="E20" s="22" t="inlineStr"/>
      <c r="F20" s="24" t="n"/>
    </row>
  </sheetData>
  <autoFilter ref="A1:F20"/>
  <dataValidations count="5">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Item" prompt="Item. Review this metric to identify risk, then use linked tabs for details and remediation." type="custom">
      <formula1>TRUE</formula1>
    </dataValidation>
    <dataValidation sqref="C1" showDropDown="0" showInputMessage="1" showErrorMessage="0" allowBlank="1" promptTitle="Guideline" prompt="Guidelin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5"/>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38" customWidth="1" min="1" max="1"/>
    <col width="13" customWidth="1" min="2" max="2"/>
    <col width="16" customWidth="1" min="3" max="3"/>
    <col width="16" customWidth="1" min="4" max="4"/>
    <col width="36" customWidth="1" min="5" max="5"/>
    <col width="22" customWidth="1" min="6" max="6"/>
    <col width="17" customWidth="1" min="7" max="7"/>
    <col width="36" customWidth="1" min="8" max="8"/>
    <col width="60" customWidth="1" min="9" max="9"/>
    <col width="60" customWidth="1" min="10" max="10"/>
    <col width="13" customWidth="1" min="11" max="11"/>
    <col width="14" customWidth="1" min="12" max="12"/>
    <col width="8" customWidth="1" min="13" max="13"/>
    <col width="12" customWidth="1" min="14" max="14"/>
    <col width="20" customWidth="1" min="15" max="15"/>
    <col width="28" customWidth="1" min="16" max="16"/>
    <col width="11" customWidth="1" min="17" max="17"/>
    <col width="13" customWidth="1" min="18" max="18"/>
    <col width="15" customWidth="1" min="19" max="19"/>
    <col width="14" customWidth="1" min="20" max="20"/>
    <col width="15" customWidth="1" min="21" max="21"/>
    <col width="18" customWidth="1" min="22" max="22"/>
    <col width="8" customWidth="1" min="23" max="23"/>
    <col width="10" customWidth="1" min="24" max="24"/>
    <col width="11" customWidth="1" min="25" max="25"/>
    <col width="26" customWidth="1" min="26" max="26"/>
    <col width="12" customWidth="1" min="27" max="27"/>
    <col width="11" customWidth="1" min="28" max="28"/>
    <col width="60" customWidth="1" min="29" max="29"/>
    <col width="14" customWidth="1" min="30" max="30"/>
    <col width="26" customWidth="1" min="31" max="31"/>
    <col width="19" customWidth="1" min="32" max="32"/>
  </cols>
  <sheetData>
    <row r="1">
      <c r="A1" s="21" t="inlineStr">
        <is>
          <t>Issue Type</t>
        </is>
      </c>
      <c r="B1" s="21" t="inlineStr">
        <is>
          <t>Severity</t>
        </is>
      </c>
      <c r="C1" s="21" t="inlineStr">
        <is>
          <t>Priority Score</t>
        </is>
      </c>
      <c r="D1" s="21" t="inlineStr">
        <is>
          <t>Affected Count</t>
        </is>
      </c>
      <c r="E1" s="21" t="inlineStr">
        <is>
          <t>Affected URLs</t>
        </is>
      </c>
      <c r="F1" s="21" t="inlineStr">
        <is>
          <t>Detail Reference Tab</t>
        </is>
      </c>
      <c r="G1" s="21" t="inlineStr">
        <is>
          <t>Resolution Type</t>
        </is>
      </c>
      <c r="H1" s="21" t="inlineStr">
        <is>
          <t>URL</t>
        </is>
      </c>
      <c r="I1" s="21" t="inlineStr">
        <is>
          <t>Recommended Fix</t>
        </is>
      </c>
      <c r="J1" s="21" t="inlineStr">
        <is>
          <t>Likely Root Cause</t>
        </is>
      </c>
      <c r="K1" s="21" t="inlineStr">
        <is>
          <t>Owner</t>
        </is>
      </c>
      <c r="L1" s="21" t="inlineStr">
        <is>
          <t>Agency Owner</t>
        </is>
      </c>
      <c r="M1" s="21" t="inlineStr">
        <is>
          <t>Effort</t>
        </is>
      </c>
      <c r="N1" s="21" t="inlineStr">
        <is>
          <t>Est. Hours</t>
        </is>
      </c>
      <c r="O1" s="21" t="inlineStr">
        <is>
          <t>Est. Sprint Points</t>
        </is>
      </c>
      <c r="P1" s="21" t="inlineStr">
        <is>
          <t>Aging/Priority</t>
        </is>
      </c>
      <c r="Q1" s="21" t="inlineStr">
        <is>
          <t>Status</t>
        </is>
      </c>
      <c r="R1" s="21" t="inlineStr">
        <is>
          <t>Verified By</t>
        </is>
      </c>
      <c r="S1" s="21" t="inlineStr">
        <is>
          <t>Date Resolved</t>
        </is>
      </c>
      <c r="T1" s="21" t="inlineStr">
        <is>
          <t>Revenue Risk</t>
        </is>
      </c>
      <c r="U1" s="21" t="inlineStr">
        <is>
          <t>Action Needed</t>
        </is>
      </c>
      <c r="V1" s="21" t="inlineStr">
        <is>
          <t>Jump to Details</t>
        </is>
      </c>
      <c r="W1" s="21" t="inlineStr">
        <is>
          <t>Sprint</t>
        </is>
      </c>
      <c r="X1" s="21" t="inlineStr">
        <is>
          <t>Category</t>
        </is>
      </c>
      <c r="Y1" s="21" t="inlineStr">
        <is>
          <t>Fix Type</t>
        </is>
      </c>
      <c r="Z1" s="21" t="inlineStr">
        <is>
          <t>Estimated Traffic Impact</t>
        </is>
      </c>
      <c r="AA1" s="21" t="inlineStr">
        <is>
          <t>Fix Effort</t>
        </is>
      </c>
      <c r="AB1" s="21" t="inlineStr">
        <is>
          <t>ROI Score</t>
        </is>
      </c>
      <c r="AC1" s="21" t="inlineStr">
        <is>
          <t>Exact Action</t>
        </is>
      </c>
      <c r="AD1" s="21" t="inlineStr">
        <is>
          <t>Open in Main</t>
        </is>
      </c>
      <c r="AE1" s="21" t="inlineStr">
        <is>
          <t>Hub Status (Content Hub)</t>
        </is>
      </c>
      <c r="AF1" s="21" t="inlineStr">
        <is>
          <t>BACK TO DASHBOARD</t>
        </is>
      </c>
      <c r="AG1" s="23" t="inlineStr">
        <is>
          <t>BACK TO DASHBOARD_1</t>
        </is>
      </c>
    </row>
    <row r="2">
      <c r="A2" s="22" t="inlineStr">
        <is>
          <t>Non-200 Status</t>
        </is>
      </c>
      <c r="B2" s="25" t="inlineStr">
        <is>
          <t>Critical</t>
        </is>
      </c>
      <c r="C2" s="26" t="n">
        <v>105</v>
      </c>
      <c r="D2" s="27" t="n">
        <v>0</v>
      </c>
      <c r="E2" s="28" t="inlineStr"/>
      <c r="F2" s="22" t="inlineStr">
        <is>
          <t>Technical</t>
        </is>
      </c>
      <c r="G2" s="22" t="inlineStr">
        <is>
          <t>Manual Content</t>
        </is>
      </c>
      <c r="H2" s="28" t="inlineStr"/>
      <c r="I2" s="22" t="inlineStr">
        <is>
          <t>Fix status code, restore page, or implement correct redirect to canonical destination.</t>
        </is>
      </c>
      <c r="J2" s="22" t="inlineStr">
        <is>
          <t>URL returns 4xx/5xx or equivalent failure.</t>
        </is>
      </c>
      <c r="K2" s="22" t="inlineStr">
        <is>
          <t>Server/Host</t>
        </is>
      </c>
      <c r="L2" s="22" t="inlineStr">
        <is>
          <t>Server/Host</t>
        </is>
      </c>
      <c r="M2" s="22" t="inlineStr">
        <is>
          <t>M</t>
        </is>
      </c>
      <c r="N2" s="22" t="n">
        <v>10</v>
      </c>
      <c r="O2" s="29" t="n">
        <v>5</v>
      </c>
      <c r="P2" s="25" t="inlineStr">
        <is>
          <t>Immediate (Current Sprint)</t>
        </is>
      </c>
      <c r="Q2" s="25" t="inlineStr">
        <is>
          <t>To Do</t>
        </is>
      </c>
      <c r="R2" s="22" t="inlineStr"/>
      <c r="S2" s="30" t="inlineStr"/>
      <c r="T2" s="22" t="inlineStr">
        <is>
          <t>High Risk</t>
        </is>
      </c>
      <c r="U2" s="22" t="inlineStr">
        <is>
          <t>Yes</t>
        </is>
      </c>
      <c r="V2" s="22" t="inlineStr">
        <is>
          <t>Open in Main Tab</t>
        </is>
      </c>
      <c r="W2" s="22" t="inlineStr"/>
      <c r="X2" s="22" t="inlineStr">
        <is>
          <t>SEO</t>
        </is>
      </c>
      <c r="Y2" s="22" t="inlineStr">
        <is>
          <t>Technical</t>
        </is>
      </c>
      <c r="Z2" s="22" t="inlineStr">
        <is>
          <t>Low</t>
        </is>
      </c>
      <c r="AA2" s="22" t="n">
        <v>10</v>
      </c>
      <c r="AB2" s="22" t="n">
        <v>0</v>
      </c>
      <c r="AC2" s="22" t="inlineStr">
        <is>
          <t>Resolve 'Non-200 Status' using technical best practices and validate in the related detail tab.</t>
        </is>
      </c>
      <c r="AD2" s="22" t="inlineStr">
        <is>
          <t>Open</t>
        </is>
      </c>
      <c r="AE2" s="22">
        <f>IFERROR(INDEX('Content Optimization Hub'!A:A,MATCH(H2,'Content Optimization Hub'!C:C,0)),"Not in Hub")</f>
        <v/>
      </c>
      <c r="AF2" s="22" t="inlineStr"/>
      <c r="AG2" s="24" t="n"/>
    </row>
    <row r="3">
      <c r="A3" s="4" t="inlineStr">
        <is>
          <t>Missing Title</t>
        </is>
      </c>
      <c r="B3" s="25" t="inlineStr">
        <is>
          <t>Critical</t>
        </is>
      </c>
      <c r="C3" s="26" t="n">
        <v>105</v>
      </c>
      <c r="D3" s="31" t="n">
        <v>0</v>
      </c>
      <c r="E3" s="32" t="inlineStr"/>
      <c r="F3" s="4" t="inlineStr">
        <is>
          <t>Technical</t>
        </is>
      </c>
      <c r="G3" s="4" t="inlineStr">
        <is>
          <t>Manual Content</t>
        </is>
      </c>
      <c r="H3" s="32" t="inlineStr"/>
      <c r="I3" s="4" t="inlineStr">
        <is>
          <t>Add unique descriptive title on affected template/page type.</t>
        </is>
      </c>
      <c r="J3" s="4" t="inlineStr">
        <is>
          <t>Template/page missing title tag.</t>
        </is>
      </c>
      <c r="K3" s="4" t="inlineStr">
        <is>
          <t>Copy Writer</t>
        </is>
      </c>
      <c r="L3" s="4" t="inlineStr">
        <is>
          <t>Copy Writer</t>
        </is>
      </c>
      <c r="M3" s="4" t="inlineStr">
        <is>
          <t>M</t>
        </is>
      </c>
      <c r="N3" s="4" t="n">
        <v>10</v>
      </c>
      <c r="O3" s="29" t="n">
        <v>5</v>
      </c>
      <c r="P3" s="25" t="inlineStr">
        <is>
          <t>Immediate (Current Sprint)</t>
        </is>
      </c>
      <c r="Q3" s="25" t="inlineStr">
        <is>
          <t>To Do</t>
        </is>
      </c>
      <c r="R3" s="4" t="inlineStr"/>
      <c r="S3" s="33" t="inlineStr"/>
      <c r="T3" s="4" t="inlineStr">
        <is>
          <t>High Risk</t>
        </is>
      </c>
      <c r="U3" s="4" t="inlineStr">
        <is>
          <t>Yes</t>
        </is>
      </c>
      <c r="V3" s="4" t="inlineStr">
        <is>
          <t>Open in Main Tab</t>
        </is>
      </c>
      <c r="W3" s="4" t="inlineStr"/>
      <c r="X3" s="4" t="inlineStr">
        <is>
          <t>SEO</t>
        </is>
      </c>
      <c r="Y3" s="4" t="inlineStr">
        <is>
          <t>Content</t>
        </is>
      </c>
      <c r="Z3" s="4" t="inlineStr">
        <is>
          <t>Low</t>
        </is>
      </c>
      <c r="AA3" s="4" t="n">
        <v>10</v>
      </c>
      <c r="AB3" s="4" t="n">
        <v>0</v>
      </c>
      <c r="AC3" s="4" t="inlineStr">
        <is>
          <t>Resolve 'Missing Title' using content best practices and validate in the related detail tab.</t>
        </is>
      </c>
      <c r="AD3" s="4" t="inlineStr">
        <is>
          <t>Open</t>
        </is>
      </c>
      <c r="AE3" s="4">
        <f>IFERROR(INDEX('Content Optimization Hub'!A:A,MATCH(H3,'Content Optimization Hub'!C:C,0)),"Not in Hub")</f>
        <v/>
      </c>
      <c r="AF3" s="4" t="inlineStr"/>
    </row>
    <row r="4">
      <c r="A4" s="22" t="inlineStr">
        <is>
          <t>Noindex Directive</t>
        </is>
      </c>
      <c r="B4" s="25" t="inlineStr">
        <is>
          <t>Critical</t>
        </is>
      </c>
      <c r="C4" s="26" t="n">
        <v>105</v>
      </c>
      <c r="D4" s="27" t="n">
        <v>0</v>
      </c>
      <c r="E4" s="28" t="inlineStr"/>
      <c r="F4" s="22" t="inlineStr">
        <is>
          <t>Indexability</t>
        </is>
      </c>
      <c r="G4" s="22" t="inlineStr">
        <is>
          <t>Manual Content</t>
        </is>
      </c>
      <c r="H4" s="28" t="inlineStr"/>
      <c r="I4" s="22" t="inlineStr">
        <is>
          <t>Remove unintended noindex directives on index-worthy URLs.</t>
        </is>
      </c>
      <c r="J4" s="22" t="inlineStr">
        <is>
          <t>Meta robots or X-Robots-Tag contains noindex.</t>
        </is>
      </c>
      <c r="K4" s="22" t="inlineStr">
        <is>
          <t>Dev</t>
        </is>
      </c>
      <c r="L4" s="22" t="inlineStr">
        <is>
          <t>Dev</t>
        </is>
      </c>
      <c r="M4" s="22" t="inlineStr">
        <is>
          <t>M</t>
        </is>
      </c>
      <c r="N4" s="22" t="n">
        <v>10</v>
      </c>
      <c r="O4" s="29" t="n">
        <v>5</v>
      </c>
      <c r="P4" s="25" t="inlineStr">
        <is>
          <t>Immediate (Current Sprint)</t>
        </is>
      </c>
      <c r="Q4" s="25" t="inlineStr">
        <is>
          <t>To Do</t>
        </is>
      </c>
      <c r="R4" s="22" t="inlineStr"/>
      <c r="S4" s="30" t="inlineStr"/>
      <c r="T4" s="22" t="inlineStr">
        <is>
          <t>High Risk</t>
        </is>
      </c>
      <c r="U4" s="22" t="inlineStr">
        <is>
          <t>Yes</t>
        </is>
      </c>
      <c r="V4" s="22" t="inlineStr">
        <is>
          <t>Open in Main Tab</t>
        </is>
      </c>
      <c r="W4" s="22" t="inlineStr"/>
      <c r="X4" s="22" t="inlineStr">
        <is>
          <t>SEO</t>
        </is>
      </c>
      <c r="Y4" s="22" t="inlineStr">
        <is>
          <t>Technical</t>
        </is>
      </c>
      <c r="Z4" s="22" t="inlineStr">
        <is>
          <t>Low</t>
        </is>
      </c>
      <c r="AA4" s="22" t="n">
        <v>10</v>
      </c>
      <c r="AB4" s="22" t="n">
        <v>0</v>
      </c>
      <c r="AC4" s="22" t="inlineStr">
        <is>
          <t>Resolve 'Noindex Directive' using technical best practices and validate in the related detail tab.</t>
        </is>
      </c>
      <c r="AD4" s="22" t="inlineStr">
        <is>
          <t>Open</t>
        </is>
      </c>
      <c r="AE4" s="22">
        <f>IFERROR(INDEX('Content Optimization Hub'!A:A,MATCH(H4,'Content Optimization Hub'!C:C,0)),"Not in Hub")</f>
        <v/>
      </c>
      <c r="AF4" s="22" t="inlineStr"/>
      <c r="AG4" s="24" t="n"/>
    </row>
    <row r="5">
      <c r="A5" s="4" t="inlineStr">
        <is>
          <t>Canonical Points Elsewhere</t>
        </is>
      </c>
      <c r="B5" s="25" t="inlineStr">
        <is>
          <t>Critical</t>
        </is>
      </c>
      <c r="C5" s="26" t="n">
        <v>105</v>
      </c>
      <c r="D5" s="31" t="n">
        <v>0</v>
      </c>
      <c r="E5" s="32" t="inlineStr"/>
      <c r="F5" s="4" t="inlineStr">
        <is>
          <t>Indexability</t>
        </is>
      </c>
      <c r="G5" s="4" t="inlineStr">
        <is>
          <t>Global Template</t>
        </is>
      </c>
      <c r="H5" s="32" t="inlineStr"/>
      <c r="I5" s="4" t="inlineStr">
        <is>
          <t>Align canonical to preferred final URL and ensure internal links use canonical target.</t>
        </is>
      </c>
      <c r="J5" s="4" t="inlineStr">
        <is>
          <t>Canonical targets a different URL variant.</t>
        </is>
      </c>
      <c r="K5" s="4" t="inlineStr">
        <is>
          <t>Dev</t>
        </is>
      </c>
      <c r="L5" s="4" t="inlineStr">
        <is>
          <t>Dev</t>
        </is>
      </c>
      <c r="M5" s="4" t="inlineStr">
        <is>
          <t>M</t>
        </is>
      </c>
      <c r="N5" s="4" t="n">
        <v>10</v>
      </c>
      <c r="O5" s="29" t="n">
        <v>5</v>
      </c>
      <c r="P5" s="25" t="inlineStr">
        <is>
          <t>Immediate (Current Sprint)</t>
        </is>
      </c>
      <c r="Q5" s="25" t="inlineStr">
        <is>
          <t>To Do</t>
        </is>
      </c>
      <c r="R5" s="4" t="inlineStr"/>
      <c r="S5" s="33" t="inlineStr"/>
      <c r="T5" s="4" t="inlineStr">
        <is>
          <t>High Risk</t>
        </is>
      </c>
      <c r="U5" s="4" t="inlineStr">
        <is>
          <t>Yes</t>
        </is>
      </c>
      <c r="V5" s="4" t="inlineStr">
        <is>
          <t>Open in Main Tab</t>
        </is>
      </c>
      <c r="W5" s="4" t="inlineStr"/>
      <c r="X5" s="4" t="inlineStr">
        <is>
          <t>SEO</t>
        </is>
      </c>
      <c r="Y5" s="4" t="inlineStr">
        <is>
          <t>Technical</t>
        </is>
      </c>
      <c r="Z5" s="4" t="inlineStr">
        <is>
          <t>Low</t>
        </is>
      </c>
      <c r="AA5" s="4" t="n">
        <v>10</v>
      </c>
      <c r="AB5" s="4" t="n">
        <v>0</v>
      </c>
      <c r="AC5" s="4" t="inlineStr">
        <is>
          <t>Resolve 'Canonical Points Elsewhere' using technical best practices and validate in the related detail tab.</t>
        </is>
      </c>
      <c r="AD5" s="4" t="inlineStr">
        <is>
          <t>Open</t>
        </is>
      </c>
      <c r="AE5" s="4">
        <f>IFERROR(INDEX('Content Optimization Hub'!A:A,MATCH(H5,'Content Optimization Hub'!C:C,0)),"Not in Hub")</f>
        <v/>
      </c>
      <c r="AF5" s="4" t="inlineStr"/>
    </row>
    <row r="6">
      <c r="A6" s="22" t="inlineStr">
        <is>
          <t>Robots.txt Disallow Root</t>
        </is>
      </c>
      <c r="B6" s="25" t="inlineStr">
        <is>
          <t>Critical</t>
        </is>
      </c>
      <c r="C6" s="26" t="n">
        <v>105</v>
      </c>
      <c r="D6" s="27" t="n">
        <v>0</v>
      </c>
      <c r="E6" s="28" t="inlineStr"/>
      <c r="F6" s="22" t="inlineStr">
        <is>
          <t>Technical</t>
        </is>
      </c>
      <c r="G6" s="22" t="inlineStr">
        <is>
          <t>Global Template</t>
        </is>
      </c>
      <c r="H6" s="28" t="inlineStr"/>
      <c r="I6" s="22" t="inlineStr">
        <is>
          <t>Apply fix based on issue type and re-run audit.</t>
        </is>
      </c>
      <c r="J6" s="22" t="inlineStr">
        <is>
          <t>Template/technical implementation quality issue.</t>
        </is>
      </c>
      <c r="K6" s="22" t="inlineStr">
        <is>
          <t>Server/Host</t>
        </is>
      </c>
      <c r="L6" s="22" t="inlineStr">
        <is>
          <t>Server/Host</t>
        </is>
      </c>
      <c r="M6" s="22" t="inlineStr">
        <is>
          <t>M</t>
        </is>
      </c>
      <c r="N6" s="22" t="n">
        <v>10</v>
      </c>
      <c r="O6" s="29" t="n">
        <v>5</v>
      </c>
      <c r="P6" s="25" t="inlineStr">
        <is>
          <t>Immediate (Current Sprint)</t>
        </is>
      </c>
      <c r="Q6" s="25" t="inlineStr">
        <is>
          <t>To Do</t>
        </is>
      </c>
      <c r="R6" s="22" t="inlineStr"/>
      <c r="S6" s="30" t="inlineStr"/>
      <c r="T6" s="22" t="inlineStr">
        <is>
          <t>High Risk</t>
        </is>
      </c>
      <c r="U6" s="22" t="inlineStr">
        <is>
          <t>Yes</t>
        </is>
      </c>
      <c r="V6" s="22" t="inlineStr">
        <is>
          <t>Open in Main Tab</t>
        </is>
      </c>
      <c r="W6" s="22" t="inlineStr"/>
      <c r="X6" s="22" t="inlineStr">
        <is>
          <t>SEO</t>
        </is>
      </c>
      <c r="Y6" s="22" t="inlineStr">
        <is>
          <t>Content</t>
        </is>
      </c>
      <c r="Z6" s="22" t="inlineStr">
        <is>
          <t>Low</t>
        </is>
      </c>
      <c r="AA6" s="22" t="n">
        <v>10</v>
      </c>
      <c r="AB6" s="22" t="n">
        <v>0</v>
      </c>
      <c r="AC6" s="22" t="inlineStr">
        <is>
          <t>Resolve 'Robots.txt Disallow Root' using content best practices and validate in the related detail tab.</t>
        </is>
      </c>
      <c r="AD6" s="22" t="inlineStr">
        <is>
          <t>Open</t>
        </is>
      </c>
      <c r="AE6" s="22">
        <f>IFERROR(INDEX('Content Optimization Hub'!A:A,MATCH(H6,'Content Optimization Hub'!C:C,0)),"Not in Hub")</f>
        <v/>
      </c>
      <c r="AF6" s="22" t="inlineStr"/>
      <c r="AG6" s="24" t="n"/>
    </row>
    <row r="7">
      <c r="A7" s="4" t="inlineStr">
        <is>
          <t>CWV LCP Above 4.0s</t>
        </is>
      </c>
      <c r="B7" s="25" t="inlineStr">
        <is>
          <t>Critical</t>
        </is>
      </c>
      <c r="C7" s="26" t="n">
        <v>105</v>
      </c>
      <c r="D7" s="31" t="n">
        <v>0</v>
      </c>
      <c r="E7" s="32" t="inlineStr"/>
      <c r="F7" s="4" t="inlineStr">
        <is>
          <t>Technical</t>
        </is>
      </c>
      <c r="G7" s="4" t="inlineStr">
        <is>
          <t>Global Template</t>
        </is>
      </c>
      <c r="H7" s="32" t="inlineStr"/>
      <c r="I7" s="4" t="inlineStr">
        <is>
          <t>Apply fix based on issue type and re-run audit.</t>
        </is>
      </c>
      <c r="J7" s="4" t="inlineStr">
        <is>
          <t>Template/technical implementation quality issue.</t>
        </is>
      </c>
      <c r="K7" s="4" t="inlineStr">
        <is>
          <t>Dev</t>
        </is>
      </c>
      <c r="L7" s="4" t="inlineStr">
        <is>
          <t>Dev</t>
        </is>
      </c>
      <c r="M7" s="4" t="inlineStr">
        <is>
          <t>M</t>
        </is>
      </c>
      <c r="N7" s="4" t="n">
        <v>10</v>
      </c>
      <c r="O7" s="29" t="n">
        <v>5</v>
      </c>
      <c r="P7" s="25" t="inlineStr">
        <is>
          <t>Immediate (Current Sprint)</t>
        </is>
      </c>
      <c r="Q7" s="25" t="inlineStr">
        <is>
          <t>To Do</t>
        </is>
      </c>
      <c r="R7" s="4" t="inlineStr"/>
      <c r="S7" s="33" t="inlineStr"/>
      <c r="T7" s="4" t="inlineStr">
        <is>
          <t>High Risk</t>
        </is>
      </c>
      <c r="U7" s="4" t="inlineStr">
        <is>
          <t>Yes</t>
        </is>
      </c>
      <c r="V7" s="4" t="inlineStr">
        <is>
          <t>Open in Main Tab</t>
        </is>
      </c>
      <c r="W7" s="4" t="inlineStr"/>
      <c r="X7" s="4" t="inlineStr">
        <is>
          <t>SEO</t>
        </is>
      </c>
      <c r="Y7" s="4" t="inlineStr">
        <is>
          <t>Content</t>
        </is>
      </c>
      <c r="Z7" s="4" t="inlineStr">
        <is>
          <t>Low</t>
        </is>
      </c>
      <c r="AA7" s="4" t="n">
        <v>10</v>
      </c>
      <c r="AB7" s="4" t="n">
        <v>0</v>
      </c>
      <c r="AC7" s="4" t="inlineStr">
        <is>
          <t>Resolve 'CWV LCP Above 4.0s' using content best practices and validate in the related detail tab.</t>
        </is>
      </c>
      <c r="AD7" s="4" t="inlineStr">
        <is>
          <t>Open</t>
        </is>
      </c>
      <c r="AE7" s="4">
        <f>IFERROR(INDEX('Content Optimization Hub'!A:A,MATCH(H7,'Content Optimization Hub'!C:C,0)),"Not in Hub")</f>
        <v/>
      </c>
      <c r="AF7" s="4" t="inlineStr"/>
    </row>
    <row r="8">
      <c r="A8" s="22" t="inlineStr">
        <is>
          <t>Broken Internal Links</t>
        </is>
      </c>
      <c r="B8" s="25" t="inlineStr">
        <is>
          <t>Critical</t>
        </is>
      </c>
      <c r="C8" s="26" t="n">
        <v>105</v>
      </c>
      <c r="D8" s="27" t="n">
        <v>0</v>
      </c>
      <c r="E8" s="28" t="inlineStr"/>
      <c r="F8" s="22" t="inlineStr">
        <is>
          <t>Links</t>
        </is>
      </c>
      <c r="G8" s="22" t="inlineStr">
        <is>
          <t>Manual Content</t>
        </is>
      </c>
      <c r="H8" s="28" t="inlineStr"/>
      <c r="I8" s="22" t="inlineStr">
        <is>
          <t>Update internal links to valid URLs and remove dead references.</t>
        </is>
      </c>
      <c r="J8" s="22" t="inlineStr">
        <is>
          <t>Internal links resolve to missing or error pages.</t>
        </is>
      </c>
      <c r="K8" s="22" t="inlineStr">
        <is>
          <t>Dev</t>
        </is>
      </c>
      <c r="L8" s="22" t="inlineStr">
        <is>
          <t>Dev</t>
        </is>
      </c>
      <c r="M8" s="22" t="inlineStr">
        <is>
          <t>M</t>
        </is>
      </c>
      <c r="N8" s="22" t="n">
        <v>10</v>
      </c>
      <c r="O8" s="29" t="n">
        <v>5</v>
      </c>
      <c r="P8" s="25" t="inlineStr">
        <is>
          <t>Immediate (Current Sprint)</t>
        </is>
      </c>
      <c r="Q8" s="25" t="inlineStr">
        <is>
          <t>To Do</t>
        </is>
      </c>
      <c r="R8" s="22" t="inlineStr"/>
      <c r="S8" s="30" t="inlineStr"/>
      <c r="T8" s="22" t="inlineStr">
        <is>
          <t>High Risk</t>
        </is>
      </c>
      <c r="U8" s="22" t="inlineStr">
        <is>
          <t>Yes</t>
        </is>
      </c>
      <c r="V8" s="22" t="inlineStr">
        <is>
          <t>Open in Main Tab</t>
        </is>
      </c>
      <c r="W8" s="22" t="inlineStr"/>
      <c r="X8" s="22" t="inlineStr">
        <is>
          <t>SEO</t>
        </is>
      </c>
      <c r="Y8" s="22" t="inlineStr">
        <is>
          <t>Content</t>
        </is>
      </c>
      <c r="Z8" s="22" t="inlineStr">
        <is>
          <t>Low</t>
        </is>
      </c>
      <c r="AA8" s="22" t="n">
        <v>10</v>
      </c>
      <c r="AB8" s="22" t="n">
        <v>0</v>
      </c>
      <c r="AC8" s="22" t="inlineStr">
        <is>
          <t>Resolve 'Broken Internal Links' using content best practices and validate in the related detail tab.</t>
        </is>
      </c>
      <c r="AD8" s="22" t="inlineStr">
        <is>
          <t>Open</t>
        </is>
      </c>
      <c r="AE8" s="22">
        <f>IFERROR(INDEX('Content Optimization Hub'!A:A,MATCH(H8,'Content Optimization Hub'!C:C,0)),"Not in Hub")</f>
        <v/>
      </c>
      <c r="AF8" s="22" t="inlineStr"/>
      <c r="AG8" s="24" t="n"/>
    </row>
    <row r="9">
      <c r="A9" s="4" t="inlineStr">
        <is>
          <t>Redirect Chains</t>
        </is>
      </c>
      <c r="B9" s="34" t="inlineStr">
        <is>
          <t>Warning</t>
        </is>
      </c>
      <c r="C9" s="29" t="n">
        <v>67</v>
      </c>
      <c r="D9" s="31" t="n">
        <v>0</v>
      </c>
      <c r="E9" s="32" t="inlineStr"/>
      <c r="F9" s="4" t="inlineStr">
        <is>
          <t>Technical</t>
        </is>
      </c>
      <c r="G9" s="4" t="inlineStr">
        <is>
          <t>Global Template</t>
        </is>
      </c>
      <c r="H9" s="32" t="inlineStr"/>
      <c r="I9" s="4" t="inlineStr">
        <is>
          <t>Apply fix based on issue type and re-run audit.</t>
        </is>
      </c>
      <c r="J9" s="4" t="inlineStr">
        <is>
          <t>Template/technical implementation quality issue.</t>
        </is>
      </c>
      <c r="K9" s="4" t="inlineStr">
        <is>
          <t>Dev</t>
        </is>
      </c>
      <c r="L9" s="4" t="inlineStr">
        <is>
          <t>Dev</t>
        </is>
      </c>
      <c r="M9" s="4" t="inlineStr">
        <is>
          <t>S</t>
        </is>
      </c>
      <c r="N9" s="4" t="n">
        <v>4</v>
      </c>
      <c r="O9" s="35" t="n">
        <v>2</v>
      </c>
      <c r="P9" s="36" t="inlineStr">
        <is>
          <t>Next Sprint</t>
        </is>
      </c>
      <c r="Q9" s="25" t="inlineStr">
        <is>
          <t>To Do</t>
        </is>
      </c>
      <c r="R9" s="4" t="inlineStr"/>
      <c r="S9" s="33" t="inlineStr"/>
      <c r="T9" s="4" t="inlineStr">
        <is>
          <t>Medium Risk</t>
        </is>
      </c>
      <c r="U9" s="4" t="inlineStr">
        <is>
          <t>Yes</t>
        </is>
      </c>
      <c r="V9" s="4" t="inlineStr">
        <is>
          <t>Open in Main Tab</t>
        </is>
      </c>
      <c r="W9" s="4" t="inlineStr"/>
      <c r="X9" s="4" t="inlineStr">
        <is>
          <t>SEO</t>
        </is>
      </c>
      <c r="Y9" s="4" t="inlineStr">
        <is>
          <t>Technical</t>
        </is>
      </c>
      <c r="Z9" s="4" t="inlineStr">
        <is>
          <t>Low</t>
        </is>
      </c>
      <c r="AA9" s="4" t="n">
        <v>4</v>
      </c>
      <c r="AB9" s="4" t="n">
        <v>0</v>
      </c>
      <c r="AC9" s="4" t="inlineStr">
        <is>
          <t>Resolve 'Redirect Chains' using technical best practices and validate in the related detail tab.</t>
        </is>
      </c>
      <c r="AD9" s="4" t="inlineStr">
        <is>
          <t>Open</t>
        </is>
      </c>
      <c r="AE9" s="4">
        <f>IFERROR(INDEX('Content Optimization Hub'!A:A,MATCH(H9,'Content Optimization Hub'!C:C,0)),"Not in Hub")</f>
        <v/>
      </c>
      <c r="AF9" s="4" t="inlineStr"/>
    </row>
    <row r="10">
      <c r="A10" s="22" t="inlineStr">
        <is>
          <t>Missing Meta Description</t>
        </is>
      </c>
      <c r="B10" s="34" t="inlineStr">
        <is>
          <t>Warning</t>
        </is>
      </c>
      <c r="C10" s="29" t="n">
        <v>67</v>
      </c>
      <c r="D10" s="27" t="n">
        <v>0</v>
      </c>
      <c r="E10" s="28" t="inlineStr"/>
      <c r="F10" s="22" t="inlineStr">
        <is>
          <t>Technical</t>
        </is>
      </c>
      <c r="G10" s="22" t="inlineStr">
        <is>
          <t>Manual Content</t>
        </is>
      </c>
      <c r="H10" s="28" t="inlineStr"/>
      <c r="I10" s="22" t="inlineStr">
        <is>
          <t>Add concise unique description aligned with user intent.</t>
        </is>
      </c>
      <c r="J10" s="22" t="inlineStr">
        <is>
          <t>Meta description missing or empty.</t>
        </is>
      </c>
      <c r="K10" s="22" t="inlineStr">
        <is>
          <t>Copy Writer</t>
        </is>
      </c>
      <c r="L10" s="22" t="inlineStr">
        <is>
          <t>Copy Writer</t>
        </is>
      </c>
      <c r="M10" s="22" t="inlineStr">
        <is>
          <t>S</t>
        </is>
      </c>
      <c r="N10" s="22" t="n">
        <v>4</v>
      </c>
      <c r="O10" s="35" t="n">
        <v>2</v>
      </c>
      <c r="P10" s="36" t="inlineStr">
        <is>
          <t>Next Sprint</t>
        </is>
      </c>
      <c r="Q10" s="25" t="inlineStr">
        <is>
          <t>To Do</t>
        </is>
      </c>
      <c r="R10" s="22" t="inlineStr"/>
      <c r="S10" s="30" t="inlineStr"/>
      <c r="T10" s="22" t="inlineStr">
        <is>
          <t>Medium Risk</t>
        </is>
      </c>
      <c r="U10" s="22" t="inlineStr">
        <is>
          <t>Yes</t>
        </is>
      </c>
      <c r="V10" s="22" t="inlineStr">
        <is>
          <t>Open in Main Tab</t>
        </is>
      </c>
      <c r="W10" s="22" t="inlineStr"/>
      <c r="X10" s="22" t="inlineStr">
        <is>
          <t>SEO</t>
        </is>
      </c>
      <c r="Y10" s="22" t="inlineStr">
        <is>
          <t>Content</t>
        </is>
      </c>
      <c r="Z10" s="22" t="inlineStr">
        <is>
          <t>Low</t>
        </is>
      </c>
      <c r="AA10" s="22" t="n">
        <v>4</v>
      </c>
      <c r="AB10" s="22" t="n">
        <v>0</v>
      </c>
      <c r="AC10" s="22" t="inlineStr">
        <is>
          <t>Resolve 'Missing Meta Description' using content best practices and validate in the related detail tab.</t>
        </is>
      </c>
      <c r="AD10" s="22" t="inlineStr">
        <is>
          <t>Open</t>
        </is>
      </c>
      <c r="AE10" s="22">
        <f>IFERROR(INDEX('Content Optimization Hub'!A:A,MATCH(H10,'Content Optimization Hub'!C:C,0)),"Not in Hub")</f>
        <v/>
      </c>
      <c r="AF10" s="22" t="inlineStr"/>
      <c r="AG10" s="24" t="n"/>
    </row>
    <row r="11">
      <c r="A11" s="4" t="inlineStr">
        <is>
          <t>Missing H1</t>
        </is>
      </c>
      <c r="B11" s="34" t="inlineStr">
        <is>
          <t>Warning</t>
        </is>
      </c>
      <c r="C11" s="29" t="n">
        <v>67</v>
      </c>
      <c r="D11" s="31" t="n">
        <v>0</v>
      </c>
      <c r="E11" s="32" t="inlineStr"/>
      <c r="F11" s="4" t="inlineStr">
        <is>
          <t>Technical</t>
        </is>
      </c>
      <c r="G11" s="4" t="inlineStr">
        <is>
          <t>Manual Content</t>
        </is>
      </c>
      <c r="H11" s="32" t="inlineStr"/>
      <c r="I11" s="4" t="inlineStr">
        <is>
          <t>Apply fix based on issue type and re-run audit.</t>
        </is>
      </c>
      <c r="J11" s="4" t="inlineStr">
        <is>
          <t>Template/technical implementation quality issue.</t>
        </is>
      </c>
      <c r="K11" s="4" t="inlineStr">
        <is>
          <t>Copy Writer</t>
        </is>
      </c>
      <c r="L11" s="4" t="inlineStr">
        <is>
          <t>Copy Writer</t>
        </is>
      </c>
      <c r="M11" s="4" t="inlineStr">
        <is>
          <t>S</t>
        </is>
      </c>
      <c r="N11" s="4" t="n">
        <v>4</v>
      </c>
      <c r="O11" s="35" t="n">
        <v>2</v>
      </c>
      <c r="P11" s="36" t="inlineStr">
        <is>
          <t>Next Sprint</t>
        </is>
      </c>
      <c r="Q11" s="25" t="inlineStr">
        <is>
          <t>To Do</t>
        </is>
      </c>
      <c r="R11" s="4" t="inlineStr"/>
      <c r="S11" s="33" t="inlineStr"/>
      <c r="T11" s="4" t="inlineStr">
        <is>
          <t>Medium Risk</t>
        </is>
      </c>
      <c r="U11" s="4" t="inlineStr">
        <is>
          <t>Yes</t>
        </is>
      </c>
      <c r="V11" s="4" t="inlineStr">
        <is>
          <t>Open in Main Tab</t>
        </is>
      </c>
      <c r="W11" s="4" t="inlineStr"/>
      <c r="X11" s="4" t="inlineStr">
        <is>
          <t>SEO</t>
        </is>
      </c>
      <c r="Y11" s="4" t="inlineStr">
        <is>
          <t>Content</t>
        </is>
      </c>
      <c r="Z11" s="4" t="inlineStr">
        <is>
          <t>Low</t>
        </is>
      </c>
      <c r="AA11" s="4" t="n">
        <v>4</v>
      </c>
      <c r="AB11" s="4" t="n">
        <v>0</v>
      </c>
      <c r="AC11" s="4" t="inlineStr">
        <is>
          <t>Resolve 'Missing H1' using content best practices and validate in the related detail tab.</t>
        </is>
      </c>
      <c r="AD11" s="4" t="inlineStr">
        <is>
          <t>Open</t>
        </is>
      </c>
      <c r="AE11" s="4">
        <f>IFERROR(INDEX('Content Optimization Hub'!A:A,MATCH(H11,'Content Optimization Hub'!C:C,0)),"Not in Hub")</f>
        <v/>
      </c>
      <c r="AF11" s="4" t="inlineStr"/>
    </row>
    <row r="12">
      <c r="A12" s="22" t="inlineStr">
        <is>
          <t>Multiple H1</t>
        </is>
      </c>
      <c r="B12" s="34" t="inlineStr">
        <is>
          <t>Warning</t>
        </is>
      </c>
      <c r="C12" s="29" t="n">
        <v>67</v>
      </c>
      <c r="D12" s="27" t="n">
        <v>0</v>
      </c>
      <c r="E12" s="28" t="inlineStr"/>
      <c r="F12" s="22" t="inlineStr">
        <is>
          <t>Technical</t>
        </is>
      </c>
      <c r="G12" s="22" t="inlineStr">
        <is>
          <t>Manual Content</t>
        </is>
      </c>
      <c r="H12" s="28" t="inlineStr"/>
      <c r="I12" s="22" t="inlineStr">
        <is>
          <t>Apply fix based on issue type and re-run audit.</t>
        </is>
      </c>
      <c r="J12" s="22" t="inlineStr">
        <is>
          <t>Template/technical implementation quality issue.</t>
        </is>
      </c>
      <c r="K12" s="22" t="inlineStr">
        <is>
          <t>Copy Writer</t>
        </is>
      </c>
      <c r="L12" s="22" t="inlineStr">
        <is>
          <t>Copy Writer</t>
        </is>
      </c>
      <c r="M12" s="22" t="inlineStr">
        <is>
          <t>S</t>
        </is>
      </c>
      <c r="N12" s="22" t="n">
        <v>4</v>
      </c>
      <c r="O12" s="35" t="n">
        <v>2</v>
      </c>
      <c r="P12" s="36" t="inlineStr">
        <is>
          <t>Next Sprint</t>
        </is>
      </c>
      <c r="Q12" s="25" t="inlineStr">
        <is>
          <t>To Do</t>
        </is>
      </c>
      <c r="R12" s="22" t="inlineStr"/>
      <c r="S12" s="30" t="inlineStr"/>
      <c r="T12" s="22" t="inlineStr">
        <is>
          <t>Medium Risk</t>
        </is>
      </c>
      <c r="U12" s="22" t="inlineStr">
        <is>
          <t>Yes</t>
        </is>
      </c>
      <c r="V12" s="22" t="inlineStr">
        <is>
          <t>Open in Main Tab</t>
        </is>
      </c>
      <c r="W12" s="22" t="inlineStr"/>
      <c r="X12" s="22" t="inlineStr">
        <is>
          <t>SEO</t>
        </is>
      </c>
      <c r="Y12" s="22" t="inlineStr">
        <is>
          <t>Content</t>
        </is>
      </c>
      <c r="Z12" s="22" t="inlineStr">
        <is>
          <t>Low</t>
        </is>
      </c>
      <c r="AA12" s="22" t="n">
        <v>4</v>
      </c>
      <c r="AB12" s="22" t="n">
        <v>0</v>
      </c>
      <c r="AC12" s="22" t="inlineStr">
        <is>
          <t>Resolve 'Multiple H1' using content best practices and validate in the related detail tab.</t>
        </is>
      </c>
      <c r="AD12" s="22" t="inlineStr">
        <is>
          <t>Open</t>
        </is>
      </c>
      <c r="AE12" s="22">
        <f>IFERROR(INDEX('Content Optimization Hub'!A:A,MATCH(H12,'Content Optimization Hub'!C:C,0)),"Not in Hub")</f>
        <v/>
      </c>
      <c r="AF12" s="22" t="inlineStr"/>
      <c r="AG12" s="24" t="n"/>
    </row>
    <row r="13">
      <c r="A13" s="4" t="inlineStr">
        <is>
          <t>CWV LCP Needs Improvement (2.5-4.0s)</t>
        </is>
      </c>
      <c r="B13" s="34" t="inlineStr">
        <is>
          <t>Warning</t>
        </is>
      </c>
      <c r="C13" s="29" t="n">
        <v>67</v>
      </c>
      <c r="D13" s="31" t="n">
        <v>0</v>
      </c>
      <c r="E13" s="32" t="inlineStr"/>
      <c r="F13" s="4" t="inlineStr">
        <is>
          <t>Technical</t>
        </is>
      </c>
      <c r="G13" s="4" t="inlineStr">
        <is>
          <t>Global Template</t>
        </is>
      </c>
      <c r="H13" s="32" t="inlineStr"/>
      <c r="I13" s="4" t="inlineStr">
        <is>
          <t>Apply fix based on issue type and re-run audit.</t>
        </is>
      </c>
      <c r="J13" s="4" t="inlineStr">
        <is>
          <t>Template/technical implementation quality issue.</t>
        </is>
      </c>
      <c r="K13" s="4" t="inlineStr">
        <is>
          <t>Copy Writer</t>
        </is>
      </c>
      <c r="L13" s="4" t="inlineStr">
        <is>
          <t>Copy Writer</t>
        </is>
      </c>
      <c r="M13" s="4" t="inlineStr">
        <is>
          <t>S</t>
        </is>
      </c>
      <c r="N13" s="4" t="n">
        <v>4</v>
      </c>
      <c r="O13" s="35" t="n">
        <v>2</v>
      </c>
      <c r="P13" s="36" t="inlineStr">
        <is>
          <t>Next Sprint</t>
        </is>
      </c>
      <c r="Q13" s="25" t="inlineStr">
        <is>
          <t>To Do</t>
        </is>
      </c>
      <c r="R13" s="4" t="inlineStr"/>
      <c r="S13" s="33" t="inlineStr"/>
      <c r="T13" s="4" t="inlineStr">
        <is>
          <t>Medium Risk</t>
        </is>
      </c>
      <c r="U13" s="4" t="inlineStr">
        <is>
          <t>Yes</t>
        </is>
      </c>
      <c r="V13" s="4" t="inlineStr">
        <is>
          <t>Open in Main Tab</t>
        </is>
      </c>
      <c r="W13" s="4" t="inlineStr"/>
      <c r="X13" s="4" t="inlineStr">
        <is>
          <t>SEO</t>
        </is>
      </c>
      <c r="Y13" s="4" t="inlineStr">
        <is>
          <t>Content</t>
        </is>
      </c>
      <c r="Z13" s="4" t="inlineStr">
        <is>
          <t>Low</t>
        </is>
      </c>
      <c r="AA13" s="4" t="n">
        <v>4</v>
      </c>
      <c r="AB13" s="4" t="n">
        <v>0</v>
      </c>
      <c r="AC13" s="4" t="inlineStr">
        <is>
          <t>Resolve 'CWV LCP Needs Improvement (2.5-4.0s)' using content best practices and validate in the related detail tab.</t>
        </is>
      </c>
      <c r="AD13" s="4" t="inlineStr">
        <is>
          <t>Open</t>
        </is>
      </c>
      <c r="AE13" s="4">
        <f>IFERROR(INDEX('Content Optimization Hub'!A:A,MATCH(H13,'Content Optimization Hub'!C:C,0)),"Not in Hub")</f>
        <v/>
      </c>
      <c r="AF13" s="4" t="inlineStr"/>
    </row>
    <row r="14">
      <c r="A14" s="22" t="inlineStr">
        <is>
          <t>Missing FAQ/QA Schema</t>
        </is>
      </c>
      <c r="B14" s="34" t="inlineStr">
        <is>
          <t>Warning</t>
        </is>
      </c>
      <c r="C14" s="29" t="n">
        <v>67</v>
      </c>
      <c r="D14" s="27" t="n">
        <v>0</v>
      </c>
      <c r="E14" s="28" t="inlineStr"/>
      <c r="F14" s="22" t="inlineStr">
        <is>
          <t>AEO</t>
        </is>
      </c>
      <c r="G14" s="22" t="inlineStr">
        <is>
          <t>Global Template</t>
        </is>
      </c>
      <c r="H14" s="28" t="inlineStr"/>
      <c r="I14" s="22" t="inlineStr">
        <is>
          <t>Add valid FAQPage or QAPage JSON-LD where appropriate and ensure on-page parity.</t>
        </is>
      </c>
      <c r="J14" s="22" t="inlineStr">
        <is>
          <t>No FAQPage/QAPage schema found for likely Q&amp;A style content.</t>
        </is>
      </c>
      <c r="K14" s="22" t="inlineStr">
        <is>
          <t>Dev</t>
        </is>
      </c>
      <c r="L14" s="22" t="inlineStr">
        <is>
          <t>Dev</t>
        </is>
      </c>
      <c r="M14" s="22" t="inlineStr">
        <is>
          <t>S</t>
        </is>
      </c>
      <c r="N14" s="22" t="n">
        <v>4</v>
      </c>
      <c r="O14" s="35" t="n">
        <v>2</v>
      </c>
      <c r="P14" s="36" t="inlineStr">
        <is>
          <t>Next Sprint</t>
        </is>
      </c>
      <c r="Q14" s="25" t="inlineStr">
        <is>
          <t>To Do</t>
        </is>
      </c>
      <c r="R14" s="22" t="inlineStr"/>
      <c r="S14" s="30" t="inlineStr"/>
      <c r="T14" s="22" t="inlineStr">
        <is>
          <t>Medium Risk</t>
        </is>
      </c>
      <c r="U14" s="22" t="inlineStr">
        <is>
          <t>Yes</t>
        </is>
      </c>
      <c r="V14" s="22" t="inlineStr">
        <is>
          <t>Open in Main Tab</t>
        </is>
      </c>
      <c r="W14" s="22" t="inlineStr"/>
      <c r="X14" s="22" t="inlineStr">
        <is>
          <t>AEO</t>
        </is>
      </c>
      <c r="Y14" s="22" t="inlineStr">
        <is>
          <t>Content</t>
        </is>
      </c>
      <c r="Z14" s="22" t="inlineStr">
        <is>
          <t>Low</t>
        </is>
      </c>
      <c r="AA14" s="22" t="n">
        <v>4</v>
      </c>
      <c r="AB14" s="22" t="n">
        <v>0</v>
      </c>
      <c r="AC14" s="22" t="inlineStr">
        <is>
          <t>Resolve 'Missing FAQ/QA Schema' using content best practices and validate in the related detail tab.</t>
        </is>
      </c>
      <c r="AD14" s="22" t="inlineStr">
        <is>
          <t>Open</t>
        </is>
      </c>
      <c r="AE14" s="22">
        <f>IFERROR(INDEX('Content Optimization Hub'!A:A,MATCH(H14,'Content Optimization Hub'!C:C,0)),"Not in Hub")</f>
        <v/>
      </c>
      <c r="AF14" s="22" t="inlineStr"/>
      <c r="AG14" s="24" t="n"/>
    </row>
    <row r="15">
      <c r="A15" s="4" t="inlineStr">
        <is>
          <t>Deep URL (&gt;3 clicks)</t>
        </is>
      </c>
      <c r="B15" s="34" t="inlineStr">
        <is>
          <t>Warning</t>
        </is>
      </c>
      <c r="C15" s="29" t="n">
        <v>67</v>
      </c>
      <c r="D15" s="31" t="n">
        <v>0</v>
      </c>
      <c r="E15" s="32" t="inlineStr"/>
      <c r="F15" s="4" t="inlineStr">
        <is>
          <t>Technical</t>
        </is>
      </c>
      <c r="G15" s="4" t="inlineStr">
        <is>
          <t>Manual Content</t>
        </is>
      </c>
      <c r="H15" s="32" t="inlineStr"/>
      <c r="I15" s="4" t="inlineStr">
        <is>
          <t>Apply fix based on issue type and re-run audit.</t>
        </is>
      </c>
      <c r="J15" s="4" t="inlineStr">
        <is>
          <t>Template/technical implementation quality issue.</t>
        </is>
      </c>
      <c r="K15" s="4" t="inlineStr">
        <is>
          <t>Copy Writer</t>
        </is>
      </c>
      <c r="L15" s="4" t="inlineStr">
        <is>
          <t>Copy Writer</t>
        </is>
      </c>
      <c r="M15" s="4" t="inlineStr">
        <is>
          <t>S</t>
        </is>
      </c>
      <c r="N15" s="4" t="n">
        <v>4</v>
      </c>
      <c r="O15" s="35" t="n">
        <v>2</v>
      </c>
      <c r="P15" s="36" t="inlineStr">
        <is>
          <t>Next Sprint</t>
        </is>
      </c>
      <c r="Q15" s="25" t="inlineStr">
        <is>
          <t>To Do</t>
        </is>
      </c>
      <c r="R15" s="4" t="inlineStr"/>
      <c r="S15" s="33" t="inlineStr"/>
      <c r="T15" s="4" t="inlineStr">
        <is>
          <t>Medium Risk</t>
        </is>
      </c>
      <c r="U15" s="4" t="inlineStr">
        <is>
          <t>Yes</t>
        </is>
      </c>
      <c r="V15" s="4" t="inlineStr">
        <is>
          <t>Open in Main Tab</t>
        </is>
      </c>
      <c r="W15" s="4" t="inlineStr"/>
      <c r="X15" s="4" t="inlineStr">
        <is>
          <t>SEO</t>
        </is>
      </c>
      <c r="Y15" s="4" t="inlineStr">
        <is>
          <t>Content</t>
        </is>
      </c>
      <c r="Z15" s="4" t="inlineStr">
        <is>
          <t>Low</t>
        </is>
      </c>
      <c r="AA15" s="4" t="n">
        <v>4</v>
      </c>
      <c r="AB15" s="4" t="n">
        <v>0</v>
      </c>
      <c r="AC15" s="4" t="inlineStr">
        <is>
          <t>Resolve 'Deep URL (&gt;3 clicks)' using content best practices and validate in the related detail tab.</t>
        </is>
      </c>
      <c r="AD15" s="4" t="inlineStr">
        <is>
          <t>Open</t>
        </is>
      </c>
      <c r="AE15" s="4">
        <f>IFERROR(INDEX('Content Optimization Hub'!A:A,MATCH(H15,'Content Optimization Hub'!C:C,0)),"Not in Hub")</f>
        <v/>
      </c>
      <c r="AF15" s="4" t="inlineStr"/>
    </row>
    <row r="16">
      <c r="A16" s="22" t="inlineStr">
        <is>
          <t>Low Image Alt Coverage</t>
        </is>
      </c>
      <c r="B16" s="34" t="inlineStr">
        <is>
          <t>Warning</t>
        </is>
      </c>
      <c r="C16" s="29" t="n">
        <v>67</v>
      </c>
      <c r="D16" s="27" t="n">
        <v>0</v>
      </c>
      <c r="E16" s="28" t="inlineStr"/>
      <c r="F16" s="22" t="inlineStr">
        <is>
          <t>Technical</t>
        </is>
      </c>
      <c r="G16" s="22" t="inlineStr">
        <is>
          <t>Manual Content</t>
        </is>
      </c>
      <c r="H16" s="28" t="inlineStr"/>
      <c r="I16" s="22" t="inlineStr">
        <is>
          <t>Apply fix based on issue type and re-run audit.</t>
        </is>
      </c>
      <c r="J16" s="22" t="inlineStr">
        <is>
          <t>Template/technical implementation quality issue.</t>
        </is>
      </c>
      <c r="K16" s="22" t="inlineStr">
        <is>
          <t>Copy Writer</t>
        </is>
      </c>
      <c r="L16" s="22" t="inlineStr">
        <is>
          <t>Copy Writer</t>
        </is>
      </c>
      <c r="M16" s="22" t="inlineStr">
        <is>
          <t>S</t>
        </is>
      </c>
      <c r="N16" s="22" t="n">
        <v>4</v>
      </c>
      <c r="O16" s="35" t="n">
        <v>2</v>
      </c>
      <c r="P16" s="36" t="inlineStr">
        <is>
          <t>Next Sprint</t>
        </is>
      </c>
      <c r="Q16" s="25" t="inlineStr">
        <is>
          <t>To Do</t>
        </is>
      </c>
      <c r="R16" s="22" t="inlineStr"/>
      <c r="S16" s="30" t="inlineStr"/>
      <c r="T16" s="22" t="inlineStr">
        <is>
          <t>Medium Risk</t>
        </is>
      </c>
      <c r="U16" s="22" t="inlineStr">
        <is>
          <t>Yes</t>
        </is>
      </c>
      <c r="V16" s="22" t="inlineStr">
        <is>
          <t>Open in Main Tab</t>
        </is>
      </c>
      <c r="W16" s="22" t="inlineStr"/>
      <c r="X16" s="22" t="inlineStr">
        <is>
          <t>SEO</t>
        </is>
      </c>
      <c r="Y16" s="22" t="inlineStr">
        <is>
          <t>Content</t>
        </is>
      </c>
      <c r="Z16" s="22" t="inlineStr">
        <is>
          <t>Low</t>
        </is>
      </c>
      <c r="AA16" s="22" t="n">
        <v>4</v>
      </c>
      <c r="AB16" s="22" t="n">
        <v>0</v>
      </c>
      <c r="AC16" s="22" t="inlineStr">
        <is>
          <t>Resolve 'Low Image Alt Coverage' using content best practices and validate in the related detail tab.</t>
        </is>
      </c>
      <c r="AD16" s="22" t="inlineStr">
        <is>
          <t>Open</t>
        </is>
      </c>
      <c r="AE16" s="22">
        <f>IFERROR(INDEX('Content Optimization Hub'!A:A,MATCH(H16,'Content Optimization Hub'!C:C,0)),"Not in Hub")</f>
        <v/>
      </c>
      <c r="AF16" s="22" t="inlineStr"/>
      <c r="AG16" s="24" t="n"/>
    </row>
    <row r="17">
      <c r="A17" s="4" t="inlineStr">
        <is>
          <t>Mixed Content</t>
        </is>
      </c>
      <c r="B17" s="34" t="inlineStr">
        <is>
          <t>Warning</t>
        </is>
      </c>
      <c r="C17" s="29" t="n">
        <v>67</v>
      </c>
      <c r="D17" s="31" t="n">
        <v>0</v>
      </c>
      <c r="E17" s="32" t="inlineStr"/>
      <c r="F17" s="4" t="inlineStr">
        <is>
          <t>Technical</t>
        </is>
      </c>
      <c r="G17" s="4" t="inlineStr">
        <is>
          <t>Manual Content</t>
        </is>
      </c>
      <c r="H17" s="32" t="inlineStr"/>
      <c r="I17" s="4" t="inlineStr">
        <is>
          <t>Serve all assets over HTTPS and update hardcoded URLs.</t>
        </is>
      </c>
      <c r="J17" s="4" t="inlineStr">
        <is>
          <t>HTTPS page references insecure HTTP assets.</t>
        </is>
      </c>
      <c r="K17" s="4" t="inlineStr">
        <is>
          <t>Dev</t>
        </is>
      </c>
      <c r="L17" s="4" t="inlineStr">
        <is>
          <t>Dev</t>
        </is>
      </c>
      <c r="M17" s="4" t="inlineStr">
        <is>
          <t>S</t>
        </is>
      </c>
      <c r="N17" s="4" t="n">
        <v>4</v>
      </c>
      <c r="O17" s="35" t="n">
        <v>2</v>
      </c>
      <c r="P17" s="36" t="inlineStr">
        <is>
          <t>Next Sprint</t>
        </is>
      </c>
      <c r="Q17" s="25" t="inlineStr">
        <is>
          <t>To Do</t>
        </is>
      </c>
      <c r="R17" s="4" t="inlineStr"/>
      <c r="S17" s="33" t="inlineStr"/>
      <c r="T17" s="4" t="inlineStr">
        <is>
          <t>Medium Risk</t>
        </is>
      </c>
      <c r="U17" s="4" t="inlineStr">
        <is>
          <t>Yes</t>
        </is>
      </c>
      <c r="V17" s="4" t="inlineStr">
        <is>
          <t>Open in Main Tab</t>
        </is>
      </c>
      <c r="W17" s="4" t="inlineStr"/>
      <c r="X17" s="4" t="inlineStr">
        <is>
          <t>SEO</t>
        </is>
      </c>
      <c r="Y17" s="4" t="inlineStr">
        <is>
          <t>Content</t>
        </is>
      </c>
      <c r="Z17" s="4" t="inlineStr">
        <is>
          <t>Low</t>
        </is>
      </c>
      <c r="AA17" s="4" t="n">
        <v>4</v>
      </c>
      <c r="AB17" s="4" t="n">
        <v>0</v>
      </c>
      <c r="AC17" s="4" t="inlineStr">
        <is>
          <t>Resolve 'Mixed Content' using content best practices and validate in the related detail tab.</t>
        </is>
      </c>
      <c r="AD17" s="4" t="inlineStr">
        <is>
          <t>Open</t>
        </is>
      </c>
      <c r="AE17" s="4">
        <f>IFERROR(INDEX('Content Optimization Hub'!A:A,MATCH(H17,'Content Optimization Hub'!C:C,0)),"Not in Hub")</f>
        <v/>
      </c>
      <c r="AF17" s="4" t="inlineStr"/>
    </row>
    <row r="18">
      <c r="A18" s="22" t="inlineStr">
        <is>
          <t>Canonical Missing</t>
        </is>
      </c>
      <c r="B18" s="34" t="inlineStr">
        <is>
          <t>Warning</t>
        </is>
      </c>
      <c r="C18" s="29" t="n">
        <v>67</v>
      </c>
      <c r="D18" s="27" t="n">
        <v>0</v>
      </c>
      <c r="E18" s="28" t="inlineStr"/>
      <c r="F18" s="22" t="inlineStr">
        <is>
          <t>Indexability</t>
        </is>
      </c>
      <c r="G18" s="22" t="inlineStr">
        <is>
          <t>Global Template</t>
        </is>
      </c>
      <c r="H18" s="28" t="inlineStr"/>
      <c r="I18" s="22" t="inlineStr">
        <is>
          <t>Apply fix based on issue type and re-run audit.</t>
        </is>
      </c>
      <c r="J18" s="22" t="inlineStr">
        <is>
          <t>Template/technical implementation quality issue.</t>
        </is>
      </c>
      <c r="K18" s="22" t="inlineStr">
        <is>
          <t>Dev</t>
        </is>
      </c>
      <c r="L18" s="22" t="inlineStr">
        <is>
          <t>Dev</t>
        </is>
      </c>
      <c r="M18" s="22" t="inlineStr">
        <is>
          <t>S</t>
        </is>
      </c>
      <c r="N18" s="22" t="n">
        <v>4</v>
      </c>
      <c r="O18" s="35" t="n">
        <v>2</v>
      </c>
      <c r="P18" s="36" t="inlineStr">
        <is>
          <t>Next Sprint</t>
        </is>
      </c>
      <c r="Q18" s="25" t="inlineStr">
        <is>
          <t>To Do</t>
        </is>
      </c>
      <c r="R18" s="22" t="inlineStr"/>
      <c r="S18" s="30" t="inlineStr"/>
      <c r="T18" s="22" t="inlineStr">
        <is>
          <t>Medium Risk</t>
        </is>
      </c>
      <c r="U18" s="22" t="inlineStr">
        <is>
          <t>Yes</t>
        </is>
      </c>
      <c r="V18" s="22" t="inlineStr">
        <is>
          <t>Open in Main Tab</t>
        </is>
      </c>
      <c r="W18" s="22" t="inlineStr"/>
      <c r="X18" s="22" t="inlineStr">
        <is>
          <t>SEO</t>
        </is>
      </c>
      <c r="Y18" s="22" t="inlineStr">
        <is>
          <t>Technical</t>
        </is>
      </c>
      <c r="Z18" s="22" t="inlineStr">
        <is>
          <t>Low</t>
        </is>
      </c>
      <c r="AA18" s="22" t="n">
        <v>4</v>
      </c>
      <c r="AB18" s="22" t="n">
        <v>0</v>
      </c>
      <c r="AC18" s="22" t="inlineStr">
        <is>
          <t>Resolve 'Canonical Missing' using technical best practices and validate in the related detail tab.</t>
        </is>
      </c>
      <c r="AD18" s="22" t="inlineStr">
        <is>
          <t>Open</t>
        </is>
      </c>
      <c r="AE18" s="22">
        <f>IFERROR(INDEX('Content Optimization Hub'!A:A,MATCH(H18,'Content Optimization Hub'!C:C,0)),"Not in Hub")</f>
        <v/>
      </c>
      <c r="AF18" s="22" t="inlineStr"/>
      <c r="AG18" s="24" t="n"/>
    </row>
    <row r="19">
      <c r="A19" s="4" t="inlineStr">
        <is>
          <t>Hreflang Without Reciprocity</t>
        </is>
      </c>
      <c r="B19" s="34" t="inlineStr">
        <is>
          <t>Warning</t>
        </is>
      </c>
      <c r="C19" s="29" t="n">
        <v>67</v>
      </c>
      <c r="D19" s="31" t="n">
        <v>0</v>
      </c>
      <c r="E19" s="32" t="inlineStr"/>
      <c r="F19" s="4" t="inlineStr">
        <is>
          <t>Technical</t>
        </is>
      </c>
      <c r="G19" s="4" t="inlineStr">
        <is>
          <t>Manual Content</t>
        </is>
      </c>
      <c r="H19" s="32" t="inlineStr"/>
      <c r="I19" s="4" t="inlineStr">
        <is>
          <t>Apply fix based on issue type and re-run audit.</t>
        </is>
      </c>
      <c r="J19" s="4" t="inlineStr">
        <is>
          <t>Template/technical implementation quality issue.</t>
        </is>
      </c>
      <c r="K19" s="4" t="inlineStr">
        <is>
          <t>Copy Writer</t>
        </is>
      </c>
      <c r="L19" s="4" t="inlineStr">
        <is>
          <t>Copy Writer</t>
        </is>
      </c>
      <c r="M19" s="4" t="inlineStr">
        <is>
          <t>S</t>
        </is>
      </c>
      <c r="N19" s="4" t="n">
        <v>4</v>
      </c>
      <c r="O19" s="35" t="n">
        <v>2</v>
      </c>
      <c r="P19" s="36" t="inlineStr">
        <is>
          <t>Next Sprint</t>
        </is>
      </c>
      <c r="Q19" s="25" t="inlineStr">
        <is>
          <t>To Do</t>
        </is>
      </c>
      <c r="R19" s="4" t="inlineStr"/>
      <c r="S19" s="33" t="inlineStr"/>
      <c r="T19" s="4" t="inlineStr">
        <is>
          <t>Medium Risk</t>
        </is>
      </c>
      <c r="U19" s="4" t="inlineStr">
        <is>
          <t>Yes</t>
        </is>
      </c>
      <c r="V19" s="4" t="inlineStr">
        <is>
          <t>Open in Main Tab</t>
        </is>
      </c>
      <c r="W19" s="4" t="inlineStr"/>
      <c r="X19" s="4" t="inlineStr">
        <is>
          <t>SEO</t>
        </is>
      </c>
      <c r="Y19" s="4" t="inlineStr">
        <is>
          <t>Content</t>
        </is>
      </c>
      <c r="Z19" s="4" t="inlineStr">
        <is>
          <t>Low</t>
        </is>
      </c>
      <c r="AA19" s="4" t="n">
        <v>4</v>
      </c>
      <c r="AB19" s="4" t="n">
        <v>0</v>
      </c>
      <c r="AC19" s="4" t="inlineStr">
        <is>
          <t>Resolve 'Hreflang Without Reciprocity' using content best practices and validate in the related detail tab.</t>
        </is>
      </c>
      <c r="AD19" s="4" t="inlineStr">
        <is>
          <t>Open</t>
        </is>
      </c>
      <c r="AE19" s="4">
        <f>IFERROR(INDEX('Content Optimization Hub'!A:A,MATCH(H19,'Content Optimization Hub'!C:C,0)),"Not in Hub")</f>
        <v/>
      </c>
      <c r="AF19" s="4" t="inlineStr"/>
    </row>
    <row r="20">
      <c r="A20" s="22" t="inlineStr">
        <is>
          <t>Low AEO Readiness Score</t>
        </is>
      </c>
      <c r="B20" s="34" t="inlineStr">
        <is>
          <t>Warning</t>
        </is>
      </c>
      <c r="C20" s="29" t="n">
        <v>67</v>
      </c>
      <c r="D20" s="27" t="n">
        <v>0</v>
      </c>
      <c r="E20" s="28" t="inlineStr"/>
      <c r="F20" s="22" t="inlineStr">
        <is>
          <t>AEO</t>
        </is>
      </c>
      <c r="G20" s="22" t="inlineStr">
        <is>
          <t>Manual Content</t>
        </is>
      </c>
      <c r="H20" s="28" t="inlineStr"/>
      <c r="I20" s="22" t="inlineStr">
        <is>
          <t>Add short direct answer blocks, question-led headings, and answer-ready formatting.</t>
        </is>
      </c>
      <c r="J20" s="22" t="inlineStr">
        <is>
          <t>Page lacks concise answer-oriented signals and structured answer patterns.</t>
        </is>
      </c>
      <c r="K20" s="22" t="inlineStr">
        <is>
          <t>Copy Writer</t>
        </is>
      </c>
      <c r="L20" s="22" t="inlineStr">
        <is>
          <t>Copy Writer</t>
        </is>
      </c>
      <c r="M20" s="22" t="inlineStr">
        <is>
          <t>S</t>
        </is>
      </c>
      <c r="N20" s="22" t="n">
        <v>4</v>
      </c>
      <c r="O20" s="35" t="n">
        <v>2</v>
      </c>
      <c r="P20" s="36" t="inlineStr">
        <is>
          <t>Next Sprint</t>
        </is>
      </c>
      <c r="Q20" s="25" t="inlineStr">
        <is>
          <t>To Do</t>
        </is>
      </c>
      <c r="R20" s="22" t="inlineStr"/>
      <c r="S20" s="30" t="inlineStr"/>
      <c r="T20" s="22" t="inlineStr">
        <is>
          <t>Medium Risk</t>
        </is>
      </c>
      <c r="U20" s="22" t="inlineStr">
        <is>
          <t>Yes</t>
        </is>
      </c>
      <c r="V20" s="22" t="inlineStr">
        <is>
          <t>Open in Main Tab</t>
        </is>
      </c>
      <c r="W20" s="22" t="inlineStr"/>
      <c r="X20" s="22" t="inlineStr">
        <is>
          <t>AEO</t>
        </is>
      </c>
      <c r="Y20" s="22" t="inlineStr">
        <is>
          <t>Content</t>
        </is>
      </c>
      <c r="Z20" s="22" t="inlineStr">
        <is>
          <t>Low</t>
        </is>
      </c>
      <c r="AA20" s="22" t="n">
        <v>4</v>
      </c>
      <c r="AB20" s="22" t="n">
        <v>0</v>
      </c>
      <c r="AC20" s="22" t="inlineStr">
        <is>
          <t>Resolve 'Low AEO Readiness Score' using content best practices and validate in the related detail tab.</t>
        </is>
      </c>
      <c r="AD20" s="22" t="inlineStr">
        <is>
          <t>Open</t>
        </is>
      </c>
      <c r="AE20" s="22">
        <f>IFERROR(INDEX('Content Optimization Hub'!A:A,MATCH(H20,'Content Optimization Hub'!C:C,0)),"Not in Hub")</f>
        <v/>
      </c>
      <c r="AF20" s="22" t="inlineStr"/>
      <c r="AG20" s="24" t="n"/>
    </row>
    <row r="21">
      <c r="A21" s="3" t="inlineStr">
        <is>
          <t>Uses URL Parameters</t>
        </is>
      </c>
      <c r="B21" s="37" t="inlineStr">
        <is>
          <t>Observation</t>
        </is>
      </c>
      <c r="C21" s="38" t="n">
        <v>37</v>
      </c>
      <c r="D21" s="31" t="n">
        <v>0</v>
      </c>
      <c r="E21" s="32" t="inlineStr"/>
      <c r="F21" s="4" t="inlineStr">
        <is>
          <t>Technical</t>
        </is>
      </c>
      <c r="G21" s="4" t="inlineStr">
        <is>
          <t>Manual Content</t>
        </is>
      </c>
      <c r="H21" s="32" t="inlineStr"/>
      <c r="I21" s="4" t="inlineStr">
        <is>
          <t>Apply fix based on issue type and re-run audit.</t>
        </is>
      </c>
      <c r="J21" s="4" t="inlineStr">
        <is>
          <t>Template/technical implementation quality issue.</t>
        </is>
      </c>
      <c r="K21" s="4" t="inlineStr">
        <is>
          <t>Dev</t>
        </is>
      </c>
      <c r="L21" s="4" t="inlineStr">
        <is>
          <t>Dev</t>
        </is>
      </c>
      <c r="M21" s="4" t="inlineStr">
        <is>
          <t>S</t>
        </is>
      </c>
      <c r="N21" s="4" t="n">
        <v>4</v>
      </c>
      <c r="O21" s="35" t="n">
        <v>2</v>
      </c>
      <c r="P21" s="37" t="inlineStr">
        <is>
          <t>Backlog</t>
        </is>
      </c>
      <c r="Q21" s="4" t="inlineStr">
        <is>
          <t>In Review</t>
        </is>
      </c>
      <c r="R21" s="4" t="inlineStr"/>
      <c r="S21" s="33" t="inlineStr"/>
      <c r="T21" s="4" t="inlineStr">
        <is>
          <t>Monitor</t>
        </is>
      </c>
      <c r="U21" s="4" t="inlineStr">
        <is>
          <t>No</t>
        </is>
      </c>
      <c r="V21" s="4" t="inlineStr">
        <is>
          <t>Open in Main Tab</t>
        </is>
      </c>
      <c r="W21" s="4" t="inlineStr"/>
      <c r="X21" s="4" t="inlineStr">
        <is>
          <t>SEO</t>
        </is>
      </c>
      <c r="Y21" s="4" t="inlineStr">
        <is>
          <t>Content</t>
        </is>
      </c>
      <c r="Z21" s="4" t="inlineStr">
        <is>
          <t>Low</t>
        </is>
      </c>
      <c r="AA21" s="4" t="n">
        <v>4</v>
      </c>
      <c r="AB21" s="4" t="n">
        <v>0</v>
      </c>
      <c r="AC21" s="4" t="inlineStr">
        <is>
          <t>Resolve 'Uses URL Parameters' using content best practices and validate in the related detail tab.</t>
        </is>
      </c>
      <c r="AD21" s="4" t="inlineStr">
        <is>
          <t>Open</t>
        </is>
      </c>
      <c r="AE21" s="4">
        <f>IFERROR(INDEX('Content Optimization Hub'!A:A,MATCH(H21,'Content Optimization Hub'!C:C,0)),"Not in Hub")</f>
        <v/>
      </c>
      <c r="AF21" s="4" t="inlineStr"/>
    </row>
    <row r="22">
      <c r="A22" s="3" t="inlineStr">
        <is>
          <t>Generic Anchor Text Present</t>
        </is>
      </c>
      <c r="B22" s="37" t="inlineStr">
        <is>
          <t>Observation</t>
        </is>
      </c>
      <c r="C22" s="38" t="n">
        <v>37</v>
      </c>
      <c r="D22" s="27" t="n">
        <v>0</v>
      </c>
      <c r="E22" s="28" t="inlineStr"/>
      <c r="F22" s="22" t="inlineStr">
        <is>
          <t>Links</t>
        </is>
      </c>
      <c r="G22" s="22" t="inlineStr">
        <is>
          <t>Manual Content</t>
        </is>
      </c>
      <c r="H22" s="28" t="inlineStr"/>
      <c r="I22" s="22" t="inlineStr">
        <is>
          <t>Apply fix based on issue type and re-run audit.</t>
        </is>
      </c>
      <c r="J22" s="22" t="inlineStr">
        <is>
          <t>Template/technical implementation quality issue.</t>
        </is>
      </c>
      <c r="K22" s="22" t="inlineStr">
        <is>
          <t>Copy Writer</t>
        </is>
      </c>
      <c r="L22" s="22" t="inlineStr">
        <is>
          <t>Copy Writer</t>
        </is>
      </c>
      <c r="M22" s="22" t="inlineStr">
        <is>
          <t>S</t>
        </is>
      </c>
      <c r="N22" s="22" t="n">
        <v>4</v>
      </c>
      <c r="O22" s="35" t="n">
        <v>2</v>
      </c>
      <c r="P22" s="37" t="inlineStr">
        <is>
          <t>Backlog</t>
        </is>
      </c>
      <c r="Q22" s="22" t="inlineStr">
        <is>
          <t>In Review</t>
        </is>
      </c>
      <c r="R22" s="22" t="inlineStr"/>
      <c r="S22" s="30" t="inlineStr"/>
      <c r="T22" s="22" t="inlineStr">
        <is>
          <t>Monitor</t>
        </is>
      </c>
      <c r="U22" s="22" t="inlineStr">
        <is>
          <t>No</t>
        </is>
      </c>
      <c r="V22" s="22" t="inlineStr">
        <is>
          <t>Open in Main Tab</t>
        </is>
      </c>
      <c r="W22" s="22" t="inlineStr"/>
      <c r="X22" s="22" t="inlineStr">
        <is>
          <t>SEO</t>
        </is>
      </c>
      <c r="Y22" s="22" t="inlineStr">
        <is>
          <t>Content</t>
        </is>
      </c>
      <c r="Z22" s="22" t="inlineStr">
        <is>
          <t>Low</t>
        </is>
      </c>
      <c r="AA22" s="22" t="n">
        <v>4</v>
      </c>
      <c r="AB22" s="22" t="n">
        <v>0</v>
      </c>
      <c r="AC22" s="22" t="inlineStr">
        <is>
          <t>Resolve 'Generic Anchor Text Present' using content best practices and validate in the related detail tab.</t>
        </is>
      </c>
      <c r="AD22" s="22" t="inlineStr">
        <is>
          <t>Open</t>
        </is>
      </c>
      <c r="AE22" s="22">
        <f>IFERROR(INDEX('Content Optimization Hub'!A:A,MATCH(H22,'Content Optimization Hub'!C:C,0)),"Not in Hub")</f>
        <v/>
      </c>
      <c r="AF22" s="22" t="inlineStr"/>
      <c r="AG22" s="24" t="n"/>
    </row>
    <row r="23">
      <c r="A23" s="3" t="inlineStr">
        <is>
          <t>Image Filename Quality Issues</t>
        </is>
      </c>
      <c r="B23" s="37" t="inlineStr">
        <is>
          <t>Observation</t>
        </is>
      </c>
      <c r="C23" s="38" t="n">
        <v>37</v>
      </c>
      <c r="D23" s="31" t="n">
        <v>0</v>
      </c>
      <c r="E23" s="32" t="inlineStr"/>
      <c r="F23" s="4" t="inlineStr">
        <is>
          <t>Technical</t>
        </is>
      </c>
      <c r="G23" s="4" t="inlineStr">
        <is>
          <t>Manual Content</t>
        </is>
      </c>
      <c r="H23" s="32" t="inlineStr"/>
      <c r="I23" s="4" t="inlineStr">
        <is>
          <t>Apply fix based on issue type and re-run audit.</t>
        </is>
      </c>
      <c r="J23" s="4" t="inlineStr">
        <is>
          <t>Template/technical implementation quality issue.</t>
        </is>
      </c>
      <c r="K23" s="4" t="inlineStr">
        <is>
          <t>Copy Writer</t>
        </is>
      </c>
      <c r="L23" s="4" t="inlineStr">
        <is>
          <t>Copy Writer</t>
        </is>
      </c>
      <c r="M23" s="4" t="inlineStr">
        <is>
          <t>S</t>
        </is>
      </c>
      <c r="N23" s="4" t="n">
        <v>4</v>
      </c>
      <c r="O23" s="35" t="n">
        <v>2</v>
      </c>
      <c r="P23" s="37" t="inlineStr">
        <is>
          <t>Backlog</t>
        </is>
      </c>
      <c r="Q23" s="4" t="inlineStr">
        <is>
          <t>In Review</t>
        </is>
      </c>
      <c r="R23" s="4" t="inlineStr"/>
      <c r="S23" s="33" t="inlineStr"/>
      <c r="T23" s="4" t="inlineStr">
        <is>
          <t>Monitor</t>
        </is>
      </c>
      <c r="U23" s="4" t="inlineStr">
        <is>
          <t>No</t>
        </is>
      </c>
      <c r="V23" s="4" t="inlineStr">
        <is>
          <t>Open in Main Tab</t>
        </is>
      </c>
      <c r="W23" s="4" t="inlineStr"/>
      <c r="X23" s="4" t="inlineStr">
        <is>
          <t>SEO</t>
        </is>
      </c>
      <c r="Y23" s="4" t="inlineStr">
        <is>
          <t>Content</t>
        </is>
      </c>
      <c r="Z23" s="4" t="inlineStr">
        <is>
          <t>Low</t>
        </is>
      </c>
      <c r="AA23" s="4" t="n">
        <v>4</v>
      </c>
      <c r="AB23" s="4" t="n">
        <v>0</v>
      </c>
      <c r="AC23" s="4" t="inlineStr">
        <is>
          <t>Resolve 'Image Filename Quality Issues' using content best practices and validate in the related detail tab.</t>
        </is>
      </c>
      <c r="AD23" s="4" t="inlineStr">
        <is>
          <t>Open</t>
        </is>
      </c>
      <c r="AE23" s="4">
        <f>IFERROR(INDEX('Content Optimization Hub'!A:A,MATCH(H23,'Content Optimization Hub'!C:C,0)),"Not in Hub")</f>
        <v/>
      </c>
      <c r="AF23" s="4" t="inlineStr"/>
    </row>
    <row r="24">
      <c r="A24" s="3" t="inlineStr">
        <is>
          <t>No Compression Header</t>
        </is>
      </c>
      <c r="B24" s="37" t="inlineStr">
        <is>
          <t>Observation</t>
        </is>
      </c>
      <c r="C24" s="38" t="n">
        <v>37</v>
      </c>
      <c r="D24" s="27" t="n">
        <v>0</v>
      </c>
      <c r="E24" s="28" t="inlineStr"/>
      <c r="F24" s="22" t="inlineStr">
        <is>
          <t>Technical</t>
        </is>
      </c>
      <c r="G24" s="22" t="inlineStr">
        <is>
          <t>Global Template</t>
        </is>
      </c>
      <c r="H24" s="28" t="inlineStr"/>
      <c r="I24" s="22" t="inlineStr">
        <is>
          <t>Apply fix based on issue type and re-run audit.</t>
        </is>
      </c>
      <c r="J24" s="22" t="inlineStr">
        <is>
          <t>Template/technical implementation quality issue.</t>
        </is>
      </c>
      <c r="K24" s="22" t="inlineStr">
        <is>
          <t>Server/Host</t>
        </is>
      </c>
      <c r="L24" s="22" t="inlineStr">
        <is>
          <t>Server/Host</t>
        </is>
      </c>
      <c r="M24" s="22" t="inlineStr">
        <is>
          <t>S</t>
        </is>
      </c>
      <c r="N24" s="22" t="n">
        <v>4</v>
      </c>
      <c r="O24" s="35" t="n">
        <v>2</v>
      </c>
      <c r="P24" s="37" t="inlineStr">
        <is>
          <t>Backlog</t>
        </is>
      </c>
      <c r="Q24" s="22" t="inlineStr">
        <is>
          <t>In Review</t>
        </is>
      </c>
      <c r="R24" s="22" t="inlineStr"/>
      <c r="S24" s="30" t="inlineStr"/>
      <c r="T24" s="22" t="inlineStr">
        <is>
          <t>Monitor</t>
        </is>
      </c>
      <c r="U24" s="22" t="inlineStr">
        <is>
          <t>No</t>
        </is>
      </c>
      <c r="V24" s="22" t="inlineStr">
        <is>
          <t>Open in Main Tab</t>
        </is>
      </c>
      <c r="W24" s="22" t="inlineStr"/>
      <c r="X24" s="22" t="inlineStr">
        <is>
          <t>SEO</t>
        </is>
      </c>
      <c r="Y24" s="22" t="inlineStr">
        <is>
          <t>Content</t>
        </is>
      </c>
      <c r="Z24" s="22" t="inlineStr">
        <is>
          <t>Low</t>
        </is>
      </c>
      <c r="AA24" s="22" t="n">
        <v>4</v>
      </c>
      <c r="AB24" s="22" t="n">
        <v>0</v>
      </c>
      <c r="AC24" s="22" t="inlineStr">
        <is>
          <t>Resolve 'No Compression Header' using content best practices and validate in the related detail tab.</t>
        </is>
      </c>
      <c r="AD24" s="22" t="inlineStr">
        <is>
          <t>Open</t>
        </is>
      </c>
      <c r="AE24" s="22">
        <f>IFERROR(INDEX('Content Optimization Hub'!A:A,MATCH(H24,'Content Optimization Hub'!C:C,0)),"Not in Hub")</f>
        <v/>
      </c>
      <c r="AF24" s="22" t="inlineStr"/>
      <c r="AG24" s="24" t="n"/>
    </row>
    <row r="25">
      <c r="A25" s="3" t="inlineStr">
        <is>
          <t>No Cache-Control Header</t>
        </is>
      </c>
      <c r="B25" s="37" t="inlineStr">
        <is>
          <t>Observation</t>
        </is>
      </c>
      <c r="C25" s="38" t="n">
        <v>37</v>
      </c>
      <c r="D25" s="31" t="n">
        <v>0</v>
      </c>
      <c r="E25" s="32" t="inlineStr"/>
      <c r="F25" s="4" t="inlineStr">
        <is>
          <t>Technical</t>
        </is>
      </c>
      <c r="G25" s="4" t="inlineStr">
        <is>
          <t>Global Template</t>
        </is>
      </c>
      <c r="H25" s="32" t="inlineStr"/>
      <c r="I25" s="4" t="inlineStr">
        <is>
          <t>Apply fix based on issue type and re-run audit.</t>
        </is>
      </c>
      <c r="J25" s="4" t="inlineStr">
        <is>
          <t>Template/technical implementation quality issue.</t>
        </is>
      </c>
      <c r="K25" s="4" t="inlineStr">
        <is>
          <t>Server/Host</t>
        </is>
      </c>
      <c r="L25" s="4" t="inlineStr">
        <is>
          <t>Server/Host</t>
        </is>
      </c>
      <c r="M25" s="4" t="inlineStr">
        <is>
          <t>S</t>
        </is>
      </c>
      <c r="N25" s="4" t="n">
        <v>4</v>
      </c>
      <c r="O25" s="35" t="n">
        <v>2</v>
      </c>
      <c r="P25" s="37" t="inlineStr">
        <is>
          <t>Backlog</t>
        </is>
      </c>
      <c r="Q25" s="4" t="inlineStr">
        <is>
          <t>In Review</t>
        </is>
      </c>
      <c r="R25" s="4" t="inlineStr"/>
      <c r="S25" s="33" t="inlineStr"/>
      <c r="T25" s="4" t="inlineStr">
        <is>
          <t>Monitor</t>
        </is>
      </c>
      <c r="U25" s="4" t="inlineStr">
        <is>
          <t>No</t>
        </is>
      </c>
      <c r="V25" s="4" t="inlineStr">
        <is>
          <t>Open in Main Tab</t>
        </is>
      </c>
      <c r="W25" s="4" t="inlineStr"/>
      <c r="X25" s="4" t="inlineStr">
        <is>
          <t>SEO</t>
        </is>
      </c>
      <c r="Y25" s="4" t="inlineStr">
        <is>
          <t>Content</t>
        </is>
      </c>
      <c r="Z25" s="4" t="inlineStr">
        <is>
          <t>Low</t>
        </is>
      </c>
      <c r="AA25" s="4" t="n">
        <v>4</v>
      </c>
      <c r="AB25" s="4" t="n">
        <v>0</v>
      </c>
      <c r="AC25" s="4" t="inlineStr">
        <is>
          <t>Resolve 'No Cache-Control Header' using content best practices and validate in the related detail tab.</t>
        </is>
      </c>
      <c r="AD25" s="4" t="inlineStr">
        <is>
          <t>Open</t>
        </is>
      </c>
      <c r="AE25" s="4">
        <f>IFERROR(INDEX('Content Optimization Hub'!A:A,MATCH(H25,'Content Optimization Hub'!C:C,0)),"Not in Hub")</f>
        <v/>
      </c>
      <c r="AF25" s="4" t="inlineStr"/>
    </row>
    <row r="26">
      <c r="A26" s="3" t="inlineStr">
        <is>
          <t>No ETag Header</t>
        </is>
      </c>
      <c r="B26" s="37" t="inlineStr">
        <is>
          <t>Observation</t>
        </is>
      </c>
      <c r="C26" s="38" t="n">
        <v>37</v>
      </c>
      <c r="D26" s="27" t="n">
        <v>0</v>
      </c>
      <c r="E26" s="28" t="inlineStr"/>
      <c r="F26" s="22" t="inlineStr">
        <is>
          <t>Technical</t>
        </is>
      </c>
      <c r="G26" s="22" t="inlineStr">
        <is>
          <t>Global Template</t>
        </is>
      </c>
      <c r="H26" s="28" t="inlineStr"/>
      <c r="I26" s="22" t="inlineStr">
        <is>
          <t>Apply fix based on issue type and re-run audit.</t>
        </is>
      </c>
      <c r="J26" s="22" t="inlineStr">
        <is>
          <t>Template/technical implementation quality issue.</t>
        </is>
      </c>
      <c r="K26" s="22" t="inlineStr">
        <is>
          <t>Server/Host</t>
        </is>
      </c>
      <c r="L26" s="22" t="inlineStr">
        <is>
          <t>Server/Host</t>
        </is>
      </c>
      <c r="M26" s="22" t="inlineStr">
        <is>
          <t>S</t>
        </is>
      </c>
      <c r="N26" s="22" t="n">
        <v>4</v>
      </c>
      <c r="O26" s="35" t="n">
        <v>2</v>
      </c>
      <c r="P26" s="37" t="inlineStr">
        <is>
          <t>Backlog</t>
        </is>
      </c>
      <c r="Q26" s="22" t="inlineStr">
        <is>
          <t>In Review</t>
        </is>
      </c>
      <c r="R26" s="22" t="inlineStr"/>
      <c r="S26" s="30" t="inlineStr"/>
      <c r="T26" s="22" t="inlineStr">
        <is>
          <t>Monitor</t>
        </is>
      </c>
      <c r="U26" s="22" t="inlineStr">
        <is>
          <t>No</t>
        </is>
      </c>
      <c r="V26" s="22" t="inlineStr">
        <is>
          <t>Open in Main Tab</t>
        </is>
      </c>
      <c r="W26" s="22" t="inlineStr"/>
      <c r="X26" s="22" t="inlineStr">
        <is>
          <t>SEO</t>
        </is>
      </c>
      <c r="Y26" s="22" t="inlineStr">
        <is>
          <t>Content</t>
        </is>
      </c>
      <c r="Z26" s="22" t="inlineStr">
        <is>
          <t>Low</t>
        </is>
      </c>
      <c r="AA26" s="22" t="n">
        <v>4</v>
      </c>
      <c r="AB26" s="22" t="n">
        <v>0</v>
      </c>
      <c r="AC26" s="22" t="inlineStr">
        <is>
          <t>Resolve 'No ETag Header' using content best practices and validate in the related detail tab.</t>
        </is>
      </c>
      <c r="AD26" s="22" t="inlineStr">
        <is>
          <t>Open</t>
        </is>
      </c>
      <c r="AE26" s="22">
        <f>IFERROR(INDEX('Content Optimization Hub'!A:A,MATCH(H26,'Content Optimization Hub'!C:C,0)),"Not in Hub")</f>
        <v/>
      </c>
      <c r="AF26" s="22" t="inlineStr"/>
      <c r="AG26" s="24" t="n"/>
    </row>
    <row r="27">
      <c r="A27" s="3" t="inlineStr">
        <is>
          <t>Thin Content</t>
        </is>
      </c>
      <c r="B27" s="37" t="inlineStr">
        <is>
          <t>Observation</t>
        </is>
      </c>
      <c r="C27" s="38" t="n">
        <v>37</v>
      </c>
      <c r="D27" s="31" t="n">
        <v>0</v>
      </c>
      <c r="E27" s="32" t="inlineStr"/>
      <c r="F27" s="4" t="inlineStr">
        <is>
          <t>Technical</t>
        </is>
      </c>
      <c r="G27" s="4" t="inlineStr">
        <is>
          <t>Manual Content</t>
        </is>
      </c>
      <c r="H27" s="32" t="inlineStr"/>
      <c r="I27" s="4" t="inlineStr">
        <is>
          <t>Expand page with helpful, unique, intent-matching content.</t>
        </is>
      </c>
      <c r="J27" s="4" t="inlineStr">
        <is>
          <t>Insufficient body content for indexing confidence.</t>
        </is>
      </c>
      <c r="K27" s="4" t="inlineStr">
        <is>
          <t>Copy Writer</t>
        </is>
      </c>
      <c r="L27" s="4" t="inlineStr">
        <is>
          <t>Copy Writer</t>
        </is>
      </c>
      <c r="M27" s="4" t="inlineStr">
        <is>
          <t>S</t>
        </is>
      </c>
      <c r="N27" s="4" t="n">
        <v>4</v>
      </c>
      <c r="O27" s="35" t="n">
        <v>2</v>
      </c>
      <c r="P27" s="37" t="inlineStr">
        <is>
          <t>Backlog</t>
        </is>
      </c>
      <c r="Q27" s="4" t="inlineStr">
        <is>
          <t>In Review</t>
        </is>
      </c>
      <c r="R27" s="4" t="inlineStr"/>
      <c r="S27" s="33" t="inlineStr"/>
      <c r="T27" s="4" t="inlineStr">
        <is>
          <t>Monitor</t>
        </is>
      </c>
      <c r="U27" s="4" t="inlineStr">
        <is>
          <t>No</t>
        </is>
      </c>
      <c r="V27" s="4" t="inlineStr">
        <is>
          <t>Open in Main Tab</t>
        </is>
      </c>
      <c r="W27" s="4" t="inlineStr"/>
      <c r="X27" s="4" t="inlineStr">
        <is>
          <t>SEO</t>
        </is>
      </c>
      <c r="Y27" s="4" t="inlineStr">
        <is>
          <t>Content</t>
        </is>
      </c>
      <c r="Z27" s="4" t="inlineStr">
        <is>
          <t>Low</t>
        </is>
      </c>
      <c r="AA27" s="4" t="n">
        <v>4</v>
      </c>
      <c r="AB27" s="4" t="n">
        <v>0</v>
      </c>
      <c r="AC27" s="4" t="inlineStr">
        <is>
          <t>Resolve 'Thin Content' using content best practices and validate in the related detail tab.</t>
        </is>
      </c>
      <c r="AD27" s="4" t="inlineStr">
        <is>
          <t>Open</t>
        </is>
      </c>
      <c r="AE27" s="4">
        <f>IFERROR(INDEX('Content Optimization Hub'!A:A,MATCH(H27,'Content Optimization Hub'!C:C,0)),"Not in Hub")</f>
        <v/>
      </c>
      <c r="AF27" s="4" t="inlineStr"/>
    </row>
    <row r="28">
      <c r="A28" s="3" t="inlineStr">
        <is>
          <t>No Question Headings</t>
        </is>
      </c>
      <c r="B28" s="37" t="inlineStr">
        <is>
          <t>Observation</t>
        </is>
      </c>
      <c r="C28" s="38" t="n">
        <v>37</v>
      </c>
      <c r="D28" s="27" t="n">
        <v>0</v>
      </c>
      <c r="E28" s="28" t="inlineStr"/>
      <c r="F28" s="22" t="inlineStr">
        <is>
          <t>AEO</t>
        </is>
      </c>
      <c r="G28" s="22" t="inlineStr">
        <is>
          <t>Manual Content</t>
        </is>
      </c>
      <c r="H28" s="28" t="inlineStr"/>
      <c r="I28" s="22" t="inlineStr">
        <is>
          <t>Add clear question-style headings (especially H2/H3) for key intents.</t>
        </is>
      </c>
      <c r="J28" s="22" t="inlineStr">
        <is>
          <t>Headings are not phrased as user questions.</t>
        </is>
      </c>
      <c r="K28" s="22" t="inlineStr">
        <is>
          <t>Copy Writer</t>
        </is>
      </c>
      <c r="L28" s="22" t="inlineStr">
        <is>
          <t>Copy Writer</t>
        </is>
      </c>
      <c r="M28" s="22" t="inlineStr">
        <is>
          <t>S</t>
        </is>
      </c>
      <c r="N28" s="22" t="n">
        <v>4</v>
      </c>
      <c r="O28" s="35" t="n">
        <v>2</v>
      </c>
      <c r="P28" s="37" t="inlineStr">
        <is>
          <t>Backlog</t>
        </is>
      </c>
      <c r="Q28" s="22" t="inlineStr">
        <is>
          <t>In Review</t>
        </is>
      </c>
      <c r="R28" s="22" t="inlineStr"/>
      <c r="S28" s="30" t="inlineStr"/>
      <c r="T28" s="22" t="inlineStr">
        <is>
          <t>Monitor</t>
        </is>
      </c>
      <c r="U28" s="22" t="inlineStr">
        <is>
          <t>No</t>
        </is>
      </c>
      <c r="V28" s="22" t="inlineStr">
        <is>
          <t>Open in Main Tab</t>
        </is>
      </c>
      <c r="W28" s="22" t="inlineStr"/>
      <c r="X28" s="22" t="inlineStr">
        <is>
          <t>AEO</t>
        </is>
      </c>
      <c r="Y28" s="22" t="inlineStr">
        <is>
          <t>Content</t>
        </is>
      </c>
      <c r="Z28" s="22" t="inlineStr">
        <is>
          <t>Low</t>
        </is>
      </c>
      <c r="AA28" s="22" t="n">
        <v>4</v>
      </c>
      <c r="AB28" s="22" t="n">
        <v>0</v>
      </c>
      <c r="AC28" s="22" t="inlineStr">
        <is>
          <t>Resolve 'No Question Headings' using content best practices and validate in the related detail tab.</t>
        </is>
      </c>
      <c r="AD28" s="22" t="inlineStr">
        <is>
          <t>Open</t>
        </is>
      </c>
      <c r="AE28" s="22">
        <f>IFERROR(INDEX('Content Optimization Hub'!A:A,MATCH(H28,'Content Optimization Hub'!C:C,0)),"Not in Hub")</f>
        <v/>
      </c>
      <c r="AF28" s="22" t="inlineStr"/>
      <c r="AG28" s="24" t="n"/>
    </row>
    <row r="29">
      <c r="A29" s="3" t="inlineStr">
        <is>
          <t>No Answer-Friendly Structure</t>
        </is>
      </c>
      <c r="B29" s="37" t="inlineStr">
        <is>
          <t>Observation</t>
        </is>
      </c>
      <c r="C29" s="38" t="n">
        <v>37</v>
      </c>
      <c r="D29" s="31" t="n">
        <v>0</v>
      </c>
      <c r="E29" s="32" t="inlineStr"/>
      <c r="F29" s="4" t="inlineStr">
        <is>
          <t>AEO</t>
        </is>
      </c>
      <c r="G29" s="4" t="inlineStr">
        <is>
          <t>Manual Content</t>
        </is>
      </c>
      <c r="H29" s="32" t="inlineStr"/>
      <c r="I29" s="4" t="inlineStr">
        <is>
          <t>Introduce structured bullets, ordered steps, or tables for key answers.</t>
        </is>
      </c>
      <c r="J29" s="4" t="inlineStr">
        <is>
          <t>Page lacks lists/tables that help concise answer extraction.</t>
        </is>
      </c>
      <c r="K29" s="4" t="inlineStr">
        <is>
          <t>Copy Writer</t>
        </is>
      </c>
      <c r="L29" s="4" t="inlineStr">
        <is>
          <t>Copy Writer</t>
        </is>
      </c>
      <c r="M29" s="4" t="inlineStr">
        <is>
          <t>S</t>
        </is>
      </c>
      <c r="N29" s="4" t="n">
        <v>4</v>
      </c>
      <c r="O29" s="35" t="n">
        <v>2</v>
      </c>
      <c r="P29" s="37" t="inlineStr">
        <is>
          <t>Backlog</t>
        </is>
      </c>
      <c r="Q29" s="4" t="inlineStr">
        <is>
          <t>In Review</t>
        </is>
      </c>
      <c r="R29" s="4" t="inlineStr"/>
      <c r="S29" s="33" t="inlineStr"/>
      <c r="T29" s="4" t="inlineStr">
        <is>
          <t>Monitor</t>
        </is>
      </c>
      <c r="U29" s="4" t="inlineStr">
        <is>
          <t>No</t>
        </is>
      </c>
      <c r="V29" s="4" t="inlineStr">
        <is>
          <t>Open in Main Tab</t>
        </is>
      </c>
      <c r="W29" s="4" t="inlineStr"/>
      <c r="X29" s="4" t="inlineStr">
        <is>
          <t>AEO</t>
        </is>
      </c>
      <c r="Y29" s="4" t="inlineStr">
        <is>
          <t>Content</t>
        </is>
      </c>
      <c r="Z29" s="4" t="inlineStr">
        <is>
          <t>Low</t>
        </is>
      </c>
      <c r="AA29" s="4" t="n">
        <v>4</v>
      </c>
      <c r="AB29" s="4" t="n">
        <v>0</v>
      </c>
      <c r="AC29" s="4" t="inlineStr">
        <is>
          <t>Resolve 'No Answer-Friendly Structure' using content best practices and validate in the related detail tab.</t>
        </is>
      </c>
      <c r="AD29" s="4" t="inlineStr">
        <is>
          <t>Open</t>
        </is>
      </c>
      <c r="AE29" s="4">
        <f>IFERROR(INDEX('Content Optimization Hub'!A:A,MATCH(H29,'Content Optimization Hub'!C:C,0)),"Not in Hub")</f>
        <v/>
      </c>
      <c r="AF29" s="4" t="inlineStr"/>
    </row>
    <row r="30">
      <c r="A30" s="3" t="inlineStr">
        <is>
          <t>No 40-60 Word Answer Paragraphs</t>
        </is>
      </c>
      <c r="B30" s="37" t="inlineStr">
        <is>
          <t>Observation</t>
        </is>
      </c>
      <c r="C30" s="38" t="n">
        <v>37</v>
      </c>
      <c r="D30" s="27" t="n">
        <v>0</v>
      </c>
      <c r="E30" s="28" t="inlineStr"/>
      <c r="F30" s="22" t="inlineStr">
        <is>
          <t>AEO</t>
        </is>
      </c>
      <c r="G30" s="22" t="inlineStr">
        <is>
          <t>Manual Content</t>
        </is>
      </c>
      <c r="H30" s="28" t="inlineStr"/>
      <c r="I30" s="22" t="inlineStr">
        <is>
          <t>Add a direct 30-60 word answer summary near question headings.</t>
        </is>
      </c>
      <c r="J30" s="22" t="inlineStr">
        <is>
          <t>No concise answer-length paragraph detected.</t>
        </is>
      </c>
      <c r="K30" s="22" t="inlineStr">
        <is>
          <t>Copy Writer</t>
        </is>
      </c>
      <c r="L30" s="22" t="inlineStr">
        <is>
          <t>Copy Writer</t>
        </is>
      </c>
      <c r="M30" s="22" t="inlineStr">
        <is>
          <t>S</t>
        </is>
      </c>
      <c r="N30" s="22" t="n">
        <v>4</v>
      </c>
      <c r="O30" s="35" t="n">
        <v>2</v>
      </c>
      <c r="P30" s="37" t="inlineStr">
        <is>
          <t>Backlog</t>
        </is>
      </c>
      <c r="Q30" s="22" t="inlineStr">
        <is>
          <t>In Review</t>
        </is>
      </c>
      <c r="R30" s="22" t="inlineStr"/>
      <c r="S30" s="30" t="inlineStr"/>
      <c r="T30" s="22" t="inlineStr">
        <is>
          <t>Monitor</t>
        </is>
      </c>
      <c r="U30" s="22" t="inlineStr">
        <is>
          <t>No</t>
        </is>
      </c>
      <c r="V30" s="22" t="inlineStr">
        <is>
          <t>Open in Main Tab</t>
        </is>
      </c>
      <c r="W30" s="22" t="inlineStr"/>
      <c r="X30" s="22" t="inlineStr">
        <is>
          <t>AEO</t>
        </is>
      </c>
      <c r="Y30" s="22" t="inlineStr">
        <is>
          <t>Content</t>
        </is>
      </c>
      <c r="Z30" s="22" t="inlineStr">
        <is>
          <t>Low</t>
        </is>
      </c>
      <c r="AA30" s="22" t="n">
        <v>4</v>
      </c>
      <c r="AB30" s="22" t="n">
        <v>0</v>
      </c>
      <c r="AC30" s="22" t="inlineStr">
        <is>
          <t>Resolve 'No 40-60 Word Answer Paragraphs' using content best practices and validate in the related detail tab.</t>
        </is>
      </c>
      <c r="AD30" s="22" t="inlineStr">
        <is>
          <t>Open</t>
        </is>
      </c>
      <c r="AE30" s="22">
        <f>IFERROR(INDEX('Content Optimization Hub'!A:A,MATCH(H30,'Content Optimization Hub'!C:C,0)),"Not in Hub")</f>
        <v/>
      </c>
      <c r="AF30" s="22" t="inlineStr"/>
      <c r="AG30" s="24" t="n"/>
    </row>
    <row r="31">
      <c r="A31" s="3" t="inlineStr">
        <is>
          <t>INP Above 100ms</t>
        </is>
      </c>
      <c r="B31" s="37" t="inlineStr">
        <is>
          <t>Observation</t>
        </is>
      </c>
      <c r="C31" s="38" t="n">
        <v>37</v>
      </c>
      <c r="D31" s="31" t="n">
        <v>0</v>
      </c>
      <c r="E31" s="32" t="inlineStr"/>
      <c r="F31" s="4" t="inlineStr">
        <is>
          <t>Technical</t>
        </is>
      </c>
      <c r="G31" s="4" t="inlineStr">
        <is>
          <t>Manual Content</t>
        </is>
      </c>
      <c r="H31" s="32" t="inlineStr"/>
      <c r="I31" s="4" t="inlineStr">
        <is>
          <t>Apply fix based on issue type and re-run audit.</t>
        </is>
      </c>
      <c r="J31" s="4" t="inlineStr">
        <is>
          <t>Template/technical implementation quality issue.</t>
        </is>
      </c>
      <c r="K31" s="4" t="inlineStr">
        <is>
          <t>Copy Writer</t>
        </is>
      </c>
      <c r="L31" s="4" t="inlineStr">
        <is>
          <t>Copy Writer</t>
        </is>
      </c>
      <c r="M31" s="4" t="inlineStr">
        <is>
          <t>S</t>
        </is>
      </c>
      <c r="N31" s="4" t="n">
        <v>4</v>
      </c>
      <c r="O31" s="35" t="n">
        <v>2</v>
      </c>
      <c r="P31" s="37" t="inlineStr">
        <is>
          <t>Backlog</t>
        </is>
      </c>
      <c r="Q31" s="4" t="inlineStr">
        <is>
          <t>In Review</t>
        </is>
      </c>
      <c r="R31" s="4" t="inlineStr"/>
      <c r="S31" s="33" t="inlineStr"/>
      <c r="T31" s="4" t="inlineStr">
        <is>
          <t>Monitor</t>
        </is>
      </c>
      <c r="U31" s="4" t="inlineStr">
        <is>
          <t>No</t>
        </is>
      </c>
      <c r="V31" s="4" t="inlineStr">
        <is>
          <t>Open in Main Tab</t>
        </is>
      </c>
      <c r="W31" s="4" t="inlineStr"/>
      <c r="X31" s="4" t="inlineStr">
        <is>
          <t>SEO</t>
        </is>
      </c>
      <c r="Y31" s="4" t="inlineStr">
        <is>
          <t>Content</t>
        </is>
      </c>
      <c r="Z31" s="4" t="inlineStr">
        <is>
          <t>Low</t>
        </is>
      </c>
      <c r="AA31" s="4" t="n">
        <v>4</v>
      </c>
      <c r="AB31" s="4" t="n">
        <v>0</v>
      </c>
      <c r="AC31" s="4" t="inlineStr">
        <is>
          <t>Resolve 'INP Above 100ms' using content best practices and validate in the related detail tab.</t>
        </is>
      </c>
      <c r="AD31" s="4" t="inlineStr">
        <is>
          <t>Open</t>
        </is>
      </c>
      <c r="AE31" s="4">
        <f>IFERROR(INDEX('Content Optimization Hub'!A:A,MATCH(H31,'Content Optimization Hub'!C:C,0)),"Not in Hub")</f>
        <v/>
      </c>
      <c r="AF31" s="4" t="inlineStr"/>
    </row>
    <row r="32">
      <c r="A32" s="3" t="inlineStr">
        <is>
          <t>CLS Above 0.1</t>
        </is>
      </c>
      <c r="B32" s="37" t="inlineStr">
        <is>
          <t>Observation</t>
        </is>
      </c>
      <c r="C32" s="38" t="n">
        <v>37</v>
      </c>
      <c r="D32" s="27" t="n">
        <v>0</v>
      </c>
      <c r="E32" s="28" t="inlineStr"/>
      <c r="F32" s="22" t="inlineStr">
        <is>
          <t>Technical</t>
        </is>
      </c>
      <c r="G32" s="22" t="inlineStr">
        <is>
          <t>Manual Content</t>
        </is>
      </c>
      <c r="H32" s="28" t="inlineStr"/>
      <c r="I32" s="22" t="inlineStr">
        <is>
          <t>Apply fix based on issue type and re-run audit.</t>
        </is>
      </c>
      <c r="J32" s="22" t="inlineStr">
        <is>
          <t>Template/technical implementation quality issue.</t>
        </is>
      </c>
      <c r="K32" s="22" t="inlineStr">
        <is>
          <t>Copy Writer</t>
        </is>
      </c>
      <c r="L32" s="22" t="inlineStr">
        <is>
          <t>Copy Writer</t>
        </is>
      </c>
      <c r="M32" s="22" t="inlineStr">
        <is>
          <t>S</t>
        </is>
      </c>
      <c r="N32" s="22" t="n">
        <v>4</v>
      </c>
      <c r="O32" s="35" t="n">
        <v>2</v>
      </c>
      <c r="P32" s="37" t="inlineStr">
        <is>
          <t>Backlog</t>
        </is>
      </c>
      <c r="Q32" s="22" t="inlineStr">
        <is>
          <t>In Review</t>
        </is>
      </c>
      <c r="R32" s="22" t="inlineStr"/>
      <c r="S32" s="30" t="inlineStr"/>
      <c r="T32" s="22" t="inlineStr">
        <is>
          <t>Monitor</t>
        </is>
      </c>
      <c r="U32" s="22" t="inlineStr">
        <is>
          <t>No</t>
        </is>
      </c>
      <c r="V32" s="22" t="inlineStr">
        <is>
          <t>Open in Main Tab</t>
        </is>
      </c>
      <c r="W32" s="22" t="inlineStr"/>
      <c r="X32" s="22" t="inlineStr">
        <is>
          <t>SEO</t>
        </is>
      </c>
      <c r="Y32" s="22" t="inlineStr">
        <is>
          <t>Content</t>
        </is>
      </c>
      <c r="Z32" s="22" t="inlineStr">
        <is>
          <t>Low</t>
        </is>
      </c>
      <c r="AA32" s="22" t="n">
        <v>4</v>
      </c>
      <c r="AB32" s="22" t="n">
        <v>0</v>
      </c>
      <c r="AC32" s="22" t="inlineStr">
        <is>
          <t>Resolve 'CLS Above 0.1' using content best practices and validate in the related detail tab.</t>
        </is>
      </c>
      <c r="AD32" s="22" t="inlineStr">
        <is>
          <t>Open</t>
        </is>
      </c>
      <c r="AE32" s="22">
        <f>IFERROR(INDEX('Content Optimization Hub'!A:A,MATCH(H32,'Content Optimization Hub'!C:C,0)),"Not in Hub")</f>
        <v/>
      </c>
      <c r="AF32" s="22" t="inlineStr"/>
      <c r="AG32" s="24" t="n"/>
    </row>
    <row r="33">
      <c r="A33" s="3" t="inlineStr">
        <is>
          <t>Low Regional Authority</t>
        </is>
      </c>
      <c r="B33" s="37" t="inlineStr">
        <is>
          <t>Observation</t>
        </is>
      </c>
      <c r="C33" s="38" t="n">
        <v>37</v>
      </c>
      <c r="D33" s="31" t="n">
        <v>0</v>
      </c>
      <c r="E33" s="32" t="inlineStr"/>
      <c r="F33" s="4" t="inlineStr">
        <is>
          <t>Technical</t>
        </is>
      </c>
      <c r="G33" s="4" t="inlineStr">
        <is>
          <t>Manual Content</t>
        </is>
      </c>
      <c r="H33" s="32" t="inlineStr"/>
      <c r="I33" s="4" t="inlineStr">
        <is>
          <t>Apply fix based on issue type and re-run audit.</t>
        </is>
      </c>
      <c r="J33" s="4" t="inlineStr">
        <is>
          <t>Template/technical implementation quality issue.</t>
        </is>
      </c>
      <c r="K33" s="4" t="inlineStr">
        <is>
          <t>Copy Writer</t>
        </is>
      </c>
      <c r="L33" s="4" t="inlineStr">
        <is>
          <t>Copy Writer</t>
        </is>
      </c>
      <c r="M33" s="4" t="inlineStr">
        <is>
          <t>S</t>
        </is>
      </c>
      <c r="N33" s="4" t="n">
        <v>4</v>
      </c>
      <c r="O33" s="35" t="n">
        <v>2</v>
      </c>
      <c r="P33" s="37" t="inlineStr">
        <is>
          <t>Backlog</t>
        </is>
      </c>
      <c r="Q33" s="4" t="inlineStr">
        <is>
          <t>In Review</t>
        </is>
      </c>
      <c r="R33" s="4" t="inlineStr"/>
      <c r="S33" s="33" t="inlineStr"/>
      <c r="T33" s="4" t="inlineStr">
        <is>
          <t>Monitor</t>
        </is>
      </c>
      <c r="U33" s="4" t="inlineStr">
        <is>
          <t>No</t>
        </is>
      </c>
      <c r="V33" s="4" t="inlineStr">
        <is>
          <t>Open in Main Tab</t>
        </is>
      </c>
      <c r="W33" s="4" t="inlineStr"/>
      <c r="X33" s="4" t="inlineStr">
        <is>
          <t>SEO</t>
        </is>
      </c>
      <c r="Y33" s="4" t="inlineStr">
        <is>
          <t>Content</t>
        </is>
      </c>
      <c r="Z33" s="4" t="inlineStr">
        <is>
          <t>Low</t>
        </is>
      </c>
      <c r="AA33" s="4" t="n">
        <v>4</v>
      </c>
      <c r="AB33" s="4" t="n">
        <v>0</v>
      </c>
      <c r="AC33" s="4" t="inlineStr">
        <is>
          <t>Resolve 'Low Regional Authority' using content best practices and validate in the related detail tab.</t>
        </is>
      </c>
      <c r="AD33" s="4" t="inlineStr">
        <is>
          <t>Open</t>
        </is>
      </c>
      <c r="AE33" s="4">
        <f>IFERROR(INDEX('Content Optimization Hub'!A:A,MATCH(H33,'Content Optimization Hub'!C:C,0)),"Not in Hub")</f>
        <v/>
      </c>
      <c r="AF33" s="4" t="inlineStr"/>
    </row>
    <row r="34">
      <c r="A34" s="3" t="inlineStr">
        <is>
          <t>llms.txt Missing</t>
        </is>
      </c>
      <c r="B34" s="37" t="inlineStr">
        <is>
          <t>Observation</t>
        </is>
      </c>
      <c r="C34" s="38" t="n">
        <v>37</v>
      </c>
      <c r="D34" s="27" t="n">
        <v>0</v>
      </c>
      <c r="E34" s="28" t="inlineStr"/>
      <c r="F34" s="22" t="inlineStr">
        <is>
          <t>Technical</t>
        </is>
      </c>
      <c r="G34" s="22" t="inlineStr">
        <is>
          <t>Manual Content</t>
        </is>
      </c>
      <c r="H34" s="28" t="inlineStr"/>
      <c r="I34" s="22" t="inlineStr">
        <is>
          <t>Apply fix based on issue type and re-run audit.</t>
        </is>
      </c>
      <c r="J34" s="22" t="inlineStr">
        <is>
          <t>Template/technical implementation quality issue.</t>
        </is>
      </c>
      <c r="K34" s="22" t="inlineStr">
        <is>
          <t>Copy Writer</t>
        </is>
      </c>
      <c r="L34" s="22" t="inlineStr">
        <is>
          <t>Copy Writer</t>
        </is>
      </c>
      <c r="M34" s="22" t="inlineStr">
        <is>
          <t>S</t>
        </is>
      </c>
      <c r="N34" s="22" t="n">
        <v>4</v>
      </c>
      <c r="O34" s="35" t="n">
        <v>2</v>
      </c>
      <c r="P34" s="37" t="inlineStr">
        <is>
          <t>Backlog</t>
        </is>
      </c>
      <c r="Q34" s="22" t="inlineStr">
        <is>
          <t>In Review</t>
        </is>
      </c>
      <c r="R34" s="22" t="inlineStr"/>
      <c r="S34" s="30" t="inlineStr"/>
      <c r="T34" s="22" t="inlineStr">
        <is>
          <t>Monitor</t>
        </is>
      </c>
      <c r="U34" s="22" t="inlineStr">
        <is>
          <t>No</t>
        </is>
      </c>
      <c r="V34" s="22" t="inlineStr">
        <is>
          <t>Open in Main Tab</t>
        </is>
      </c>
      <c r="W34" s="22" t="inlineStr"/>
      <c r="X34" s="22" t="inlineStr">
        <is>
          <t>SEO</t>
        </is>
      </c>
      <c r="Y34" s="22" t="inlineStr">
        <is>
          <t>Content</t>
        </is>
      </c>
      <c r="Z34" s="22" t="inlineStr">
        <is>
          <t>Low</t>
        </is>
      </c>
      <c r="AA34" s="22" t="n">
        <v>4</v>
      </c>
      <c r="AB34" s="22" t="n">
        <v>0</v>
      </c>
      <c r="AC34" s="22" t="inlineStr">
        <is>
          <t>Resolve 'llms.txt Missing' using content best practices and validate in the related detail tab.</t>
        </is>
      </c>
      <c r="AD34" s="22" t="inlineStr">
        <is>
          <t>Open</t>
        </is>
      </c>
      <c r="AE34" s="22">
        <f>IFERROR(INDEX('Content Optimization Hub'!A:A,MATCH(H34,'Content Optimization Hub'!C:C,0)),"Not in Hub")</f>
        <v/>
      </c>
      <c r="AF34" s="22" t="inlineStr"/>
      <c r="AG34" s="24" t="n"/>
    </row>
    <row r="35">
      <c r="A35" s="3" t="inlineStr">
        <is>
          <t>AI Crawlers Not Explicitly Allowed</t>
        </is>
      </c>
      <c r="B35" s="37" t="inlineStr">
        <is>
          <t>Observation</t>
        </is>
      </c>
      <c r="C35" s="38" t="n">
        <v>37</v>
      </c>
      <c r="D35" s="31" t="n">
        <v>0</v>
      </c>
      <c r="E35" s="32" t="inlineStr"/>
      <c r="F35" s="4" t="inlineStr">
        <is>
          <t>Technical</t>
        </is>
      </c>
      <c r="G35" s="4" t="inlineStr">
        <is>
          <t>Manual Content</t>
        </is>
      </c>
      <c r="H35" s="32" t="inlineStr"/>
      <c r="I35" s="4" t="inlineStr">
        <is>
          <t>Apply fix based on issue type and re-run audit.</t>
        </is>
      </c>
      <c r="J35" s="4" t="inlineStr">
        <is>
          <t>Template/technical implementation quality issue.</t>
        </is>
      </c>
      <c r="K35" s="4" t="inlineStr">
        <is>
          <t>Copy Writer</t>
        </is>
      </c>
      <c r="L35" s="4" t="inlineStr">
        <is>
          <t>Copy Writer</t>
        </is>
      </c>
      <c r="M35" s="4" t="inlineStr">
        <is>
          <t>S</t>
        </is>
      </c>
      <c r="N35" s="4" t="n">
        <v>4</v>
      </c>
      <c r="O35" s="35" t="n">
        <v>2</v>
      </c>
      <c r="P35" s="37" t="inlineStr">
        <is>
          <t>Backlog</t>
        </is>
      </c>
      <c r="Q35" s="4" t="inlineStr">
        <is>
          <t>In Review</t>
        </is>
      </c>
      <c r="R35" s="4" t="inlineStr"/>
      <c r="S35" s="33" t="inlineStr"/>
      <c r="T35" s="4" t="inlineStr">
        <is>
          <t>Monitor</t>
        </is>
      </c>
      <c r="U35" s="4" t="inlineStr">
        <is>
          <t>No</t>
        </is>
      </c>
      <c r="V35" s="4" t="inlineStr">
        <is>
          <t>Open in Main Tab</t>
        </is>
      </c>
      <c r="W35" s="4" t="inlineStr"/>
      <c r="X35" s="4" t="inlineStr">
        <is>
          <t>SEO</t>
        </is>
      </c>
      <c r="Y35" s="4" t="inlineStr">
        <is>
          <t>Content</t>
        </is>
      </c>
      <c r="Z35" s="4" t="inlineStr">
        <is>
          <t>Low</t>
        </is>
      </c>
      <c r="AA35" s="4" t="n">
        <v>4</v>
      </c>
      <c r="AB35" s="4" t="n">
        <v>0</v>
      </c>
      <c r="AC35" s="4" t="inlineStr">
        <is>
          <t>Resolve 'AI Crawlers Not Explicitly Allowed' using content best practices and validate in the related detail tab.</t>
        </is>
      </c>
      <c r="AD35" s="4" t="inlineStr">
        <is>
          <t>Open</t>
        </is>
      </c>
      <c r="AE35" s="4">
        <f>IFERROR(INDEX('Content Optimization Hub'!A:A,MATCH(H35,'Content Optimization Hub'!C:C,0)),"Not in Hub")</f>
        <v/>
      </c>
      <c r="AF35" s="4" t="inlineStr"/>
    </row>
  </sheetData>
  <autoFilter ref="A1:AG35"/>
  <conditionalFormatting sqref="C2:C35">
    <cfRule type="cellIs" priority="1" operator="greaterThanOrEqual" dxfId="0">
      <formula>85</formula>
    </cfRule>
    <cfRule type="cellIs" priority="2" operator="between" dxfId="1">
      <formula>65</formula>
      <formula>84</formula>
    </cfRule>
  </conditionalFormatting>
  <conditionalFormatting sqref="U2:U35">
    <cfRule type="expression" priority="3" dxfId="2" stopIfTrue="1">
      <formula>LOWER(U2)="yes"</formula>
    </cfRule>
    <cfRule type="expression" priority="4" dxfId="3" stopIfTrue="1">
      <formula>LOWER(U2)="no"</formula>
    </cfRule>
  </conditionalFormatting>
  <conditionalFormatting sqref="Q2:Q35">
    <cfRule type="expression" priority="5" dxfId="4" stopIfTrue="1">
      <formula>LOWER(Q2)="done"</formula>
    </cfRule>
    <cfRule type="expression" priority="6" dxfId="5" stopIfTrue="1">
      <formula>OR(LOWER(Q2)="to do",LOWER(Q2)="in progress",LOWER(Q2)="in review")</formula>
    </cfRule>
  </conditionalFormatting>
  <dataValidations count="35">
    <dataValidation sqref="Q2:Q35"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Detail Reference Tab" prompt="Summary grouping/navigation field. Use with hyperlinks to jump into detailed tabs." type="custom">
      <formula1>TRUE</formula1>
    </dataValidation>
    <dataValidation sqref="G1" showDropDown="0" showInputMessage="1" showErrorMessage="0" allowBlank="1" promptTitle="Resolution Type" prompt="Resolution Type. Review this metric to identify risk, then use linked tabs for details and remediation." type="custom">
      <formula1>TRUE</formula1>
    </dataValidation>
    <dataValidation sqref="H1" showDropDown="0" showInputMessage="1" showErrorMessage="0" allowBlank="1" promptTitle="URL" prompt="URL. Use this URL to inspect the page directly or jump to related tabs." type="custom">
      <formula1>TRUE</formula1>
    </dataValidation>
    <dataValidation sqref="I1" showDropDown="0" showInputMessage="1" showErrorMessage="0" allowBlank="1" promptTitle="Recommended Fix" prompt="Recommended Fix. Review this metric to identify risk, then use linked tabs for details and remediation." type="custom">
      <formula1>TRUE</formula1>
    </dataValidation>
    <dataValidation sqref="J1" showDropDown="0" showInputMessage="1" showErrorMessage="0" allowBlank="1" promptTitle="Likely Root Cause" prompt="Likely Root Cause. Review this metric to identify risk, then use linked tabs for details and remediation." type="custom">
      <formula1>TRUE</formula1>
    </dataValidation>
    <dataValidation sqref="K1" showDropDown="0" showInputMessage="1" showErrorMessage="0" allowBlank="1" promptTitle="Owner" prompt="Workflow management field for planning and tracking remediation progress." type="custom">
      <formula1>TRUE</formula1>
    </dataValidation>
    <dataValidation sqref="L1" showDropDown="0" showInputMessage="1" showErrorMessage="0" allowBlank="1" promptTitle="Agency Owner" prompt="Workflow management field for planning and tracking remediation progress." type="custom">
      <formula1>TRUE</formula1>
    </dataValidation>
    <dataValidation sqref="M1" showDropDown="0" showInputMessage="1" showErrorMessage="0" allowBlank="1" promptTitle="Effort" prompt="Effort. Review this metric to identify risk, then use linked tabs for details and remediation."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Est. Sprint Points" prompt="Workflow management field for planning and tracking remediation progress." type="custom">
      <formula1>TRUE</formula1>
    </dataValidation>
    <dataValidation sqref="P1" showDropDown="0" showInputMessage="1" showErrorMessage="0" allowBlank="1" promptTitle="Aging/Priority" prompt="Aging/Priority. Review this metric to identify risk, then use linked tabs for details and remediation." type="custom">
      <formula1>TRUE</formula1>
    </dataValidation>
    <dataValidation sqref="Q1" showDropDown="0" showInputMessage="1" showErrorMessage="0" allowBlank="1" promptTitle="Status" prompt="Workflow management field for planning and tracking remediation progress." type="custom">
      <formula1>TRUE</formula1>
    </dataValidation>
    <dataValidation sqref="R1" showDropDown="0" showInputMessage="1" showErrorMessage="0" allowBlank="1" promptTitle="Verified By" prompt="Verified By. Review this metric to identify risk, then use linked tabs for details and remediation." type="custom">
      <formula1>TRUE</formula1>
    </dataValidation>
    <dataValidation sqref="S1" showDropDown="0" showInputMessage="1" showErrorMessage="0" allowBlank="1" promptTitle="Date Resolved" prompt="Date Resolved. Review this metric to identify risk, then use linked tabs for details and remediation." type="custom">
      <formula1>TRUE</formula1>
    </dataValidation>
    <dataValidation sqref="T1" showDropDown="0" showInputMessage="1" showErrorMessage="0" allowBlank="1" promptTitle="Revenue Risk" prompt="Revenue Risk. Review this metric to identify risk, then use linked tabs for details and remediation." type="custom">
      <formula1>TRUE</formula1>
    </dataValidation>
    <dataValidation sqref="U1" showDropDown="0" showInputMessage="1" showErrorMessage="0" allowBlank="1" promptTitle="Action Needed" prompt="Action Needed. Review this metric to identify risk, then use linked tabs for details and remediation." type="custom">
      <formula1>TRUE</formula1>
    </dataValidation>
    <dataValidation sqref="V1" showDropDown="0" showInputMessage="1" showErrorMessage="0" allowBlank="1" promptTitle="Jump to Details" prompt="Jump to Details. Review this metric to identify risk, then use linked tabs for details and remediation." type="custom">
      <formula1>TRUE</formula1>
    </dataValidation>
    <dataValidation sqref="W1" showDropDown="0" showInputMessage="1" showErrorMessage="0" allowBlank="1" promptTitle="Sprint" prompt="Workflow management field for planning and tracking remediation progress." type="custom">
      <formula1>TRUE</formula1>
    </dataValidation>
    <dataValidation sqref="X1" showDropDown="0" showInputMessage="1" showErrorMessage="0" allowBlank="1" promptTitle="Category" prompt="Category. Review this metric to identify risk, then use linked tabs for details and remediation." type="custom">
      <formula1>TRUE</formula1>
    </dataValidation>
    <dataValidation sqref="Y1" showDropDown="0" showInputMessage="1" showErrorMessage="0" allowBlank="1" promptTitle="Fix Type" prompt="Fix Type. Review this metric to identify risk, then use linked tabs for details and remediation." type="custom">
      <formula1>TRUE</formula1>
    </dataValidation>
    <dataValidation sqref="Z1" showDropDown="0" showInputMessage="1" showErrorMessage="0" allowBlank="1" promptTitle="Estimated Traffic Impact" prompt="Estimated Traffic Impact. Review this metric to identify risk, then use linked tabs for details and remediation." type="custom">
      <formula1>TRUE</formula1>
    </dataValidation>
    <dataValidation sqref="AA1" showDropDown="0" showInputMessage="1" showErrorMessage="0" allowBlank="1" promptTitle="Fix Effort" prompt="Fix Effort. Review this metric to identify risk, then use linked tabs for details and remediation." type="custom">
      <formula1>TRUE</formula1>
    </dataValidation>
    <dataValidation sqref="AB1" showDropDown="0" showInputMessage="1" showErrorMessage="0" allowBlank="1" promptTitle="ROI Score" prompt="ROI Score. Review this metric to identify risk, then use linked tabs for details and remediation." type="custom">
      <formula1>TRUE</formula1>
    </dataValidation>
    <dataValidation sqref="AC1" showDropDown="0" showInputMessage="1" showErrorMessage="0" allowBlank="1" promptTitle="Exact Action" prompt="Exact Action. Review this metric to identify risk, then use linked tabs for details and remediation." type="custom">
      <formula1>TRUE</formula1>
    </dataValidation>
    <dataValidation sqref="AD1" showDropDown="0" showInputMessage="1" showErrorMessage="0" allowBlank="1" promptTitle="Open in Main" prompt="Navigation helper. Click to jump directly to the related record in another tab." type="custom">
      <formula1>TRUE</formula1>
    </dataValidation>
    <dataValidation sqref="AE1" showDropDown="0" showInputMessage="1" showErrorMessage="0" allowBlank="1" promptTitle="Hub Status (Content Hub)" prompt="Hub Status (Content Hub). Review this metric to identify risk, then use linked tabs for details and remediation." type="custom">
      <formula1>TRUE</formula1>
    </dataValidation>
    <dataValidation sqref="AG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AG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13" customWidth="1" min="1" max="1"/>
    <col width="36" customWidth="1" min="2" max="2"/>
    <col width="13" customWidth="1" min="3" max="3"/>
    <col width="14" customWidth="1" min="4" max="4"/>
    <col width="15" customWidth="1" min="5" max="5"/>
    <col hidden="1" outlineLevel="1" width="60" customWidth="1" min="6" max="6"/>
    <col hidden="1" outlineLevel="1" width="60" customWidth="1" min="7" max="7"/>
    <col width="19" customWidth="1" min="8" max="8"/>
    <col width="18" customWidth="1" min="9" max="9"/>
    <col width="16" customWidth="1" min="10" max="10"/>
    <col hidden="1" outlineLevel="1" width="18" customWidth="1" min="11" max="11"/>
    <col hidden="1" outlineLevel="1" width="19" customWidth="1" min="12" max="12"/>
    <col hidden="1" outlineLevel="1" width="14" customWidth="1" min="13" max="13"/>
    <col hidden="1" outlineLevel="1" width="18" customWidth="1" min="14" max="14"/>
    <col hidden="1" outlineLevel="1" width="60" customWidth="1" min="15" max="15"/>
    <col hidden="1" width="19" customWidth="1" min="16" max="16"/>
    <col hidden="1" outlineLevel="1" width="12" customWidth="1" min="17" max="17"/>
    <col hidden="1" outlineLevel="1" width="11" customWidth="1" min="18" max="18"/>
    <col hidden="1" outlineLevel="1" width="12" customWidth="1" min="19" max="19"/>
    <col hidden="1" outlineLevel="1" width="11" customWidth="1" min="20" max="20"/>
    <col hidden="1" outlineLevel="1" width="12" customWidth="1" min="21" max="21"/>
    <col hidden="1" outlineLevel="1" width="11" customWidth="1" min="22" max="22"/>
    <col hidden="1" outlineLevel="1" width="12" customWidth="1" min="23" max="23"/>
    <col hidden="1" outlineLevel="1" width="11" customWidth="1" min="24" max="24"/>
    <col hidden="1" outlineLevel="1" width="12" customWidth="1" min="25" max="25"/>
    <col hidden="1" outlineLevel="1" width="11" customWidth="1" min="26" max="26"/>
    <col hidden="1" outlineLevel="1" width="12" customWidth="1" min="27" max="27"/>
    <col hidden="1" outlineLevel="1" width="11" customWidth="1" min="28" max="28"/>
    <col hidden="1" outlineLevel="1" width="13" customWidth="1" min="29" max="29"/>
    <col hidden="1" outlineLevel="1" width="9" customWidth="1" min="30" max="30"/>
    <col hidden="1" outlineLevel="1" width="14" customWidth="1" min="31" max="31"/>
    <col hidden="1" outlineLevel="1" width="26" customWidth="1" min="32" max="32"/>
    <col hidden="1" outlineLevel="1" width="19" customWidth="1" min="33" max="33"/>
    <col hidden="1" outlineLevel="1" width="18" customWidth="1" min="34" max="34"/>
    <col hidden="1" outlineLevel="1" width="16" customWidth="1" min="35" max="35"/>
    <col hidden="1" outlineLevel="1" width="12" customWidth="1" min="36" max="36"/>
    <col hidden="1" outlineLevel="1" width="17" customWidth="1" min="37" max="37"/>
    <col hidden="1" outlineLevel="1" width="12" customWidth="1" min="38" max="38"/>
    <col hidden="1" outlineLevel="1" width="17" customWidth="1" min="39" max="39"/>
    <col hidden="1" outlineLevel="1" width="21" customWidth="1" min="40" max="40"/>
    <col hidden="1" outlineLevel="1" width="19" customWidth="1" min="41" max="41"/>
    <col hidden="1" outlineLevel="1" width="13" customWidth="1" min="42" max="42"/>
    <col hidden="1" outlineLevel="1" width="14" customWidth="1" min="43" max="43"/>
    <col hidden="1" outlineLevel="1" width="19" customWidth="1" min="44" max="44"/>
    <col hidden="1" outlineLevel="1" width="19" customWidth="1" min="45" max="45"/>
    <col hidden="1" outlineLevel="1" width="17" customWidth="1" min="46" max="46"/>
    <col hidden="1" outlineLevel="1" width="18" customWidth="1" min="47" max="47"/>
    <col hidden="1" outlineLevel="1" width="18" customWidth="1" min="48" max="48"/>
    <col hidden="1" outlineLevel="1" width="12" customWidth="1" min="49" max="49"/>
    <col hidden="1" outlineLevel="1" width="11" customWidth="1" min="50" max="50"/>
    <col hidden="1" outlineLevel="1" width="16" customWidth="1" min="51" max="51"/>
    <col width="19" customWidth="1" min="52" max="52"/>
  </cols>
  <sheetData>
    <row r="1">
      <c r="A1" s="21" t="inlineStr">
        <is>
          <t>Health Icon</t>
        </is>
      </c>
      <c r="B1" s="21" t="inlineStr">
        <is>
          <t>URL</t>
        </is>
      </c>
      <c r="C1" s="21" t="inlineStr">
        <is>
          <t>Status Code</t>
        </is>
      </c>
      <c r="D1" s="21" t="inlineStr">
        <is>
          <t>Indexability</t>
        </is>
      </c>
      <c r="E1" s="21" t="inlineStr">
        <is>
          <t>Load Time (s)</t>
        </is>
      </c>
      <c r="F1" s="21" t="inlineStr">
        <is>
          <t>Title</t>
        </is>
      </c>
      <c r="G1" s="21" t="inlineStr">
        <is>
          <t>Meta Description</t>
        </is>
      </c>
      <c r="H1" s="21" t="inlineStr">
        <is>
          <t>Word Count (Body)</t>
        </is>
      </c>
      <c r="I1" s="21" t="inlineStr">
        <is>
          <t>SEO Health Score</t>
        </is>
      </c>
      <c r="J1" s="21" t="inlineStr">
        <is>
          <t>Severity Badge</t>
        </is>
      </c>
      <c r="K1" s="21" t="inlineStr">
        <is>
          <t>Extraction State</t>
        </is>
      </c>
      <c r="L1" s="21" t="inlineStr">
        <is>
          <t>Extraction Source</t>
        </is>
      </c>
      <c r="M1" s="21" t="inlineStr">
        <is>
          <t>Title Length</t>
        </is>
      </c>
      <c r="N1" s="21" t="inlineStr">
        <is>
          <t>Meta Desc Length</t>
        </is>
      </c>
      <c r="O1" s="21" t="inlineStr">
        <is>
          <t>OG-Image</t>
        </is>
      </c>
      <c r="P1" s="21" t="inlineStr">
        <is>
          <t>Has Valid JSON-LD</t>
        </is>
      </c>
      <c r="Q1" s="21" t="inlineStr">
        <is>
          <t>H1 Content</t>
        </is>
      </c>
      <c r="R1" s="21" t="inlineStr">
        <is>
          <t>H1 Length</t>
        </is>
      </c>
      <c r="S1" s="21" t="inlineStr">
        <is>
          <t>H2 Content</t>
        </is>
      </c>
      <c r="T1" s="21" t="inlineStr">
        <is>
          <t>H2 Length</t>
        </is>
      </c>
      <c r="U1" s="21" t="inlineStr">
        <is>
          <t>H3 Content</t>
        </is>
      </c>
      <c r="V1" s="21" t="inlineStr">
        <is>
          <t>H3 Length</t>
        </is>
      </c>
      <c r="W1" s="21" t="inlineStr">
        <is>
          <t>H4 Content</t>
        </is>
      </c>
      <c r="X1" s="21" t="inlineStr">
        <is>
          <t>H4 Length</t>
        </is>
      </c>
      <c r="Y1" s="21" t="inlineStr">
        <is>
          <t>H5 Content</t>
        </is>
      </c>
      <c r="Z1" s="21" t="inlineStr">
        <is>
          <t>H5 Length</t>
        </is>
      </c>
      <c r="AA1" s="21" t="inlineStr">
        <is>
          <t>H6 Content</t>
        </is>
      </c>
      <c r="AB1" s="21" t="inlineStr">
        <is>
          <t>H6 Length</t>
        </is>
      </c>
      <c r="AC1" s="21" t="inlineStr">
        <is>
          <t>CWV LCP (s)</t>
        </is>
      </c>
      <c r="AD1" s="21" t="inlineStr">
        <is>
          <t>CWV CLS</t>
        </is>
      </c>
      <c r="AE1" s="21" t="inlineStr">
        <is>
          <t>Field vs Lab</t>
        </is>
      </c>
      <c r="AF1" s="21" t="inlineStr">
        <is>
          <t>Regional Authority Score</t>
        </is>
      </c>
      <c r="AG1" s="21" t="inlineStr">
        <is>
          <t>Desktop PSI Score</t>
        </is>
      </c>
      <c r="AH1" s="21" t="inlineStr">
        <is>
          <t>Mobile PSI Score</t>
        </is>
      </c>
      <c r="AI1" s="21" t="inlineStr">
        <is>
          <t>Mobile LCP (s)</t>
        </is>
      </c>
      <c r="AJ1" s="21" t="inlineStr">
        <is>
          <t>Mobile CLS</t>
        </is>
      </c>
      <c r="AK1" s="21" t="inlineStr">
        <is>
          <t>Mobile TTFB (s)</t>
        </is>
      </c>
      <c r="AL1" s="21" t="inlineStr">
        <is>
          <t>GSC Clicks</t>
        </is>
      </c>
      <c r="AM1" s="21" t="inlineStr">
        <is>
          <t>GSC Impressions</t>
        </is>
      </c>
      <c r="AN1" s="21" t="inlineStr">
        <is>
          <t>GSC CTR</t>
        </is>
      </c>
      <c r="AO1" s="21" t="inlineStr">
        <is>
          <t>GSC Avg Position</t>
        </is>
      </c>
      <c r="AP1" s="21" t="inlineStr">
        <is>
          <t>Click Depth</t>
        </is>
      </c>
      <c r="AQ1" s="21" t="inlineStr">
        <is>
          <t>Orphan Pages</t>
        </is>
      </c>
      <c r="AR1" s="21" t="inlineStr">
        <is>
          <t>Internal PageRank</t>
        </is>
      </c>
      <c r="AS1" s="21" t="inlineStr">
        <is>
          <t>Found via Sitemap</t>
        </is>
      </c>
      <c r="AT1" s="21" t="inlineStr">
        <is>
          <t>Found via Crawl</t>
        </is>
      </c>
      <c r="AU1" s="21" t="inlineStr">
        <is>
          <t>Discovery Source</t>
        </is>
      </c>
      <c r="AV1" s="21" t="inlineStr">
        <is>
          <t>Technical Health</t>
        </is>
      </c>
      <c r="AW1" s="21" t="inlineStr">
        <is>
          <t>Copy Score</t>
        </is>
      </c>
      <c r="AX1" s="21" t="inlineStr">
        <is>
          <t>SEO Score</t>
        </is>
      </c>
      <c r="AY1" s="21" t="inlineStr">
        <is>
          <t>Technical View</t>
        </is>
      </c>
      <c r="AZ1" s="21" t="inlineStr">
        <is>
          <t>BACK TO DASHBOARD</t>
        </is>
      </c>
      <c r="BA1" s="39" t="inlineStr">
        <is>
          <t>Technical View_1</t>
        </is>
      </c>
      <c r="BB1" s="23" t="inlineStr">
        <is>
          <t>BACK TO DASHBOARD_1</t>
        </is>
      </c>
    </row>
    <row r="2">
      <c r="A2" s="22" t="inlineStr">
        <is>
          <t>UNMEASURED</t>
        </is>
      </c>
      <c r="B2" s="40" t="inlineStr">
        <is>
          <t>https://africanmarketingconfederation.org/</t>
        </is>
      </c>
      <c r="C2" s="3" t="n">
        <v>200</v>
      </c>
      <c r="D2" s="22" t="inlineStr">
        <is>
          <t>Indexable</t>
        </is>
      </c>
      <c r="E2" s="22" t="n">
        <v>2.214</v>
      </c>
      <c r="F2" s="22" t="inlineStr">
        <is>
          <t>African Marketing Confederation - Uniting Marketers for Excellence</t>
        </is>
      </c>
      <c r="G2" s="22" t="inlineStr">
        <is>
          <t>The African Marketing Confederation is the ground-breaking Pan-African body driving the development of top marketing standards across Africa and beyond.</t>
        </is>
      </c>
      <c r="H2" s="22" t="n">
        <v>35</v>
      </c>
      <c r="I2" s="41" t="inlineStr"/>
      <c r="J2" s="22" t="inlineStr">
        <is>
          <t>Unmeasured</t>
        </is>
      </c>
      <c r="K2" s="22" t="inlineStr">
        <is>
          <t>partial</t>
        </is>
      </c>
      <c r="L2" s="22" t="inlineStr">
        <is>
          <t>rendered_browser</t>
        </is>
      </c>
      <c r="M2" s="22" t="n">
        <v>66</v>
      </c>
      <c r="N2" s="22" t="n">
        <v>152</v>
      </c>
      <c r="O2" s="22" t="inlineStr">
        <is>
          <t>https://africanmarketingconfederation.org/wp-content/uploads/2026/03/og-image.png</t>
        </is>
      </c>
      <c r="P2" s="22" t="b">
        <v>0</v>
      </c>
      <c r="Q2" s="22" t="inlineStr"/>
      <c r="R2" s="22" t="n">
        <v>0</v>
      </c>
      <c r="S2" s="22" t="inlineStr"/>
      <c r="T2" s="22" t="n">
        <v>0</v>
      </c>
      <c r="U2" s="22" t="inlineStr"/>
      <c r="V2" s="22" t="n">
        <v>0</v>
      </c>
      <c r="W2" s="22" t="inlineStr"/>
      <c r="X2" s="22" t="n">
        <v>0</v>
      </c>
      <c r="Y2" s="22" t="inlineStr"/>
      <c r="Z2" s="22" t="n">
        <v>0</v>
      </c>
      <c r="AA2" s="22" t="inlineStr"/>
      <c r="AB2" s="22" t="n">
        <v>0</v>
      </c>
      <c r="AC2" s="22" t="n">
        <v>0</v>
      </c>
      <c r="AD2" s="22" t="inlineStr"/>
      <c r="AE2" s="22" t="inlineStr">
        <is>
          <t>Lab</t>
        </is>
      </c>
      <c r="AF2" s="22" t="n">
        <v>100</v>
      </c>
      <c r="AG2" s="22" t="n">
        <v>0</v>
      </c>
      <c r="AH2" s="22" t="n">
        <v>0</v>
      </c>
      <c r="AI2" s="22" t="n">
        <v>0</v>
      </c>
      <c r="AJ2" s="22" t="n">
        <v>0</v>
      </c>
      <c r="AK2" s="22" t="n">
        <v>0</v>
      </c>
      <c r="AL2" s="22" t="n">
        <v>60</v>
      </c>
      <c r="AM2" s="22" t="n">
        <v>1108</v>
      </c>
      <c r="AN2" s="22" t="n">
        <v>0.05415162454873646</v>
      </c>
      <c r="AO2" s="22" t="n">
        <v>5.929602888086642</v>
      </c>
      <c r="AP2" s="22" t="n">
        <v>0</v>
      </c>
      <c r="AQ2" s="22" t="b">
        <v>0</v>
      </c>
      <c r="AR2" s="22" t="n">
        <v>0.287449</v>
      </c>
      <c r="AS2" s="22" t="b">
        <v>1</v>
      </c>
      <c r="AT2" s="22" t="b">
        <v>1</v>
      </c>
      <c r="AU2" s="22" t="inlineStr">
        <is>
          <t>Both</t>
        </is>
      </c>
      <c r="AV2" s="25" t="n">
        <v>0</v>
      </c>
      <c r="AW2" s="34" t="n">
        <v>75</v>
      </c>
      <c r="AX2" s="25" t="n">
        <v>18.75</v>
      </c>
      <c r="AY2" s="22" t="inlineStr">
        <is>
          <t>Open Technical</t>
        </is>
      </c>
      <c r="AZ2" s="22" t="inlineStr"/>
      <c r="BA2" s="24">
        <f>IFERROR(HYPERLINK("#Technical!A"&amp;MATCH(B2,Technical!A:A,0),"Open Technical"),HYPERLINK("#Technical!A1","Open Technical"))</f>
        <v/>
      </c>
      <c r="BB2" s="24" t="n"/>
    </row>
    <row r="3" ht="30" customHeight="1">
      <c r="A3" s="4" t="inlineStr">
        <is>
          <t>UNMEASURED</t>
        </is>
      </c>
      <c r="B3" s="42" t="inlineStr">
        <is>
          <t>https://africanmarketingconfederation.org/about-us</t>
        </is>
      </c>
      <c r="C3" s="3" t="n">
        <v>200</v>
      </c>
      <c r="D3" s="4" t="inlineStr">
        <is>
          <t>Indexable</t>
        </is>
      </c>
      <c r="E3" s="4" t="n">
        <v>0.08500000000000001</v>
      </c>
      <c r="F3" s="4" t="inlineStr">
        <is>
          <t>African Marketing Confederation – The Leading Marketing Professional Body – African Marketing Confederation</t>
        </is>
      </c>
      <c r="G3" s="4"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3" s="4" t="n">
        <v>235</v>
      </c>
      <c r="I3" s="43" t="inlineStr"/>
      <c r="J3" s="4" t="inlineStr">
        <is>
          <t>Unmeasured</t>
        </is>
      </c>
      <c r="K3" s="4" t="inlineStr">
        <is>
          <t>partial</t>
        </is>
      </c>
      <c r="L3" s="4" t="inlineStr">
        <is>
          <t>rendered_browser</t>
        </is>
      </c>
      <c r="M3" s="4" t="n">
        <v>107</v>
      </c>
      <c r="N3" s="4" t="n">
        <v>405</v>
      </c>
      <c r="O3" s="4" t="inlineStr">
        <is>
          <t>https://africanmarketingconfederation.org/wp-content/uploads/2026/03/og-image.png</t>
        </is>
      </c>
      <c r="P3" s="4" t="b">
        <v>0</v>
      </c>
      <c r="Q3" s="4" t="inlineStr"/>
      <c r="R3" s="4" t="n">
        <v>0</v>
      </c>
      <c r="S3" s="4" t="inlineStr"/>
      <c r="T3" s="4" t="n">
        <v>0</v>
      </c>
      <c r="U3" s="4" t="inlineStr"/>
      <c r="V3" s="4" t="n">
        <v>0</v>
      </c>
      <c r="W3" s="4" t="inlineStr"/>
      <c r="X3" s="4" t="n">
        <v>0</v>
      </c>
      <c r="Y3" s="4" t="inlineStr"/>
      <c r="Z3" s="4" t="n">
        <v>0</v>
      </c>
      <c r="AA3" s="4" t="inlineStr"/>
      <c r="AB3" s="4" t="n">
        <v>0</v>
      </c>
      <c r="AC3" s="4" t="n">
        <v>0</v>
      </c>
      <c r="AD3" s="4" t="inlineStr"/>
      <c r="AE3" s="4" t="inlineStr">
        <is>
          <t>Lab</t>
        </is>
      </c>
      <c r="AF3" s="4" t="n">
        <v>70</v>
      </c>
      <c r="AG3" s="4" t="n">
        <v>0</v>
      </c>
      <c r="AH3" s="4" t="n">
        <v>0</v>
      </c>
      <c r="AI3" s="4" t="n">
        <v>0</v>
      </c>
      <c r="AJ3" s="4" t="n">
        <v>0</v>
      </c>
      <c r="AK3" s="4" t="n">
        <v>0</v>
      </c>
      <c r="AL3" s="4" t="n">
        <v>7</v>
      </c>
      <c r="AM3" s="4" t="n">
        <v>200</v>
      </c>
      <c r="AN3" s="4" t="n">
        <v>0.035</v>
      </c>
      <c r="AO3" s="4" t="n">
        <v>3.255</v>
      </c>
      <c r="AP3" s="4" t="n">
        <v>1</v>
      </c>
      <c r="AQ3" s="4" t="b">
        <v>0</v>
      </c>
      <c r="AR3" s="4" t="n">
        <v>0.271899</v>
      </c>
      <c r="AS3" s="4" t="b">
        <v>1</v>
      </c>
      <c r="AT3" s="4" t="b">
        <v>1</v>
      </c>
      <c r="AU3" s="4" t="inlineStr">
        <is>
          <t>Both</t>
        </is>
      </c>
      <c r="AV3" s="25" t="n">
        <v>0</v>
      </c>
      <c r="AW3" s="34" t="n">
        <v>75</v>
      </c>
      <c r="AX3" s="25" t="n">
        <v>18.75</v>
      </c>
      <c r="AY3" s="4" t="inlineStr">
        <is>
          <t>Open Technical</t>
        </is>
      </c>
      <c r="AZ3" s="4" t="inlineStr"/>
      <c r="BA3">
        <f>IFERROR(HYPERLINK("#Technical!A"&amp;MATCH(B3,Technical!A:A,0),"Open Technical"),HYPERLINK("#Technical!A1","Open Technical"))</f>
        <v/>
      </c>
    </row>
    <row r="4" ht="30" customHeight="1">
      <c r="A4" s="22" t="inlineStr">
        <is>
          <t>UNMEASURED</t>
        </is>
      </c>
      <c r="B4" s="40" t="inlineStr">
        <is>
          <t>https://africanmarketingconfederation.org/african-marketing-confederation-tourism-chapter</t>
        </is>
      </c>
      <c r="C4" s="3" t="n">
        <v>200</v>
      </c>
      <c r="D4" s="22" t="inlineStr">
        <is>
          <t>Indexable</t>
        </is>
      </c>
      <c r="E4" s="22" t="n">
        <v>0.08599999999999999</v>
      </c>
      <c r="F4" s="22" t="inlineStr">
        <is>
          <t>African Marketing Confederation Tourism Chapter – African Marketing Confederation</t>
        </is>
      </c>
      <c r="G4" s="22"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4" s="22" t="n">
        <v>355</v>
      </c>
      <c r="I4" s="41" t="inlineStr"/>
      <c r="J4" s="22" t="inlineStr">
        <is>
          <t>Unmeasured</t>
        </is>
      </c>
      <c r="K4" s="22" t="inlineStr">
        <is>
          <t>partial</t>
        </is>
      </c>
      <c r="L4" s="22" t="inlineStr">
        <is>
          <t>rendered_browser</t>
        </is>
      </c>
      <c r="M4" s="22" t="n">
        <v>81</v>
      </c>
      <c r="N4" s="22" t="n">
        <v>423</v>
      </c>
      <c r="O4" s="22" t="inlineStr">
        <is>
          <t>https://africanmarketingconfederation.org/wp-content/uploads/2026/03/og-image.png</t>
        </is>
      </c>
      <c r="P4" s="22" t="b">
        <v>0</v>
      </c>
      <c r="Q4" s="22" t="inlineStr"/>
      <c r="R4" s="22" t="n">
        <v>0</v>
      </c>
      <c r="S4" s="22" t="inlineStr"/>
      <c r="T4" s="22" t="n">
        <v>0</v>
      </c>
      <c r="U4" s="22" t="inlineStr"/>
      <c r="V4" s="22" t="n">
        <v>0</v>
      </c>
      <c r="W4" s="22" t="inlineStr"/>
      <c r="X4" s="22" t="n">
        <v>0</v>
      </c>
      <c r="Y4" s="22" t="inlineStr"/>
      <c r="Z4" s="22" t="n">
        <v>0</v>
      </c>
      <c r="AA4" s="22" t="inlineStr"/>
      <c r="AB4" s="22" t="n">
        <v>0</v>
      </c>
      <c r="AC4" s="22" t="n">
        <v>0</v>
      </c>
      <c r="AD4" s="22" t="inlineStr"/>
      <c r="AE4" s="22" t="inlineStr">
        <is>
          <t>Lab</t>
        </is>
      </c>
      <c r="AF4" s="22" t="n">
        <v>60</v>
      </c>
      <c r="AG4" s="22" t="n">
        <v>0</v>
      </c>
      <c r="AH4" s="22" t="n">
        <v>0</v>
      </c>
      <c r="AI4" s="22" t="n">
        <v>0</v>
      </c>
      <c r="AJ4" s="22" t="n">
        <v>0</v>
      </c>
      <c r="AK4" s="22" t="n">
        <v>0</v>
      </c>
      <c r="AL4" s="22" t="n">
        <v>0</v>
      </c>
      <c r="AM4" s="22" t="n">
        <v>8</v>
      </c>
      <c r="AN4" s="22" t="n">
        <v>0</v>
      </c>
      <c r="AO4" s="22" t="n">
        <v>5</v>
      </c>
      <c r="AP4" s="22" t="n">
        <v>1</v>
      </c>
      <c r="AQ4" s="22" t="b">
        <v>0</v>
      </c>
      <c r="AR4" s="22" t="n">
        <v>0.271899</v>
      </c>
      <c r="AS4" s="22" t="b">
        <v>1</v>
      </c>
      <c r="AT4" s="22" t="b">
        <v>1</v>
      </c>
      <c r="AU4" s="22" t="inlineStr">
        <is>
          <t>Both</t>
        </is>
      </c>
      <c r="AV4" s="25" t="n">
        <v>0</v>
      </c>
      <c r="AW4" s="3" t="n">
        <v>100</v>
      </c>
      <c r="AX4" s="25" t="n">
        <v>25</v>
      </c>
      <c r="AY4" s="22" t="inlineStr">
        <is>
          <t>Open Technical</t>
        </is>
      </c>
      <c r="AZ4" s="22" t="inlineStr"/>
      <c r="BA4" s="24">
        <f>IFERROR(HYPERLINK("#Technical!A"&amp;MATCH(B4,Technical!A:A,0),"Open Technical"),HYPERLINK("#Technical!A1","Open Technical"))</f>
        <v/>
      </c>
      <c r="BB4" s="24" t="n"/>
    </row>
    <row r="5" ht="30" customHeight="1">
      <c r="A5" s="4" t="inlineStr">
        <is>
          <t>UNMEASURED</t>
        </is>
      </c>
      <c r="B5" s="42" t="inlineStr">
        <is>
          <t>https://africanmarketingconfederation.org/amc-awards-2024</t>
        </is>
      </c>
      <c r="C5" s="3" t="n">
        <v>200</v>
      </c>
      <c r="D5" s="4" t="inlineStr">
        <is>
          <t>Indexable</t>
        </is>
      </c>
      <c r="E5" s="4" t="n">
        <v>0.078</v>
      </c>
      <c r="F5" s="4" t="inlineStr">
        <is>
          <t>AMC Awards 2024 – African Marketing Confederation</t>
        </is>
      </c>
      <c r="G5" s="4"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5" s="4" t="n">
        <v>1668</v>
      </c>
      <c r="I5" s="43" t="inlineStr"/>
      <c r="J5" s="4" t="inlineStr">
        <is>
          <t>Unmeasured</t>
        </is>
      </c>
      <c r="K5" s="4" t="inlineStr">
        <is>
          <t>partial</t>
        </is>
      </c>
      <c r="L5" s="4" t="inlineStr">
        <is>
          <t>rendered_browser</t>
        </is>
      </c>
      <c r="M5" s="4" t="n">
        <v>49</v>
      </c>
      <c r="N5" s="4" t="n">
        <v>406</v>
      </c>
      <c r="O5" s="4" t="inlineStr">
        <is>
          <t>https://africanmarketingconfederation.org/wp-content/uploads/2021/08/amc_faw.png</t>
        </is>
      </c>
      <c r="P5" s="4" t="b">
        <v>0</v>
      </c>
      <c r="Q5" s="4" t="inlineStr"/>
      <c r="R5" s="4" t="n">
        <v>0</v>
      </c>
      <c r="S5" s="4" t="inlineStr"/>
      <c r="T5" s="4" t="n">
        <v>0</v>
      </c>
      <c r="U5" s="4" t="inlineStr"/>
      <c r="V5" s="4" t="n">
        <v>0</v>
      </c>
      <c r="W5" s="4" t="inlineStr"/>
      <c r="X5" s="4" t="n">
        <v>0</v>
      </c>
      <c r="Y5" s="4" t="inlineStr"/>
      <c r="Z5" s="4" t="n">
        <v>0</v>
      </c>
      <c r="AA5" s="4" t="inlineStr"/>
      <c r="AB5" s="4" t="n">
        <v>0</v>
      </c>
      <c r="AC5" s="4" t="n">
        <v>0</v>
      </c>
      <c r="AD5" s="4" t="inlineStr"/>
      <c r="AE5" s="4" t="inlineStr">
        <is>
          <t>Lab</t>
        </is>
      </c>
      <c r="AF5" s="4" t="n">
        <v>100</v>
      </c>
      <c r="AG5" s="4" t="n">
        <v>0</v>
      </c>
      <c r="AH5" s="4" t="n">
        <v>0</v>
      </c>
      <c r="AI5" s="4" t="n">
        <v>0</v>
      </c>
      <c r="AJ5" s="4" t="n">
        <v>0</v>
      </c>
      <c r="AK5" s="4" t="n">
        <v>0</v>
      </c>
      <c r="AL5" s="4" t="n">
        <v>0</v>
      </c>
      <c r="AM5" s="4" t="n">
        <v>0</v>
      </c>
      <c r="AN5" s="4" t="n">
        <v>0</v>
      </c>
      <c r="AO5" s="4" t="n">
        <v>0</v>
      </c>
      <c r="AP5" s="4" t="inlineStr"/>
      <c r="AQ5" s="4" t="b">
        <v>1</v>
      </c>
      <c r="AR5" s="4" t="n">
        <v>0.019665</v>
      </c>
      <c r="AS5" s="4" t="b">
        <v>1</v>
      </c>
      <c r="AT5" s="4" t="b">
        <v>1</v>
      </c>
      <c r="AU5" s="4" t="inlineStr">
        <is>
          <t>Both</t>
        </is>
      </c>
      <c r="AV5" s="25" t="n">
        <v>0</v>
      </c>
      <c r="AW5" s="3" t="n">
        <v>100</v>
      </c>
      <c r="AX5" s="25" t="n">
        <v>25</v>
      </c>
      <c r="AY5" s="4" t="inlineStr">
        <is>
          <t>Open Technical</t>
        </is>
      </c>
      <c r="AZ5" s="4" t="inlineStr"/>
      <c r="BA5">
        <f>IFERROR(HYPERLINK("#Technical!A"&amp;MATCH(B5,Technical!A:A,0),"Open Technical"),HYPERLINK("#Technical!A1","Open Technical"))</f>
        <v/>
      </c>
    </row>
    <row r="6" ht="30" customHeight="1">
      <c r="A6" s="22" t="inlineStr">
        <is>
          <t>UNMEASURED</t>
        </is>
      </c>
      <c r="B6" s="40" t="inlineStr">
        <is>
          <t>https://africanmarketingconfederation.org/amc-conference-2022</t>
        </is>
      </c>
      <c r="C6" s="3" t="n">
        <v>200</v>
      </c>
      <c r="D6" s="22" t="inlineStr">
        <is>
          <t>Indexable</t>
        </is>
      </c>
      <c r="E6" s="22" t="n">
        <v>2.318</v>
      </c>
      <c r="F6" s="22" t="inlineStr">
        <is>
          <t>AMC Conference 2022 – African Marketing Confederation</t>
        </is>
      </c>
      <c r="G6" s="22"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6" s="22" t="n">
        <v>32</v>
      </c>
      <c r="I6" s="41" t="inlineStr"/>
      <c r="J6" s="22" t="inlineStr">
        <is>
          <t>Unmeasured</t>
        </is>
      </c>
      <c r="K6" s="22" t="inlineStr">
        <is>
          <t>partial</t>
        </is>
      </c>
      <c r="L6" s="22" t="inlineStr">
        <is>
          <t>rendered_browser</t>
        </is>
      </c>
      <c r="M6" s="22" t="n">
        <v>53</v>
      </c>
      <c r="N6" s="22" t="n">
        <v>387</v>
      </c>
      <c r="O6" s="22" t="inlineStr">
        <is>
          <t>https://africanmarketingconfederation.org/wp-content/uploads/2026/03/og-image.png</t>
        </is>
      </c>
      <c r="P6" s="22" t="b">
        <v>0</v>
      </c>
      <c r="Q6" s="22" t="inlineStr"/>
      <c r="R6" s="22" t="n">
        <v>0</v>
      </c>
      <c r="S6" s="22" t="inlineStr"/>
      <c r="T6" s="22" t="n">
        <v>0</v>
      </c>
      <c r="U6" s="22" t="inlineStr"/>
      <c r="V6" s="22" t="n">
        <v>0</v>
      </c>
      <c r="W6" s="22" t="inlineStr"/>
      <c r="X6" s="22" t="n">
        <v>0</v>
      </c>
      <c r="Y6" s="22" t="inlineStr"/>
      <c r="Z6" s="22" t="n">
        <v>0</v>
      </c>
      <c r="AA6" s="22" t="inlineStr"/>
      <c r="AB6" s="22" t="n">
        <v>0</v>
      </c>
      <c r="AC6" s="22" t="n">
        <v>0</v>
      </c>
      <c r="AD6" s="22" t="inlineStr"/>
      <c r="AE6" s="22" t="inlineStr">
        <is>
          <t>Lab</t>
        </is>
      </c>
      <c r="AF6" s="22" t="n">
        <v>100</v>
      </c>
      <c r="AG6" s="22" t="n">
        <v>0</v>
      </c>
      <c r="AH6" s="22" t="n">
        <v>0</v>
      </c>
      <c r="AI6" s="22" t="n">
        <v>0</v>
      </c>
      <c r="AJ6" s="22" t="n">
        <v>0</v>
      </c>
      <c r="AK6" s="22" t="n">
        <v>0</v>
      </c>
      <c r="AL6" s="22" t="n">
        <v>0</v>
      </c>
      <c r="AM6" s="22" t="n">
        <v>10</v>
      </c>
      <c r="AN6" s="22" t="n">
        <v>0</v>
      </c>
      <c r="AO6" s="22" t="n">
        <v>6.1</v>
      </c>
      <c r="AP6" s="22" t="inlineStr"/>
      <c r="AQ6" s="22" t="b">
        <v>1</v>
      </c>
      <c r="AR6" s="22" t="n">
        <v>0.019665</v>
      </c>
      <c r="AS6" s="22" t="b">
        <v>1</v>
      </c>
      <c r="AT6" s="22" t="b">
        <v>1</v>
      </c>
      <c r="AU6" s="22" t="inlineStr">
        <is>
          <t>Both</t>
        </is>
      </c>
      <c r="AV6" s="25" t="n">
        <v>0</v>
      </c>
      <c r="AW6" s="25" t="n">
        <v>45</v>
      </c>
      <c r="AX6" s="25" t="n">
        <v>11.25</v>
      </c>
      <c r="AY6" s="22" t="inlineStr">
        <is>
          <t>Open Technical</t>
        </is>
      </c>
      <c r="AZ6" s="22" t="inlineStr"/>
      <c r="BA6" s="24">
        <f>IFERROR(HYPERLINK("#Technical!A"&amp;MATCH(B6,Technical!A:A,0),"Open Technical"),HYPERLINK("#Technical!A1","Open Technical"))</f>
        <v/>
      </c>
      <c r="BB6" s="24" t="n"/>
    </row>
    <row r="7" ht="30" customHeight="1">
      <c r="A7" s="4" t="inlineStr">
        <is>
          <t>UNMEASURED</t>
        </is>
      </c>
      <c r="B7" s="42" t="inlineStr">
        <is>
          <t>https://africanmarketingconfederation.org/amc-conference-2022-prospectus</t>
        </is>
      </c>
      <c r="C7" s="3" t="n">
        <v>200</v>
      </c>
      <c r="D7" s="4" t="inlineStr">
        <is>
          <t>Indexable</t>
        </is>
      </c>
      <c r="E7" s="4" t="n">
        <v>3.629</v>
      </c>
      <c r="F7" s="4" t="inlineStr">
        <is>
          <t>AMC Conference 2022 – Prospectus – African Marketing Confederation</t>
        </is>
      </c>
      <c r="G7" s="4"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7" s="4" t="n">
        <v>120</v>
      </c>
      <c r="I7" s="43" t="inlineStr"/>
      <c r="J7" s="4" t="inlineStr">
        <is>
          <t>Unmeasured</t>
        </is>
      </c>
      <c r="K7" s="4" t="inlineStr">
        <is>
          <t>partial</t>
        </is>
      </c>
      <c r="L7" s="4" t="inlineStr">
        <is>
          <t>rendered_browser</t>
        </is>
      </c>
      <c r="M7" s="4" t="n">
        <v>66</v>
      </c>
      <c r="N7" s="4" t="n">
        <v>335</v>
      </c>
      <c r="O7" s="4" t="inlineStr">
        <is>
          <t>https://africanmarketingconfederation.org/wp-content/uploads/2026/03/og-image.png</t>
        </is>
      </c>
      <c r="P7" s="4" t="b">
        <v>0</v>
      </c>
      <c r="Q7" s="4" t="inlineStr"/>
      <c r="R7" s="4" t="n">
        <v>0</v>
      </c>
      <c r="S7" s="4" t="inlineStr"/>
      <c r="T7" s="4" t="n">
        <v>0</v>
      </c>
      <c r="U7" s="4" t="inlineStr"/>
      <c r="V7" s="4" t="n">
        <v>0</v>
      </c>
      <c r="W7" s="4" t="inlineStr"/>
      <c r="X7" s="4" t="n">
        <v>0</v>
      </c>
      <c r="Y7" s="4" t="inlineStr"/>
      <c r="Z7" s="4" t="n">
        <v>0</v>
      </c>
      <c r="AA7" s="4" t="inlineStr"/>
      <c r="AB7" s="4" t="n">
        <v>0</v>
      </c>
      <c r="AC7" s="4" t="n">
        <v>0</v>
      </c>
      <c r="AD7" s="4" t="inlineStr"/>
      <c r="AE7" s="4" t="inlineStr">
        <is>
          <t>Lab</t>
        </is>
      </c>
      <c r="AF7" s="4" t="n">
        <v>30</v>
      </c>
      <c r="AG7" s="4" t="n">
        <v>0</v>
      </c>
      <c r="AH7" s="4" t="n">
        <v>0</v>
      </c>
      <c r="AI7" s="4" t="n">
        <v>0</v>
      </c>
      <c r="AJ7" s="4" t="n">
        <v>0</v>
      </c>
      <c r="AK7" s="4" t="n">
        <v>0</v>
      </c>
      <c r="AL7" s="4" t="n">
        <v>0</v>
      </c>
      <c r="AM7" s="4" t="n">
        <v>0</v>
      </c>
      <c r="AN7" s="4" t="n">
        <v>0</v>
      </c>
      <c r="AO7" s="4" t="n">
        <v>0</v>
      </c>
      <c r="AP7" s="4" t="inlineStr"/>
      <c r="AQ7" s="4" t="b">
        <v>1</v>
      </c>
      <c r="AR7" s="4" t="n">
        <v>0.019665</v>
      </c>
      <c r="AS7" s="4" t="b">
        <v>1</v>
      </c>
      <c r="AT7" s="4" t="b">
        <v>1</v>
      </c>
      <c r="AU7" s="4" t="inlineStr">
        <is>
          <t>Both</t>
        </is>
      </c>
      <c r="AV7" s="25" t="n">
        <v>0</v>
      </c>
      <c r="AW7" s="25" t="n">
        <v>45</v>
      </c>
      <c r="AX7" s="25" t="n">
        <v>11.25</v>
      </c>
      <c r="AY7" s="4" t="inlineStr">
        <is>
          <t>Open Technical</t>
        </is>
      </c>
      <c r="AZ7" s="4" t="inlineStr"/>
      <c r="BA7">
        <f>IFERROR(HYPERLINK("#Technical!A"&amp;MATCH(B7,Technical!A:A,0),"Open Technical"),HYPERLINK("#Technical!A1","Open Technical"))</f>
        <v/>
      </c>
    </row>
    <row r="8" ht="30" customHeight="1">
      <c r="A8" s="22" t="inlineStr">
        <is>
          <t>UNMEASURED</t>
        </is>
      </c>
      <c r="B8" s="40" t="inlineStr">
        <is>
          <t>https://africanmarketingconfederation.org/amc-conference-2022-thank-you</t>
        </is>
      </c>
      <c r="C8" s="3" t="n">
        <v>200</v>
      </c>
      <c r="D8" s="22" t="inlineStr">
        <is>
          <t>Indexable</t>
        </is>
      </c>
      <c r="E8" s="22" t="n">
        <v>3.88</v>
      </c>
      <c r="F8" s="22" t="inlineStr">
        <is>
          <t>AMC Conference 2022 – Thank You – African Marketing Confederation</t>
        </is>
      </c>
      <c r="G8" s="22"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8" s="22" t="n">
        <v>367</v>
      </c>
      <c r="I8" s="41" t="inlineStr"/>
      <c r="J8" s="22" t="inlineStr">
        <is>
          <t>Unmeasured</t>
        </is>
      </c>
      <c r="K8" s="22" t="inlineStr">
        <is>
          <t>partial</t>
        </is>
      </c>
      <c r="L8" s="22" t="inlineStr">
        <is>
          <t>rendered_browser</t>
        </is>
      </c>
      <c r="M8" s="22" t="n">
        <v>65</v>
      </c>
      <c r="N8" s="22" t="n">
        <v>337</v>
      </c>
      <c r="O8" s="22" t="inlineStr">
        <is>
          <t>https://africanmarketingconfederation.org/wp-content/uploads/2026/03/og-image.png</t>
        </is>
      </c>
      <c r="P8" s="22" t="b">
        <v>0</v>
      </c>
      <c r="Q8" s="22" t="inlineStr"/>
      <c r="R8" s="22" t="n">
        <v>0</v>
      </c>
      <c r="S8" s="22" t="inlineStr"/>
      <c r="T8" s="22" t="n">
        <v>0</v>
      </c>
      <c r="U8" s="22" t="inlineStr"/>
      <c r="V8" s="22" t="n">
        <v>0</v>
      </c>
      <c r="W8" s="22" t="inlineStr"/>
      <c r="X8" s="22" t="n">
        <v>0</v>
      </c>
      <c r="Y8" s="22" t="inlineStr"/>
      <c r="Z8" s="22" t="n">
        <v>0</v>
      </c>
      <c r="AA8" s="22" t="inlineStr"/>
      <c r="AB8" s="22" t="n">
        <v>0</v>
      </c>
      <c r="AC8" s="22" t="n">
        <v>0</v>
      </c>
      <c r="AD8" s="22" t="inlineStr"/>
      <c r="AE8" s="22" t="inlineStr">
        <is>
          <t>Lab</t>
        </is>
      </c>
      <c r="AF8" s="22" t="n">
        <v>100</v>
      </c>
      <c r="AG8" s="22" t="n">
        <v>0</v>
      </c>
      <c r="AH8" s="22" t="n">
        <v>0</v>
      </c>
      <c r="AI8" s="22" t="n">
        <v>0</v>
      </c>
      <c r="AJ8" s="22" t="n">
        <v>0</v>
      </c>
      <c r="AK8" s="22" t="n">
        <v>0</v>
      </c>
      <c r="AL8" s="22" t="n">
        <v>0</v>
      </c>
      <c r="AM8" s="22" t="n">
        <v>0</v>
      </c>
      <c r="AN8" s="22" t="n">
        <v>0</v>
      </c>
      <c r="AO8" s="22" t="n">
        <v>0</v>
      </c>
      <c r="AP8" s="22" t="inlineStr"/>
      <c r="AQ8" s="22" t="b">
        <v>1</v>
      </c>
      <c r="AR8" s="22" t="n">
        <v>0.019665</v>
      </c>
      <c r="AS8" s="22" t="b">
        <v>1</v>
      </c>
      <c r="AT8" s="22" t="b">
        <v>1</v>
      </c>
      <c r="AU8" s="22" t="inlineStr">
        <is>
          <t>Both</t>
        </is>
      </c>
      <c r="AV8" s="25" t="n">
        <v>0</v>
      </c>
      <c r="AW8" s="34" t="n">
        <v>70</v>
      </c>
      <c r="AX8" s="25" t="n">
        <v>17.5</v>
      </c>
      <c r="AY8" s="22" t="inlineStr">
        <is>
          <t>Open Technical</t>
        </is>
      </c>
      <c r="AZ8" s="22" t="inlineStr"/>
      <c r="BA8" s="24">
        <f>IFERROR(HYPERLINK("#Technical!A"&amp;MATCH(B8,Technical!A:A,0),"Open Technical"),HYPERLINK("#Technical!A1","Open Technical"))</f>
        <v/>
      </c>
      <c r="BB8" s="24" t="n"/>
    </row>
    <row r="9" ht="30" customHeight="1">
      <c r="A9" s="4" t="inlineStr">
        <is>
          <t>UNMEASURED</t>
        </is>
      </c>
      <c r="B9" s="42" t="inlineStr">
        <is>
          <t>https://africanmarketingconfederation.org/amc-conference-2023</t>
        </is>
      </c>
      <c r="C9" s="3" t="n">
        <v>200</v>
      </c>
      <c r="D9" s="4" t="inlineStr">
        <is>
          <t>Indexable</t>
        </is>
      </c>
      <c r="E9" s="4" t="n">
        <v>3.016</v>
      </c>
      <c r="F9" s="4" t="inlineStr">
        <is>
          <t>AMC Conference 2023 – African Marketing Confederation</t>
        </is>
      </c>
      <c r="G9" s="4"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9" s="4" t="n">
        <v>415</v>
      </c>
      <c r="I9" s="43" t="inlineStr"/>
      <c r="J9" s="4" t="inlineStr">
        <is>
          <t>Unmeasured</t>
        </is>
      </c>
      <c r="K9" s="4" t="inlineStr">
        <is>
          <t>partial</t>
        </is>
      </c>
      <c r="L9" s="4" t="inlineStr">
        <is>
          <t>rendered_browser</t>
        </is>
      </c>
      <c r="M9" s="4" t="n">
        <v>53</v>
      </c>
      <c r="N9" s="4" t="n">
        <v>398</v>
      </c>
      <c r="O9" s="4" t="inlineStr">
        <is>
          <t>https://africanmarketingconfederation.org/wp-content/uploads/2021/08/amc_faw.png</t>
        </is>
      </c>
      <c r="P9" s="4" t="b">
        <v>0</v>
      </c>
      <c r="Q9" s="4" t="inlineStr"/>
      <c r="R9" s="4" t="n">
        <v>0</v>
      </c>
      <c r="S9" s="4" t="inlineStr"/>
      <c r="T9" s="4" t="n">
        <v>0</v>
      </c>
      <c r="U9" s="4" t="inlineStr"/>
      <c r="V9" s="4" t="n">
        <v>0</v>
      </c>
      <c r="W9" s="4" t="inlineStr"/>
      <c r="X9" s="4" t="n">
        <v>0</v>
      </c>
      <c r="Y9" s="4" t="inlineStr"/>
      <c r="Z9" s="4" t="n">
        <v>0</v>
      </c>
      <c r="AA9" s="4" t="inlineStr"/>
      <c r="AB9" s="4" t="n">
        <v>0</v>
      </c>
      <c r="AC9" s="4" t="n">
        <v>0</v>
      </c>
      <c r="AD9" s="4" t="inlineStr"/>
      <c r="AE9" s="4" t="inlineStr">
        <is>
          <t>Lab</t>
        </is>
      </c>
      <c r="AF9" s="4" t="n">
        <v>80</v>
      </c>
      <c r="AG9" s="4" t="n">
        <v>0</v>
      </c>
      <c r="AH9" s="4" t="n">
        <v>0</v>
      </c>
      <c r="AI9" s="4" t="n">
        <v>0</v>
      </c>
      <c r="AJ9" s="4" t="n">
        <v>0</v>
      </c>
      <c r="AK9" s="4" t="n">
        <v>0</v>
      </c>
      <c r="AL9" s="4" t="n">
        <v>1</v>
      </c>
      <c r="AM9" s="4" t="n">
        <v>24</v>
      </c>
      <c r="AN9" s="4" t="n">
        <v>0.04166666666666666</v>
      </c>
      <c r="AO9" s="4" t="n">
        <v>14.58333333333333</v>
      </c>
      <c r="AP9" s="4" t="inlineStr"/>
      <c r="AQ9" s="4" t="b">
        <v>0</v>
      </c>
      <c r="AR9" s="4" t="n">
        <v>0.035214</v>
      </c>
      <c r="AS9" s="4" t="b">
        <v>1</v>
      </c>
      <c r="AT9" s="4" t="b">
        <v>1</v>
      </c>
      <c r="AU9" s="4" t="inlineStr">
        <is>
          <t>Both</t>
        </is>
      </c>
      <c r="AV9" s="25" t="n">
        <v>0</v>
      </c>
      <c r="AW9" s="3" t="n">
        <v>100</v>
      </c>
      <c r="AX9" s="25" t="n">
        <v>25</v>
      </c>
      <c r="AY9" s="4" t="inlineStr">
        <is>
          <t>Open Technical</t>
        </is>
      </c>
      <c r="AZ9" s="4" t="inlineStr"/>
      <c r="BA9">
        <f>IFERROR(HYPERLINK("#Technical!A"&amp;MATCH(B9,Technical!A:A,0),"Open Technical"),HYPERLINK("#Technical!A1","Open Technical"))</f>
        <v/>
      </c>
    </row>
    <row r="10" ht="30" customHeight="1">
      <c r="A10" s="22" t="inlineStr">
        <is>
          <t>UNMEASURED</t>
        </is>
      </c>
      <c r="B10" s="40" t="inlineStr">
        <is>
          <t>https://africanmarketingconfederation.org/amc-conference-2023/amc-awards</t>
        </is>
      </c>
      <c r="C10" s="3" t="n">
        <v>200</v>
      </c>
      <c r="D10" s="22" t="inlineStr">
        <is>
          <t>Indexable</t>
        </is>
      </c>
      <c r="E10" s="22" t="n">
        <v>2.673</v>
      </c>
      <c r="F10" s="22" t="inlineStr">
        <is>
          <t>AMC Awards – African Marketing Confederation</t>
        </is>
      </c>
      <c r="G10" s="22"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0" s="22" t="n">
        <v>326</v>
      </c>
      <c r="I10" s="41" t="inlineStr"/>
      <c r="J10" s="22" t="inlineStr">
        <is>
          <t>Unmeasured</t>
        </is>
      </c>
      <c r="K10" s="22" t="inlineStr">
        <is>
          <t>partial</t>
        </is>
      </c>
      <c r="L10" s="22" t="inlineStr">
        <is>
          <t>rendered_browser</t>
        </is>
      </c>
      <c r="M10" s="22" t="n">
        <v>44</v>
      </c>
      <c r="N10" s="22" t="n">
        <v>432</v>
      </c>
      <c r="O10" s="22" t="inlineStr">
        <is>
          <t>https://africanmarketingconfederation.org/wp-content/uploads/2021/08/amc_faw.png</t>
        </is>
      </c>
      <c r="P10" s="22" t="b">
        <v>0</v>
      </c>
      <c r="Q10" s="22" t="inlineStr"/>
      <c r="R10" s="22" t="n">
        <v>0</v>
      </c>
      <c r="S10" s="22" t="inlineStr"/>
      <c r="T10" s="22" t="n">
        <v>0</v>
      </c>
      <c r="U10" s="22" t="inlineStr"/>
      <c r="V10" s="22" t="n">
        <v>0</v>
      </c>
      <c r="W10" s="22" t="inlineStr"/>
      <c r="X10" s="22" t="n">
        <v>0</v>
      </c>
      <c r="Y10" s="22" t="inlineStr"/>
      <c r="Z10" s="22" t="n">
        <v>0</v>
      </c>
      <c r="AA10" s="22" t="inlineStr"/>
      <c r="AB10" s="22" t="n">
        <v>0</v>
      </c>
      <c r="AC10" s="22" t="n">
        <v>0</v>
      </c>
      <c r="AD10" s="22" t="inlineStr"/>
      <c r="AE10" s="22" t="inlineStr">
        <is>
          <t>Lab</t>
        </is>
      </c>
      <c r="AF10" s="22" t="n">
        <v>40</v>
      </c>
      <c r="AG10" s="22" t="n">
        <v>0</v>
      </c>
      <c r="AH10" s="22" t="n">
        <v>0</v>
      </c>
      <c r="AI10" s="22" t="n">
        <v>0</v>
      </c>
      <c r="AJ10" s="22" t="n">
        <v>0</v>
      </c>
      <c r="AK10" s="22" t="n">
        <v>0</v>
      </c>
      <c r="AL10" s="22" t="n">
        <v>2</v>
      </c>
      <c r="AM10" s="22" t="n">
        <v>34</v>
      </c>
      <c r="AN10" s="22" t="n">
        <v>0.05882352941176471</v>
      </c>
      <c r="AO10" s="22" t="n">
        <v>4.235294117647059</v>
      </c>
      <c r="AP10" s="22" t="inlineStr"/>
      <c r="AQ10" s="22" t="b">
        <v>0</v>
      </c>
      <c r="AR10" s="22" t="n">
        <v>0.035214</v>
      </c>
      <c r="AS10" s="22" t="b">
        <v>1</v>
      </c>
      <c r="AT10" s="22" t="b">
        <v>1</v>
      </c>
      <c r="AU10" s="22" t="inlineStr">
        <is>
          <t>Both</t>
        </is>
      </c>
      <c r="AV10" s="25" t="n">
        <v>0</v>
      </c>
      <c r="AW10" s="3" t="n">
        <v>100</v>
      </c>
      <c r="AX10" s="25" t="n">
        <v>25</v>
      </c>
      <c r="AY10" s="22" t="inlineStr">
        <is>
          <t>Open Technical</t>
        </is>
      </c>
      <c r="AZ10" s="22" t="inlineStr"/>
      <c r="BA10" s="24">
        <f>IFERROR(HYPERLINK("#Technical!A"&amp;MATCH(B10,Technical!A:A,0),"Open Technical"),HYPERLINK("#Technical!A1","Open Technical"))</f>
        <v/>
      </c>
      <c r="BB10" s="24" t="n"/>
    </row>
    <row r="11" ht="30" customHeight="1">
      <c r="A11" s="4" t="inlineStr">
        <is>
          <t>UNMEASURED</t>
        </is>
      </c>
      <c r="B11" s="42" t="inlineStr">
        <is>
          <t>https://africanmarketingconfederation.org/amc-conference-2023/amc-awards-book-now</t>
        </is>
      </c>
      <c r="C11" s="3" t="n">
        <v>200</v>
      </c>
      <c r="D11" s="4" t="inlineStr">
        <is>
          <t>Indexable</t>
        </is>
      </c>
      <c r="E11" s="4" t="n">
        <v>2.668</v>
      </c>
      <c r="F11" s="4" t="inlineStr">
        <is>
          <t>AMC Awards | Book Now – African Marketing Confederation</t>
        </is>
      </c>
      <c r="G11" s="4" t="inlineStr"/>
      <c r="H11" s="4" t="n">
        <v>31</v>
      </c>
      <c r="I11" s="43" t="inlineStr"/>
      <c r="J11" s="4" t="inlineStr">
        <is>
          <t>Unmeasured</t>
        </is>
      </c>
      <c r="K11" s="4" t="inlineStr">
        <is>
          <t>partial</t>
        </is>
      </c>
      <c r="L11" s="4" t="inlineStr">
        <is>
          <t>rendered_browser</t>
        </is>
      </c>
      <c r="M11" s="4" t="n">
        <v>55</v>
      </c>
      <c r="N11" s="4" t="n">
        <v>0</v>
      </c>
      <c r="O11" s="4" t="inlineStr">
        <is>
          <t>https://africanmarketingconfederation.org/wp-content/uploads/2021/08/amc_faw.png</t>
        </is>
      </c>
      <c r="P11" s="4" t="b">
        <v>0</v>
      </c>
      <c r="Q11" s="4" t="inlineStr"/>
      <c r="R11" s="4" t="n">
        <v>0</v>
      </c>
      <c r="S11" s="4" t="inlineStr"/>
      <c r="T11" s="4" t="n">
        <v>0</v>
      </c>
      <c r="U11" s="4" t="inlineStr"/>
      <c r="V11" s="4" t="n">
        <v>0</v>
      </c>
      <c r="W11" s="4" t="inlineStr"/>
      <c r="X11" s="4" t="n">
        <v>0</v>
      </c>
      <c r="Y11" s="4" t="inlineStr"/>
      <c r="Z11" s="4" t="n">
        <v>0</v>
      </c>
      <c r="AA11" s="4" t="inlineStr"/>
      <c r="AB11" s="4" t="n">
        <v>0</v>
      </c>
      <c r="AC11" s="4" t="n">
        <v>0</v>
      </c>
      <c r="AD11" s="4" t="inlineStr"/>
      <c r="AE11" s="4" t="inlineStr">
        <is>
          <t>Lab</t>
        </is>
      </c>
      <c r="AF11" s="4" t="n">
        <v>30</v>
      </c>
      <c r="AG11" s="4" t="n">
        <v>0</v>
      </c>
      <c r="AH11" s="4" t="n">
        <v>0</v>
      </c>
      <c r="AI11" s="4" t="n">
        <v>0</v>
      </c>
      <c r="AJ11" s="4" t="n">
        <v>0</v>
      </c>
      <c r="AK11" s="4" t="n">
        <v>0</v>
      </c>
      <c r="AL11" s="4" t="n">
        <v>0</v>
      </c>
      <c r="AM11" s="4" t="n">
        <v>0</v>
      </c>
      <c r="AN11" s="4" t="n">
        <v>0</v>
      </c>
      <c r="AO11" s="4" t="n">
        <v>0</v>
      </c>
      <c r="AP11" s="4" t="inlineStr"/>
      <c r="AQ11" s="4" t="b">
        <v>1</v>
      </c>
      <c r="AR11" s="4" t="n">
        <v>0.019665</v>
      </c>
      <c r="AS11" s="4" t="b">
        <v>1</v>
      </c>
      <c r="AT11" s="4" t="b">
        <v>1</v>
      </c>
      <c r="AU11" s="4" t="inlineStr">
        <is>
          <t>Both</t>
        </is>
      </c>
      <c r="AV11" s="25" t="n">
        <v>0</v>
      </c>
      <c r="AW11" s="25" t="n">
        <v>25</v>
      </c>
      <c r="AX11" s="25" t="n">
        <v>6.25</v>
      </c>
      <c r="AY11" s="4" t="inlineStr">
        <is>
          <t>Open Technical</t>
        </is>
      </c>
      <c r="AZ11" s="4" t="inlineStr"/>
      <c r="BA11">
        <f>IFERROR(HYPERLINK("#Technical!A"&amp;MATCH(B11,Technical!A:A,0),"Open Technical"),HYPERLINK("#Technical!A1","Open Technical"))</f>
        <v/>
      </c>
    </row>
  </sheetData>
  <autoFilter ref="A1:BB11"/>
  <conditionalFormatting sqref="C2:C11">
    <cfRule type="cellIs" priority="1" operator="equal" dxfId="3">
      <formula>200</formula>
    </cfRule>
    <cfRule type="cellIs" priority="2" operator="between" dxfId="6">
      <formula>300</formula>
      <formula>399</formula>
    </cfRule>
    <cfRule type="cellIs" priority="3" operator="greaterThanOrEqual" dxfId="2">
      <formula>400</formula>
    </cfRule>
  </conditionalFormatting>
  <conditionalFormatting sqref="E2:E11">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11">
    <cfRule type="colorScale" priority="6">
      <colorScale>
        <cfvo type="min"/>
        <cfvo type="percentile" val="50"/>
        <cfvo type="max"/>
        <color rgb="00F8696B"/>
        <color rgb="00FFEB84"/>
        <color rgb="0063BE7B"/>
      </colorScale>
    </cfRule>
    <cfRule type="dataBar" priority="7">
      <dataBar showValue="1">
        <cfvo type="min"/>
        <cfvo type="max"/>
        <color rgb="0063BE7B"/>
      </dataBar>
    </cfRule>
    <cfRule type="colorScale" priority="13">
      <colorScale>
        <cfvo type="num" val="0"/>
        <cfvo type="num" val="150"/>
        <cfvo type="num" val="300"/>
        <color rgb="00F8696B"/>
        <color rgb="00FFEB84"/>
        <color rgb="0063BE7B"/>
      </colorScale>
    </cfRule>
  </conditionalFormatting>
  <conditionalFormatting sqref="I2:I11">
    <cfRule type="colorScale" priority="8">
      <colorScale>
        <cfvo type="min"/>
        <cfvo type="percentile" val="50"/>
        <cfvo type="max"/>
        <color rgb="00F8696B"/>
        <color rgb="00FFEB84"/>
        <color rgb="0063BE7B"/>
      </colorScale>
    </cfRule>
    <cfRule type="colorScale" priority="12">
      <colorScale>
        <cfvo type="num" val="0"/>
        <cfvo type="num" val="50"/>
        <cfvo type="num" val="100"/>
        <color rgb="00F8696B"/>
        <color rgb="00FFEB84"/>
        <color rgb="0063BE7B"/>
      </colorScale>
    </cfRule>
  </conditionalFormatting>
  <conditionalFormatting sqref="J2:J11">
    <cfRule type="expression" priority="9" dxfId="2" stopIfTrue="1">
      <formula>LOWER(J2)="critical"</formula>
    </cfRule>
    <cfRule type="expression" priority="10" dxfId="7" stopIfTrue="1">
      <formula>LOWER(J2)="warning"</formula>
    </cfRule>
    <cfRule type="expression" priority="11" dxfId="3" stopIfTrue="1">
      <formula>OR(LOWER(J2)="pass",LOWER(J2)="observation")</formula>
    </cfRule>
  </conditionalFormatting>
  <conditionalFormatting sqref="N2:N11">
    <cfRule type="cellIs" priority="14" operator="greaterThan" dxfId="8">
      <formula>160</formula>
    </cfRule>
  </conditionalFormatting>
  <dataValidations count="54">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Extraction State" prompt="Extraction State. Review this metric to identify risk, then use linked tabs for details and remediation." type="custom">
      <formula1>TRUE</formula1>
    </dataValidation>
    <dataValidation sqref="L1" showDropDown="0" showInputMessage="1" showErrorMessage="0" allowBlank="1" promptTitle="Extraction Source" prompt="Extraction Source. Review this metric to identify risk, then use linked tabs for details and remediation." type="custom">
      <formula1>TRUE</formula1>
    </dataValidation>
    <dataValidation sqref="M1" showDropDown="0" showInputMessage="1" showErrorMessage="0" allowBlank="1" promptTitle="Title Length" prompt="Title Length. Review this metric to identify risk, then use linked tabs for details and remediation." type="custom">
      <formula1>TRUE</formula1>
    </dataValidation>
    <dataValidation sqref="N1" showDropDown="0" showInputMessage="1" showErrorMessage="0" allowBlank="1" promptTitle="Meta Desc Length" prompt="Meta Desc Length. Review this metric to identify risk, then use linked tabs for details and remediation." type="custom">
      <formula1>TRUE</formula1>
    </dataValidation>
    <dataValidation sqref="O1" showDropDown="0" showInputMessage="1" showErrorMessage="0" allowBlank="1" promptTitle="OG-Image" prompt="OG-Image. Review this metric to identify risk, then use linked tabs for details and remediation." type="custom">
      <formula1>TRUE</formula1>
    </dataValidation>
    <dataValidation sqref="P1" showDropDown="0" showInputMessage="1" showErrorMessage="0" allowBlank="1" promptTitle="Has Valid JSON-LD" prompt="Structured data signal. Fix: add valid schema types and correct parsing/validation errors." type="custom">
      <formula1>TRUE</formula1>
    </dataValidation>
    <dataValidation sqref="Q1" showDropDown="0" showInputMessage="1" showErrorMessage="0" allowBlank="1" promptTitle="H1 Content" prompt="H1 Content. Review this metric to identify risk, then use linked tabs for details and remediation." type="custom">
      <formula1>TRUE</formula1>
    </dataValidation>
    <dataValidation sqref="R1" showDropDown="0" showInputMessage="1" showErrorMessage="0" allowBlank="1" promptTitle="H1 Length" prompt="H1 Length. Review this metric to identify risk, then use linked tabs for details and remediation." type="custom">
      <formula1>TRUE</formula1>
    </dataValidation>
    <dataValidation sqref="S1" showDropDown="0" showInputMessage="1" showErrorMessage="0" allowBlank="1" promptTitle="H2 Content" prompt="H2 Content. Review this metric to identify risk, then use linked tabs for details and remediation." type="custom">
      <formula1>TRUE</formula1>
    </dataValidation>
    <dataValidation sqref="T1" showDropDown="0" showInputMessage="1" showErrorMessage="0" allowBlank="1" promptTitle="H2 Length" prompt="H2 Length. Review this metric to identify risk, then use linked tabs for details and remediation." type="custom">
      <formula1>TRUE</formula1>
    </dataValidation>
    <dataValidation sqref="U1" showDropDown="0" showInputMessage="1" showErrorMessage="0" allowBlank="1" promptTitle="H3 Content" prompt="H3 Content. Review this metric to identify risk, then use linked tabs for details and remediation." type="custom">
      <formula1>TRUE</formula1>
    </dataValidation>
    <dataValidation sqref="V1" showDropDown="0" showInputMessage="1" showErrorMessage="0" allowBlank="1" promptTitle="H3 Length" prompt="H3 Length. Review this metric to identify risk, then use linked tabs for details and remediation." type="custom">
      <formula1>TRUE</formula1>
    </dataValidation>
    <dataValidation sqref="W1" showDropDown="0" showInputMessage="1" showErrorMessage="0" allowBlank="1" promptTitle="H4 Content" prompt="H4 Content. Review this metric to identify risk, then use linked tabs for details and remediation." type="custom">
      <formula1>TRUE</formula1>
    </dataValidation>
    <dataValidation sqref="X1" showDropDown="0" showInputMessage="1" showErrorMessage="0" allowBlank="1" promptTitle="H4 Length" prompt="H4 Length. Review this metric to identify risk, then use linked tabs for details and remediation." type="custom">
      <formula1>TRUE</formula1>
    </dataValidation>
    <dataValidation sqref="Y1" showDropDown="0" showInputMessage="1" showErrorMessage="0" allowBlank="1" promptTitle="H5 Content" prompt="H5 Content. Review this metric to identify risk, then use linked tabs for details and remediation." type="custom">
      <formula1>TRUE</formula1>
    </dataValidation>
    <dataValidation sqref="Z1" showDropDown="0" showInputMessage="1" showErrorMessage="0" allowBlank="1" promptTitle="H5 Length" prompt="H5 Length. Review this metric to identify risk, then use linked tabs for details and remediation." type="custom">
      <formula1>TRUE</formula1>
    </dataValidation>
    <dataValidation sqref="AA1" showDropDown="0" showInputMessage="1" showErrorMessage="0" allowBlank="1" promptTitle="H6 Content" prompt="H6 Content. Review this metric to identify risk, then use linked tabs for details and remediation." type="custom">
      <formula1>TRUE</formula1>
    </dataValidation>
    <dataValidation sqref="AB1" showDropDown="0" showInputMessage="1" showErrorMessage="0" allowBlank="1" promptTitle="H6 Length" prompt="H6 Length. Review this metric to identify risk, then use linked tabs for details and remediation." type="custom">
      <formula1>TRUE</formula1>
    </dataValidation>
    <dataValidation sqref="AC1" showDropDown="0" showInputMessage="1" showErrorMessage="0" allowBlank="1" promptTitle="CWV LCP (s)" prompt="CWV LCP (s). Review this metric to identify risk, then use linked tabs for details and remediation." type="custom">
      <formula1>TRUE</formula1>
    </dataValidation>
    <dataValidation sqref="AD1" showDropDown="0" showInputMessage="1" showErrorMessage="0" allowBlank="1" promptTitle="CWV CLS" prompt="CWV CLS. Review this metric to identify risk, then use linked tabs for details and remediation." type="custom">
      <formula1>TRUE</formula1>
    </dataValidation>
    <dataValidation sqref="AE1" showDropDown="0" showInputMessage="1" showErrorMessage="0" allowBlank="1" promptTitle="Field vs Lab" prompt="Field vs Lab. Review this metric to identify risk, then use linked tabs for details and remediation." type="custom">
      <formula1>TRUE</formula1>
    </dataValidation>
    <dataValidation sqref="AF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G1" showDropDown="0" showInputMessage="1" showErrorMessage="0" allowBlank="1" promptTitle="Desktop PSI Score" prompt="Desktop PSI Score. Review this metric to identify risk, then use linked tabs for details and remediation." type="custom">
      <formula1>TRUE</formula1>
    </dataValidation>
    <dataValidation sqref="AH1" showDropDown="0" showInputMessage="1" showErrorMessage="0" allowBlank="1" promptTitle="Mobile PSI Score" prompt="Mobile PSI Score. Review this metric to identify risk, then use linked tabs for details and remediation." type="custom">
      <formula1>TRUE</formula1>
    </dataValidation>
    <dataValidation sqref="AI1" showDropDown="0" showInputMessage="1" showErrorMessage="0" allowBlank="1" promptTitle="Mobile LCP (s)" prompt="Mobile LCP (s). Review this metric to identify risk, then use linked tabs for details and remediation." type="custom">
      <formula1>TRUE</formula1>
    </dataValidation>
    <dataValidation sqref="AJ1" showDropDown="0" showInputMessage="1" showErrorMessage="0" allowBlank="1" promptTitle="Mobile CLS" prompt="Mobile CLS. Review this metric to identify risk, then use linked tabs for details and remediation." type="custom">
      <formula1>TRUE</formula1>
    </dataValidation>
    <dataValidation sqref="AK1" showDropDown="0" showInputMessage="1" showErrorMessage="0" allowBlank="1" promptTitle="Mobile TTFB (s)" prompt="Time to First Byte: server responsiveness signal. Fix: optimise backend performance, caching, and CDN usage." type="custom">
      <formula1>TRUE</formula1>
    </dataValidation>
    <dataValidation sqref="AL1" showDropDown="0" showInputMessage="1" showErrorMessage="0" allowBlank="1" promptTitle="GSC Clicks" prompt="GSC Clicks. Review this metric to identify risk, then use linked tabs for details and remediation." type="custom">
      <formula1>TRUE</formula1>
    </dataValidation>
    <dataValidation sqref="AM1" showDropDown="0" showInputMessage="1" showErrorMessage="0" allowBlank="1" promptTitle="GSC Impressions" prompt="GSC Impressions. Review this metric to identify risk, then use linked tabs for details and remediation." type="custom">
      <formula1>TRUE</formula1>
    </dataValidation>
    <dataValidation sqref="AN1" showDropDown="0" showInputMessage="1" showErrorMessage="0" allowBlank="1" promptTitle="GSC CTR" prompt="GSC CTR. Review this metric to identify risk, then use linked tabs for details and remediation." type="custom">
      <formula1>TRUE</formula1>
    </dataValidation>
    <dataValidation sqref="AO1" showDropDown="0" showInputMessage="1" showErrorMessage="0" allowBlank="1" promptTitle="GSC Avg Position" prompt="GSC Avg Position. Review this metric to identify risk, then use linked tabs for details and remediation." type="custom">
      <formula1>TRUE</formula1>
    </dataValidation>
    <dataValidation sqref="AP1" showDropDown="0" showInputMessage="1" showErrorMessage="0" allowBlank="1" promptTitle="Click Depth" prompt="Click Depth. Review this metric to identify risk, then use linked tabs for details and remediation." type="custom">
      <formula1>TRUE</formula1>
    </dataValidation>
    <dataValidation sqref="AQ1" showDropDown="0" showInputMessage="1" showErrorMessage="0" allowBlank="1" promptTitle="Orphan Pages" prompt="Orphan Pages. Review this metric to identify risk, then use linked tabs for details and remediation." type="custom">
      <formula1>TRUE</formula1>
    </dataValidation>
    <dataValidation sqref="AR1" showDropDown="0" showInputMessage="1" showErrorMessage="0" allowBlank="1" promptTitle="Internal PageRank" prompt="Internal PageRank. Review this metric to identify risk, then use linked tabs for details and remediation." type="custom">
      <formula1>TRUE</formula1>
    </dataValidation>
    <dataValidation sqref="AS1" showDropDown="0" showInputMessage="1" showErrorMessage="0" allowBlank="1" promptTitle="Found via Sitemap" prompt="Found via Sitemap. Review this metric to identify risk, then use linked tabs for details and remediation." type="custom">
      <formula1>TRUE</formula1>
    </dataValidation>
    <dataValidation sqref="AT1" showDropDown="0" showInputMessage="1" showErrorMessage="0" allowBlank="1" promptTitle="Found via Crawl" prompt="Found via Crawl. Review this metric to identify risk, then use linked tabs for details and remediation." type="custom">
      <formula1>TRUE</formula1>
    </dataValidation>
    <dataValidation sqref="AU1" showDropDown="0" showInputMessage="1" showErrorMessage="0" allowBlank="1" promptTitle="Discovery Source" prompt="Discovery Source. Review this metric to identify risk, then use linked tabs for details and remediation." type="custom">
      <formula1>TRUE</formula1>
    </dataValidation>
    <dataValidation sqref="AV1" showDropDown="0" showInputMessage="1" showErrorMessage="0" allowBlank="1" promptTitle="Technical Health" prompt="Technical Health. Review this metric to identify risk, then use linked tabs for details and remediation." type="custom">
      <formula1>TRUE</formula1>
    </dataValidation>
    <dataValidation sqref="AW1" showDropDown="0" showInputMessage="1" showErrorMessage="0" allowBlank="1" promptTitle="Copy Score" prompt="Copy Score. Review this metric to identify risk, then use linked tabs for details and remediation." type="custom">
      <formula1>TRUE</formula1>
    </dataValidation>
    <dataValidation sqref="AX1" showDropDown="0" showInputMessage="1" showErrorMessage="0" allowBlank="1" promptTitle="SEO Score" prompt="SEO Score. Review this metric to identify risk, then use linked tabs for details and remediation." type="custom">
      <formula1>TRUE</formula1>
    </dataValidation>
    <dataValidation sqref="BA1" showDropDown="0" showInputMessage="1" showErrorMessage="0" allowBlank="1" promptTitle="Technical View" prompt="Navigation helper. Click to jump directly to the related record in another tab." type="custom">
      <formula1>TRUE</formula1>
    </dataValidation>
    <dataValidation sqref="B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B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Q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7" customWidth="1" min="13" max="13"/>
    <col width="8" customWidth="1" min="14" max="14"/>
    <col width="8" customWidth="1" min="15" max="15"/>
    <col width="18" customWidth="1" min="16" max="16"/>
    <col width="19" customWidth="1" min="17" max="17"/>
    <col width="13" customWidth="1" min="18" max="18"/>
    <col width="11" customWidth="1" min="19" max="19"/>
    <col width="18" customWidth="1" min="20" max="20"/>
    <col width="12" customWidth="1" min="21" max="21"/>
    <col width="10" customWidth="1" min="22" max="22"/>
    <col width="23" customWidth="1" min="23" max="23"/>
    <col width="17" customWidth="1" min="24" max="24"/>
    <col width="15" customWidth="1" min="25" max="25"/>
    <col width="22" customWidth="1" min="26" max="26"/>
    <col width="26" customWidth="1" min="27" max="27"/>
    <col width="14" customWidth="1" min="28" max="28"/>
    <col hidden="1" width="16" customWidth="1" min="29" max="29"/>
    <col width="21" customWidth="1" min="30" max="30"/>
    <col width="15" customWidth="1" min="31" max="31"/>
    <col width="6" customWidth="1" min="32" max="32"/>
    <col width="14" customWidth="1" min="33" max="33"/>
    <col hidden="1" width="25" customWidth="1" min="34" max="34"/>
    <col width="29" customWidth="1" min="35" max="35"/>
    <col width="60" customWidth="1" min="36" max="36"/>
    <col width="28" customWidth="1" min="37" max="37"/>
    <col hidden="1" outlineLevel="1" width="18" customWidth="1" min="38" max="45"/>
    <col width="15" customWidth="1" min="46" max="46"/>
    <col width="16" customWidth="1" min="47" max="47"/>
    <col width="15" customWidth="1" min="48" max="48"/>
    <col width="27" customWidth="1" min="49" max="49"/>
    <col width="18" customWidth="1" min="50" max="50"/>
    <col width="10" customWidth="1" min="51" max="51"/>
    <col hidden="1" width="20" customWidth="1" min="52" max="52"/>
    <col hidden="1" width="20" customWidth="1" min="53" max="53"/>
    <col width="22" customWidth="1" min="54" max="54"/>
    <col width="29" customWidth="1" min="55" max="55"/>
    <col width="22" customWidth="1" min="56" max="56"/>
    <col hidden="1" width="54" customWidth="1" min="57" max="57"/>
    <col width="18" customWidth="1" min="58" max="58"/>
    <col width="19" customWidth="1" min="59" max="59"/>
    <col width="18" customWidth="1" min="60" max="60"/>
    <col width="16" customWidth="1" min="61" max="61"/>
    <col width="12" customWidth="1" min="62" max="62"/>
    <col width="17" customWidth="1" min="63" max="63"/>
    <col width="13" customWidth="1" min="64" max="64"/>
    <col width="9" customWidth="1" min="65" max="65"/>
    <col width="17" customWidth="1" min="66" max="66"/>
    <col width="14" customWidth="1" min="67" max="67"/>
    <col width="12" customWidth="1" min="68" max="68"/>
    <col width="17" customWidth="1" min="69" max="69"/>
    <col width="21" customWidth="1" min="70" max="70"/>
    <col width="19" customWidth="1" min="71" max="71"/>
    <col width="13" customWidth="1" min="72" max="72"/>
    <col width="18" customWidth="1" min="73" max="73"/>
    <col width="14" customWidth="1" min="74" max="74"/>
    <col width="19" customWidth="1" min="75" max="75"/>
    <col width="26" customWidth="1" min="76" max="76"/>
    <col width="22" customWidth="1" min="77" max="77"/>
    <col width="40" customWidth="1" min="78" max="78"/>
    <col width="26" customWidth="1" min="79" max="79"/>
    <col width="23" customWidth="1" min="80" max="80"/>
    <col width="22" customWidth="1" min="81" max="81"/>
    <col width="26" customWidth="1" min="82" max="82"/>
    <col width="16" customWidth="1" min="83" max="83"/>
    <col width="27" customWidth="1" min="84" max="84"/>
    <col width="28" customWidth="1" min="85" max="85"/>
    <col width="27" customWidth="1" min="86" max="86"/>
    <col width="25" customWidth="1" min="87" max="87"/>
    <col width="24" customWidth="1" min="88" max="88"/>
    <col width="22" customWidth="1" min="89" max="89"/>
    <col width="18" customWidth="1" min="90" max="90"/>
    <col width="11" customWidth="1" min="91" max="91"/>
    <col width="16" customWidth="1" min="92" max="92"/>
    <col width="14" customWidth="1" min="93" max="93"/>
    <col width="19" customWidth="1" min="94" max="94"/>
  </cols>
  <sheetData>
    <row r="1">
      <c r="A1" s="21" t="inlineStr">
        <is>
          <t>URL</t>
        </is>
      </c>
      <c r="B1" s="21" t="inlineStr">
        <is>
          <t>Status Code</t>
        </is>
      </c>
      <c r="C1" s="21" t="inlineStr">
        <is>
          <t>Status Class</t>
        </is>
      </c>
      <c r="D1" s="21" t="inlineStr">
        <is>
          <t>SEO Health Score</t>
        </is>
      </c>
      <c r="E1" s="21" t="inlineStr">
        <is>
          <t>Severity Badge</t>
        </is>
      </c>
      <c r="F1" s="21" t="inlineStr">
        <is>
          <t>Action Needed</t>
        </is>
      </c>
      <c r="G1" s="21" t="inlineStr">
        <is>
          <t>Indexability Reason</t>
        </is>
      </c>
      <c r="H1" s="21" t="inlineStr">
        <is>
          <t>TTFB (ms)</t>
        </is>
      </c>
      <c r="I1" s="21" t="inlineStr">
        <is>
          <t>Total Request Time (ms)</t>
        </is>
      </c>
      <c r="J1" s="21" t="inlineStr">
        <is>
          <t>Final URL</t>
        </is>
      </c>
      <c r="K1" s="21" t="inlineStr">
        <is>
          <t>Canonical URL</t>
        </is>
      </c>
      <c r="L1" s="21" t="inlineStr">
        <is>
          <t>Canonical Type</t>
        </is>
      </c>
      <c r="M1" s="21" t="inlineStr">
        <is>
          <t>Owner</t>
        </is>
      </c>
      <c r="N1" s="21" t="inlineStr">
        <is>
          <t>Status</t>
        </is>
      </c>
      <c r="O1" s="21" t="inlineStr">
        <is>
          <t>Sprint</t>
        </is>
      </c>
      <c r="P1" s="21" t="inlineStr">
        <is>
          <t>Extraction State</t>
        </is>
      </c>
      <c r="Q1" s="21" t="inlineStr">
        <is>
          <t>Extraction Source</t>
        </is>
      </c>
      <c r="R1" s="21" t="inlineStr">
        <is>
          <t>Health Icon</t>
        </is>
      </c>
      <c r="S1" s="21" t="inlineStr">
        <is>
          <t>SEO Score</t>
        </is>
      </c>
      <c r="T1" s="21" t="inlineStr">
        <is>
          <t>Technical Health</t>
        </is>
      </c>
      <c r="U1" s="21" t="inlineStr">
        <is>
          <t>Copy Score</t>
        </is>
      </c>
      <c r="V1" s="21" t="inlineStr">
        <is>
          <t>Protocol</t>
        </is>
      </c>
      <c r="W1" s="21" t="inlineStr">
        <is>
          <t>Redirect Chain Length</t>
        </is>
      </c>
      <c r="X1" s="21" t="inlineStr">
        <is>
          <t>Redirect Target</t>
        </is>
      </c>
      <c r="Y1" s="21" t="inlineStr">
        <is>
          <t>Redirect Hops</t>
        </is>
      </c>
      <c r="Z1" s="21" t="inlineStr">
        <is>
          <t>HTTP-&gt;HTTPS Redirect</t>
        </is>
      </c>
      <c r="AA1" s="21" t="inlineStr">
        <is>
          <t>Content-Type</t>
        </is>
      </c>
      <c r="AB1" s="21" t="inlineStr">
        <is>
          <t>HTTP Version</t>
        </is>
      </c>
      <c r="AC1" s="21" t="inlineStr">
        <is>
          <t>HTML Size (KB)</t>
        </is>
      </c>
      <c r="AD1" s="21" t="inlineStr">
        <is>
          <t>Compression Enabled</t>
        </is>
      </c>
      <c r="AE1" s="21" t="inlineStr">
        <is>
          <t>Cache-Control</t>
        </is>
      </c>
      <c r="AF1" s="21" t="inlineStr">
        <is>
          <t>ETag</t>
        </is>
      </c>
      <c r="AG1" s="21" t="inlineStr">
        <is>
          <t>X-Robots-Tag</t>
        </is>
      </c>
      <c r="AH1" s="21" t="inlineStr">
        <is>
          <t>Meta Robots Raw</t>
        </is>
      </c>
      <c r="AI1" s="21" t="inlineStr">
        <is>
          <t>Canonical Matches Final URL</t>
        </is>
      </c>
      <c r="AJ1" s="21" t="inlineStr">
        <is>
          <t>Canonical Absolute URL</t>
        </is>
      </c>
      <c r="AK1" s="21" t="inlineStr">
        <is>
          <t>Canonical in Sitemap Match</t>
        </is>
      </c>
      <c r="AL1" s="21" t="inlineStr">
        <is>
          <t>Hreflang Present</t>
        </is>
      </c>
      <c r="AM1" s="21" t="inlineStr">
        <is>
          <t>Hreflang Count</t>
        </is>
      </c>
      <c r="AN1" s="21" t="inlineStr">
        <is>
          <t>Hreflang Self Reference</t>
        </is>
      </c>
      <c r="AO1" s="21" t="inlineStr">
        <is>
          <t>Hreflang Reciprocal Check</t>
        </is>
      </c>
      <c r="AP1" s="21" t="inlineStr">
        <is>
          <t>Hreflang Canonical Consistency</t>
        </is>
      </c>
      <c r="AQ1" s="21" t="inlineStr">
        <is>
          <t>x-default Present</t>
        </is>
      </c>
      <c r="AR1" s="21" t="inlineStr">
        <is>
          <t>Pagination rel=next</t>
        </is>
      </c>
      <c r="AS1" s="21" t="inlineStr">
        <is>
          <t>Pagination rel=prev</t>
        </is>
      </c>
      <c r="AT1" s="21" t="inlineStr">
        <is>
          <t>Last-Modified</t>
        </is>
      </c>
      <c r="AU1" s="21" t="inlineStr">
        <is>
          <t>Published Date</t>
        </is>
      </c>
      <c r="AV1" s="21" t="inlineStr">
        <is>
          <t>Modified Date</t>
        </is>
      </c>
      <c r="AW1" s="21" t="inlineStr">
        <is>
          <t>Last Updated</t>
        </is>
      </c>
      <c r="AX1" s="21" t="inlineStr">
        <is>
          <t>Change Frequency</t>
        </is>
      </c>
      <c r="AY1" s="21" t="inlineStr">
        <is>
          <t>Priority</t>
        </is>
      </c>
      <c r="AZ1" s="21" t="inlineStr">
        <is>
          <t>Schema Types Count</t>
        </is>
      </c>
      <c r="BA1" s="21" t="inlineStr">
        <is>
          <t>Schema Types Found</t>
        </is>
      </c>
      <c r="BB1" s="21" t="inlineStr">
        <is>
          <t>Internal Links Count</t>
        </is>
      </c>
      <c r="BC1" s="21" t="inlineStr">
        <is>
          <t>Unique Internal Links Count</t>
        </is>
      </c>
      <c r="BD1" s="21" t="inlineStr">
        <is>
          <t>External Links Count</t>
        </is>
      </c>
      <c r="BE1" s="21" t="inlineStr">
        <is>
          <t>AI Crawlers Allowed (GPTBot/ClaudeBot/PerplexityBot)</t>
        </is>
      </c>
      <c r="BF1" s="21" t="inlineStr">
        <is>
          <t>llms.txt Present</t>
        </is>
      </c>
      <c r="BG1" s="21" t="inlineStr">
        <is>
          <t>Desktop PSI Score</t>
        </is>
      </c>
      <c r="BH1" s="21" t="inlineStr">
        <is>
          <t>Mobile PSI Score</t>
        </is>
      </c>
      <c r="BI1" s="21" t="inlineStr">
        <is>
          <t>Mobile LCP (s)</t>
        </is>
      </c>
      <c r="BJ1" s="21" t="inlineStr">
        <is>
          <t>Mobile CLS</t>
        </is>
      </c>
      <c r="BK1" s="21" t="inlineStr">
        <is>
          <t>Mobile TTFB (s)</t>
        </is>
      </c>
      <c r="BL1" s="21" t="inlineStr">
        <is>
          <t>CWV LCP (s)</t>
        </is>
      </c>
      <c r="BM1" s="21" t="inlineStr">
        <is>
          <t>CWV CLS</t>
        </is>
      </c>
      <c r="BN1" s="21" t="inlineStr">
        <is>
          <t>CWV Data Source</t>
        </is>
      </c>
      <c r="BO1" s="21" t="inlineStr">
        <is>
          <t>Field vs Lab</t>
        </is>
      </c>
      <c r="BP1" s="21" t="inlineStr">
        <is>
          <t>GSC Clicks</t>
        </is>
      </c>
      <c r="BQ1" s="21" t="inlineStr">
        <is>
          <t>GSC Impressions</t>
        </is>
      </c>
      <c r="BR1" s="21" t="inlineStr">
        <is>
          <t>GSC CTR</t>
        </is>
      </c>
      <c r="BS1" s="21" t="inlineStr">
        <is>
          <t>GSC Avg Position</t>
        </is>
      </c>
      <c r="BT1" s="21" t="inlineStr">
        <is>
          <t>Click Depth</t>
        </is>
      </c>
      <c r="BU1" s="21" t="inlineStr">
        <is>
          <t>Internal Inlinks</t>
        </is>
      </c>
      <c r="BV1" s="21" t="inlineStr">
        <is>
          <t>Orphan Pages</t>
        </is>
      </c>
      <c r="BW1" s="21" t="inlineStr">
        <is>
          <t>Internal PageRank</t>
        </is>
      </c>
      <c r="BX1" s="21" t="inlineStr">
        <is>
          <t>Regional Authority Score</t>
        </is>
      </c>
      <c r="BY1" s="21" t="inlineStr">
        <is>
          <t>Regional Entity Hits</t>
        </is>
      </c>
      <c r="BZ1" s="21" t="inlineStr">
        <is>
          <t>Answer Block Detected (First 60 Words)</t>
        </is>
      </c>
      <c r="CA1" s="21" t="inlineStr">
        <is>
          <t>AEO Extractability Score</t>
        </is>
      </c>
      <c r="CB1" s="21" t="inlineStr">
        <is>
          <t>Critical Issues Count</t>
        </is>
      </c>
      <c r="CC1" s="21" t="inlineStr">
        <is>
          <t>Warning Issues Count</t>
        </is>
      </c>
      <c r="CD1" s="21" t="inlineStr">
        <is>
          <t>Observation Issues Count</t>
        </is>
      </c>
      <c r="CE1" s="21" t="inlineStr">
        <is>
          <t>Inlinks Bucket</t>
        </is>
      </c>
      <c r="CF1" s="21" t="inlineStr">
        <is>
          <t>Important But Underlinked</t>
        </is>
      </c>
      <c r="CG1" s="21" t="inlineStr">
        <is>
          <t>SERP Title Truncation Risk</t>
        </is>
      </c>
      <c r="CH1" s="21" t="inlineStr">
        <is>
          <t>SERP Meta Truncation Risk</t>
        </is>
      </c>
      <c r="CI1" s="21" t="inlineStr">
        <is>
          <t>SERP Title Pixel Approx</t>
        </is>
      </c>
      <c r="CJ1" s="21" t="inlineStr">
        <is>
          <t>SERP Meta Pixel Approx</t>
        </is>
      </c>
      <c r="CK1" s="21" t="inlineStr">
        <is>
          <t>Cannibalization Hint</t>
        </is>
      </c>
      <c r="CL1" s="21" t="inlineStr">
        <is>
          <t>Stable Issue IDs</t>
        </is>
      </c>
      <c r="CM1" s="21" t="inlineStr">
        <is>
          <t>URL Depth</t>
        </is>
      </c>
      <c r="CN1" s="21" t="inlineStr">
        <is>
          <t>Param URL Flag</t>
        </is>
      </c>
      <c r="CO1" s="21" t="inlineStr">
        <is>
          <t>Open in Main</t>
        </is>
      </c>
      <c r="CP1" s="21" t="inlineStr">
        <is>
          <t>BACK TO DASHBOARD</t>
        </is>
      </c>
      <c r="CQ1" s="23" t="inlineStr">
        <is>
          <t>BACK TO DASHBOARD_1</t>
        </is>
      </c>
    </row>
    <row r="2">
      <c r="A2" s="40" t="inlineStr">
        <is>
          <t>https://africanmarketingconfederation.org/</t>
        </is>
      </c>
      <c r="B2" s="3" t="n">
        <v>200</v>
      </c>
      <c r="C2" s="22" t="inlineStr">
        <is>
          <t>2xx</t>
        </is>
      </c>
      <c r="D2" s="41" t="inlineStr"/>
      <c r="E2" s="22" t="inlineStr">
        <is>
          <t>Unmeasured</t>
        </is>
      </c>
      <c r="F2" s="22" t="inlineStr"/>
      <c r="G2" s="3" t="inlineStr">
        <is>
          <t>Indexable</t>
        </is>
      </c>
      <c r="H2" s="41" t="n">
        <v>34.75</v>
      </c>
      <c r="I2" s="41" t="n">
        <v>36971.04</v>
      </c>
      <c r="J2" s="28" t="inlineStr">
        <is>
          <t>https://africanmarketingconfederation.org/</t>
        </is>
      </c>
      <c r="K2" s="28" t="inlineStr">
        <is>
          <t>https://africanmarketingconfederation.org/</t>
        </is>
      </c>
      <c r="L2" s="22" t="inlineStr">
        <is>
          <t>self</t>
        </is>
      </c>
      <c r="M2" s="22" t="inlineStr">
        <is>
          <t>Dev</t>
        </is>
      </c>
      <c r="N2" s="25" t="inlineStr">
        <is>
          <t>Open</t>
        </is>
      </c>
      <c r="O2" s="22" t="inlineStr"/>
      <c r="P2" s="22" t="inlineStr">
        <is>
          <t>partial</t>
        </is>
      </c>
      <c r="Q2" s="22" t="inlineStr">
        <is>
          <t>rendered_browser</t>
        </is>
      </c>
      <c r="R2" s="22" t="inlineStr">
        <is>
          <t>UNMEASURED</t>
        </is>
      </c>
      <c r="S2" s="25" t="n">
        <v>18.75</v>
      </c>
      <c r="T2" s="25" t="n">
        <v>0</v>
      </c>
      <c r="U2" s="34" t="n">
        <v>75</v>
      </c>
      <c r="V2" s="22" t="inlineStr">
        <is>
          <t>https</t>
        </is>
      </c>
      <c r="W2" s="22" t="n">
        <v>0</v>
      </c>
      <c r="X2" s="22" t="inlineStr"/>
      <c r="Y2" s="44" t="inlineStr"/>
      <c r="Z2" s="22" t="b">
        <v>0</v>
      </c>
      <c r="AA2" s="22" t="inlineStr">
        <is>
          <t>text/html; charset=UTF-8</t>
        </is>
      </c>
      <c r="AB2" s="22" t="inlineStr">
        <is>
          <t>HTTP/1.1</t>
        </is>
      </c>
      <c r="AC2" s="22" t="n">
        <v>558.4</v>
      </c>
      <c r="AD2" s="3" t="b">
        <v>1</v>
      </c>
      <c r="AE2" s="22" t="inlineStr">
        <is>
          <t>max-age=0</t>
        </is>
      </c>
      <c r="AF2" s="22" t="inlineStr"/>
      <c r="AG2" s="22" t="inlineStr"/>
      <c r="AH2" s="22" t="inlineStr">
        <is>
          <t>max-image-preview:large</t>
        </is>
      </c>
      <c r="AI2" s="45" t="b">
        <v>1</v>
      </c>
      <c r="AJ2" s="28" t="inlineStr">
        <is>
          <t>https://africanmarketingconfederation.org/</t>
        </is>
      </c>
      <c r="AK2" s="3" t="b">
        <v>1</v>
      </c>
      <c r="AL2" s="36" t="b">
        <v>0</v>
      </c>
      <c r="AM2" s="22" t="n">
        <v>0</v>
      </c>
      <c r="AN2" s="22" t="b">
        <v>0</v>
      </c>
      <c r="AO2" s="22" t="inlineStr"/>
      <c r="AP2" s="22" t="inlineStr"/>
      <c r="AQ2" s="36" t="b">
        <v>0</v>
      </c>
      <c r="AR2" s="22" t="b">
        <v>0</v>
      </c>
      <c r="AS2" s="22" t="b">
        <v>0</v>
      </c>
      <c r="AT2" s="22" t="inlineStr"/>
      <c r="AU2" s="30" t="inlineStr"/>
      <c r="AV2" s="30" t="inlineStr"/>
      <c r="AW2" s="30" t="inlineStr">
        <is>
          <t>2026-04-29T08:23:06+00:00</t>
        </is>
      </c>
      <c r="AX2" s="22" t="inlineStr">
        <is>
          <t>always</t>
        </is>
      </c>
      <c r="AY2" s="22" t="n">
        <v>1</v>
      </c>
      <c r="AZ2" s="22" t="n">
        <v>0</v>
      </c>
      <c r="BA2" s="22" t="inlineStr"/>
      <c r="BB2" s="22" t="n">
        <v>63</v>
      </c>
      <c r="BC2" s="22" t="n">
        <v>22</v>
      </c>
      <c r="BD2" s="22" t="n">
        <v>2</v>
      </c>
      <c r="BE2" s="22" t="b">
        <v>0</v>
      </c>
      <c r="BF2" s="3" t="b">
        <v>1</v>
      </c>
      <c r="BG2" s="22" t="n">
        <v>0</v>
      </c>
      <c r="BH2" s="22" t="n">
        <v>0</v>
      </c>
      <c r="BI2" s="22" t="n">
        <v>0</v>
      </c>
      <c r="BJ2" s="22" t="n">
        <v>0</v>
      </c>
      <c r="BK2" s="22" t="n">
        <v>0</v>
      </c>
      <c r="BL2" s="22" t="n">
        <v>0</v>
      </c>
      <c r="BM2" s="22" t="inlineStr"/>
      <c r="BN2" s="22" t="inlineStr">
        <is>
          <t>Lab</t>
        </is>
      </c>
      <c r="BO2" s="22" t="inlineStr">
        <is>
          <t>Lab</t>
        </is>
      </c>
      <c r="BP2" s="22" t="n">
        <v>60</v>
      </c>
      <c r="BQ2" s="22" t="n">
        <v>1108</v>
      </c>
      <c r="BR2" s="22" t="n">
        <v>0.05415162454873646</v>
      </c>
      <c r="BS2" s="22" t="n">
        <v>5.929602888086642</v>
      </c>
      <c r="BT2" s="22" t="n">
        <v>0</v>
      </c>
      <c r="BU2" s="22" t="n">
        <v>8</v>
      </c>
      <c r="BV2" s="22" t="b">
        <v>0</v>
      </c>
      <c r="BW2" s="22" t="n">
        <v>0.287449</v>
      </c>
      <c r="BX2" s="22" t="n">
        <v>100</v>
      </c>
      <c r="BY2" s="22" t="n">
        <v>16</v>
      </c>
      <c r="BZ2" s="22" t="b">
        <v>0</v>
      </c>
      <c r="CA2" s="22" t="inlineStr">
        <is>
          <t>Medium</t>
        </is>
      </c>
      <c r="CB2" s="22" t="inlineStr"/>
      <c r="CC2" s="22" t="inlineStr"/>
      <c r="CD2" s="22" t="inlineStr"/>
      <c r="CE2" s="22" t="inlineStr">
        <is>
          <t>3-10</t>
        </is>
      </c>
      <c r="CF2" s="22" t="inlineStr"/>
      <c r="CG2" s="22" t="b">
        <v>0</v>
      </c>
      <c r="CH2" s="22" t="b">
        <v>0</v>
      </c>
      <c r="CI2" s="22" t="n">
        <v>475</v>
      </c>
      <c r="CJ2" s="22" t="n">
        <v>942</v>
      </c>
      <c r="CK2" s="22" t="inlineStr"/>
      <c r="CL2" s="22" t="inlineStr"/>
      <c r="CM2" s="28" t="n">
        <v>0</v>
      </c>
      <c r="CN2" s="28" t="b">
        <v>0</v>
      </c>
      <c r="CO2" s="22" t="inlineStr">
        <is>
          <t>Open</t>
        </is>
      </c>
      <c r="CP2" s="22" t="inlineStr"/>
      <c r="CQ2" s="24" t="n"/>
    </row>
    <row r="3" ht="30" customHeight="1">
      <c r="A3" s="42" t="inlineStr">
        <is>
          <t>https://africanmarketingconfederation.org/about-us</t>
        </is>
      </c>
      <c r="B3" s="3" t="n">
        <v>200</v>
      </c>
      <c r="C3" s="4" t="inlineStr">
        <is>
          <t>2xx</t>
        </is>
      </c>
      <c r="D3" s="43" t="inlineStr"/>
      <c r="E3" s="4" t="inlineStr">
        <is>
          <t>Unmeasured</t>
        </is>
      </c>
      <c r="F3" s="4" t="inlineStr"/>
      <c r="G3" s="3" t="inlineStr">
        <is>
          <t>Indexable</t>
        </is>
      </c>
      <c r="H3" s="43" t="n">
        <v>84.98999999999999</v>
      </c>
      <c r="I3" s="43" t="n">
        <v>39053.33</v>
      </c>
      <c r="J3" s="32" t="inlineStr">
        <is>
          <t>https://africanmarketingconfederation.org/about-us</t>
        </is>
      </c>
      <c r="K3" s="32" t="inlineStr">
        <is>
          <t>https://africanmarketingconfederation.org/about-us</t>
        </is>
      </c>
      <c r="L3" s="4" t="inlineStr">
        <is>
          <t>self</t>
        </is>
      </c>
      <c r="M3" s="4" t="inlineStr">
        <is>
          <t>Dev</t>
        </is>
      </c>
      <c r="N3" s="25" t="inlineStr">
        <is>
          <t>Open</t>
        </is>
      </c>
      <c r="O3" s="4" t="inlineStr"/>
      <c r="P3" s="4" t="inlineStr">
        <is>
          <t>partial</t>
        </is>
      </c>
      <c r="Q3" s="4" t="inlineStr">
        <is>
          <t>rendered_browser</t>
        </is>
      </c>
      <c r="R3" s="4" t="inlineStr">
        <is>
          <t>UNMEASURED</t>
        </is>
      </c>
      <c r="S3" s="25" t="n">
        <v>18.75</v>
      </c>
      <c r="T3" s="25" t="n">
        <v>0</v>
      </c>
      <c r="U3" s="34" t="n">
        <v>75</v>
      </c>
      <c r="V3" s="4" t="inlineStr">
        <is>
          <t>https</t>
        </is>
      </c>
      <c r="W3" s="4" t="n">
        <v>0</v>
      </c>
      <c r="X3" s="4" t="inlineStr"/>
      <c r="Y3" s="46" t="inlineStr"/>
      <c r="Z3" s="4" t="b">
        <v>0</v>
      </c>
      <c r="AA3" s="4" t="inlineStr">
        <is>
          <t>text/html; charset=UTF-8</t>
        </is>
      </c>
      <c r="AB3" s="4" t="inlineStr">
        <is>
          <t>HTTP/1.1</t>
        </is>
      </c>
      <c r="AC3" s="4" t="n">
        <v>321.92</v>
      </c>
      <c r="AD3" s="3" t="b">
        <v>1</v>
      </c>
      <c r="AE3" s="4" t="inlineStr">
        <is>
          <t>max-age=0</t>
        </is>
      </c>
      <c r="AF3" s="4" t="inlineStr"/>
      <c r="AG3" s="4" t="inlineStr"/>
      <c r="AH3" s="4" t="inlineStr">
        <is>
          <t>max-image-preview:large</t>
        </is>
      </c>
      <c r="AI3" s="45" t="b">
        <v>1</v>
      </c>
      <c r="AJ3" s="32" t="inlineStr">
        <is>
          <t>https://africanmarketingconfederation.org/about-us</t>
        </is>
      </c>
      <c r="AK3" s="3" t="b">
        <v>1</v>
      </c>
      <c r="AL3" s="36" t="b">
        <v>0</v>
      </c>
      <c r="AM3" s="4" t="n">
        <v>0</v>
      </c>
      <c r="AN3" s="4" t="b">
        <v>0</v>
      </c>
      <c r="AO3" s="4" t="inlineStr"/>
      <c r="AP3" s="4" t="inlineStr"/>
      <c r="AQ3" s="36" t="b">
        <v>0</v>
      </c>
      <c r="AR3" s="4" t="b">
        <v>0</v>
      </c>
      <c r="AS3" s="4" t="b">
        <v>0</v>
      </c>
      <c r="AT3" s="4" t="inlineStr"/>
      <c r="AU3" s="33" t="inlineStr"/>
      <c r="AV3" s="33" t="inlineStr"/>
      <c r="AW3" s="33" t="inlineStr">
        <is>
          <t>2026-04-17T08:53:24+00:00</t>
        </is>
      </c>
      <c r="AX3" s="4" t="inlineStr">
        <is>
          <t>weekly</t>
        </is>
      </c>
      <c r="AY3" s="4" t="n">
        <v>0.7</v>
      </c>
      <c r="AZ3" s="4" t="n">
        <v>0</v>
      </c>
      <c r="BA3" s="4" t="inlineStr"/>
      <c r="BB3" s="4" t="n">
        <v>32</v>
      </c>
      <c r="BC3" s="4" t="n">
        <v>14</v>
      </c>
      <c r="BD3" s="4" t="n">
        <v>7</v>
      </c>
      <c r="BE3" s="4" t="b">
        <v>0</v>
      </c>
      <c r="BF3" s="3" t="b">
        <v>1</v>
      </c>
      <c r="BG3" s="4" t="n">
        <v>0</v>
      </c>
      <c r="BH3" s="4" t="n">
        <v>0</v>
      </c>
      <c r="BI3" s="4" t="n">
        <v>0</v>
      </c>
      <c r="BJ3" s="4" t="n">
        <v>0</v>
      </c>
      <c r="BK3" s="4" t="n">
        <v>0</v>
      </c>
      <c r="BL3" s="4" t="n">
        <v>0</v>
      </c>
      <c r="BM3" s="4" t="inlineStr"/>
      <c r="BN3" s="4" t="inlineStr">
        <is>
          <t>Lab</t>
        </is>
      </c>
      <c r="BO3" s="4" t="inlineStr">
        <is>
          <t>Lab</t>
        </is>
      </c>
      <c r="BP3" s="4" t="n">
        <v>7</v>
      </c>
      <c r="BQ3" s="4" t="n">
        <v>200</v>
      </c>
      <c r="BR3" s="4" t="n">
        <v>0.035</v>
      </c>
      <c r="BS3" s="4" t="n">
        <v>3.255</v>
      </c>
      <c r="BT3" s="4" t="n">
        <v>1</v>
      </c>
      <c r="BU3" s="4" t="n">
        <v>6</v>
      </c>
      <c r="BV3" s="4" t="b">
        <v>0</v>
      </c>
      <c r="BW3" s="4" t="n">
        <v>0.271899</v>
      </c>
      <c r="BX3" s="4" t="n">
        <v>70</v>
      </c>
      <c r="BY3" s="4" t="n">
        <v>5</v>
      </c>
      <c r="BZ3" s="4" t="b">
        <v>0</v>
      </c>
      <c r="CA3" s="4" t="inlineStr">
        <is>
          <t>Medium</t>
        </is>
      </c>
      <c r="CB3" s="4" t="inlineStr"/>
      <c r="CC3" s="4" t="inlineStr"/>
      <c r="CD3" s="4" t="inlineStr"/>
      <c r="CE3" s="4" t="inlineStr">
        <is>
          <t>3-10</t>
        </is>
      </c>
      <c r="CF3" s="4" t="inlineStr"/>
      <c r="CG3" s="4" t="b">
        <v>0</v>
      </c>
      <c r="CH3" s="4" t="b">
        <v>0</v>
      </c>
      <c r="CI3" s="4" t="n">
        <v>770</v>
      </c>
      <c r="CJ3" s="4" t="n">
        <v>2511</v>
      </c>
      <c r="CK3" s="4" t="inlineStr"/>
      <c r="CL3" s="4" t="inlineStr"/>
      <c r="CM3" s="32" t="n">
        <v>1</v>
      </c>
      <c r="CN3" s="32" t="b">
        <v>0</v>
      </c>
      <c r="CO3" s="4" t="inlineStr">
        <is>
          <t>Open</t>
        </is>
      </c>
      <c r="CP3" s="4" t="inlineStr"/>
    </row>
    <row r="4" ht="30" customHeight="1">
      <c r="A4" s="40" t="inlineStr">
        <is>
          <t>https://africanmarketingconfederation.org/african-marketing-confederation-tourism-chapter</t>
        </is>
      </c>
      <c r="B4" s="3" t="n">
        <v>200</v>
      </c>
      <c r="C4" s="22" t="inlineStr">
        <is>
          <t>2xx</t>
        </is>
      </c>
      <c r="D4" s="41" t="inlineStr"/>
      <c r="E4" s="22" t="inlineStr">
        <is>
          <t>Unmeasured</t>
        </is>
      </c>
      <c r="F4" s="22" t="inlineStr"/>
      <c r="G4" s="3" t="inlineStr">
        <is>
          <t>Indexable</t>
        </is>
      </c>
      <c r="H4" s="41" t="n">
        <v>86</v>
      </c>
      <c r="I4" s="41" t="n">
        <v>39506.96</v>
      </c>
      <c r="J4" s="28" t="inlineStr">
        <is>
          <t>https://africanmarketingconfederation.org/african-marketing-confederation-tourism-chapter</t>
        </is>
      </c>
      <c r="K4" s="28" t="inlineStr">
        <is>
          <t>https://africanmarketingconfederation.org/african-marketing-confederation-tourism-chapter</t>
        </is>
      </c>
      <c r="L4" s="22" t="inlineStr">
        <is>
          <t>self</t>
        </is>
      </c>
      <c r="M4" s="22" t="inlineStr">
        <is>
          <t>Dev</t>
        </is>
      </c>
      <c r="N4" s="25" t="inlineStr">
        <is>
          <t>Open</t>
        </is>
      </c>
      <c r="O4" s="22" t="inlineStr"/>
      <c r="P4" s="22" t="inlineStr">
        <is>
          <t>partial</t>
        </is>
      </c>
      <c r="Q4" s="22" t="inlineStr">
        <is>
          <t>rendered_browser</t>
        </is>
      </c>
      <c r="R4" s="22" t="inlineStr">
        <is>
          <t>UNMEASURED</t>
        </is>
      </c>
      <c r="S4" s="25" t="n">
        <v>25</v>
      </c>
      <c r="T4" s="25" t="n">
        <v>0</v>
      </c>
      <c r="U4" s="3" t="n">
        <v>100</v>
      </c>
      <c r="V4" s="22" t="inlineStr">
        <is>
          <t>https</t>
        </is>
      </c>
      <c r="W4" s="22" t="n">
        <v>0</v>
      </c>
      <c r="X4" s="22" t="inlineStr"/>
      <c r="Y4" s="44" t="inlineStr"/>
      <c r="Z4" s="22" t="b">
        <v>0</v>
      </c>
      <c r="AA4" s="22" t="inlineStr">
        <is>
          <t>text/html; charset=UTF-8</t>
        </is>
      </c>
      <c r="AB4" s="22" t="inlineStr">
        <is>
          <t>HTTP/1.1</t>
        </is>
      </c>
      <c r="AC4" s="22" t="n">
        <v>337.63</v>
      </c>
      <c r="AD4" s="3" t="b">
        <v>1</v>
      </c>
      <c r="AE4" s="22" t="inlineStr">
        <is>
          <t>max-age=0</t>
        </is>
      </c>
      <c r="AF4" s="22" t="inlineStr"/>
      <c r="AG4" s="22" t="inlineStr"/>
      <c r="AH4" s="22" t="inlineStr">
        <is>
          <t>max-image-preview:large</t>
        </is>
      </c>
      <c r="AI4" s="45" t="b">
        <v>1</v>
      </c>
      <c r="AJ4" s="28" t="inlineStr">
        <is>
          <t>https://africanmarketingconfederation.org/african-marketing-confederation-tourism-chapter</t>
        </is>
      </c>
      <c r="AK4" s="3" t="b">
        <v>1</v>
      </c>
      <c r="AL4" s="36" t="b">
        <v>0</v>
      </c>
      <c r="AM4" s="22" t="n">
        <v>0</v>
      </c>
      <c r="AN4" s="22" t="b">
        <v>0</v>
      </c>
      <c r="AO4" s="22" t="inlineStr"/>
      <c r="AP4" s="22" t="inlineStr"/>
      <c r="AQ4" s="36" t="b">
        <v>0</v>
      </c>
      <c r="AR4" s="22" t="b">
        <v>0</v>
      </c>
      <c r="AS4" s="22" t="b">
        <v>0</v>
      </c>
      <c r="AT4" s="22" t="inlineStr"/>
      <c r="AU4" s="30" t="inlineStr"/>
      <c r="AV4" s="30" t="inlineStr"/>
      <c r="AW4" s="30" t="inlineStr">
        <is>
          <t>2026-04-17T08:55:48+00:00</t>
        </is>
      </c>
      <c r="AX4" s="22" t="inlineStr">
        <is>
          <t>weekly</t>
        </is>
      </c>
      <c r="AY4" s="22" t="n">
        <v>0.7</v>
      </c>
      <c r="AZ4" s="22" t="n">
        <v>0</v>
      </c>
      <c r="BA4" s="22" t="inlineStr"/>
      <c r="BB4" s="22" t="n">
        <v>58</v>
      </c>
      <c r="BC4" s="22" t="n">
        <v>15</v>
      </c>
      <c r="BD4" s="22" t="n">
        <v>3</v>
      </c>
      <c r="BE4" s="22" t="b">
        <v>0</v>
      </c>
      <c r="BF4" s="3" t="b">
        <v>1</v>
      </c>
      <c r="BG4" s="22" t="n">
        <v>0</v>
      </c>
      <c r="BH4" s="22" t="n">
        <v>0</v>
      </c>
      <c r="BI4" s="22" t="n">
        <v>0</v>
      </c>
      <c r="BJ4" s="22" t="n">
        <v>0</v>
      </c>
      <c r="BK4" s="22" t="n">
        <v>0</v>
      </c>
      <c r="BL4" s="22" t="n">
        <v>0</v>
      </c>
      <c r="BM4" s="22" t="inlineStr"/>
      <c r="BN4" s="22" t="inlineStr">
        <is>
          <t>Lab</t>
        </is>
      </c>
      <c r="BO4" s="22" t="inlineStr">
        <is>
          <t>Lab</t>
        </is>
      </c>
      <c r="BP4" s="22" t="n">
        <v>0</v>
      </c>
      <c r="BQ4" s="22" t="n">
        <v>8</v>
      </c>
      <c r="BR4" s="22" t="n">
        <v>0</v>
      </c>
      <c r="BS4" s="22" t="n">
        <v>5</v>
      </c>
      <c r="BT4" s="22" t="n">
        <v>1</v>
      </c>
      <c r="BU4" s="22" t="n">
        <v>6</v>
      </c>
      <c r="BV4" s="22" t="b">
        <v>0</v>
      </c>
      <c r="BW4" s="22" t="n">
        <v>0.271899</v>
      </c>
      <c r="BX4" s="22" t="n">
        <v>60</v>
      </c>
      <c r="BY4" s="22" t="n">
        <v>4</v>
      </c>
      <c r="BZ4" s="22" t="b">
        <v>0</v>
      </c>
      <c r="CA4" s="22" t="inlineStr">
        <is>
          <t>Medium</t>
        </is>
      </c>
      <c r="CB4" s="22" t="inlineStr"/>
      <c r="CC4" s="22" t="inlineStr"/>
      <c r="CD4" s="22" t="inlineStr"/>
      <c r="CE4" s="22" t="inlineStr">
        <is>
          <t>3-10</t>
        </is>
      </c>
      <c r="CF4" s="22" t="inlineStr"/>
      <c r="CG4" s="22" t="b">
        <v>0</v>
      </c>
      <c r="CH4" s="22" t="b">
        <v>0</v>
      </c>
      <c r="CI4" s="22" t="n">
        <v>583</v>
      </c>
      <c r="CJ4" s="22" t="n">
        <v>2622</v>
      </c>
      <c r="CK4" s="22" t="inlineStr"/>
      <c r="CL4" s="22" t="inlineStr"/>
      <c r="CM4" s="28" t="n">
        <v>1</v>
      </c>
      <c r="CN4" s="28" t="b">
        <v>0</v>
      </c>
      <c r="CO4" s="22" t="inlineStr">
        <is>
          <t>Open</t>
        </is>
      </c>
      <c r="CP4" s="22" t="inlineStr"/>
      <c r="CQ4" s="24" t="n"/>
    </row>
    <row r="5" ht="30" customHeight="1">
      <c r="A5" s="42" t="inlineStr">
        <is>
          <t>https://africanmarketingconfederation.org/amc-awards-2024</t>
        </is>
      </c>
      <c r="B5" s="3" t="n">
        <v>200</v>
      </c>
      <c r="C5" s="4" t="inlineStr">
        <is>
          <t>2xx</t>
        </is>
      </c>
      <c r="D5" s="43" t="inlineStr"/>
      <c r="E5" s="4" t="inlineStr">
        <is>
          <t>Unmeasured</t>
        </is>
      </c>
      <c r="F5" s="4" t="inlineStr"/>
      <c r="G5" s="3" t="inlineStr">
        <is>
          <t>Indexable</t>
        </is>
      </c>
      <c r="H5" s="43" t="n">
        <v>78.40000000000001</v>
      </c>
      <c r="I5" s="43" t="n">
        <v>18282.83</v>
      </c>
      <c r="J5" s="32" t="inlineStr">
        <is>
          <t>https://africanmarketingconfederation.org/amc-awards-2024</t>
        </is>
      </c>
      <c r="K5" s="32" t="inlineStr">
        <is>
          <t>https://africanmarketingconfederation.org/amc-awards-2024</t>
        </is>
      </c>
      <c r="L5" s="4" t="inlineStr">
        <is>
          <t>self</t>
        </is>
      </c>
      <c r="M5" s="4" t="inlineStr">
        <is>
          <t>Dev</t>
        </is>
      </c>
      <c r="N5" s="25" t="inlineStr">
        <is>
          <t>Open</t>
        </is>
      </c>
      <c r="O5" s="4" t="inlineStr"/>
      <c r="P5" s="4" t="inlineStr">
        <is>
          <t>partial</t>
        </is>
      </c>
      <c r="Q5" s="4" t="inlineStr">
        <is>
          <t>rendered_browser</t>
        </is>
      </c>
      <c r="R5" s="4" t="inlineStr">
        <is>
          <t>UNMEASURED</t>
        </is>
      </c>
      <c r="S5" s="25" t="n">
        <v>25</v>
      </c>
      <c r="T5" s="25" t="n">
        <v>0</v>
      </c>
      <c r="U5" s="3" t="n">
        <v>100</v>
      </c>
      <c r="V5" s="4" t="inlineStr">
        <is>
          <t>https</t>
        </is>
      </c>
      <c r="W5" s="4" t="n">
        <v>0</v>
      </c>
      <c r="X5" s="4" t="inlineStr"/>
      <c r="Y5" s="46" t="inlineStr"/>
      <c r="Z5" s="4" t="b">
        <v>0</v>
      </c>
      <c r="AA5" s="4" t="inlineStr">
        <is>
          <t>text/html; charset=UTF-8</t>
        </is>
      </c>
      <c r="AB5" s="4" t="inlineStr">
        <is>
          <t>HTTP/1.1</t>
        </is>
      </c>
      <c r="AC5" s="4" t="n">
        <v>513.3200000000001</v>
      </c>
      <c r="AD5" s="3" t="b">
        <v>1</v>
      </c>
      <c r="AE5" s="4" t="inlineStr">
        <is>
          <t>max-age=0</t>
        </is>
      </c>
      <c r="AF5" s="4" t="inlineStr"/>
      <c r="AG5" s="4" t="inlineStr"/>
      <c r="AH5" s="4" t="inlineStr">
        <is>
          <t>max-image-preview:large</t>
        </is>
      </c>
      <c r="AI5" s="45" t="b">
        <v>1</v>
      </c>
      <c r="AJ5" s="32" t="inlineStr">
        <is>
          <t>https://africanmarketingconfederation.org/amc-awards-2024</t>
        </is>
      </c>
      <c r="AK5" s="3" t="b">
        <v>1</v>
      </c>
      <c r="AL5" s="36" t="b">
        <v>0</v>
      </c>
      <c r="AM5" s="4" t="n">
        <v>0</v>
      </c>
      <c r="AN5" s="4" t="b">
        <v>0</v>
      </c>
      <c r="AO5" s="4" t="inlineStr"/>
      <c r="AP5" s="4" t="inlineStr"/>
      <c r="AQ5" s="36" t="b">
        <v>0</v>
      </c>
      <c r="AR5" s="4" t="b">
        <v>0</v>
      </c>
      <c r="AS5" s="4" t="b">
        <v>0</v>
      </c>
      <c r="AT5" s="4" t="inlineStr"/>
      <c r="AU5" s="33" t="inlineStr"/>
      <c r="AV5" s="33" t="inlineStr"/>
      <c r="AW5" s="33" t="inlineStr">
        <is>
          <t>2025-04-24T13:54:46+00:00</t>
        </is>
      </c>
      <c r="AX5" s="4" t="inlineStr">
        <is>
          <t>weekly</t>
        </is>
      </c>
      <c r="AY5" s="4" t="n">
        <v>0.7</v>
      </c>
      <c r="AZ5" s="4" t="n">
        <v>0</v>
      </c>
      <c r="BA5" s="4" t="inlineStr"/>
      <c r="BB5" s="4" t="n">
        <v>16</v>
      </c>
      <c r="BC5" s="4" t="n">
        <v>9</v>
      </c>
      <c r="BD5" s="4" t="n">
        <v>4</v>
      </c>
      <c r="BE5" s="4" t="b">
        <v>0</v>
      </c>
      <c r="BF5" s="3" t="b">
        <v>1</v>
      </c>
      <c r="BG5" s="4" t="n">
        <v>0</v>
      </c>
      <c r="BH5" s="4" t="n">
        <v>0</v>
      </c>
      <c r="BI5" s="4" t="n">
        <v>0</v>
      </c>
      <c r="BJ5" s="4" t="n">
        <v>0</v>
      </c>
      <c r="BK5" s="4" t="n">
        <v>0</v>
      </c>
      <c r="BL5" s="4" t="n">
        <v>0</v>
      </c>
      <c r="BM5" s="4" t="inlineStr"/>
      <c r="BN5" s="4" t="inlineStr">
        <is>
          <t>Lab</t>
        </is>
      </c>
      <c r="BO5" s="4" t="inlineStr">
        <is>
          <t>Lab</t>
        </is>
      </c>
      <c r="BP5" s="4" t="n">
        <v>0</v>
      </c>
      <c r="BQ5" s="4" t="n">
        <v>0</v>
      </c>
      <c r="BR5" s="4" t="n">
        <v>0</v>
      </c>
      <c r="BS5" s="4" t="n">
        <v>0</v>
      </c>
      <c r="BT5" s="4" t="inlineStr"/>
      <c r="BU5" s="4" t="n">
        <v>0</v>
      </c>
      <c r="BV5" s="4" t="b">
        <v>1</v>
      </c>
      <c r="BW5" s="4" t="n">
        <v>0.019665</v>
      </c>
      <c r="BX5" s="4" t="n">
        <v>100</v>
      </c>
      <c r="BY5" s="4" t="n">
        <v>16</v>
      </c>
      <c r="BZ5" s="4" t="b">
        <v>1</v>
      </c>
      <c r="CA5" s="4" t="inlineStr">
        <is>
          <t>Medium</t>
        </is>
      </c>
      <c r="CB5" s="4" t="inlineStr"/>
      <c r="CC5" s="4" t="inlineStr"/>
      <c r="CD5" s="4" t="inlineStr"/>
      <c r="CE5" s="4" t="inlineStr">
        <is>
          <t>0</t>
        </is>
      </c>
      <c r="CF5" s="4" t="inlineStr"/>
      <c r="CG5" s="4" t="b">
        <v>0</v>
      </c>
      <c r="CH5" s="4" t="b">
        <v>0</v>
      </c>
      <c r="CI5" s="4" t="n">
        <v>352</v>
      </c>
      <c r="CJ5" s="4" t="n">
        <v>2517</v>
      </c>
      <c r="CK5" s="4" t="inlineStr"/>
      <c r="CL5" s="4" t="inlineStr"/>
      <c r="CM5" s="32" t="n">
        <v>1</v>
      </c>
      <c r="CN5" s="32" t="b">
        <v>0</v>
      </c>
      <c r="CO5" s="4" t="inlineStr">
        <is>
          <t>Open</t>
        </is>
      </c>
      <c r="CP5" s="4" t="inlineStr"/>
    </row>
    <row r="6" ht="30" customHeight="1">
      <c r="A6" s="40" t="inlineStr">
        <is>
          <t>https://africanmarketingconfederation.org/amc-conference-2022</t>
        </is>
      </c>
      <c r="B6" s="3" t="n">
        <v>200</v>
      </c>
      <c r="C6" s="22" t="inlineStr">
        <is>
          <t>2xx</t>
        </is>
      </c>
      <c r="D6" s="41" t="inlineStr"/>
      <c r="E6" s="22" t="inlineStr">
        <is>
          <t>Unmeasured</t>
        </is>
      </c>
      <c r="F6" s="22" t="inlineStr"/>
      <c r="G6" s="3" t="inlineStr">
        <is>
          <t>Indexable</t>
        </is>
      </c>
      <c r="H6" s="41" t="n">
        <v>2317.69</v>
      </c>
      <c r="I6" s="41" t="n">
        <v>20124.52</v>
      </c>
      <c r="J6" s="28" t="inlineStr">
        <is>
          <t>https://africanmarketingconfederation.org/amc-conference-2022</t>
        </is>
      </c>
      <c r="K6" s="28" t="inlineStr">
        <is>
          <t>https://africanmarketingconfederation.org/amc-conference-2022</t>
        </is>
      </c>
      <c r="L6" s="22" t="inlineStr">
        <is>
          <t>self</t>
        </is>
      </c>
      <c r="M6" s="22" t="inlineStr">
        <is>
          <t>Dev</t>
        </is>
      </c>
      <c r="N6" s="25" t="inlineStr">
        <is>
          <t>Open</t>
        </is>
      </c>
      <c r="O6" s="22" t="inlineStr"/>
      <c r="P6" s="22" t="inlineStr">
        <is>
          <t>partial</t>
        </is>
      </c>
      <c r="Q6" s="22" t="inlineStr">
        <is>
          <t>rendered_browser</t>
        </is>
      </c>
      <c r="R6" s="22" t="inlineStr">
        <is>
          <t>UNMEASURED</t>
        </is>
      </c>
      <c r="S6" s="25" t="n">
        <v>11.25</v>
      </c>
      <c r="T6" s="25" t="n">
        <v>0</v>
      </c>
      <c r="U6" s="25" t="n">
        <v>45</v>
      </c>
      <c r="V6" s="22" t="inlineStr">
        <is>
          <t>https</t>
        </is>
      </c>
      <c r="W6" s="22" t="n">
        <v>0</v>
      </c>
      <c r="X6" s="22" t="inlineStr"/>
      <c r="Y6" s="44" t="inlineStr"/>
      <c r="Z6" s="22" t="b">
        <v>0</v>
      </c>
      <c r="AA6" s="22" t="inlineStr">
        <is>
          <t>text/html; charset=UTF-8</t>
        </is>
      </c>
      <c r="AB6" s="22" t="inlineStr">
        <is>
          <t>HTTP/1.1</t>
        </is>
      </c>
      <c r="AC6" s="22" t="n">
        <v>341.93</v>
      </c>
      <c r="AD6" s="3" t="b">
        <v>1</v>
      </c>
      <c r="AE6" s="22" t="inlineStr">
        <is>
          <t>max-age=0</t>
        </is>
      </c>
      <c r="AF6" s="22" t="inlineStr"/>
      <c r="AG6" s="22" t="inlineStr"/>
      <c r="AH6" s="22" t="inlineStr">
        <is>
          <t>max-image-preview:large</t>
        </is>
      </c>
      <c r="AI6" s="45" t="b">
        <v>1</v>
      </c>
      <c r="AJ6" s="28" t="inlineStr">
        <is>
          <t>https://africanmarketingconfederation.org/amc-conference-2022</t>
        </is>
      </c>
      <c r="AK6" s="3" t="b">
        <v>1</v>
      </c>
      <c r="AL6" s="36" t="b">
        <v>0</v>
      </c>
      <c r="AM6" s="22" t="n">
        <v>0</v>
      </c>
      <c r="AN6" s="22" t="b">
        <v>0</v>
      </c>
      <c r="AO6" s="22" t="inlineStr"/>
      <c r="AP6" s="22" t="inlineStr"/>
      <c r="AQ6" s="36" t="b">
        <v>0</v>
      </c>
      <c r="AR6" s="22" t="b">
        <v>0</v>
      </c>
      <c r="AS6" s="22" t="b">
        <v>0</v>
      </c>
      <c r="AT6" s="22" t="inlineStr"/>
      <c r="AU6" s="30" t="inlineStr"/>
      <c r="AV6" s="30" t="inlineStr"/>
      <c r="AW6" s="30" t="inlineStr">
        <is>
          <t>2026-01-21T00:07:32+00:00</t>
        </is>
      </c>
      <c r="AX6" s="22" t="inlineStr">
        <is>
          <t>weekly</t>
        </is>
      </c>
      <c r="AY6" s="22" t="n">
        <v>0.7</v>
      </c>
      <c r="AZ6" s="22" t="n">
        <v>0</v>
      </c>
      <c r="BA6" s="22" t="inlineStr"/>
      <c r="BB6" s="22" t="n">
        <v>99</v>
      </c>
      <c r="BC6" s="22" t="n">
        <v>64</v>
      </c>
      <c r="BD6" s="22" t="n">
        <v>3</v>
      </c>
      <c r="BE6" s="22" t="b">
        <v>0</v>
      </c>
      <c r="BF6" s="3" t="b">
        <v>1</v>
      </c>
      <c r="BG6" s="22" t="n">
        <v>0</v>
      </c>
      <c r="BH6" s="22" t="n">
        <v>0</v>
      </c>
      <c r="BI6" s="22" t="n">
        <v>0</v>
      </c>
      <c r="BJ6" s="22" t="n">
        <v>0</v>
      </c>
      <c r="BK6" s="22" t="n">
        <v>0</v>
      </c>
      <c r="BL6" s="22" t="n">
        <v>0</v>
      </c>
      <c r="BM6" s="22" t="inlineStr"/>
      <c r="BN6" s="22" t="inlineStr">
        <is>
          <t>Lab</t>
        </is>
      </c>
      <c r="BO6" s="22" t="inlineStr">
        <is>
          <t>Lab</t>
        </is>
      </c>
      <c r="BP6" s="22" t="n">
        <v>0</v>
      </c>
      <c r="BQ6" s="22" t="n">
        <v>10</v>
      </c>
      <c r="BR6" s="22" t="n">
        <v>0</v>
      </c>
      <c r="BS6" s="22" t="n">
        <v>6.1</v>
      </c>
      <c r="BT6" s="22" t="inlineStr"/>
      <c r="BU6" s="22" t="n">
        <v>0</v>
      </c>
      <c r="BV6" s="22" t="b">
        <v>1</v>
      </c>
      <c r="BW6" s="22" t="n">
        <v>0.019665</v>
      </c>
      <c r="BX6" s="22" t="n">
        <v>100</v>
      </c>
      <c r="BY6" s="22" t="n">
        <v>9</v>
      </c>
      <c r="BZ6" s="22" t="b">
        <v>0</v>
      </c>
      <c r="CA6" s="22" t="inlineStr">
        <is>
          <t>Medium</t>
        </is>
      </c>
      <c r="CB6" s="22" t="inlineStr"/>
      <c r="CC6" s="22" t="inlineStr"/>
      <c r="CD6" s="22" t="inlineStr"/>
      <c r="CE6" s="22" t="inlineStr">
        <is>
          <t>0</t>
        </is>
      </c>
      <c r="CF6" s="22" t="inlineStr"/>
      <c r="CG6" s="22" t="b">
        <v>0</v>
      </c>
      <c r="CH6" s="22" t="b">
        <v>0</v>
      </c>
      <c r="CI6" s="22" t="n">
        <v>381</v>
      </c>
      <c r="CJ6" s="22" t="n">
        <v>2399</v>
      </c>
      <c r="CK6" s="22" t="inlineStr"/>
      <c r="CL6" s="22" t="inlineStr"/>
      <c r="CM6" s="28" t="n">
        <v>1</v>
      </c>
      <c r="CN6" s="28" t="b">
        <v>0</v>
      </c>
      <c r="CO6" s="22" t="inlineStr">
        <is>
          <t>Open</t>
        </is>
      </c>
      <c r="CP6" s="22" t="inlineStr"/>
      <c r="CQ6" s="24" t="n"/>
    </row>
    <row r="7" ht="30" customHeight="1">
      <c r="A7" s="42" t="inlineStr">
        <is>
          <t>https://africanmarketingconfederation.org/amc-conference-2022-prospectus</t>
        </is>
      </c>
      <c r="B7" s="3" t="n">
        <v>200</v>
      </c>
      <c r="C7" s="4" t="inlineStr">
        <is>
          <t>2xx</t>
        </is>
      </c>
      <c r="D7" s="43" t="inlineStr"/>
      <c r="E7" s="4" t="inlineStr">
        <is>
          <t>Unmeasured</t>
        </is>
      </c>
      <c r="F7" s="4" t="inlineStr"/>
      <c r="G7" s="3" t="inlineStr">
        <is>
          <t>Indexable</t>
        </is>
      </c>
      <c r="H7" s="43" t="n">
        <v>3628.71</v>
      </c>
      <c r="I7" s="43" t="n">
        <v>21740.58</v>
      </c>
      <c r="J7" s="32" t="inlineStr">
        <is>
          <t>https://africanmarketingconfederation.org/amc-conference-2022-prospectus</t>
        </is>
      </c>
      <c r="K7" s="32" t="inlineStr">
        <is>
          <t>https://africanmarketingconfederation.org/amc-conference-2022-prospectus</t>
        </is>
      </c>
      <c r="L7" s="4" t="inlineStr">
        <is>
          <t>self</t>
        </is>
      </c>
      <c r="M7" s="4" t="inlineStr">
        <is>
          <t>Dev</t>
        </is>
      </c>
      <c r="N7" s="25" t="inlineStr">
        <is>
          <t>Open</t>
        </is>
      </c>
      <c r="O7" s="4" t="inlineStr"/>
      <c r="P7" s="4" t="inlineStr">
        <is>
          <t>partial</t>
        </is>
      </c>
      <c r="Q7" s="4" t="inlineStr">
        <is>
          <t>rendered_browser</t>
        </is>
      </c>
      <c r="R7" s="4" t="inlineStr">
        <is>
          <t>UNMEASURED</t>
        </is>
      </c>
      <c r="S7" s="25" t="n">
        <v>11.25</v>
      </c>
      <c r="T7" s="25" t="n">
        <v>0</v>
      </c>
      <c r="U7" s="25" t="n">
        <v>45</v>
      </c>
      <c r="V7" s="4" t="inlineStr">
        <is>
          <t>https</t>
        </is>
      </c>
      <c r="W7" s="4" t="n">
        <v>0</v>
      </c>
      <c r="X7" s="4" t="inlineStr"/>
      <c r="Y7" s="46" t="inlineStr"/>
      <c r="Z7" s="4" t="b">
        <v>0</v>
      </c>
      <c r="AA7" s="4" t="inlineStr">
        <is>
          <t>text/html; charset=UTF-8</t>
        </is>
      </c>
      <c r="AB7" s="4" t="inlineStr">
        <is>
          <t>HTTP/1.1</t>
        </is>
      </c>
      <c r="AC7" s="4" t="n">
        <v>279.86</v>
      </c>
      <c r="AD7" s="3" t="b">
        <v>1</v>
      </c>
      <c r="AE7" s="4" t="inlineStr">
        <is>
          <t>max-age=0</t>
        </is>
      </c>
      <c r="AF7" s="4" t="inlineStr"/>
      <c r="AG7" s="4" t="inlineStr"/>
      <c r="AH7" s="4" t="inlineStr">
        <is>
          <t>max-image-preview:large</t>
        </is>
      </c>
      <c r="AI7" s="45" t="b">
        <v>1</v>
      </c>
      <c r="AJ7" s="32" t="inlineStr">
        <is>
          <t>https://africanmarketingconfederation.org/amc-conference-2022-prospectus</t>
        </is>
      </c>
      <c r="AK7" s="3" t="b">
        <v>1</v>
      </c>
      <c r="AL7" s="36" t="b">
        <v>0</v>
      </c>
      <c r="AM7" s="4" t="n">
        <v>0</v>
      </c>
      <c r="AN7" s="4" t="b">
        <v>0</v>
      </c>
      <c r="AO7" s="4" t="inlineStr"/>
      <c r="AP7" s="4" t="inlineStr"/>
      <c r="AQ7" s="36" t="b">
        <v>0</v>
      </c>
      <c r="AR7" s="4" t="b">
        <v>0</v>
      </c>
      <c r="AS7" s="4" t="b">
        <v>0</v>
      </c>
      <c r="AT7" s="4" t="inlineStr"/>
      <c r="AU7" s="33" t="inlineStr"/>
      <c r="AV7" s="33" t="inlineStr"/>
      <c r="AW7" s="33" t="inlineStr">
        <is>
          <t>2025-07-14T07:22:03+00:00</t>
        </is>
      </c>
      <c r="AX7" s="4" t="inlineStr">
        <is>
          <t>weekly</t>
        </is>
      </c>
      <c r="AY7" s="4" t="n">
        <v>0.7</v>
      </c>
      <c r="AZ7" s="4" t="n">
        <v>0</v>
      </c>
      <c r="BA7" s="4" t="inlineStr"/>
      <c r="BB7" s="4" t="n">
        <v>32</v>
      </c>
      <c r="BC7" s="4" t="n">
        <v>14</v>
      </c>
      <c r="BD7" s="4" t="n">
        <v>4</v>
      </c>
      <c r="BE7" s="4" t="b">
        <v>0</v>
      </c>
      <c r="BF7" s="3" t="b">
        <v>1</v>
      </c>
      <c r="BG7" s="4" t="n">
        <v>0</v>
      </c>
      <c r="BH7" s="4" t="n">
        <v>0</v>
      </c>
      <c r="BI7" s="4" t="n">
        <v>0</v>
      </c>
      <c r="BJ7" s="4" t="n">
        <v>0</v>
      </c>
      <c r="BK7" s="4" t="n">
        <v>0</v>
      </c>
      <c r="BL7" s="4" t="n">
        <v>0</v>
      </c>
      <c r="BM7" s="4" t="inlineStr"/>
      <c r="BN7" s="4" t="inlineStr">
        <is>
          <t>Lab</t>
        </is>
      </c>
      <c r="BO7" s="4" t="inlineStr">
        <is>
          <t>Lab</t>
        </is>
      </c>
      <c r="BP7" s="4" t="n">
        <v>0</v>
      </c>
      <c r="BQ7" s="4" t="n">
        <v>0</v>
      </c>
      <c r="BR7" s="4" t="n">
        <v>0</v>
      </c>
      <c r="BS7" s="4" t="n">
        <v>0</v>
      </c>
      <c r="BT7" s="4" t="inlineStr"/>
      <c r="BU7" s="4" t="n">
        <v>0</v>
      </c>
      <c r="BV7" s="4" t="b">
        <v>1</v>
      </c>
      <c r="BW7" s="4" t="n">
        <v>0.019665</v>
      </c>
      <c r="BX7" s="4" t="n">
        <v>30</v>
      </c>
      <c r="BY7" s="4" t="n">
        <v>3</v>
      </c>
      <c r="BZ7" s="4" t="b">
        <v>0</v>
      </c>
      <c r="CA7" s="4" t="inlineStr">
        <is>
          <t>Medium</t>
        </is>
      </c>
      <c r="CB7" s="4" t="inlineStr"/>
      <c r="CC7" s="4" t="inlineStr"/>
      <c r="CD7" s="4" t="inlineStr"/>
      <c r="CE7" s="4" t="inlineStr">
        <is>
          <t>0</t>
        </is>
      </c>
      <c r="CF7" s="4" t="inlineStr"/>
      <c r="CG7" s="4" t="b">
        <v>0</v>
      </c>
      <c r="CH7" s="4" t="b">
        <v>0</v>
      </c>
      <c r="CI7" s="4" t="n">
        <v>475</v>
      </c>
      <c r="CJ7" s="4" t="n">
        <v>2077</v>
      </c>
      <c r="CK7" s="4" t="inlineStr"/>
      <c r="CL7" s="4" t="inlineStr"/>
      <c r="CM7" s="32" t="n">
        <v>1</v>
      </c>
      <c r="CN7" s="32" t="b">
        <v>0</v>
      </c>
      <c r="CO7" s="4" t="inlineStr">
        <is>
          <t>Open</t>
        </is>
      </c>
      <c r="CP7" s="4" t="inlineStr"/>
    </row>
    <row r="8" ht="30" customHeight="1">
      <c r="A8" s="40" t="inlineStr">
        <is>
          <t>https://africanmarketingconfederation.org/amc-conference-2022-thank-you</t>
        </is>
      </c>
      <c r="B8" s="3" t="n">
        <v>200</v>
      </c>
      <c r="C8" s="22" t="inlineStr">
        <is>
          <t>2xx</t>
        </is>
      </c>
      <c r="D8" s="41" t="inlineStr"/>
      <c r="E8" s="22" t="inlineStr">
        <is>
          <t>Unmeasured</t>
        </is>
      </c>
      <c r="F8" s="22" t="inlineStr"/>
      <c r="G8" s="3" t="inlineStr">
        <is>
          <t>Indexable</t>
        </is>
      </c>
      <c r="H8" s="41" t="n">
        <v>3879.66</v>
      </c>
      <c r="I8" s="41" t="n">
        <v>22165.22</v>
      </c>
      <c r="J8" s="28" t="inlineStr">
        <is>
          <t>https://africanmarketingconfederation.org/amc-conference-2022-thank-you</t>
        </is>
      </c>
      <c r="K8" s="28" t="inlineStr">
        <is>
          <t>https://africanmarketingconfederation.org/amc-conference-2022-thank-you</t>
        </is>
      </c>
      <c r="L8" s="22" t="inlineStr">
        <is>
          <t>self</t>
        </is>
      </c>
      <c r="M8" s="22" t="inlineStr">
        <is>
          <t>Dev</t>
        </is>
      </c>
      <c r="N8" s="25" t="inlineStr">
        <is>
          <t>Open</t>
        </is>
      </c>
      <c r="O8" s="22" t="inlineStr"/>
      <c r="P8" s="22" t="inlineStr">
        <is>
          <t>partial</t>
        </is>
      </c>
      <c r="Q8" s="22" t="inlineStr">
        <is>
          <t>rendered_browser</t>
        </is>
      </c>
      <c r="R8" s="22" t="inlineStr">
        <is>
          <t>UNMEASURED</t>
        </is>
      </c>
      <c r="S8" s="25" t="n">
        <v>17.5</v>
      </c>
      <c r="T8" s="25" t="n">
        <v>0</v>
      </c>
      <c r="U8" s="34" t="n">
        <v>70</v>
      </c>
      <c r="V8" s="22" t="inlineStr">
        <is>
          <t>https</t>
        </is>
      </c>
      <c r="W8" s="22" t="n">
        <v>0</v>
      </c>
      <c r="X8" s="22" t="inlineStr"/>
      <c r="Y8" s="44" t="inlineStr"/>
      <c r="Z8" s="22" t="b">
        <v>0</v>
      </c>
      <c r="AA8" s="22" t="inlineStr">
        <is>
          <t>text/html; charset=UTF-8</t>
        </is>
      </c>
      <c r="AB8" s="22" t="inlineStr">
        <is>
          <t>HTTP/1.1</t>
        </is>
      </c>
      <c r="AC8" s="22" t="n">
        <v>341.57</v>
      </c>
      <c r="AD8" s="3" t="b">
        <v>1</v>
      </c>
      <c r="AE8" s="22" t="inlineStr">
        <is>
          <t>max-age=0</t>
        </is>
      </c>
      <c r="AF8" s="22" t="inlineStr"/>
      <c r="AG8" s="22" t="inlineStr"/>
      <c r="AH8" s="22" t="inlineStr">
        <is>
          <t>max-image-preview:large</t>
        </is>
      </c>
      <c r="AI8" s="45" t="b">
        <v>1</v>
      </c>
      <c r="AJ8" s="28" t="inlineStr">
        <is>
          <t>https://africanmarketingconfederation.org/amc-conference-2022-thank-you</t>
        </is>
      </c>
      <c r="AK8" s="3" t="b">
        <v>1</v>
      </c>
      <c r="AL8" s="36" t="b">
        <v>0</v>
      </c>
      <c r="AM8" s="22" t="n">
        <v>0</v>
      </c>
      <c r="AN8" s="22" t="b">
        <v>0</v>
      </c>
      <c r="AO8" s="22" t="inlineStr"/>
      <c r="AP8" s="22" t="inlineStr"/>
      <c r="AQ8" s="36" t="b">
        <v>0</v>
      </c>
      <c r="AR8" s="22" t="b">
        <v>0</v>
      </c>
      <c r="AS8" s="22" t="b">
        <v>0</v>
      </c>
      <c r="AT8" s="22" t="inlineStr"/>
      <c r="AU8" s="30" t="inlineStr"/>
      <c r="AV8" s="30" t="inlineStr"/>
      <c r="AW8" s="30" t="inlineStr">
        <is>
          <t>2021-11-26T08:41:00+00:00</t>
        </is>
      </c>
      <c r="AX8" s="22" t="inlineStr">
        <is>
          <t>weekly</t>
        </is>
      </c>
      <c r="AY8" s="22" t="n">
        <v>0.7</v>
      </c>
      <c r="AZ8" s="22" t="n">
        <v>0</v>
      </c>
      <c r="BA8" s="22" t="inlineStr"/>
      <c r="BB8" s="22" t="n">
        <v>32</v>
      </c>
      <c r="BC8" s="22" t="n">
        <v>15</v>
      </c>
      <c r="BD8" s="22" t="n">
        <v>2</v>
      </c>
      <c r="BE8" s="22" t="b">
        <v>0</v>
      </c>
      <c r="BF8" s="3" t="b">
        <v>1</v>
      </c>
      <c r="BG8" s="22" t="n">
        <v>0</v>
      </c>
      <c r="BH8" s="22" t="n">
        <v>0</v>
      </c>
      <c r="BI8" s="22" t="n">
        <v>0</v>
      </c>
      <c r="BJ8" s="22" t="n">
        <v>0</v>
      </c>
      <c r="BK8" s="22" t="n">
        <v>0</v>
      </c>
      <c r="BL8" s="22" t="n">
        <v>0</v>
      </c>
      <c r="BM8" s="22" t="inlineStr"/>
      <c r="BN8" s="22" t="inlineStr">
        <is>
          <t>Lab</t>
        </is>
      </c>
      <c r="BO8" s="22" t="inlineStr">
        <is>
          <t>Lab</t>
        </is>
      </c>
      <c r="BP8" s="22" t="n">
        <v>0</v>
      </c>
      <c r="BQ8" s="22" t="n">
        <v>0</v>
      </c>
      <c r="BR8" s="22" t="n">
        <v>0</v>
      </c>
      <c r="BS8" s="22" t="n">
        <v>0</v>
      </c>
      <c r="BT8" s="22" t="inlineStr"/>
      <c r="BU8" s="22" t="n">
        <v>0</v>
      </c>
      <c r="BV8" s="22" t="b">
        <v>1</v>
      </c>
      <c r="BW8" s="22" t="n">
        <v>0.019665</v>
      </c>
      <c r="BX8" s="22" t="n">
        <v>100</v>
      </c>
      <c r="BY8" s="22" t="n">
        <v>8</v>
      </c>
      <c r="BZ8" s="22" t="b">
        <v>0</v>
      </c>
      <c r="CA8" s="22" t="inlineStr">
        <is>
          <t>Medium</t>
        </is>
      </c>
      <c r="CB8" s="22" t="inlineStr"/>
      <c r="CC8" s="22" t="inlineStr"/>
      <c r="CD8" s="22" t="inlineStr"/>
      <c r="CE8" s="22" t="inlineStr">
        <is>
          <t>0</t>
        </is>
      </c>
      <c r="CF8" s="22" t="inlineStr"/>
      <c r="CG8" s="22" t="b">
        <v>0</v>
      </c>
      <c r="CH8" s="22" t="b">
        <v>0</v>
      </c>
      <c r="CI8" s="22" t="n">
        <v>468</v>
      </c>
      <c r="CJ8" s="22" t="n">
        <v>2089</v>
      </c>
      <c r="CK8" s="22" t="inlineStr"/>
      <c r="CL8" s="22" t="inlineStr"/>
      <c r="CM8" s="28" t="n">
        <v>1</v>
      </c>
      <c r="CN8" s="28" t="b">
        <v>0</v>
      </c>
      <c r="CO8" s="22" t="inlineStr">
        <is>
          <t>Open</t>
        </is>
      </c>
      <c r="CP8" s="22" t="inlineStr"/>
      <c r="CQ8" s="24" t="n"/>
    </row>
    <row r="9" ht="30" customHeight="1">
      <c r="A9" s="42" t="inlineStr">
        <is>
          <t>https://africanmarketingconfederation.org/amc-conference-2023</t>
        </is>
      </c>
      <c r="B9" s="3" t="n">
        <v>200</v>
      </c>
      <c r="C9" s="4" t="inlineStr">
        <is>
          <t>2xx</t>
        </is>
      </c>
      <c r="D9" s="43" t="inlineStr"/>
      <c r="E9" s="4" t="inlineStr">
        <is>
          <t>Unmeasured</t>
        </is>
      </c>
      <c r="F9" s="4" t="inlineStr"/>
      <c r="G9" s="3" t="inlineStr">
        <is>
          <t>Indexable</t>
        </is>
      </c>
      <c r="H9" s="43" t="n">
        <v>3016.19</v>
      </c>
      <c r="I9" s="43" t="n">
        <v>20985.18</v>
      </c>
      <c r="J9" s="32" t="inlineStr">
        <is>
          <t>https://africanmarketingconfederation.org/amc-conference-2023</t>
        </is>
      </c>
      <c r="K9" s="32" t="inlineStr">
        <is>
          <t>https://africanmarketingconfederation.org/amc-conference-2023</t>
        </is>
      </c>
      <c r="L9" s="4" t="inlineStr">
        <is>
          <t>self</t>
        </is>
      </c>
      <c r="M9" s="4" t="inlineStr">
        <is>
          <t>Dev</t>
        </is>
      </c>
      <c r="N9" s="25" t="inlineStr">
        <is>
          <t>Open</t>
        </is>
      </c>
      <c r="O9" s="4" t="inlineStr"/>
      <c r="P9" s="4" t="inlineStr">
        <is>
          <t>partial</t>
        </is>
      </c>
      <c r="Q9" s="4" t="inlineStr">
        <is>
          <t>rendered_browser</t>
        </is>
      </c>
      <c r="R9" s="4" t="inlineStr">
        <is>
          <t>UNMEASURED</t>
        </is>
      </c>
      <c r="S9" s="25" t="n">
        <v>25</v>
      </c>
      <c r="T9" s="25" t="n">
        <v>0</v>
      </c>
      <c r="U9" s="3" t="n">
        <v>100</v>
      </c>
      <c r="V9" s="4" t="inlineStr">
        <is>
          <t>https</t>
        </is>
      </c>
      <c r="W9" s="4" t="n">
        <v>0</v>
      </c>
      <c r="X9" s="4" t="inlineStr"/>
      <c r="Y9" s="46" t="inlineStr"/>
      <c r="Z9" s="4" t="b">
        <v>0</v>
      </c>
      <c r="AA9" s="4" t="inlineStr">
        <is>
          <t>text/html; charset=UTF-8</t>
        </is>
      </c>
      <c r="AB9" s="4" t="inlineStr">
        <is>
          <t>HTTP/1.1</t>
        </is>
      </c>
      <c r="AC9" s="4" t="n">
        <v>370.99</v>
      </c>
      <c r="AD9" s="3" t="b">
        <v>1</v>
      </c>
      <c r="AE9" s="4" t="inlineStr">
        <is>
          <t>max-age=0</t>
        </is>
      </c>
      <c r="AF9" s="4" t="inlineStr"/>
      <c r="AG9" s="4" t="inlineStr"/>
      <c r="AH9" s="4" t="inlineStr">
        <is>
          <t>max-image-preview:large</t>
        </is>
      </c>
      <c r="AI9" s="45" t="b">
        <v>1</v>
      </c>
      <c r="AJ9" s="32" t="inlineStr">
        <is>
          <t>https://africanmarketingconfederation.org/amc-conference-2023</t>
        </is>
      </c>
      <c r="AK9" s="3" t="b">
        <v>1</v>
      </c>
      <c r="AL9" s="36" t="b">
        <v>0</v>
      </c>
      <c r="AM9" s="4" t="n">
        <v>0</v>
      </c>
      <c r="AN9" s="4" t="b">
        <v>0</v>
      </c>
      <c r="AO9" s="4" t="inlineStr"/>
      <c r="AP9" s="4" t="inlineStr"/>
      <c r="AQ9" s="36" t="b">
        <v>0</v>
      </c>
      <c r="AR9" s="4" t="b">
        <v>0</v>
      </c>
      <c r="AS9" s="4" t="b">
        <v>0</v>
      </c>
      <c r="AT9" s="4" t="inlineStr"/>
      <c r="AU9" s="33" t="inlineStr"/>
      <c r="AV9" s="33" t="inlineStr"/>
      <c r="AW9" s="33" t="inlineStr">
        <is>
          <t>2025-03-03T07:59:34+00:00</t>
        </is>
      </c>
      <c r="AX9" s="4" t="inlineStr">
        <is>
          <t>weekly</t>
        </is>
      </c>
      <c r="AY9" s="4" t="n">
        <v>0.7</v>
      </c>
      <c r="AZ9" s="4" t="n">
        <v>0</v>
      </c>
      <c r="BA9" s="4" t="inlineStr"/>
      <c r="BB9" s="4" t="n">
        <v>41</v>
      </c>
      <c r="BC9" s="4" t="n">
        <v>33</v>
      </c>
      <c r="BD9" s="4" t="n">
        <v>13</v>
      </c>
      <c r="BE9" s="4" t="b">
        <v>0</v>
      </c>
      <c r="BF9" s="3" t="b">
        <v>1</v>
      </c>
      <c r="BG9" s="4" t="n">
        <v>0</v>
      </c>
      <c r="BH9" s="4" t="n">
        <v>0</v>
      </c>
      <c r="BI9" s="4" t="n">
        <v>0</v>
      </c>
      <c r="BJ9" s="4" t="n">
        <v>0</v>
      </c>
      <c r="BK9" s="4" t="n">
        <v>0</v>
      </c>
      <c r="BL9" s="4" t="n">
        <v>0</v>
      </c>
      <c r="BM9" s="4" t="inlineStr"/>
      <c r="BN9" s="4" t="inlineStr">
        <is>
          <t>Lab</t>
        </is>
      </c>
      <c r="BO9" s="4" t="inlineStr">
        <is>
          <t>Lab</t>
        </is>
      </c>
      <c r="BP9" s="4" t="n">
        <v>1</v>
      </c>
      <c r="BQ9" s="4" t="n">
        <v>24</v>
      </c>
      <c r="BR9" s="4" t="n">
        <v>0.04166666666666666</v>
      </c>
      <c r="BS9" s="4" t="n">
        <v>14.58333333333333</v>
      </c>
      <c r="BT9" s="4" t="inlineStr"/>
      <c r="BU9" s="4" t="n">
        <v>2</v>
      </c>
      <c r="BV9" s="4" t="b">
        <v>0</v>
      </c>
      <c r="BW9" s="4" t="n">
        <v>0.035214</v>
      </c>
      <c r="BX9" s="4" t="n">
        <v>80</v>
      </c>
      <c r="BY9" s="4" t="n">
        <v>6</v>
      </c>
      <c r="BZ9" s="4" t="b">
        <v>0</v>
      </c>
      <c r="CA9" s="4" t="inlineStr">
        <is>
          <t>Medium</t>
        </is>
      </c>
      <c r="CB9" s="4" t="inlineStr"/>
      <c r="CC9" s="4" t="inlineStr"/>
      <c r="CD9" s="4" t="inlineStr"/>
      <c r="CE9" s="4" t="inlineStr">
        <is>
          <t>1-2</t>
        </is>
      </c>
      <c r="CF9" s="4" t="inlineStr"/>
      <c r="CG9" s="4" t="b">
        <v>0</v>
      </c>
      <c r="CH9" s="4" t="b">
        <v>0</v>
      </c>
      <c r="CI9" s="4" t="n">
        <v>381</v>
      </c>
      <c r="CJ9" s="4" t="n">
        <v>2467</v>
      </c>
      <c r="CK9" s="4" t="inlineStr"/>
      <c r="CL9" s="4" t="inlineStr"/>
      <c r="CM9" s="32" t="n">
        <v>1</v>
      </c>
      <c r="CN9" s="32" t="b">
        <v>0</v>
      </c>
      <c r="CO9" s="4" t="inlineStr">
        <is>
          <t>Open</t>
        </is>
      </c>
      <c r="CP9" s="4" t="inlineStr"/>
    </row>
    <row r="10" ht="30" customHeight="1">
      <c r="A10" s="40" t="inlineStr">
        <is>
          <t>https://africanmarketingconfederation.org/amc-conference-2023/amc-awards</t>
        </is>
      </c>
      <c r="B10" s="3" t="n">
        <v>200</v>
      </c>
      <c r="C10" s="22" t="inlineStr">
        <is>
          <t>2xx</t>
        </is>
      </c>
      <c r="D10" s="41" t="inlineStr"/>
      <c r="E10" s="22" t="inlineStr">
        <is>
          <t>Unmeasured</t>
        </is>
      </c>
      <c r="F10" s="22" t="inlineStr"/>
      <c r="G10" s="3" t="inlineStr">
        <is>
          <t>Indexable</t>
        </is>
      </c>
      <c r="H10" s="41" t="n">
        <v>2673.27</v>
      </c>
      <c r="I10" s="41" t="n">
        <v>20610.13</v>
      </c>
      <c r="J10" s="28" t="inlineStr">
        <is>
          <t>https://africanmarketingconfederation.org/amc-conference-2023/amc-awards</t>
        </is>
      </c>
      <c r="K10" s="28" t="inlineStr">
        <is>
          <t>https://africanmarketingconfederation.org/amc-conference-2023/amc-awards</t>
        </is>
      </c>
      <c r="L10" s="22" t="inlineStr">
        <is>
          <t>self</t>
        </is>
      </c>
      <c r="M10" s="22" t="inlineStr">
        <is>
          <t>Dev</t>
        </is>
      </c>
      <c r="N10" s="25" t="inlineStr">
        <is>
          <t>Open</t>
        </is>
      </c>
      <c r="O10" s="22" t="inlineStr"/>
      <c r="P10" s="22" t="inlineStr">
        <is>
          <t>partial</t>
        </is>
      </c>
      <c r="Q10" s="22" t="inlineStr">
        <is>
          <t>rendered_browser</t>
        </is>
      </c>
      <c r="R10" s="22" t="inlineStr">
        <is>
          <t>UNMEASURED</t>
        </is>
      </c>
      <c r="S10" s="25" t="n">
        <v>25</v>
      </c>
      <c r="T10" s="25" t="n">
        <v>0</v>
      </c>
      <c r="U10" s="3" t="n">
        <v>100</v>
      </c>
      <c r="V10" s="22" t="inlineStr">
        <is>
          <t>https</t>
        </is>
      </c>
      <c r="W10" s="22" t="n">
        <v>0</v>
      </c>
      <c r="X10" s="22" t="inlineStr"/>
      <c r="Y10" s="44" t="inlineStr"/>
      <c r="Z10" s="22" t="b">
        <v>0</v>
      </c>
      <c r="AA10" s="22" t="inlineStr">
        <is>
          <t>text/html; charset=UTF-8</t>
        </is>
      </c>
      <c r="AB10" s="22" t="inlineStr">
        <is>
          <t>HTTP/1.1</t>
        </is>
      </c>
      <c r="AC10" s="22" t="n">
        <v>272.63</v>
      </c>
      <c r="AD10" s="3" t="b">
        <v>1</v>
      </c>
      <c r="AE10" s="22" t="inlineStr">
        <is>
          <t>max-age=0</t>
        </is>
      </c>
      <c r="AF10" s="22" t="inlineStr"/>
      <c r="AG10" s="22" t="inlineStr"/>
      <c r="AH10" s="22" t="inlineStr">
        <is>
          <t>max-image-preview:large</t>
        </is>
      </c>
      <c r="AI10" s="45" t="b">
        <v>1</v>
      </c>
      <c r="AJ10" s="28" t="inlineStr">
        <is>
          <t>https://africanmarketingconfederation.org/amc-conference-2023/amc-awards</t>
        </is>
      </c>
      <c r="AK10" s="3" t="b">
        <v>1</v>
      </c>
      <c r="AL10" s="36" t="b">
        <v>0</v>
      </c>
      <c r="AM10" s="22" t="n">
        <v>0</v>
      </c>
      <c r="AN10" s="22" t="b">
        <v>0</v>
      </c>
      <c r="AO10" s="22" t="inlineStr"/>
      <c r="AP10" s="22" t="inlineStr"/>
      <c r="AQ10" s="36" t="b">
        <v>0</v>
      </c>
      <c r="AR10" s="22" t="b">
        <v>0</v>
      </c>
      <c r="AS10" s="22" t="b">
        <v>0</v>
      </c>
      <c r="AT10" s="22" t="inlineStr"/>
      <c r="AU10" s="30" t="inlineStr"/>
      <c r="AV10" s="30" t="inlineStr"/>
      <c r="AW10" s="30" t="inlineStr">
        <is>
          <t>2023-11-23T11:51:22+00:00</t>
        </is>
      </c>
      <c r="AX10" s="22" t="inlineStr">
        <is>
          <t>weekly</t>
        </is>
      </c>
      <c r="AY10" s="22" t="n">
        <v>0.7</v>
      </c>
      <c r="AZ10" s="22" t="n">
        <v>0</v>
      </c>
      <c r="BA10" s="22" t="inlineStr"/>
      <c r="BB10" s="22" t="n">
        <v>19</v>
      </c>
      <c r="BC10" s="22" t="n">
        <v>10</v>
      </c>
      <c r="BD10" s="22" t="n">
        <v>2</v>
      </c>
      <c r="BE10" s="22" t="b">
        <v>0</v>
      </c>
      <c r="BF10" s="3" t="b">
        <v>1</v>
      </c>
      <c r="BG10" s="22" t="n">
        <v>0</v>
      </c>
      <c r="BH10" s="22" t="n">
        <v>0</v>
      </c>
      <c r="BI10" s="22" t="n">
        <v>0</v>
      </c>
      <c r="BJ10" s="22" t="n">
        <v>0</v>
      </c>
      <c r="BK10" s="22" t="n">
        <v>0</v>
      </c>
      <c r="BL10" s="22" t="n">
        <v>0</v>
      </c>
      <c r="BM10" s="22" t="inlineStr"/>
      <c r="BN10" s="22" t="inlineStr">
        <is>
          <t>Lab</t>
        </is>
      </c>
      <c r="BO10" s="22" t="inlineStr">
        <is>
          <t>Lab</t>
        </is>
      </c>
      <c r="BP10" s="22" t="n">
        <v>2</v>
      </c>
      <c r="BQ10" s="22" t="n">
        <v>34</v>
      </c>
      <c r="BR10" s="22" t="n">
        <v>0.05882352941176471</v>
      </c>
      <c r="BS10" s="22" t="n">
        <v>4.235294117647059</v>
      </c>
      <c r="BT10" s="22" t="inlineStr"/>
      <c r="BU10" s="22" t="n">
        <v>2</v>
      </c>
      <c r="BV10" s="22" t="b">
        <v>0</v>
      </c>
      <c r="BW10" s="22" t="n">
        <v>0.035214</v>
      </c>
      <c r="BX10" s="22" t="n">
        <v>40</v>
      </c>
      <c r="BY10" s="22" t="n">
        <v>4</v>
      </c>
      <c r="BZ10" s="22" t="b">
        <v>0</v>
      </c>
      <c r="CA10" s="22" t="inlineStr">
        <is>
          <t>Medium</t>
        </is>
      </c>
      <c r="CB10" s="22" t="inlineStr"/>
      <c r="CC10" s="22" t="inlineStr"/>
      <c r="CD10" s="22" t="inlineStr"/>
      <c r="CE10" s="22" t="inlineStr">
        <is>
          <t>1-2</t>
        </is>
      </c>
      <c r="CF10" s="22" t="inlineStr"/>
      <c r="CG10" s="22" t="b">
        <v>0</v>
      </c>
      <c r="CH10" s="22" t="b">
        <v>0</v>
      </c>
      <c r="CI10" s="22" t="n">
        <v>316</v>
      </c>
      <c r="CJ10" s="22" t="n">
        <v>2678</v>
      </c>
      <c r="CK10" s="22" t="inlineStr"/>
      <c r="CL10" s="22" t="inlineStr"/>
      <c r="CM10" s="28" t="n">
        <v>2</v>
      </c>
      <c r="CN10" s="28" t="b">
        <v>0</v>
      </c>
      <c r="CO10" s="22" t="inlineStr">
        <is>
          <t>Open</t>
        </is>
      </c>
      <c r="CP10" s="22" t="inlineStr"/>
      <c r="CQ10" s="24" t="n"/>
    </row>
    <row r="11" ht="30" customHeight="1">
      <c r="A11" s="42" t="inlineStr">
        <is>
          <t>https://africanmarketingconfederation.org/amc-conference-2023/amc-awards-book-now</t>
        </is>
      </c>
      <c r="B11" s="3" t="n">
        <v>200</v>
      </c>
      <c r="C11" s="4" t="inlineStr">
        <is>
          <t>2xx</t>
        </is>
      </c>
      <c r="D11" s="43" t="inlineStr"/>
      <c r="E11" s="4" t="inlineStr">
        <is>
          <t>Unmeasured</t>
        </is>
      </c>
      <c r="F11" s="4" t="inlineStr"/>
      <c r="G11" s="3" t="inlineStr">
        <is>
          <t>Indexable</t>
        </is>
      </c>
      <c r="H11" s="43" t="n">
        <v>2667.9</v>
      </c>
      <c r="I11" s="43" t="n">
        <v>20777.82</v>
      </c>
      <c r="J11" s="32" t="inlineStr">
        <is>
          <t>https://africanmarketingconfederation.org/amc-conference-2023/amc-awards-book-now</t>
        </is>
      </c>
      <c r="K11" s="32" t="inlineStr">
        <is>
          <t>https://africanmarketingconfederation.org/amc-conference-2023/amc-awards-book-now</t>
        </is>
      </c>
      <c r="L11" s="4" t="inlineStr">
        <is>
          <t>self</t>
        </is>
      </c>
      <c r="M11" s="4" t="inlineStr">
        <is>
          <t>Dev</t>
        </is>
      </c>
      <c r="N11" s="25" t="inlineStr">
        <is>
          <t>Open</t>
        </is>
      </c>
      <c r="O11" s="4" t="inlineStr"/>
      <c r="P11" s="4" t="inlineStr">
        <is>
          <t>partial</t>
        </is>
      </c>
      <c r="Q11" s="4" t="inlineStr">
        <is>
          <t>rendered_browser</t>
        </is>
      </c>
      <c r="R11" s="4" t="inlineStr">
        <is>
          <t>UNMEASURED</t>
        </is>
      </c>
      <c r="S11" s="25" t="n">
        <v>6.25</v>
      </c>
      <c r="T11" s="25" t="n">
        <v>0</v>
      </c>
      <c r="U11" s="25" t="n">
        <v>25</v>
      </c>
      <c r="V11" s="4" t="inlineStr">
        <is>
          <t>https</t>
        </is>
      </c>
      <c r="W11" s="4" t="n">
        <v>0</v>
      </c>
      <c r="X11" s="4" t="inlineStr"/>
      <c r="Y11" s="46" t="inlineStr"/>
      <c r="Z11" s="4" t="b">
        <v>0</v>
      </c>
      <c r="AA11" s="4" t="inlineStr">
        <is>
          <t>text/html; charset=UTF-8</t>
        </is>
      </c>
      <c r="AB11" s="4" t="inlineStr">
        <is>
          <t>HTTP/1.1</t>
        </is>
      </c>
      <c r="AC11" s="4" t="n">
        <v>239.75</v>
      </c>
      <c r="AD11" s="3" t="b">
        <v>1</v>
      </c>
      <c r="AE11" s="4" t="inlineStr">
        <is>
          <t>max-age=0</t>
        </is>
      </c>
      <c r="AF11" s="4" t="inlineStr"/>
      <c r="AG11" s="4" t="inlineStr"/>
      <c r="AH11" s="4" t="inlineStr">
        <is>
          <t>max-image-preview:large</t>
        </is>
      </c>
      <c r="AI11" s="45" t="b">
        <v>1</v>
      </c>
      <c r="AJ11" s="32" t="inlineStr">
        <is>
          <t>https://africanmarketingconfederation.org/amc-conference-2023/amc-awards-book-now</t>
        </is>
      </c>
      <c r="AK11" s="3" t="b">
        <v>1</v>
      </c>
      <c r="AL11" s="36" t="b">
        <v>0</v>
      </c>
      <c r="AM11" s="4" t="n">
        <v>0</v>
      </c>
      <c r="AN11" s="4" t="b">
        <v>0</v>
      </c>
      <c r="AO11" s="4" t="inlineStr"/>
      <c r="AP11" s="4" t="inlineStr"/>
      <c r="AQ11" s="36" t="b">
        <v>0</v>
      </c>
      <c r="AR11" s="4" t="b">
        <v>0</v>
      </c>
      <c r="AS11" s="4" t="b">
        <v>0</v>
      </c>
      <c r="AT11" s="4" t="inlineStr"/>
      <c r="AU11" s="33" t="inlineStr"/>
      <c r="AV11" s="33" t="inlineStr"/>
      <c r="AW11" s="33" t="inlineStr">
        <is>
          <t>2023-08-22T14:14:41+00:00</t>
        </is>
      </c>
      <c r="AX11" s="4" t="inlineStr">
        <is>
          <t>weekly</t>
        </is>
      </c>
      <c r="AY11" s="4" t="n">
        <v>0.7</v>
      </c>
      <c r="AZ11" s="4" t="n">
        <v>0</v>
      </c>
      <c r="BA11" s="4" t="inlineStr"/>
      <c r="BB11" s="4" t="n">
        <v>19</v>
      </c>
      <c r="BC11" s="4" t="n">
        <v>10</v>
      </c>
      <c r="BD11" s="4" t="n">
        <v>2</v>
      </c>
      <c r="BE11" s="4" t="b">
        <v>0</v>
      </c>
      <c r="BF11" s="3" t="b">
        <v>1</v>
      </c>
      <c r="BG11" s="4" t="n">
        <v>0</v>
      </c>
      <c r="BH11" s="4" t="n">
        <v>0</v>
      </c>
      <c r="BI11" s="4" t="n">
        <v>0</v>
      </c>
      <c r="BJ11" s="4" t="n">
        <v>0</v>
      </c>
      <c r="BK11" s="4" t="n">
        <v>0</v>
      </c>
      <c r="BL11" s="4" t="n">
        <v>0</v>
      </c>
      <c r="BM11" s="4" t="inlineStr"/>
      <c r="BN11" s="4" t="inlineStr">
        <is>
          <t>Lab</t>
        </is>
      </c>
      <c r="BO11" s="4" t="inlineStr">
        <is>
          <t>Lab</t>
        </is>
      </c>
      <c r="BP11" s="4" t="n">
        <v>0</v>
      </c>
      <c r="BQ11" s="4" t="n">
        <v>0</v>
      </c>
      <c r="BR11" s="4" t="n">
        <v>0</v>
      </c>
      <c r="BS11" s="4" t="n">
        <v>0</v>
      </c>
      <c r="BT11" s="4" t="inlineStr"/>
      <c r="BU11" s="4" t="n">
        <v>0</v>
      </c>
      <c r="BV11" s="4" t="b">
        <v>1</v>
      </c>
      <c r="BW11" s="4" t="n">
        <v>0.019665</v>
      </c>
      <c r="BX11" s="4" t="n">
        <v>30</v>
      </c>
      <c r="BY11" s="4" t="n">
        <v>3</v>
      </c>
      <c r="BZ11" s="4" t="b">
        <v>0</v>
      </c>
      <c r="CA11" s="4" t="inlineStr">
        <is>
          <t>Medium</t>
        </is>
      </c>
      <c r="CB11" s="4" t="inlineStr"/>
      <c r="CC11" s="4" t="inlineStr"/>
      <c r="CD11" s="4" t="inlineStr"/>
      <c r="CE11" s="4" t="inlineStr">
        <is>
          <t>0</t>
        </is>
      </c>
      <c r="CF11" s="4" t="inlineStr"/>
      <c r="CG11" s="4" t="b">
        <v>0</v>
      </c>
      <c r="CH11" s="4" t="b">
        <v>0</v>
      </c>
      <c r="CI11" s="4" t="n">
        <v>396</v>
      </c>
      <c r="CJ11" s="4" t="n">
        <v>0</v>
      </c>
      <c r="CK11" s="4" t="inlineStr"/>
      <c r="CL11" s="4" t="inlineStr"/>
      <c r="CM11" s="32" t="n">
        <v>2</v>
      </c>
      <c r="CN11" s="32" t="b">
        <v>0</v>
      </c>
      <c r="CO11" s="4" t="inlineStr">
        <is>
          <t>Open</t>
        </is>
      </c>
      <c r="CP11" s="4" t="inlineStr"/>
    </row>
  </sheetData>
  <autoFilter ref="A1:CQ11"/>
  <conditionalFormatting sqref="B2:B11">
    <cfRule type="cellIs" priority="1" operator="equal" dxfId="3">
      <formula>200</formula>
    </cfRule>
    <cfRule type="cellIs" priority="2" operator="between" dxfId="6">
      <formula>300</formula>
      <formula>399</formula>
    </cfRule>
    <cfRule type="cellIs" priority="3" operator="greaterThanOrEqual" dxfId="2">
      <formula>400</formula>
    </cfRule>
  </conditionalFormatting>
  <conditionalFormatting sqref="H2:H11">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11">
    <cfRule type="colorScale" priority="6">
      <colorScale>
        <cfvo type="min"/>
        <cfvo type="percentile" val="50"/>
        <cfvo type="max"/>
        <color rgb="00F8696B"/>
        <color rgb="00FFEB84"/>
        <color rgb="0063BE7B"/>
      </colorScale>
    </cfRule>
  </conditionalFormatting>
  <conditionalFormatting sqref="F2:F11">
    <cfRule type="expression" priority="7" dxfId="2" stopIfTrue="1">
      <formula>LOWER(F2)="yes"</formula>
    </cfRule>
    <cfRule type="expression" priority="8" dxfId="3" stopIfTrue="1">
      <formula>LOWER(F2)="no"</formula>
    </cfRule>
  </conditionalFormatting>
  <conditionalFormatting sqref="E2:E11">
    <cfRule type="expression" priority="9" dxfId="2" stopIfTrue="1">
      <formula>LOWER(E2)="critical"</formula>
    </cfRule>
    <cfRule type="expression" priority="10" dxfId="7" stopIfTrue="1">
      <formula>LOWER(E2)="warning"</formula>
    </cfRule>
    <cfRule type="expression" priority="11" dxfId="3" stopIfTrue="1">
      <formula>OR(LOWER(E2)="pass",LOWER(E2)="observation")</formula>
    </cfRule>
  </conditionalFormatting>
  <conditionalFormatting sqref="N2:N11">
    <cfRule type="expression" priority="12" dxfId="4" stopIfTrue="1">
      <formula>LOWER(N2)="done"</formula>
    </cfRule>
    <cfRule type="expression" priority="13" dxfId="5" stopIfTrue="1">
      <formula>OR(LOWER(N2)="to do",LOWER(N2)="in progress",LOWER(N2)="in review")</formula>
    </cfRule>
  </conditionalFormatting>
  <dataValidations count="10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Extraction State" prompt="Extraction State. Review this metric to identify risk, then use linked tabs for details and remediation." type="custom">
      <formula1>TRUE</formula1>
    </dataValidation>
    <dataValidation sqref="Q1" showDropDown="0" showInputMessage="1" showErrorMessage="0" allowBlank="1" promptTitle="Extraction Source" prompt="Extraction Source. Review this metric to identify risk, then use linked tabs for details and remediation." type="custom">
      <formula1>TRUE</formula1>
    </dataValidation>
    <dataValidation sqref="R1" showDropDown="0" showInputMessage="1" showErrorMessage="0" allowBlank="1" promptTitle="Health Icon" prompt="Health Icon. Review this metric to identify risk, then use linked tabs for details and remediation." type="custom">
      <formula1>TRUE</formula1>
    </dataValidation>
    <dataValidation sqref="S1" showDropDown="0" showInputMessage="1" showErrorMessage="0" allowBlank="1" promptTitle="SEO Score" prompt="SEO Score. Review this metric to identify risk, then use linked tabs for details and remediation." type="custom">
      <formula1>TRUE</formula1>
    </dataValidation>
    <dataValidation sqref="T1" showDropDown="0" showInputMessage="1" showErrorMessage="0" allowBlank="1" promptTitle="Technical Health" prompt="Technical Health. Review this metric to identify risk, then use linked tabs for details and remediation." type="custom">
      <formula1>TRUE</formula1>
    </dataValidation>
    <dataValidation sqref="U1" showDropDown="0" showInputMessage="1" showErrorMessage="0" allowBlank="1" promptTitle="Copy Score" prompt="Copy Score. Review this metric to identify risk, then use linked tabs for details and remediation." type="custom">
      <formula1>TRUE</formula1>
    </dataValidation>
    <dataValidation sqref="V1" showDropDown="0" showInputMessage="1" showErrorMessage="0" allowBlank="1" promptTitle="Protocol" prompt="Protocol. Review this metric to identify risk, then use linked tabs for details and remediation." type="custom">
      <formula1>TRUE</formula1>
    </dataValidation>
    <dataValidation sqref="W1" showDropDown="0" showInputMessage="1" showErrorMessage="0" allowBlank="1" promptTitle="Redirect Chain Length" prompt="Redirect Chain Length. Review this metric to identify risk, then use linked tabs for details and remediation." type="custom">
      <formula1>TRUE</formula1>
    </dataValidation>
    <dataValidation sqref="X1" showDropDown="0" showInputMessage="1" showErrorMessage="0" allowBlank="1" promptTitle="Redirect Target" prompt="Redirect Target. Review this metric to identify risk, then use linked tabs for details and remediation." type="custom">
      <formula1>TRUE</formula1>
    </dataValidation>
    <dataValidation sqref="Y1" showDropDown="0" showInputMessage="1" showErrorMessage="0" allowBlank="1" promptTitle="Redirect Hops" prompt="Redirect Hops. Review this metric to identify risk, then use linked tabs for details and remediation." type="custom">
      <formula1>TRUE</formula1>
    </dataValidation>
    <dataValidation sqref="Z1" showDropDown="0" showInputMessage="1" showErrorMessage="0" allowBlank="1" promptTitle="HTTP-&gt;HTTPS Redirect" prompt="HTTP-&gt;HTTPS Redirect. Review this metric to identify risk, then use linked tabs for details and remediation." type="custom">
      <formula1>TRUE</formula1>
    </dataValidation>
    <dataValidation sqref="AA1" showDropDown="0" showInputMessage="1" showErrorMessage="0" allowBlank="1" promptTitle="Content-Type" prompt="Content-Type. Review this metric to identify risk, then use linked tabs for details and remediation." type="custom">
      <formula1>TRUE</formula1>
    </dataValidation>
    <dataValidation sqref="AB1" showDropDown="0" showInputMessage="1" showErrorMessage="0" allowBlank="1" promptTitle="HTTP Version" prompt="HTTP Version. Review this metric to identify risk, then use linked tabs for details and remediation." type="custom">
      <formula1>TRUE</formula1>
    </dataValidation>
    <dataValidation sqref="AC1" showDropDown="0" showInputMessage="1" showErrorMessage="0" allowBlank="1" promptTitle="HTML Size (KB)" prompt="HTML Size (KB). Review this metric to identify risk, then use linked tabs for details and remediation." type="custom">
      <formula1>TRUE</formula1>
    </dataValidation>
    <dataValidation sqref="AD1" showDropDown="0" showInputMessage="1" showErrorMessage="0" allowBlank="1" promptTitle="Compression Enabled" prompt="Compression Enabled. Review this metric to identify risk, then use linked tabs for details and remediation." type="custom">
      <formula1>TRUE</formula1>
    </dataValidation>
    <dataValidation sqref="AE1" showDropDown="0" showInputMessage="1" showErrorMessage="0" allowBlank="1" promptTitle="Cache-Control" prompt="Cache-Control. Review this metric to identify risk, then use linked tabs for details and remediation." type="custom">
      <formula1>TRUE</formula1>
    </dataValidation>
    <dataValidation sqref="AF1" showDropDown="0" showInputMessage="1" showErrorMessage="0" allowBlank="1" promptTitle="ETag" prompt="ETag. Review this metric to identify risk, then use linked tabs for details and remediation." type="custom">
      <formula1>TRUE</formula1>
    </dataValidation>
    <dataValidation sqref="AG1" showDropDown="0" showInputMessage="1" showErrorMessage="0" allowBlank="1" promptTitle="X-Robots-Tag" prompt="Robots directives that influence indexation. Fix: remove unintended noindex/nofollow values on important pages." type="custom">
      <formula1>TRUE</formula1>
    </dataValidation>
    <dataValidation sqref="AH1" showDropDown="0" showInputMessage="1" showErrorMessage="0" allowBlank="1" promptTitle="Meta Robots Raw" prompt="Robots directives that influence indexation. Fix: remove unintended noindex/nofollow values on important pages." type="custom">
      <formula1>TRUE</formula1>
    </dataValidation>
    <dataValidation sqref="AI1" showDropDown="0" showInputMessage="1" showErrorMessage="0" allowBlank="1" promptTitle="Canonical Matches Final URL" prompt="Canonical Matches Final URL. Use this URL to inspect the page directly or jump to related tabs." type="custom">
      <formula1>TRUE</formula1>
    </dataValidation>
    <dataValidation sqref="AJ1" showDropDown="0" showInputMessage="1" showErrorMessage="0" allowBlank="1" promptTitle="Canonical Absolute URL" prompt="Canonical Absolute URL. Use this URL to inspect the page directly or jump to related tabs." type="custom">
      <formula1>TRUE</formula1>
    </dataValidation>
    <dataValidation sqref="AK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L1" showDropDown="0" showInputMessage="1" showErrorMessage="0" allowBlank="1" promptTitle="Hreflang Present" prompt="Hreflang Present. Review this metric to identify risk, then use linked tabs for details and remediation." type="custom">
      <formula1>TRUE</formula1>
    </dataValidation>
    <dataValidation sqref="AM1" showDropDown="0" showInputMessage="1" showErrorMessage="0" allowBlank="1" promptTitle="Hreflang Count" prompt="Hreflang Count. Review this metric to identify risk, then use linked tabs for details and remediation." type="custom">
      <formula1>TRUE</formula1>
    </dataValidation>
    <dataValidation sqref="AN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O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P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Q1" showDropDown="0" showInputMessage="1" showErrorMessage="0" allowBlank="1" promptTitle="x-default Present" prompt="x-default Present. Review this metric to identify risk, then use linked tabs for details and remediation." type="custom">
      <formula1>TRUE</formula1>
    </dataValidation>
    <dataValidation sqref="AR1" showDropDown="0" showInputMessage="1" showErrorMessage="0" allowBlank="1" promptTitle="Pagination rel=next" prompt="Pagination rel=next. Review this metric to identify risk, then use linked tabs for details and remediation." type="custom">
      <formula1>TRUE</formula1>
    </dataValidation>
    <dataValidation sqref="AS1" showDropDown="0" showInputMessage="1" showErrorMessage="0" allowBlank="1" promptTitle="Pagination rel=prev" prompt="Pagination rel=prev. Review this metric to identify risk, then use linked tabs for details and remediation." type="custom">
      <formula1>TRUE</formula1>
    </dataValidation>
    <dataValidation sqref="AT1" showDropDown="0" showInputMessage="1" showErrorMessage="0" allowBlank="1" promptTitle="Last-Modified" prompt="Last-Modified. Review this metric to identify risk, then use linked tabs for details and remediation." type="custom">
      <formula1>TRUE</formula1>
    </dataValidation>
    <dataValidation sqref="AU1" showDropDown="0" showInputMessage="1" showErrorMessage="0" allowBlank="1" promptTitle="Published Date" prompt="Published Date. Review this metric to identify risk, then use linked tabs for details and remediation." type="custom">
      <formula1>TRUE</formula1>
    </dataValidation>
    <dataValidation sqref="AV1" showDropDown="0" showInputMessage="1" showErrorMessage="0" allowBlank="1" promptTitle="Modified Date" prompt="Modified Date. Review this metric to identify risk, then use linked tabs for details and remediation." type="custom">
      <formula1>TRUE</formula1>
    </dataValidation>
    <dataValidation sqref="AW1" showDropDown="0" showInputMessage="1" showErrorMessage="0" allowBlank="1" promptTitle="Last Updated" prompt="Last Updated. Review this metric to identify risk, then use linked tabs for details and remediation." type="custom">
      <formula1>TRUE</formula1>
    </dataValidation>
    <dataValidation sqref="AX1" showDropDown="0" showInputMessage="1" showErrorMessage="0" allowBlank="1" promptTitle="Change Frequency" prompt="Change Frequency. Review this metric to identify risk, then use linked tabs for details and remediation." type="custom">
      <formula1>TRUE</formula1>
    </dataValidation>
    <dataValidation sqref="AY1" showDropDown="0" showInputMessage="1" showErrorMessage="0" allowBlank="1" promptTitle="Priority" prompt="Priority. Review this metric to identify risk, then use linked tabs for details and remediation." type="custom">
      <formula1>TRUE</formula1>
    </dataValidation>
    <dataValidation sqref="AZ1" showDropDown="0" showInputMessage="1" showErrorMessage="0" allowBlank="1" promptTitle="Schema Types Count" prompt="Structured data signal. Fix: add valid schema types and correct parsing/validation errors." type="custom">
      <formula1>TRUE</formula1>
    </dataValidation>
    <dataValidation sqref="BA1" showDropDown="0" showInputMessage="1" showErrorMessage="0" allowBlank="1" promptTitle="Schema Types Found" prompt="Structured data signal. Fix: add valid schema types and correct parsing/validation errors." type="custom">
      <formula1>TRUE</formula1>
    </dataValidation>
    <dataValidation sqref="BB1" showDropDown="0" showInputMessage="1" showErrorMessage="0" allowBlank="1" promptTitle="Internal Links Count" prompt="Link quality and crawl-path metric. Fix: repair broken links and improve internal linking relevance." type="custom">
      <formula1>TRUE</formula1>
    </dataValidation>
    <dataValidation sqref="BC1" showDropDown="0" showInputMessage="1" showErrorMessage="0" allowBlank="1" promptTitle="Unique Internal Links Count" prompt="Link quality and crawl-path metric. Fix: repair broken links and improve internal linking relevance." type="custom">
      <formula1>TRUE</formula1>
    </dataValidation>
    <dataValidation sqref="BD1" showDropDown="0" showInputMessage="1" showErrorMessage="0" allowBlank="1" promptTitle="External Links Count" prompt="Link quality and crawl-path metric. Fix: repair broken links and improve internal linking relevance." type="custom">
      <formula1>TRUE</formula1>
    </dataValidation>
    <dataValidation sqref="BE1" showDropDown="0" showInputMessage="1" showErrorMessage="0" allowBlank="1" promptTitle="AI Crawlers Allowed (GPTBot/Clau" prompt="AI Crawlers Allowed (GPTBot/ClaudeBot/PerplexityBot). Review this metric to identify risk, then use linked tabs for details and remediation." type="custom">
      <formula1>TRUE</formula1>
    </dataValidation>
    <dataValidation sqref="BF1" showDropDown="0" showInputMessage="1" showErrorMessage="0" allowBlank="1" promptTitle="llms.txt Present" prompt="llms.txt Present. Review this metric to identify risk, then use linked tabs for details and remediation." type="custom">
      <formula1>TRUE</formula1>
    </dataValidation>
    <dataValidation sqref="BG1" showDropDown="0" showInputMessage="1" showErrorMessage="0" allowBlank="1" promptTitle="Desktop PSI Score" prompt="Desktop PSI Score. Review this metric to identify risk, then use linked tabs for details and remediation." type="custom">
      <formula1>TRUE</formula1>
    </dataValidation>
    <dataValidation sqref="BH1" showDropDown="0" showInputMessage="1" showErrorMessage="0" allowBlank="1" promptTitle="Mobile PSI Score" prompt="Mobile PSI Score. Review this metric to identify risk, then use linked tabs for details and remediation." type="custom">
      <formula1>TRUE</formula1>
    </dataValidation>
    <dataValidation sqref="BI1" showDropDown="0" showInputMessage="1" showErrorMessage="0" allowBlank="1" promptTitle="Mobile LCP (s)" prompt="Mobile LCP (s). Review this metric to identify risk, then use linked tabs for details and remediation." type="custom">
      <formula1>TRUE</formula1>
    </dataValidation>
    <dataValidation sqref="BJ1" showDropDown="0" showInputMessage="1" showErrorMessage="0" allowBlank="1" promptTitle="Mobile CLS" prompt="Mobile CLS. Review this metric to identify risk, then use linked tabs for details and remediation." type="custom">
      <formula1>TRUE</formula1>
    </dataValidation>
    <dataValidation sqref="BK1" showDropDown="0" showInputMessage="1" showErrorMessage="0" allowBlank="1" promptTitle="Mobile TTFB (s)" prompt="Time to First Byte: server responsiveness signal. Fix: optimise backend performance, caching, and CDN usage." type="custom">
      <formula1>TRUE</formula1>
    </dataValidation>
    <dataValidation sqref="BL1" showDropDown="0" showInputMessage="1" showErrorMessage="0" allowBlank="1" promptTitle="CWV LCP (s)" prompt="CWV LCP (s). Review this metric to identify risk, then use linked tabs for details and remediation." type="custom">
      <formula1>TRUE</formula1>
    </dataValidation>
    <dataValidation sqref="BM1" showDropDown="0" showInputMessage="1" showErrorMessage="0" allowBlank="1" promptTitle="CWV CLS" prompt="CWV CLS. Review this metric to identify risk, then use linked tabs for details and remediation." type="custom">
      <formula1>TRUE</formula1>
    </dataValidation>
    <dataValidation sqref="BN1" showDropDown="0" showInputMessage="1" showErrorMessage="0" allowBlank="1" promptTitle="CWV Data Source" prompt="CWV Data Source. Review this metric to identify risk, then use linked tabs for details and remediation." type="custom">
      <formula1>TRUE</formula1>
    </dataValidation>
    <dataValidation sqref="BO1" showDropDown="0" showInputMessage="1" showErrorMessage="0" allowBlank="1" promptTitle="Field vs Lab" prompt="Field vs Lab. Review this metric to identify risk, then use linked tabs for details and remediation." type="custom">
      <formula1>TRUE</formula1>
    </dataValidation>
    <dataValidation sqref="BP1" showDropDown="0" showInputMessage="1" showErrorMessage="0" allowBlank="1" promptTitle="GSC Clicks" prompt="GSC Clicks. Review this metric to identify risk, then use linked tabs for details and remediation." type="custom">
      <formula1>TRUE</formula1>
    </dataValidation>
    <dataValidation sqref="BQ1" showDropDown="0" showInputMessage="1" showErrorMessage="0" allowBlank="1" promptTitle="GSC Impressions" prompt="GSC Impressions. Review this metric to identify risk, then use linked tabs for details and remediation." type="custom">
      <formula1>TRUE</formula1>
    </dataValidation>
    <dataValidation sqref="BR1" showDropDown="0" showInputMessage="1" showErrorMessage="0" allowBlank="1" promptTitle="GSC CTR" prompt="GSC CTR. Review this metric to identify risk, then use linked tabs for details and remediation." type="custom">
      <formula1>TRUE</formula1>
    </dataValidation>
    <dataValidation sqref="BS1" showDropDown="0" showInputMessage="1" showErrorMessage="0" allowBlank="1" promptTitle="GSC Avg Position" prompt="GSC Avg Position. Review this metric to identify risk, then use linked tabs for details and remediation." type="custom">
      <formula1>TRUE</formula1>
    </dataValidation>
    <dataValidation sqref="BT1" showDropDown="0" showInputMessage="1" showErrorMessage="0" allowBlank="1" promptTitle="Click Depth" prompt="Click Depth. Review this metric to identify risk, then use linked tabs for details and remediation." type="custom">
      <formula1>TRUE</formula1>
    </dataValidation>
    <dataValidation sqref="BU1" showDropDown="0" showInputMessage="1" showErrorMessage="0" allowBlank="1" promptTitle="Internal Inlinks" prompt="Link quality and crawl-path metric. Fix: repair broken links and improve internal linking relevance." type="custom">
      <formula1>TRUE</formula1>
    </dataValidation>
    <dataValidation sqref="BV1" showDropDown="0" showInputMessage="1" showErrorMessage="0" allowBlank="1" promptTitle="Orphan Pages" prompt="Orphan Pages. Review this metric to identify risk, then use linked tabs for details and remediation." type="custom">
      <formula1>TRUE</formula1>
    </dataValidation>
    <dataValidation sqref="BW1" showDropDown="0" showInputMessage="1" showErrorMessage="0" allowBlank="1" promptTitle="Internal PageRank" prompt="Internal PageRank. Review this metric to identify risk, then use linked tabs for details and remediation." type="custom">
      <formula1>TRUE</formula1>
    </dataValidation>
    <dataValidation sqref="BX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BY1" showDropDown="0" showInputMessage="1" showErrorMessage="0" allowBlank="1" promptTitle="Regional Entity Hits" prompt="Regional Entity Hits. Review this metric to identify risk, then use linked tabs for details and remediation." type="custom">
      <formula1>TRUE</formula1>
    </dataValidation>
    <dataValidation sqref="BZ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CA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CB1" showDropDown="0" showInputMessage="1" showErrorMessage="0" allowBlank="1" promptTitle="Critical Issues Count" prompt="Critical Issues Count. Review this metric to identify risk, then use linked tabs for details and remediation." type="custom">
      <formula1>TRUE</formula1>
    </dataValidation>
    <dataValidation sqref="CC1" showDropDown="0" showInputMessage="1" showErrorMessage="0" allowBlank="1" promptTitle="Warning Issues Count" prompt="Warning Issues Count. Review this metric to identify risk, then use linked tabs for details and remediation." type="custom">
      <formula1>TRUE</formula1>
    </dataValidation>
    <dataValidation sqref="CD1" showDropDown="0" showInputMessage="1" showErrorMessage="0" allowBlank="1" promptTitle="Observation Issues Count" prompt="Observation Issues Count. Review this metric to identify risk, then use linked tabs for details and remediation." type="custom">
      <formula1>TRUE</formula1>
    </dataValidation>
    <dataValidation sqref="CE1" showDropDown="0" showInputMessage="1" showErrorMessage="0" allowBlank="1" promptTitle="Inlinks Bucket" prompt="Link quality and crawl-path metric. Fix: repair broken links and improve internal linking relevance." type="custom">
      <formula1>TRUE</formula1>
    </dataValidation>
    <dataValidation sqref="CF1" showDropDown="0" showInputMessage="1" showErrorMessage="0" allowBlank="1" promptTitle="Important But Underlinked" prompt="Link quality and crawl-path metric. Fix: repair broken links and improve internal linking relevance." type="custom">
      <formula1>TRUE</formula1>
    </dataValidation>
    <dataValidation sqref="CG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CH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CI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CJ1" showDropDown="0" showInputMessage="1" showErrorMessage="0" allowBlank="1" promptTitle="SERP Meta Pixel Approx" prompt="SERP Meta Pixel Approx. Review this metric to identify risk, then use linked tabs for details and remediation." type="custom">
      <formula1>TRUE</formula1>
    </dataValidation>
    <dataValidation sqref="CK1" showDropDown="0" showInputMessage="1" showErrorMessage="0" allowBlank="1" promptTitle="Cannibalization Hint" prompt="Cannibalization Hint. Review this metric to identify risk, then use linked tabs for details and remediation." type="custom">
      <formula1>TRUE</formula1>
    </dataValidation>
    <dataValidation sqref="CL1" showDropDown="0" showInputMessage="1" showErrorMessage="0" allowBlank="1" promptTitle="Stable Issue IDs" prompt="Stable Issue IDs. Review this metric to identify risk, then use linked tabs for details and remediation." type="custom">
      <formula1>TRUE</formula1>
    </dataValidation>
    <dataValidation sqref="CM1" showDropDown="0" showInputMessage="1" showErrorMessage="0" allowBlank="1" promptTitle="URL Depth" prompt="URL Depth. Use this URL to inspect the page directly or jump to related tabs." type="custom">
      <formula1>TRUE</formula1>
    </dataValidation>
    <dataValidation sqref="CN1" showDropDown="0" showInputMessage="1" showErrorMessage="0" allowBlank="1" promptTitle="Param URL Flag" prompt="Param URL Flag. Use this URL to inspect the page directly or jump to related tabs." type="custom">
      <formula1>TRUE</formula1>
    </dataValidation>
    <dataValidation sqref="CO1" showDropDown="0" showInputMessage="1" showErrorMessage="0" allowBlank="1" promptTitle="Open in Main" prompt="Navigation helper. Click to jump directly to the related record in another tab." type="custom">
      <formula1>TRUE</formula1>
    </dataValidation>
    <dataValidation sqref="CQ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W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C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 width="14" customWidth="1" min="13" max="13"/>
    <col width="19" customWidth="1" min="14" max="14"/>
  </cols>
  <sheetData>
    <row r="1">
      <c r="A1" s="21" t="inlineStr">
        <is>
          <t>URL</t>
        </is>
      </c>
      <c r="B1" s="21" t="inlineStr">
        <is>
          <t>Word Count</t>
        </is>
      </c>
      <c r="C1" s="21" t="inlineStr">
        <is>
          <t>Word Count Band</t>
        </is>
      </c>
      <c r="D1" s="21" t="inlineStr">
        <is>
          <t>Readability (Rough Flesch)</t>
        </is>
      </c>
      <c r="E1" s="21" t="inlineStr">
        <is>
          <t>H1 Count</t>
        </is>
      </c>
      <c r="F1" s="21" t="inlineStr">
        <is>
          <t>Missing H1 Flag</t>
        </is>
      </c>
      <c r="G1" s="21" t="inlineStr">
        <is>
          <t>Multiple H1 Flag</t>
        </is>
      </c>
      <c r="H1" s="21" t="inlineStr">
        <is>
          <t>Title Missing</t>
        </is>
      </c>
      <c r="I1" s="21" t="inlineStr">
        <is>
          <t>Meta Description Missing</t>
        </is>
      </c>
      <c r="J1" s="21" t="inlineStr">
        <is>
          <t>Thin Content Flag</t>
        </is>
      </c>
      <c r="K1" s="21" t="inlineStr">
        <is>
          <t>Sentence Count</t>
        </is>
      </c>
      <c r="L1" s="21" t="inlineStr">
        <is>
          <t>Body Text-to-HTML Ratio</t>
        </is>
      </c>
      <c r="M1" s="21" t="inlineStr">
        <is>
          <t>Open in Main</t>
        </is>
      </c>
      <c r="N1" s="21" t="inlineStr">
        <is>
          <t>BACK TO DASHBOARD</t>
        </is>
      </c>
      <c r="O1" s="23" t="inlineStr">
        <is>
          <t>BACK TO DASHBOARD_1</t>
        </is>
      </c>
    </row>
    <row r="2" ht="30" customHeight="1">
      <c r="A2" s="40" t="inlineStr">
        <is>
          <t>https://africanmarketingconfederation.org/about-us</t>
        </is>
      </c>
      <c r="B2" s="22" t="n">
        <v>235</v>
      </c>
      <c r="C2" s="25" t="inlineStr">
        <is>
          <t>Thin</t>
        </is>
      </c>
      <c r="D2" s="22" t="n">
        <v>172.76</v>
      </c>
      <c r="E2" s="22" t="n">
        <v>1</v>
      </c>
      <c r="F2" s="3" t="b">
        <v>0</v>
      </c>
      <c r="G2" s="22" t="b">
        <v>0</v>
      </c>
      <c r="H2" s="3" t="b">
        <v>0</v>
      </c>
      <c r="I2" s="3" t="b">
        <v>0</v>
      </c>
      <c r="J2" s="25" t="b">
        <v>1</v>
      </c>
      <c r="K2" s="22" t="n">
        <v>7</v>
      </c>
      <c r="L2" s="22" t="inlineStr"/>
      <c r="M2" s="22" t="inlineStr">
        <is>
          <t>Open</t>
        </is>
      </c>
      <c r="N2" s="22" t="inlineStr"/>
      <c r="O2" s="24" t="n"/>
    </row>
    <row r="3">
      <c r="A3" s="42" t="inlineStr">
        <is>
          <t>https://africanmarketingconfederation.org/</t>
        </is>
      </c>
      <c r="B3" s="4" t="n">
        <v>35</v>
      </c>
      <c r="C3" s="25" t="inlineStr">
        <is>
          <t>Thin</t>
        </is>
      </c>
      <c r="D3" s="4" t="n">
        <v>189.07</v>
      </c>
      <c r="E3" s="4" t="n">
        <v>5</v>
      </c>
      <c r="F3" s="3" t="b">
        <v>0</v>
      </c>
      <c r="G3" s="4" t="b">
        <v>1</v>
      </c>
      <c r="H3" s="3" t="b">
        <v>0</v>
      </c>
      <c r="I3" s="3" t="b">
        <v>0</v>
      </c>
      <c r="J3" s="25" t="b">
        <v>1</v>
      </c>
      <c r="K3" s="4" t="n">
        <v>2</v>
      </c>
      <c r="L3" s="4" t="inlineStr"/>
      <c r="M3" s="4" t="inlineStr">
        <is>
          <t>Open</t>
        </is>
      </c>
      <c r="N3" s="4" t="inlineStr"/>
    </row>
    <row r="4" ht="30" customHeight="1">
      <c r="A4" s="40" t="inlineStr">
        <is>
          <t>https://africanmarketingconfederation.org/african-marketing-confederation-tourism-chapter</t>
        </is>
      </c>
      <c r="B4" s="22" t="n">
        <v>355</v>
      </c>
      <c r="C4" s="36" t="inlineStr">
        <is>
          <t>OK</t>
        </is>
      </c>
      <c r="D4" s="22" t="n">
        <v>179.12</v>
      </c>
      <c r="E4" s="22" t="n">
        <v>2</v>
      </c>
      <c r="F4" s="3" t="b">
        <v>0</v>
      </c>
      <c r="G4" s="22" t="b">
        <v>1</v>
      </c>
      <c r="H4" s="3" t="b">
        <v>0</v>
      </c>
      <c r="I4" s="3" t="b">
        <v>0</v>
      </c>
      <c r="J4" s="3" t="b">
        <v>0</v>
      </c>
      <c r="K4" s="22" t="n">
        <v>13</v>
      </c>
      <c r="L4" s="22" t="inlineStr"/>
      <c r="M4" s="22" t="inlineStr">
        <is>
          <t>Open</t>
        </is>
      </c>
      <c r="N4" s="22" t="inlineStr"/>
      <c r="O4" s="24" t="n"/>
    </row>
    <row r="5" ht="30" customHeight="1">
      <c r="A5" s="42" t="inlineStr">
        <is>
          <t>https://africanmarketingconfederation.org/amc-awards-2024</t>
        </is>
      </c>
      <c r="B5" s="4" t="n">
        <v>1668</v>
      </c>
      <c r="C5" s="3" t="inlineStr">
        <is>
          <t>Strong</t>
        </is>
      </c>
      <c r="D5" s="4" t="n">
        <v>178.62</v>
      </c>
      <c r="E5" s="4" t="n">
        <v>2</v>
      </c>
      <c r="F5" s="3" t="b">
        <v>0</v>
      </c>
      <c r="G5" s="4" t="b">
        <v>1</v>
      </c>
      <c r="H5" s="3" t="b">
        <v>0</v>
      </c>
      <c r="I5" s="3" t="b">
        <v>0</v>
      </c>
      <c r="J5" s="3" t="b">
        <v>0</v>
      </c>
      <c r="K5" s="4" t="n">
        <v>60</v>
      </c>
      <c r="L5" s="4" t="inlineStr"/>
      <c r="M5" s="4" t="inlineStr">
        <is>
          <t>Open</t>
        </is>
      </c>
      <c r="N5" s="4" t="inlineStr"/>
    </row>
    <row r="6" ht="30" customHeight="1">
      <c r="A6" s="40" t="inlineStr">
        <is>
          <t>https://africanmarketingconfederation.org/amc-conference-2022-prospectus</t>
        </is>
      </c>
      <c r="B6" s="22" t="n">
        <v>120</v>
      </c>
      <c r="C6" s="25" t="inlineStr">
        <is>
          <t>Thin</t>
        </is>
      </c>
      <c r="D6" s="22" t="n">
        <v>145.94</v>
      </c>
      <c r="E6" s="22" t="n">
        <v>0</v>
      </c>
      <c r="F6" s="25" t="b">
        <v>1</v>
      </c>
      <c r="G6" s="22" t="b">
        <v>0</v>
      </c>
      <c r="H6" s="3" t="b">
        <v>0</v>
      </c>
      <c r="I6" s="3" t="b">
        <v>0</v>
      </c>
      <c r="J6" s="25" t="b">
        <v>1</v>
      </c>
      <c r="K6" s="22" t="n">
        <v>2</v>
      </c>
      <c r="L6" s="22" t="inlineStr"/>
      <c r="M6" s="22" t="inlineStr">
        <is>
          <t>Open</t>
        </is>
      </c>
      <c r="N6" s="22" t="inlineStr"/>
      <c r="O6" s="24" t="n"/>
    </row>
    <row r="7" ht="30" customHeight="1">
      <c r="A7" s="42" t="inlineStr">
        <is>
          <t>https://africanmarketingconfederation.org/amc-conference-2022-thank-you</t>
        </is>
      </c>
      <c r="B7" s="4" t="n">
        <v>367</v>
      </c>
      <c r="C7" s="36" t="inlineStr">
        <is>
          <t>OK</t>
        </is>
      </c>
      <c r="D7" s="4" t="n">
        <v>178.18</v>
      </c>
      <c r="E7" s="4" t="n">
        <v>0</v>
      </c>
      <c r="F7" s="25" t="b">
        <v>1</v>
      </c>
      <c r="G7" s="4" t="b">
        <v>0</v>
      </c>
      <c r="H7" s="3" t="b">
        <v>0</v>
      </c>
      <c r="I7" s="3" t="b">
        <v>0</v>
      </c>
      <c r="J7" s="3" t="b">
        <v>0</v>
      </c>
      <c r="K7" s="4" t="n">
        <v>13</v>
      </c>
      <c r="L7" s="4" t="inlineStr"/>
      <c r="M7" s="4" t="inlineStr">
        <is>
          <t>Open</t>
        </is>
      </c>
      <c r="N7" s="4" t="inlineStr"/>
    </row>
    <row r="8" ht="30" customHeight="1">
      <c r="A8" s="40" t="inlineStr">
        <is>
          <t>https://africanmarketingconfederation.org/amc-conference-2022</t>
        </is>
      </c>
      <c r="B8" s="22" t="n">
        <v>32</v>
      </c>
      <c r="C8" s="25" t="inlineStr">
        <is>
          <t>Thin</t>
        </is>
      </c>
      <c r="D8" s="22" t="n">
        <v>196.01</v>
      </c>
      <c r="E8" s="22" t="n">
        <v>0</v>
      </c>
      <c r="F8" s="25" t="b">
        <v>1</v>
      </c>
      <c r="G8" s="22" t="b">
        <v>0</v>
      </c>
      <c r="H8" s="3" t="b">
        <v>0</v>
      </c>
      <c r="I8" s="3" t="b">
        <v>0</v>
      </c>
      <c r="J8" s="25" t="b">
        <v>1</v>
      </c>
      <c r="K8" s="22" t="n">
        <v>3</v>
      </c>
      <c r="L8" s="22" t="inlineStr"/>
      <c r="M8" s="22" t="inlineStr">
        <is>
          <t>Open</t>
        </is>
      </c>
      <c r="N8" s="22" t="inlineStr"/>
      <c r="O8" s="24" t="n"/>
    </row>
    <row r="9" ht="30" customHeight="1">
      <c r="A9" s="42" t="inlineStr">
        <is>
          <t>https://africanmarketingconfederation.org/amc-conference-2023</t>
        </is>
      </c>
      <c r="B9" s="4" t="n">
        <v>415</v>
      </c>
      <c r="C9" s="36" t="inlineStr">
        <is>
          <t>OK</t>
        </is>
      </c>
      <c r="D9" s="4" t="n">
        <v>168.54</v>
      </c>
      <c r="E9" s="4" t="n">
        <v>1</v>
      </c>
      <c r="F9" s="3" t="b">
        <v>0</v>
      </c>
      <c r="G9" s="4" t="b">
        <v>0</v>
      </c>
      <c r="H9" s="3" t="b">
        <v>0</v>
      </c>
      <c r="I9" s="3" t="b">
        <v>0</v>
      </c>
      <c r="J9" s="3" t="b">
        <v>0</v>
      </c>
      <c r="K9" s="4" t="n">
        <v>11</v>
      </c>
      <c r="L9" s="4" t="inlineStr"/>
      <c r="M9" s="4" t="inlineStr">
        <is>
          <t>Open</t>
        </is>
      </c>
      <c r="N9" s="4" t="inlineStr"/>
    </row>
    <row r="10" ht="30" customHeight="1">
      <c r="A10" s="40" t="inlineStr">
        <is>
          <t>https://africanmarketingconfederation.org/amc-conference-2023/amc-awards-book-now</t>
        </is>
      </c>
      <c r="B10" s="22" t="n">
        <v>31</v>
      </c>
      <c r="C10" s="25" t="inlineStr">
        <is>
          <t>Thin</t>
        </is>
      </c>
      <c r="D10" s="22" t="n">
        <v>175.37</v>
      </c>
      <c r="E10" s="22" t="n">
        <v>0</v>
      </c>
      <c r="F10" s="25" t="b">
        <v>1</v>
      </c>
      <c r="G10" s="22" t="b">
        <v>0</v>
      </c>
      <c r="H10" s="3" t="b">
        <v>0</v>
      </c>
      <c r="I10" s="25" t="b">
        <v>1</v>
      </c>
      <c r="J10" s="25" t="b">
        <v>1</v>
      </c>
      <c r="K10" s="22" t="n">
        <v>1</v>
      </c>
      <c r="L10" s="22" t="inlineStr"/>
      <c r="M10" s="22" t="inlineStr">
        <is>
          <t>Open</t>
        </is>
      </c>
      <c r="N10" s="22" t="inlineStr"/>
      <c r="O10" s="24" t="n"/>
    </row>
    <row r="11" ht="30" customHeight="1">
      <c r="A11" s="42" t="inlineStr">
        <is>
          <t>https://africanmarketingconfederation.org/amc-conference-2023/amc-awards</t>
        </is>
      </c>
      <c r="B11" s="4" t="n">
        <v>326</v>
      </c>
      <c r="C11" s="36" t="inlineStr">
        <is>
          <t>OK</t>
        </is>
      </c>
      <c r="D11" s="4" t="n">
        <v>176.75</v>
      </c>
      <c r="E11" s="4" t="n">
        <v>1</v>
      </c>
      <c r="F11" s="3" t="b">
        <v>0</v>
      </c>
      <c r="G11" s="4" t="b">
        <v>0</v>
      </c>
      <c r="H11" s="3" t="b">
        <v>0</v>
      </c>
      <c r="I11" s="3" t="b">
        <v>0</v>
      </c>
      <c r="J11" s="3" t="b">
        <v>0</v>
      </c>
      <c r="K11" s="4" t="n">
        <v>11</v>
      </c>
      <c r="L11" s="4" t="inlineStr"/>
      <c r="M11" s="4" t="inlineStr">
        <is>
          <t>Open</t>
        </is>
      </c>
      <c r="N11" s="4" t="inlineStr"/>
    </row>
  </sheetData>
  <autoFilter ref="A1:O11"/>
  <conditionalFormatting sqref="B2:B11">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O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O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40" customWidth="1" min="13" max="13"/>
    <col width="26" customWidth="1" min="14" max="14"/>
    <col width="24" customWidth="1" min="15" max="15"/>
    <col width="15" customWidth="1" min="16" max="16"/>
    <col width="26" customWidth="1" min="17" max="17"/>
    <col width="14" customWidth="1" min="18" max="18"/>
    <col width="19" customWidth="1" min="19" max="19"/>
  </cols>
  <sheetData>
    <row r="1">
      <c r="A1" s="21" t="inlineStr">
        <is>
          <t>URL</t>
        </is>
      </c>
      <c r="B1" s="21" t="inlineStr">
        <is>
          <t>AEO Readiness Score</t>
        </is>
      </c>
      <c r="C1" s="21" t="inlineStr">
        <is>
          <t>AEO Badge</t>
        </is>
      </c>
      <c r="D1" s="21" t="inlineStr">
        <is>
          <t>Why It Matters</t>
        </is>
      </c>
      <c r="E1" s="21" t="inlineStr">
        <is>
          <t>FAQ Section Count</t>
        </is>
      </c>
      <c r="F1" s="21" t="inlineStr">
        <is>
          <t>Question Heading Count</t>
        </is>
      </c>
      <c r="G1" s="21" t="inlineStr">
        <is>
          <t>Paragraphs 40-60 Words Count</t>
        </is>
      </c>
      <c r="H1" s="21" t="inlineStr">
        <is>
          <t>QAPage/FAQ Schema Present</t>
        </is>
      </c>
      <c r="I1" s="21" t="inlineStr">
        <is>
          <t>Speakable Schema Present</t>
        </is>
      </c>
      <c r="J1" s="21" t="inlineStr">
        <is>
          <t>HowTo Signal</t>
        </is>
      </c>
      <c r="K1" s="21" t="inlineStr">
        <is>
          <t>Definition Signal</t>
        </is>
      </c>
      <c r="L1" s="21" t="inlineStr">
        <is>
          <t>List/Table Answer Signal</t>
        </is>
      </c>
      <c r="M1" s="21" t="inlineStr">
        <is>
          <t>Answer Block Detected (First 60 Words)</t>
        </is>
      </c>
      <c r="N1" s="21" t="inlineStr">
        <is>
          <t>AEO Extractability Score</t>
        </is>
      </c>
      <c r="O1" s="21" t="inlineStr">
        <is>
          <t>Snippet Preview Mockup</t>
        </is>
      </c>
      <c r="P1" s="21" t="inlineStr">
        <is>
          <t>Title Missing</t>
        </is>
      </c>
      <c r="Q1" s="21" t="inlineStr">
        <is>
          <t>Meta Description Missing</t>
        </is>
      </c>
      <c r="R1" s="21" t="inlineStr">
        <is>
          <t>Open in Main</t>
        </is>
      </c>
      <c r="S1" s="21" t="inlineStr">
        <is>
          <t>BACK TO DASHBOARD</t>
        </is>
      </c>
      <c r="T1" s="23" t="inlineStr">
        <is>
          <t>BACK TO DASHBOARD_1</t>
        </is>
      </c>
    </row>
    <row r="2" ht="30" customHeight="1">
      <c r="A2" s="40" t="inlineStr">
        <is>
          <t>https://africanmarketingconfederation.org/about-us</t>
        </is>
      </c>
      <c r="B2" s="41" t="n">
        <v>0</v>
      </c>
      <c r="C2" s="22" t="inlineStr">
        <is>
          <t>Needs Work</t>
        </is>
      </c>
      <c r="D2" s="22"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22" t="n">
        <v>0</v>
      </c>
      <c r="F2" s="22" t="n">
        <v>0</v>
      </c>
      <c r="G2" s="22" t="n">
        <v>0</v>
      </c>
      <c r="H2" s="36" t="b">
        <v>0</v>
      </c>
      <c r="I2" s="36" t="b">
        <v>0</v>
      </c>
      <c r="J2" s="22" t="b">
        <v>0</v>
      </c>
      <c r="K2" s="22" t="b">
        <v>0</v>
      </c>
      <c r="L2" s="22" t="b">
        <v>0</v>
      </c>
      <c r="M2" s="22" t="b">
        <v>0</v>
      </c>
      <c r="N2" s="22" t="inlineStr">
        <is>
          <t>Medium</t>
        </is>
      </c>
      <c r="O2" s="22" t="inlineStr"/>
      <c r="P2" s="3" t="b">
        <v>0</v>
      </c>
      <c r="Q2" s="3" t="b">
        <v>0</v>
      </c>
      <c r="R2" s="22" t="inlineStr">
        <is>
          <t>Open</t>
        </is>
      </c>
      <c r="S2" s="22" t="inlineStr"/>
      <c r="T2" s="24" t="n"/>
    </row>
    <row r="3">
      <c r="A3" s="42" t="inlineStr">
        <is>
          <t>https://africanmarketingconfederation.org/</t>
        </is>
      </c>
      <c r="B3" s="43" t="n">
        <v>0</v>
      </c>
      <c r="C3" s="4" t="inlineStr">
        <is>
          <t>Needs Work</t>
        </is>
      </c>
      <c r="D3" s="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4" t="n">
        <v>0</v>
      </c>
      <c r="F3" s="4" t="n">
        <v>0</v>
      </c>
      <c r="G3" s="4" t="n">
        <v>0</v>
      </c>
      <c r="H3" s="36" t="b">
        <v>0</v>
      </c>
      <c r="I3" s="36" t="b">
        <v>0</v>
      </c>
      <c r="J3" s="4" t="b">
        <v>0</v>
      </c>
      <c r="K3" s="4" t="b">
        <v>0</v>
      </c>
      <c r="L3" s="4" t="b">
        <v>0</v>
      </c>
      <c r="M3" s="4" t="b">
        <v>0</v>
      </c>
      <c r="N3" s="4" t="inlineStr">
        <is>
          <t>Medium</t>
        </is>
      </c>
      <c r="O3" s="4" t="inlineStr"/>
      <c r="P3" s="3" t="b">
        <v>0</v>
      </c>
      <c r="Q3" s="3" t="b">
        <v>0</v>
      </c>
      <c r="R3" s="4" t="inlineStr">
        <is>
          <t>Open</t>
        </is>
      </c>
      <c r="S3" s="4" t="inlineStr"/>
    </row>
    <row r="4" ht="30" customHeight="1">
      <c r="A4" s="40" t="inlineStr">
        <is>
          <t>https://africanmarketingconfederation.org/african-marketing-confederation-tourism-chapter</t>
        </is>
      </c>
      <c r="B4" s="41" t="n">
        <v>0</v>
      </c>
      <c r="C4" s="22" t="inlineStr">
        <is>
          <t>Needs Work</t>
        </is>
      </c>
      <c r="D4" s="22"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22" t="n">
        <v>0</v>
      </c>
      <c r="F4" s="22" t="n">
        <v>0</v>
      </c>
      <c r="G4" s="22" t="n">
        <v>0</v>
      </c>
      <c r="H4" s="36" t="b">
        <v>0</v>
      </c>
      <c r="I4" s="36" t="b">
        <v>0</v>
      </c>
      <c r="J4" s="22" t="b">
        <v>0</v>
      </c>
      <c r="K4" s="22" t="b">
        <v>0</v>
      </c>
      <c r="L4" s="22" t="b">
        <v>0</v>
      </c>
      <c r="M4" s="22" t="b">
        <v>0</v>
      </c>
      <c r="N4" s="22" t="inlineStr">
        <is>
          <t>Medium</t>
        </is>
      </c>
      <c r="O4" s="22" t="inlineStr"/>
      <c r="P4" s="3" t="b">
        <v>0</v>
      </c>
      <c r="Q4" s="3" t="b">
        <v>0</v>
      </c>
      <c r="R4" s="22" t="inlineStr">
        <is>
          <t>Open</t>
        </is>
      </c>
      <c r="S4" s="22" t="inlineStr"/>
      <c r="T4" s="24" t="n"/>
    </row>
    <row r="5" ht="30" customHeight="1">
      <c r="A5" s="42" t="inlineStr">
        <is>
          <t>https://africanmarketingconfederation.org/amc-awards-2024</t>
        </is>
      </c>
      <c r="B5" s="43" t="n">
        <v>0</v>
      </c>
      <c r="C5" s="4" t="inlineStr">
        <is>
          <t>Needs Work</t>
        </is>
      </c>
      <c r="D5" s="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4" t="n">
        <v>0</v>
      </c>
      <c r="F5" s="4" t="n">
        <v>0</v>
      </c>
      <c r="G5" s="4" t="n">
        <v>0</v>
      </c>
      <c r="H5" s="36" t="b">
        <v>0</v>
      </c>
      <c r="I5" s="36" t="b">
        <v>0</v>
      </c>
      <c r="J5" s="4" t="b">
        <v>0</v>
      </c>
      <c r="K5" s="4" t="b">
        <v>0</v>
      </c>
      <c r="L5" s="4" t="b">
        <v>0</v>
      </c>
      <c r="M5" s="4" t="b">
        <v>1</v>
      </c>
      <c r="N5" s="4" t="inlineStr">
        <is>
          <t>Medium</t>
        </is>
      </c>
      <c r="O5" s="4" t="inlineStr"/>
      <c r="P5" s="3" t="b">
        <v>0</v>
      </c>
      <c r="Q5" s="3" t="b">
        <v>0</v>
      </c>
      <c r="R5" s="4" t="inlineStr">
        <is>
          <t>Open</t>
        </is>
      </c>
      <c r="S5" s="4" t="inlineStr"/>
    </row>
    <row r="6" ht="30" customHeight="1">
      <c r="A6" s="40" t="inlineStr">
        <is>
          <t>https://africanmarketingconfederation.org/amc-conference-2022-prospectus</t>
        </is>
      </c>
      <c r="B6" s="41" t="n">
        <v>0</v>
      </c>
      <c r="C6" s="22" t="inlineStr">
        <is>
          <t>Needs Work</t>
        </is>
      </c>
      <c r="D6" s="22"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22" t="n">
        <v>0</v>
      </c>
      <c r="F6" s="22" t="n">
        <v>0</v>
      </c>
      <c r="G6" s="22" t="n">
        <v>0</v>
      </c>
      <c r="H6" s="36" t="b">
        <v>0</v>
      </c>
      <c r="I6" s="36" t="b">
        <v>0</v>
      </c>
      <c r="J6" s="22" t="b">
        <v>0</v>
      </c>
      <c r="K6" s="22" t="b">
        <v>0</v>
      </c>
      <c r="L6" s="22" t="b">
        <v>0</v>
      </c>
      <c r="M6" s="22" t="b">
        <v>0</v>
      </c>
      <c r="N6" s="22" t="inlineStr">
        <is>
          <t>Medium</t>
        </is>
      </c>
      <c r="O6" s="22" t="inlineStr"/>
      <c r="P6" s="3" t="b">
        <v>0</v>
      </c>
      <c r="Q6" s="3" t="b">
        <v>0</v>
      </c>
      <c r="R6" s="22" t="inlineStr">
        <is>
          <t>Open</t>
        </is>
      </c>
      <c r="S6" s="22" t="inlineStr"/>
      <c r="T6" s="24" t="n"/>
    </row>
    <row r="7" ht="30" customHeight="1">
      <c r="A7" s="42" t="inlineStr">
        <is>
          <t>https://africanmarketingconfederation.org/amc-conference-2022-thank-you</t>
        </is>
      </c>
      <c r="B7" s="43" t="n">
        <v>0</v>
      </c>
      <c r="C7" s="4" t="inlineStr">
        <is>
          <t>Needs Work</t>
        </is>
      </c>
      <c r="D7" s="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4" t="n">
        <v>0</v>
      </c>
      <c r="F7" s="4" t="n">
        <v>0</v>
      </c>
      <c r="G7" s="4" t="n">
        <v>0</v>
      </c>
      <c r="H7" s="36" t="b">
        <v>0</v>
      </c>
      <c r="I7" s="36" t="b">
        <v>0</v>
      </c>
      <c r="J7" s="4" t="b">
        <v>0</v>
      </c>
      <c r="K7" s="4" t="b">
        <v>0</v>
      </c>
      <c r="L7" s="4" t="b">
        <v>0</v>
      </c>
      <c r="M7" s="4" t="b">
        <v>0</v>
      </c>
      <c r="N7" s="4" t="inlineStr">
        <is>
          <t>Medium</t>
        </is>
      </c>
      <c r="O7" s="4" t="inlineStr"/>
      <c r="P7" s="3" t="b">
        <v>0</v>
      </c>
      <c r="Q7" s="3" t="b">
        <v>0</v>
      </c>
      <c r="R7" s="4" t="inlineStr">
        <is>
          <t>Open</t>
        </is>
      </c>
      <c r="S7" s="4" t="inlineStr"/>
    </row>
    <row r="8" ht="30" customHeight="1">
      <c r="A8" s="40" t="inlineStr">
        <is>
          <t>https://africanmarketingconfederation.org/amc-conference-2022</t>
        </is>
      </c>
      <c r="B8" s="41" t="n">
        <v>0</v>
      </c>
      <c r="C8" s="22" t="inlineStr">
        <is>
          <t>Needs Work</t>
        </is>
      </c>
      <c r="D8" s="22"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22" t="n">
        <v>0</v>
      </c>
      <c r="F8" s="22" t="n">
        <v>0</v>
      </c>
      <c r="G8" s="22" t="n">
        <v>0</v>
      </c>
      <c r="H8" s="36" t="b">
        <v>0</v>
      </c>
      <c r="I8" s="36" t="b">
        <v>0</v>
      </c>
      <c r="J8" s="22" t="b">
        <v>0</v>
      </c>
      <c r="K8" s="22" t="b">
        <v>0</v>
      </c>
      <c r="L8" s="22" t="b">
        <v>0</v>
      </c>
      <c r="M8" s="22" t="b">
        <v>0</v>
      </c>
      <c r="N8" s="22" t="inlineStr">
        <is>
          <t>Medium</t>
        </is>
      </c>
      <c r="O8" s="22" t="inlineStr"/>
      <c r="P8" s="3" t="b">
        <v>0</v>
      </c>
      <c r="Q8" s="3" t="b">
        <v>0</v>
      </c>
      <c r="R8" s="22" t="inlineStr">
        <is>
          <t>Open</t>
        </is>
      </c>
      <c r="S8" s="22" t="inlineStr"/>
      <c r="T8" s="24" t="n"/>
    </row>
    <row r="9" ht="30" customHeight="1">
      <c r="A9" s="42" t="inlineStr">
        <is>
          <t>https://africanmarketingconfederation.org/amc-conference-2023</t>
        </is>
      </c>
      <c r="B9" s="43" t="n">
        <v>0</v>
      </c>
      <c r="C9" s="4" t="inlineStr">
        <is>
          <t>Needs Work</t>
        </is>
      </c>
      <c r="D9" s="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4" t="n">
        <v>0</v>
      </c>
      <c r="F9" s="4" t="n">
        <v>0</v>
      </c>
      <c r="G9" s="4" t="n">
        <v>0</v>
      </c>
      <c r="H9" s="36" t="b">
        <v>0</v>
      </c>
      <c r="I9" s="36" t="b">
        <v>0</v>
      </c>
      <c r="J9" s="4" t="b">
        <v>0</v>
      </c>
      <c r="K9" s="4" t="b">
        <v>0</v>
      </c>
      <c r="L9" s="4" t="b">
        <v>0</v>
      </c>
      <c r="M9" s="4" t="b">
        <v>0</v>
      </c>
      <c r="N9" s="4" t="inlineStr">
        <is>
          <t>Medium</t>
        </is>
      </c>
      <c r="O9" s="4" t="inlineStr"/>
      <c r="P9" s="3" t="b">
        <v>0</v>
      </c>
      <c r="Q9" s="3" t="b">
        <v>0</v>
      </c>
      <c r="R9" s="4" t="inlineStr">
        <is>
          <t>Open</t>
        </is>
      </c>
      <c r="S9" s="4" t="inlineStr"/>
    </row>
    <row r="10" ht="30" customHeight="1">
      <c r="A10" s="40" t="inlineStr">
        <is>
          <t>https://africanmarketingconfederation.org/amc-conference-2023/amc-awards-book-now</t>
        </is>
      </c>
      <c r="B10" s="41" t="n">
        <v>0</v>
      </c>
      <c r="C10" s="22" t="inlineStr">
        <is>
          <t>Needs Work</t>
        </is>
      </c>
      <c r="D10" s="22"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10" s="22" t="n">
        <v>0</v>
      </c>
      <c r="F10" s="22" t="n">
        <v>0</v>
      </c>
      <c r="G10" s="22" t="n">
        <v>0</v>
      </c>
      <c r="H10" s="36" t="b">
        <v>0</v>
      </c>
      <c r="I10" s="36" t="b">
        <v>0</v>
      </c>
      <c r="J10" s="22" t="b">
        <v>0</v>
      </c>
      <c r="K10" s="22" t="b">
        <v>0</v>
      </c>
      <c r="L10" s="22" t="b">
        <v>0</v>
      </c>
      <c r="M10" s="22" t="b">
        <v>0</v>
      </c>
      <c r="N10" s="22" t="inlineStr">
        <is>
          <t>Medium</t>
        </is>
      </c>
      <c r="O10" s="22" t="inlineStr"/>
      <c r="P10" s="3" t="b">
        <v>0</v>
      </c>
      <c r="Q10" s="25" t="b">
        <v>1</v>
      </c>
      <c r="R10" s="22" t="inlineStr">
        <is>
          <t>Open</t>
        </is>
      </c>
      <c r="S10" s="22" t="inlineStr"/>
      <c r="T10" s="24" t="n"/>
    </row>
    <row r="11" ht="30" customHeight="1">
      <c r="A11" s="42" t="inlineStr">
        <is>
          <t>https://africanmarketingconfederation.org/amc-conference-2023/amc-awards</t>
        </is>
      </c>
      <c r="B11" s="43" t="n">
        <v>0</v>
      </c>
      <c r="C11" s="4" t="inlineStr">
        <is>
          <t>Needs Work</t>
        </is>
      </c>
      <c r="D11" s="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4" t="n">
        <v>0</v>
      </c>
      <c r="F11" s="4" t="n">
        <v>0</v>
      </c>
      <c r="G11" s="4" t="n">
        <v>0</v>
      </c>
      <c r="H11" s="36" t="b">
        <v>0</v>
      </c>
      <c r="I11" s="36" t="b">
        <v>0</v>
      </c>
      <c r="J11" s="4" t="b">
        <v>0</v>
      </c>
      <c r="K11" s="4" t="b">
        <v>0</v>
      </c>
      <c r="L11" s="4" t="b">
        <v>0</v>
      </c>
      <c r="M11" s="4" t="b">
        <v>0</v>
      </c>
      <c r="N11" s="4" t="inlineStr">
        <is>
          <t>Medium</t>
        </is>
      </c>
      <c r="O11" s="4" t="inlineStr"/>
      <c r="P11" s="3" t="b">
        <v>0</v>
      </c>
      <c r="Q11" s="3" t="b">
        <v>0</v>
      </c>
      <c r="R11" s="4" t="inlineStr">
        <is>
          <t>Open</t>
        </is>
      </c>
      <c r="S11" s="4" t="inlineStr"/>
    </row>
  </sheetData>
  <autoFilter ref="A1:T11"/>
  <conditionalFormatting sqref="B2:B11">
    <cfRule type="colorScale" priority="1">
      <colorScale>
        <cfvo type="min"/>
        <cfvo type="percentile" val="50"/>
        <cfvo type="max"/>
        <color rgb="00F8696B"/>
        <color rgb="00FFEB84"/>
        <color rgb="0063BE7B"/>
      </colorScale>
    </cfRule>
  </conditionalFormatting>
  <conditionalFormatting sqref="G2:G11">
    <cfRule type="cellIs" priority="2" operator="equal" dxfId="2">
      <formula>0</formula>
    </cfRule>
    <cfRule type="cellIs" priority="3" operator="between" dxfId="6">
      <formula>1</formula>
      <formula>2</formula>
    </cfRule>
    <cfRule type="cellIs" priority="4" operator="greaterThanOrEqual" dxfId="3">
      <formula>3</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N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O1" showDropDown="0" showInputMessage="1" showErrorMessage="0" allowBlank="1" promptTitle="Snippet Preview Mockup" prompt="Snippet Preview Mockup. Review this metric to identify risk, then use linked tabs for details and remediation." type="custom">
      <formula1>TRUE</formula1>
    </dataValidation>
    <dataValidation sqref="P1" showDropDown="0" showInputMessage="1" showErrorMessage="0" allowBlank="1" promptTitle="Title Missing" prompt="Title Missing. Review this metric to identify risk, then use linked tabs for details and remediation." type="custom">
      <formula1>TRUE</formula1>
    </dataValidation>
    <dataValidation sqref="Q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T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T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0" customWidth="1" min="2" max="2"/>
    <col width="20" customWidth="1" min="3" max="3"/>
    <col width="21" customWidth="1" min="4" max="4"/>
    <col width="60" customWidth="1" min="5" max="5"/>
    <col width="60" customWidth="1" min="6" max="6"/>
    <col width="60" customWidth="1" min="7" max="7"/>
    <col width="21" customWidth="1" min="8" max="8"/>
    <col width="21" customWidth="1" min="9" max="9"/>
    <col width="14" customWidth="1" min="10" max="10"/>
    <col width="19" customWidth="1" min="11" max="11"/>
  </cols>
  <sheetData>
    <row r="1">
      <c r="A1" s="21" t="inlineStr">
        <is>
          <t>URL</t>
        </is>
      </c>
      <c r="B1" s="21" t="inlineStr">
        <is>
          <t>Schema Types Found</t>
        </is>
      </c>
      <c r="C1" s="21" t="inlineStr">
        <is>
          <t>Schema Types Count</t>
        </is>
      </c>
      <c r="D1" s="21" t="inlineStr">
        <is>
          <t>Schema Parse Errors</t>
        </is>
      </c>
      <c r="E1" s="21" t="inlineStr">
        <is>
          <t>OG Title</t>
        </is>
      </c>
      <c r="F1" s="21" t="inlineStr">
        <is>
          <t>OG Description</t>
        </is>
      </c>
      <c r="G1" s="21" t="inlineStr">
        <is>
          <t>OG Image</t>
        </is>
      </c>
      <c r="H1" s="21" t="inlineStr">
        <is>
          <t>Open Graph Complete</t>
        </is>
      </c>
      <c r="I1" s="21" t="inlineStr">
        <is>
          <t>Twitter Card Type</t>
        </is>
      </c>
      <c r="J1" s="21" t="inlineStr">
        <is>
          <t>Open in Main</t>
        </is>
      </c>
      <c r="K1" s="21" t="inlineStr">
        <is>
          <t>BACK TO DASHBOARD</t>
        </is>
      </c>
      <c r="L1" s="23" t="inlineStr">
        <is>
          <t>BACK TO DASHBOARD_1</t>
        </is>
      </c>
    </row>
    <row r="2" ht="30" customHeight="1">
      <c r="A2" s="40" t="inlineStr">
        <is>
          <t>https://africanmarketingconfederation.org/about-us</t>
        </is>
      </c>
      <c r="B2" s="22" t="inlineStr"/>
      <c r="C2" s="22" t="n">
        <v>0</v>
      </c>
      <c r="D2" s="22" t="n">
        <v>0</v>
      </c>
      <c r="E2" s="22" t="inlineStr">
        <is>
          <t>African Marketing Confederation – The Leading Marketing Professional Body – African Marketing Confederation</t>
        </is>
      </c>
      <c r="F2" s="22"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G2" s="22" t="inlineStr">
        <is>
          <t>https://africanmarketingconfederation.org/wp-content/uploads/2026/03/og-image.png</t>
        </is>
      </c>
      <c r="H2" s="3" t="b">
        <v>1</v>
      </c>
      <c r="I2" s="22" t="inlineStr">
        <is>
          <t>summary_large_image</t>
        </is>
      </c>
      <c r="J2" s="22" t="inlineStr">
        <is>
          <t>Open</t>
        </is>
      </c>
      <c r="K2" s="22" t="inlineStr"/>
      <c r="L2" s="24" t="n"/>
    </row>
    <row r="3">
      <c r="A3" s="42" t="inlineStr">
        <is>
          <t>https://africanmarketingconfederation.org/</t>
        </is>
      </c>
      <c r="B3" s="4" t="inlineStr"/>
      <c r="C3" s="4" t="n">
        <v>0</v>
      </c>
      <c r="D3" s="4" t="n">
        <v>0</v>
      </c>
      <c r="E3" s="4" t="inlineStr">
        <is>
          <t>Home page of the african marketing confederation</t>
        </is>
      </c>
      <c r="F3" s="4" t="inlineStr">
        <is>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is>
      </c>
      <c r="G3" s="4" t="inlineStr">
        <is>
          <t>https://africanmarketingconfederation.org/wp-content/uploads/2026/03/og-image.png</t>
        </is>
      </c>
      <c r="H3" s="3" t="b">
        <v>1</v>
      </c>
      <c r="I3" s="4" t="inlineStr">
        <is>
          <t>summary_large_image</t>
        </is>
      </c>
      <c r="J3" s="4" t="inlineStr">
        <is>
          <t>Open</t>
        </is>
      </c>
      <c r="K3" s="4" t="inlineStr"/>
    </row>
    <row r="4" ht="30" customHeight="1">
      <c r="A4" s="40" t="inlineStr">
        <is>
          <t>https://africanmarketingconfederation.org/african-marketing-confederation-tourism-chapter</t>
        </is>
      </c>
      <c r="B4" s="22" t="inlineStr"/>
      <c r="C4" s="22" t="n">
        <v>0</v>
      </c>
      <c r="D4" s="22" t="n">
        <v>0</v>
      </c>
      <c r="E4" s="22" t="inlineStr">
        <is>
          <t>African Marketing Confederation Tourism Chapter – African Marketing Confederation</t>
        </is>
      </c>
      <c r="F4" s="22"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G4" s="22" t="inlineStr">
        <is>
          <t>https://africanmarketingconfederation.org/wp-content/uploads/2026/03/og-image.png</t>
        </is>
      </c>
      <c r="H4" s="3" t="b">
        <v>1</v>
      </c>
      <c r="I4" s="22" t="inlineStr">
        <is>
          <t>summary_large_image</t>
        </is>
      </c>
      <c r="J4" s="22" t="inlineStr">
        <is>
          <t>Open</t>
        </is>
      </c>
      <c r="K4" s="22" t="inlineStr"/>
      <c r="L4" s="24" t="n"/>
    </row>
    <row r="5" ht="30" customHeight="1">
      <c r="A5" s="42" t="inlineStr">
        <is>
          <t>https://africanmarketingconfederation.org/amc-awards-2024</t>
        </is>
      </c>
      <c r="B5" s="4" t="inlineStr"/>
      <c r="C5" s="4" t="n">
        <v>0</v>
      </c>
      <c r="D5" s="4" t="n">
        <v>0</v>
      </c>
      <c r="E5" s="4" t="inlineStr">
        <is>
          <t>AMC Awards 2024 – African Marketing Confederation</t>
        </is>
      </c>
      <c r="F5" s="4"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G5" s="4" t="inlineStr">
        <is>
          <t>https://africanmarketingconfederation.org/wp-content/uploads/2021/08/amc_faw.png</t>
        </is>
      </c>
      <c r="H5" s="3" t="b">
        <v>1</v>
      </c>
      <c r="I5" s="4" t="inlineStr">
        <is>
          <t>summary_large_image</t>
        </is>
      </c>
      <c r="J5" s="4" t="inlineStr">
        <is>
          <t>Open</t>
        </is>
      </c>
      <c r="K5" s="4" t="inlineStr"/>
    </row>
    <row r="6" ht="30" customHeight="1">
      <c r="A6" s="40" t="inlineStr">
        <is>
          <t>https://africanmarketingconfederation.org/amc-conference-2022-prospectus</t>
        </is>
      </c>
      <c r="B6" s="22" t="inlineStr"/>
      <c r="C6" s="22" t="n">
        <v>0</v>
      </c>
      <c r="D6" s="22" t="n">
        <v>0</v>
      </c>
      <c r="E6" s="22" t="inlineStr">
        <is>
          <t>AMC Conference 2022 – Prospectus – African Marketing Confederation</t>
        </is>
      </c>
      <c r="F6" s="22"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G6" s="22" t="inlineStr">
        <is>
          <t>https://africanmarketingconfederation.org/wp-content/uploads/2026/03/og-image.png</t>
        </is>
      </c>
      <c r="H6" s="3" t="b">
        <v>1</v>
      </c>
      <c r="I6" s="22" t="inlineStr">
        <is>
          <t>summary_large_image</t>
        </is>
      </c>
      <c r="J6" s="22" t="inlineStr">
        <is>
          <t>Open</t>
        </is>
      </c>
      <c r="K6" s="22" t="inlineStr"/>
      <c r="L6" s="24" t="n"/>
    </row>
    <row r="7" ht="30" customHeight="1">
      <c r="A7" s="42" t="inlineStr">
        <is>
          <t>https://africanmarketingconfederation.org/amc-conference-2022-thank-you</t>
        </is>
      </c>
      <c r="B7" s="4" t="inlineStr"/>
      <c r="C7" s="4" t="n">
        <v>0</v>
      </c>
      <c r="D7" s="4" t="n">
        <v>0</v>
      </c>
      <c r="E7" s="4" t="inlineStr">
        <is>
          <t>AMC Conference 2022 – Thank You – African Marketing Confederation</t>
        </is>
      </c>
      <c r="F7" s="4"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G7" s="4" t="inlineStr">
        <is>
          <t>https://africanmarketingconfederation.org/wp-content/uploads/2026/03/og-image.png</t>
        </is>
      </c>
      <c r="H7" s="3" t="b">
        <v>1</v>
      </c>
      <c r="I7" s="4" t="inlineStr">
        <is>
          <t>summary_large_image</t>
        </is>
      </c>
      <c r="J7" s="4" t="inlineStr">
        <is>
          <t>Open</t>
        </is>
      </c>
      <c r="K7" s="4" t="inlineStr"/>
    </row>
    <row r="8" ht="30" customHeight="1">
      <c r="A8" s="40" t="inlineStr">
        <is>
          <t>https://africanmarketingconfederation.org/amc-conference-2022</t>
        </is>
      </c>
      <c r="B8" s="22" t="inlineStr"/>
      <c r="C8" s="22" t="n">
        <v>0</v>
      </c>
      <c r="D8" s="22" t="n">
        <v>0</v>
      </c>
      <c r="E8" s="22" t="inlineStr">
        <is>
          <t>AMC Conference 2022 – African Marketing Confederation</t>
        </is>
      </c>
      <c r="F8" s="22"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G8" s="22" t="inlineStr">
        <is>
          <t>https://africanmarketingconfederation.org/wp-content/uploads/2026/03/og-image.png</t>
        </is>
      </c>
      <c r="H8" s="3" t="b">
        <v>1</v>
      </c>
      <c r="I8" s="22" t="inlineStr">
        <is>
          <t>summary_large_image</t>
        </is>
      </c>
      <c r="J8" s="22" t="inlineStr">
        <is>
          <t>Open</t>
        </is>
      </c>
      <c r="K8" s="22" t="inlineStr"/>
      <c r="L8" s="24" t="n"/>
    </row>
    <row r="9" ht="30" customHeight="1">
      <c r="A9" s="42" t="inlineStr">
        <is>
          <t>https://africanmarketingconfederation.org/amc-conference-2023</t>
        </is>
      </c>
      <c r="B9" s="4" t="inlineStr"/>
      <c r="C9" s="4" t="n">
        <v>0</v>
      </c>
      <c r="D9" s="4" t="n">
        <v>0</v>
      </c>
      <c r="E9" s="4" t="inlineStr">
        <is>
          <t>AMC Conference 2023 – African Marketing Confederation</t>
        </is>
      </c>
      <c r="F9" s="4"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G9" s="4" t="inlineStr">
        <is>
          <t>https://africanmarketingconfederation.org/wp-content/uploads/2021/08/amc_faw.png</t>
        </is>
      </c>
      <c r="H9" s="3" t="b">
        <v>1</v>
      </c>
      <c r="I9" s="4" t="inlineStr">
        <is>
          <t>summary_large_image</t>
        </is>
      </c>
      <c r="J9" s="4" t="inlineStr">
        <is>
          <t>Open</t>
        </is>
      </c>
      <c r="K9" s="4" t="inlineStr"/>
    </row>
    <row r="10" ht="30" customHeight="1">
      <c r="A10" s="40" t="inlineStr">
        <is>
          <t>https://africanmarketingconfederation.org/amc-conference-2023/amc-awards-book-now</t>
        </is>
      </c>
      <c r="B10" s="22" t="inlineStr"/>
      <c r="C10" s="22" t="n">
        <v>0</v>
      </c>
      <c r="D10" s="22" t="n">
        <v>0</v>
      </c>
      <c r="E10" s="22" t="inlineStr">
        <is>
          <t>AMC Awards | Book Now – African Marketing Confederation</t>
        </is>
      </c>
      <c r="F10" s="22" t="inlineStr"/>
      <c r="G10" s="22" t="inlineStr">
        <is>
          <t>https://africanmarketingconfederation.org/wp-content/uploads/2021/08/amc_faw.png</t>
        </is>
      </c>
      <c r="H10" s="36" t="b">
        <v>0</v>
      </c>
      <c r="I10" s="22" t="inlineStr">
        <is>
          <t>summary_large_image</t>
        </is>
      </c>
      <c r="J10" s="22" t="inlineStr">
        <is>
          <t>Open</t>
        </is>
      </c>
      <c r="K10" s="22" t="inlineStr"/>
      <c r="L10" s="24" t="n"/>
    </row>
    <row r="11" ht="30" customHeight="1">
      <c r="A11" s="42" t="inlineStr">
        <is>
          <t>https://africanmarketingconfederation.org/amc-conference-2023/amc-awards</t>
        </is>
      </c>
      <c r="B11" s="4" t="inlineStr"/>
      <c r="C11" s="4" t="n">
        <v>0</v>
      </c>
      <c r="D11" s="4" t="n">
        <v>0</v>
      </c>
      <c r="E11" s="4" t="inlineStr">
        <is>
          <t>AMC Awards – African Marketing Confederation</t>
        </is>
      </c>
      <c r="F11" s="4"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G11" s="4" t="inlineStr">
        <is>
          <t>https://africanmarketingconfederation.org/wp-content/uploads/2021/08/amc_faw.png</t>
        </is>
      </c>
      <c r="H11" s="3" t="b">
        <v>1</v>
      </c>
      <c r="I11" s="4" t="inlineStr">
        <is>
          <t>summary_large_image</t>
        </is>
      </c>
      <c r="J11" s="4" t="inlineStr">
        <is>
          <t>Open</t>
        </is>
      </c>
      <c r="K11" s="4" t="inlineStr"/>
    </row>
  </sheetData>
  <autoFilter ref="A1:L11"/>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G Title" prompt="OG Title. Review this metric to identify risk, then use linked tabs for details and remediation." type="custom">
      <formula1>TRUE</formula1>
    </dataValidation>
    <dataValidation sqref="F1" showDropDown="0" showInputMessage="1" showErrorMessage="0" allowBlank="1" promptTitle="OG Description" prompt="OG Description. Review this metric to identify risk, then use linked tabs for details and remediation." type="custom">
      <formula1>TRUE</formula1>
    </dataValidation>
    <dataValidation sqref="G1" showDropDown="0" showInputMessage="1" showErrorMessage="0" allowBlank="1" promptTitle="OG Image" prompt="OG Image. Review this metric to identify risk, then use linked tabs for details and remediation." type="custom">
      <formula1>TRUE</formula1>
    </dataValidation>
    <dataValidation sqref="H1" showDropDown="0" showInputMessage="1" showErrorMessage="0" allowBlank="1" promptTitle="Open Graph Complete" prompt="Open Graph Complete. Review this metric to identify risk, then use linked tabs for details and remediation." type="custom">
      <formula1>TRUE</formula1>
    </dataValidation>
    <dataValidation sqref="I1" showDropDown="0" showInputMessage="1" showErrorMessage="0" allowBlank="1" promptTitle="Twitter Card Type" prompt="Twitter Card Type. Review this metric to identify risk, then use linked tabs for details and remediation." type="custom">
      <formula1>TRUE</formula1>
    </dataValidation>
    <dataValidation sqref="J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60" customWidth="1" min="10" max="10"/>
    <col width="14" customWidth="1" min="11" max="11"/>
    <col width="19" customWidth="1" min="12" max="12"/>
  </cols>
  <sheetData>
    <row r="1">
      <c r="A1" s="21" t="inlineStr">
        <is>
          <t>URL</t>
        </is>
      </c>
      <c r="B1" s="21" t="inlineStr">
        <is>
          <t>Internal Links Count</t>
        </is>
      </c>
      <c r="C1" s="21" t="inlineStr">
        <is>
          <t>Unique Internal Links Count</t>
        </is>
      </c>
      <c r="D1" s="21" t="inlineStr">
        <is>
          <t>Broken Internal Links Count</t>
        </is>
      </c>
      <c r="E1" s="21" t="inlineStr">
        <is>
          <t>Unresolved Internal Links Count</t>
        </is>
      </c>
      <c r="F1" s="21" t="inlineStr">
        <is>
          <t>Generic Anchor Text Count</t>
        </is>
      </c>
      <c r="G1" s="21" t="inlineStr">
        <is>
          <t>External Links Count</t>
        </is>
      </c>
      <c r="H1" s="21" t="inlineStr">
        <is>
          <t>Nofollow Internal Links Count</t>
        </is>
      </c>
      <c r="I1" s="21" t="inlineStr">
        <is>
          <t>Nofollow External Links Count</t>
        </is>
      </c>
      <c r="J1" s="21" t="inlineStr">
        <is>
          <t>Internal Link Statuses</t>
        </is>
      </c>
      <c r="K1" s="21" t="inlineStr">
        <is>
          <t>Open in Main</t>
        </is>
      </c>
      <c r="L1" s="21" t="inlineStr">
        <is>
          <t>BACK TO DASHBOARD</t>
        </is>
      </c>
      <c r="M1" s="23" t="inlineStr">
        <is>
          <t>BACK TO DASHBOARD_1</t>
        </is>
      </c>
    </row>
    <row r="2" ht="120" customHeight="1">
      <c r="A2" s="40" t="inlineStr">
        <is>
          <t>https://africanmarketingconfederation.org/about-us</t>
        </is>
      </c>
      <c r="B2" s="22" t="n">
        <v>32</v>
      </c>
      <c r="C2" s="22" t="n">
        <v>14</v>
      </c>
      <c r="D2" s="25" t="n">
        <v>1</v>
      </c>
      <c r="E2" s="22" t="n">
        <v>0</v>
      </c>
      <c r="F2" s="3" t="n">
        <v>0</v>
      </c>
      <c r="G2" s="22" t="n">
        <v>7</v>
      </c>
      <c r="H2" s="22" t="n">
        <v>0</v>
      </c>
      <c r="I2" s="22" t="n">
        <v>0</v>
      </c>
      <c r="J2" s="2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2" s="22" t="inlineStr">
        <is>
          <t>Open</t>
        </is>
      </c>
      <c r="L2" s="22" t="inlineStr"/>
      <c r="M2" s="24" t="n"/>
    </row>
    <row r="3" ht="120" customHeight="1">
      <c r="A3" s="42" t="inlineStr">
        <is>
          <t>https://africanmarketingconfederation.org/</t>
        </is>
      </c>
      <c r="B3" s="4" t="n">
        <v>63</v>
      </c>
      <c r="C3" s="4" t="n">
        <v>22</v>
      </c>
      <c r="D3" s="25" t="n">
        <v>1</v>
      </c>
      <c r="E3" s="4" t="n">
        <v>0</v>
      </c>
      <c r="F3" s="25" t="n">
        <v>3</v>
      </c>
      <c r="G3" s="4" t="n">
        <v>2</v>
      </c>
      <c r="H3" s="4" t="n">
        <v>0</v>
      </c>
      <c r="I3" s="4" t="n">
        <v>0</v>
      </c>
      <c r="J3" s="4" t="inlineStr">
        <is>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is>
      </c>
      <c r="K3" s="4" t="inlineStr">
        <is>
          <t>Open</t>
        </is>
      </c>
      <c r="L3" s="4" t="inlineStr"/>
    </row>
    <row r="4" ht="120" customHeight="1">
      <c r="A4" s="40" t="inlineStr">
        <is>
          <t>https://africanmarketingconfederation.org/african-marketing-confederation-tourism-chapter</t>
        </is>
      </c>
      <c r="B4" s="22" t="n">
        <v>58</v>
      </c>
      <c r="C4" s="22" t="n">
        <v>15</v>
      </c>
      <c r="D4" s="25" t="n">
        <v>1</v>
      </c>
      <c r="E4" s="22" t="n">
        <v>0</v>
      </c>
      <c r="F4" s="3" t="n">
        <v>0</v>
      </c>
      <c r="G4" s="22" t="n">
        <v>3</v>
      </c>
      <c r="H4" s="22" t="n">
        <v>0</v>
      </c>
      <c r="I4" s="22" t="n">
        <v>0</v>
      </c>
      <c r="J4" s="2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4" s="22" t="inlineStr">
        <is>
          <t>Open</t>
        </is>
      </c>
      <c r="L4" s="22" t="inlineStr"/>
      <c r="M4" s="24" t="n"/>
    </row>
    <row r="5" ht="120" customHeight="1">
      <c r="A5" s="42" t="inlineStr">
        <is>
          <t>https://africanmarketingconfederation.org/amc-awards-2024</t>
        </is>
      </c>
      <c r="B5" s="4" t="n">
        <v>16</v>
      </c>
      <c r="C5" s="4" t="n">
        <v>9</v>
      </c>
      <c r="D5" s="25" t="n">
        <v>1</v>
      </c>
      <c r="E5" s="4" t="n">
        <v>0</v>
      </c>
      <c r="F5" s="3" t="n">
        <v>0</v>
      </c>
      <c r="G5" s="4" t="n">
        <v>4</v>
      </c>
      <c r="H5" s="4" t="n">
        <v>0</v>
      </c>
      <c r="I5" s="4" t="n">
        <v>0</v>
      </c>
      <c r="J5" s="4" t="inlineStr">
        <is>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is>
      </c>
      <c r="K5" s="4" t="inlineStr">
        <is>
          <t>Open</t>
        </is>
      </c>
      <c r="L5" s="4" t="inlineStr"/>
    </row>
    <row r="6" ht="120" customHeight="1">
      <c r="A6" s="40" t="inlineStr">
        <is>
          <t>https://africanmarketingconfederation.org/amc-conference-2022-prospectus</t>
        </is>
      </c>
      <c r="B6" s="22" t="n">
        <v>32</v>
      </c>
      <c r="C6" s="22" t="n">
        <v>14</v>
      </c>
      <c r="D6" s="25" t="n">
        <v>1</v>
      </c>
      <c r="E6" s="22" t="n">
        <v>0</v>
      </c>
      <c r="F6" s="3" t="n">
        <v>0</v>
      </c>
      <c r="G6" s="22" t="n">
        <v>4</v>
      </c>
      <c r="H6" s="22" t="n">
        <v>0</v>
      </c>
      <c r="I6" s="22" t="n">
        <v>0</v>
      </c>
      <c r="J6" s="2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6" s="22" t="inlineStr">
        <is>
          <t>Open</t>
        </is>
      </c>
      <c r="L6" s="22" t="inlineStr"/>
      <c r="M6" s="24" t="n"/>
    </row>
    <row r="7" ht="120" customHeight="1">
      <c r="A7" s="42" t="inlineStr">
        <is>
          <t>https://africanmarketingconfederation.org/amc-conference-2022-thank-you</t>
        </is>
      </c>
      <c r="B7" s="4" t="n">
        <v>32</v>
      </c>
      <c r="C7" s="4" t="n">
        <v>15</v>
      </c>
      <c r="D7" s="25" t="n">
        <v>2</v>
      </c>
      <c r="E7" s="4" t="n">
        <v>0</v>
      </c>
      <c r="F7" s="3" t="n">
        <v>0</v>
      </c>
      <c r="G7" s="4" t="n">
        <v>2</v>
      </c>
      <c r="H7" s="4" t="n">
        <v>0</v>
      </c>
      <c r="I7" s="4" t="n">
        <v>0</v>
      </c>
      <c r="J7" s="4"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is>
      </c>
      <c r="K7" s="4" t="inlineStr">
        <is>
          <t>Open</t>
        </is>
      </c>
      <c r="L7" s="4" t="inlineStr"/>
    </row>
    <row r="8" ht="120" customHeight="1">
      <c r="A8" s="40" t="inlineStr">
        <is>
          <t>https://africanmarketingconfederation.org/amc-conference-2022</t>
        </is>
      </c>
      <c r="B8" s="22" t="n">
        <v>99</v>
      </c>
      <c r="C8" s="22" t="n">
        <v>64</v>
      </c>
      <c r="D8" s="25" t="n">
        <v>1</v>
      </c>
      <c r="E8" s="22" t="n">
        <v>0</v>
      </c>
      <c r="F8" s="3" t="n">
        <v>0</v>
      </c>
      <c r="G8" s="22" t="n">
        <v>3</v>
      </c>
      <c r="H8" s="22" t="n">
        <v>0</v>
      </c>
      <c r="I8" s="22" t="n">
        <v>0</v>
      </c>
      <c r="J8" s="22" t="inlineStr">
        <is>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is>
      </c>
      <c r="K8" s="22" t="inlineStr">
        <is>
          <t>Open</t>
        </is>
      </c>
      <c r="L8" s="22" t="inlineStr"/>
      <c r="M8" s="24" t="n"/>
    </row>
    <row r="9" ht="120" customHeight="1">
      <c r="A9" s="42" t="inlineStr">
        <is>
          <t>https://africanmarketingconfederation.org/amc-conference-2023</t>
        </is>
      </c>
      <c r="B9" s="4" t="n">
        <v>41</v>
      </c>
      <c r="C9" s="4" t="n">
        <v>33</v>
      </c>
      <c r="D9" s="25" t="n">
        <v>2</v>
      </c>
      <c r="E9" s="4" t="n">
        <v>0</v>
      </c>
      <c r="F9" s="3" t="n">
        <v>0</v>
      </c>
      <c r="G9" s="4" t="n">
        <v>13</v>
      </c>
      <c r="H9" s="4" t="n">
        <v>0</v>
      </c>
      <c r="I9" s="4" t="n">
        <v>0</v>
      </c>
      <c r="J9" s="4" t="inlineStr">
        <is>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is>
      </c>
      <c r="K9" s="4" t="inlineStr">
        <is>
          <t>Open</t>
        </is>
      </c>
      <c r="L9" s="4" t="inlineStr"/>
    </row>
    <row r="10" ht="120" customHeight="1">
      <c r="A10" s="40" t="inlineStr">
        <is>
          <t>https://africanmarketingconfederation.org/amc-conference-2023/amc-awards-book-now</t>
        </is>
      </c>
      <c r="B10" s="22" t="n">
        <v>19</v>
      </c>
      <c r="C10" s="22" t="n">
        <v>10</v>
      </c>
      <c r="D10" s="25" t="n">
        <v>1</v>
      </c>
      <c r="E10" s="22" t="n">
        <v>0</v>
      </c>
      <c r="F10" s="3" t="n">
        <v>0</v>
      </c>
      <c r="G10" s="22" t="n">
        <v>2</v>
      </c>
      <c r="H10" s="22" t="n">
        <v>0</v>
      </c>
      <c r="I10" s="22" t="n">
        <v>0</v>
      </c>
      <c r="J10" s="22"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is>
      </c>
      <c r="K10" s="22" t="inlineStr">
        <is>
          <t>Open</t>
        </is>
      </c>
      <c r="L10" s="22" t="inlineStr"/>
      <c r="M10" s="24" t="n"/>
    </row>
    <row r="11" ht="120" customHeight="1">
      <c r="A11" s="42" t="inlineStr">
        <is>
          <t>https://africanmarketingconfederation.org/amc-conference-2023/amc-awards</t>
        </is>
      </c>
      <c r="B11" s="4" t="n">
        <v>19</v>
      </c>
      <c r="C11" s="4" t="n">
        <v>10</v>
      </c>
      <c r="D11" s="25" t="n">
        <v>1</v>
      </c>
      <c r="E11" s="4" t="n">
        <v>0</v>
      </c>
      <c r="F11" s="3" t="n">
        <v>0</v>
      </c>
      <c r="G11" s="4" t="n">
        <v>2</v>
      </c>
      <c r="H11" s="4" t="n">
        <v>0</v>
      </c>
      <c r="I11" s="4" t="n">
        <v>0</v>
      </c>
      <c r="J11" s="4"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is>
      </c>
      <c r="K11" s="4" t="inlineStr">
        <is>
          <t>Open</t>
        </is>
      </c>
      <c r="L11" s="4" t="inlineStr"/>
    </row>
  </sheetData>
  <autoFilter ref="A1:M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14" customWidth="1" min="3" max="3"/>
    <col width="21" customWidth="1" min="4" max="4"/>
    <col width="45" customWidth="1" min="5" max="5"/>
    <col width="16" customWidth="1" min="6" max="6"/>
    <col width="29" customWidth="1" min="7" max="7"/>
    <col width="28" customWidth="1" min="8" max="8"/>
    <col width="25" customWidth="1" min="9" max="9"/>
    <col width="14" customWidth="1" min="10" max="10"/>
    <col width="45" customWidth="1" min="11" max="11"/>
    <col width="14" customWidth="1" min="12" max="12"/>
    <col width="19" customWidth="1" min="13" max="13"/>
  </cols>
  <sheetData>
    <row r="1">
      <c r="A1" s="21" t="inlineStr">
        <is>
          <t>URL</t>
        </is>
      </c>
      <c r="B1" s="21" t="inlineStr">
        <is>
          <t>Status Code</t>
        </is>
      </c>
      <c r="C1" s="21" t="inlineStr">
        <is>
          <t>Status Class</t>
        </is>
      </c>
      <c r="D1" s="21" t="inlineStr">
        <is>
          <t>Indexability Reason</t>
        </is>
      </c>
      <c r="E1" s="21" t="inlineStr">
        <is>
          <t>Canonical URL</t>
        </is>
      </c>
      <c r="F1" s="21" t="inlineStr">
        <is>
          <t>Canonical Type</t>
        </is>
      </c>
      <c r="G1" s="21" t="inlineStr">
        <is>
          <t>Canonical Matches Final URL</t>
        </is>
      </c>
      <c r="H1" s="21" t="inlineStr">
        <is>
          <t>Canonical in Sitemap Match</t>
        </is>
      </c>
      <c r="I1" s="21" t="inlineStr">
        <is>
          <t>Meta Robots Raw</t>
        </is>
      </c>
      <c r="J1" s="21" t="inlineStr">
        <is>
          <t>X-Robots-Tag</t>
        </is>
      </c>
      <c r="K1" s="21" t="inlineStr">
        <is>
          <t>Final URL</t>
        </is>
      </c>
      <c r="L1" s="21" t="inlineStr">
        <is>
          <t>Open in Main</t>
        </is>
      </c>
      <c r="M1" s="21" t="inlineStr">
        <is>
          <t>BACK TO DASHBOARD</t>
        </is>
      </c>
      <c r="N1" s="23" t="inlineStr">
        <is>
          <t>BACK TO DASHBOARD_1</t>
        </is>
      </c>
    </row>
    <row r="2" ht="30" customHeight="1">
      <c r="A2" s="40" t="inlineStr">
        <is>
          <t>https://africanmarketingconfederation.org/about-us</t>
        </is>
      </c>
      <c r="B2" s="3" t="n">
        <v>200</v>
      </c>
      <c r="C2" s="22" t="inlineStr">
        <is>
          <t>2xx</t>
        </is>
      </c>
      <c r="D2" s="3" t="inlineStr">
        <is>
          <t>Indexable</t>
        </is>
      </c>
      <c r="E2" s="44" t="inlineStr">
        <is>
          <t>https://africanmarketingconfederation.org/about-us</t>
        </is>
      </c>
      <c r="F2" s="22" t="inlineStr">
        <is>
          <t>self</t>
        </is>
      </c>
      <c r="G2" s="47" t="b">
        <v>1</v>
      </c>
      <c r="H2" s="3" t="b">
        <v>1</v>
      </c>
      <c r="I2" s="22" t="inlineStr">
        <is>
          <t>max-image-preview:large</t>
        </is>
      </c>
      <c r="J2" s="22" t="inlineStr"/>
      <c r="K2" s="44" t="inlineStr">
        <is>
          <t>https://africanmarketingconfederation.org/about-us</t>
        </is>
      </c>
      <c r="L2" s="22" t="inlineStr">
        <is>
          <t>Open</t>
        </is>
      </c>
      <c r="M2" s="22" t="inlineStr"/>
      <c r="N2" s="24" t="n"/>
    </row>
    <row r="3">
      <c r="A3" s="42" t="inlineStr">
        <is>
          <t>https://africanmarketingconfederation.org/</t>
        </is>
      </c>
      <c r="B3" s="3" t="n">
        <v>200</v>
      </c>
      <c r="C3" s="4" t="inlineStr">
        <is>
          <t>2xx</t>
        </is>
      </c>
      <c r="D3" s="3" t="inlineStr">
        <is>
          <t>Indexable</t>
        </is>
      </c>
      <c r="E3" s="46" t="inlineStr">
        <is>
          <t>https://africanmarketingconfederation.org/</t>
        </is>
      </c>
      <c r="F3" s="4" t="inlineStr">
        <is>
          <t>self</t>
        </is>
      </c>
      <c r="G3" s="47" t="b">
        <v>1</v>
      </c>
      <c r="H3" s="3" t="b">
        <v>1</v>
      </c>
      <c r="I3" s="4" t="inlineStr">
        <is>
          <t>max-image-preview:large</t>
        </is>
      </c>
      <c r="J3" s="4" t="inlineStr"/>
      <c r="K3" s="46" t="inlineStr">
        <is>
          <t>https://africanmarketingconfederation.org/</t>
        </is>
      </c>
      <c r="L3" s="4" t="inlineStr">
        <is>
          <t>Open</t>
        </is>
      </c>
      <c r="M3" s="4" t="inlineStr"/>
    </row>
    <row r="4" ht="30" customHeight="1">
      <c r="A4" s="40" t="inlineStr">
        <is>
          <t>https://africanmarketingconfederation.org/african-marketing-confederation-tourism-chapter</t>
        </is>
      </c>
      <c r="B4" s="3" t="n">
        <v>200</v>
      </c>
      <c r="C4" s="22" t="inlineStr">
        <is>
          <t>2xx</t>
        </is>
      </c>
      <c r="D4" s="3" t="inlineStr">
        <is>
          <t>Indexable</t>
        </is>
      </c>
      <c r="E4" s="44" t="inlineStr">
        <is>
          <t>https://africanmarketingconfederation.org/african-marketing-confederation-tourism-chapter</t>
        </is>
      </c>
      <c r="F4" s="22" t="inlineStr">
        <is>
          <t>self</t>
        </is>
      </c>
      <c r="G4" s="47" t="b">
        <v>1</v>
      </c>
      <c r="H4" s="3" t="b">
        <v>1</v>
      </c>
      <c r="I4" s="22" t="inlineStr">
        <is>
          <t>max-image-preview:large</t>
        </is>
      </c>
      <c r="J4" s="22" t="inlineStr"/>
      <c r="K4" s="44" t="inlineStr">
        <is>
          <t>https://africanmarketingconfederation.org/african-marketing-confederation-tourism-chapter</t>
        </is>
      </c>
      <c r="L4" s="22" t="inlineStr">
        <is>
          <t>Open</t>
        </is>
      </c>
      <c r="M4" s="22" t="inlineStr"/>
      <c r="N4" s="24" t="n"/>
    </row>
    <row r="5" ht="30" customHeight="1">
      <c r="A5" s="42" t="inlineStr">
        <is>
          <t>https://africanmarketingconfederation.org/amc-awards-2024</t>
        </is>
      </c>
      <c r="B5" s="3" t="n">
        <v>200</v>
      </c>
      <c r="C5" s="4" t="inlineStr">
        <is>
          <t>2xx</t>
        </is>
      </c>
      <c r="D5" s="3" t="inlineStr">
        <is>
          <t>Indexable</t>
        </is>
      </c>
      <c r="E5" s="46" t="inlineStr">
        <is>
          <t>https://africanmarketingconfederation.org/amc-awards-2024</t>
        </is>
      </c>
      <c r="F5" s="4" t="inlineStr">
        <is>
          <t>self</t>
        </is>
      </c>
      <c r="G5" s="47" t="b">
        <v>1</v>
      </c>
      <c r="H5" s="3" t="b">
        <v>1</v>
      </c>
      <c r="I5" s="4" t="inlineStr">
        <is>
          <t>max-image-preview:large</t>
        </is>
      </c>
      <c r="J5" s="4" t="inlineStr"/>
      <c r="K5" s="46" t="inlineStr">
        <is>
          <t>https://africanmarketingconfederation.org/amc-awards-2024</t>
        </is>
      </c>
      <c r="L5" s="4" t="inlineStr">
        <is>
          <t>Open</t>
        </is>
      </c>
      <c r="M5" s="4" t="inlineStr"/>
    </row>
    <row r="6" ht="30" customHeight="1">
      <c r="A6" s="40" t="inlineStr">
        <is>
          <t>https://africanmarketingconfederation.org/amc-conference-2022-prospectus</t>
        </is>
      </c>
      <c r="B6" s="3" t="n">
        <v>200</v>
      </c>
      <c r="C6" s="22" t="inlineStr">
        <is>
          <t>2xx</t>
        </is>
      </c>
      <c r="D6" s="3" t="inlineStr">
        <is>
          <t>Indexable</t>
        </is>
      </c>
      <c r="E6" s="44" t="inlineStr">
        <is>
          <t>https://africanmarketingconfederation.org/amc-conference-2022-prospectus</t>
        </is>
      </c>
      <c r="F6" s="22" t="inlineStr">
        <is>
          <t>self</t>
        </is>
      </c>
      <c r="G6" s="47" t="b">
        <v>1</v>
      </c>
      <c r="H6" s="3" t="b">
        <v>1</v>
      </c>
      <c r="I6" s="22" t="inlineStr">
        <is>
          <t>max-image-preview:large</t>
        </is>
      </c>
      <c r="J6" s="22" t="inlineStr"/>
      <c r="K6" s="44" t="inlineStr">
        <is>
          <t>https://africanmarketingconfederation.org/amc-conference-2022-prospectus</t>
        </is>
      </c>
      <c r="L6" s="22" t="inlineStr">
        <is>
          <t>Open</t>
        </is>
      </c>
      <c r="M6" s="22" t="inlineStr"/>
      <c r="N6" s="24" t="n"/>
    </row>
    <row r="7" ht="30" customHeight="1">
      <c r="A7" s="42" t="inlineStr">
        <is>
          <t>https://africanmarketingconfederation.org/amc-conference-2022-thank-you</t>
        </is>
      </c>
      <c r="B7" s="3" t="n">
        <v>200</v>
      </c>
      <c r="C7" s="4" t="inlineStr">
        <is>
          <t>2xx</t>
        </is>
      </c>
      <c r="D7" s="3" t="inlineStr">
        <is>
          <t>Indexable</t>
        </is>
      </c>
      <c r="E7" s="46" t="inlineStr">
        <is>
          <t>https://africanmarketingconfederation.org/amc-conference-2022-thank-you</t>
        </is>
      </c>
      <c r="F7" s="4" t="inlineStr">
        <is>
          <t>self</t>
        </is>
      </c>
      <c r="G7" s="47" t="b">
        <v>1</v>
      </c>
      <c r="H7" s="3" t="b">
        <v>1</v>
      </c>
      <c r="I7" s="4" t="inlineStr">
        <is>
          <t>max-image-preview:large</t>
        </is>
      </c>
      <c r="J7" s="4" t="inlineStr"/>
      <c r="K7" s="46" t="inlineStr">
        <is>
          <t>https://africanmarketingconfederation.org/amc-conference-2022-thank-you</t>
        </is>
      </c>
      <c r="L7" s="4" t="inlineStr">
        <is>
          <t>Open</t>
        </is>
      </c>
      <c r="M7" s="4" t="inlineStr"/>
    </row>
    <row r="8" ht="30" customHeight="1">
      <c r="A8" s="40" t="inlineStr">
        <is>
          <t>https://africanmarketingconfederation.org/amc-conference-2022</t>
        </is>
      </c>
      <c r="B8" s="3" t="n">
        <v>200</v>
      </c>
      <c r="C8" s="22" t="inlineStr">
        <is>
          <t>2xx</t>
        </is>
      </c>
      <c r="D8" s="3" t="inlineStr">
        <is>
          <t>Indexable</t>
        </is>
      </c>
      <c r="E8" s="44" t="inlineStr">
        <is>
          <t>https://africanmarketingconfederation.org/amc-conference-2022</t>
        </is>
      </c>
      <c r="F8" s="22" t="inlineStr">
        <is>
          <t>self</t>
        </is>
      </c>
      <c r="G8" s="47" t="b">
        <v>1</v>
      </c>
      <c r="H8" s="3" t="b">
        <v>1</v>
      </c>
      <c r="I8" s="22" t="inlineStr">
        <is>
          <t>max-image-preview:large</t>
        </is>
      </c>
      <c r="J8" s="22" t="inlineStr"/>
      <c r="K8" s="44" t="inlineStr">
        <is>
          <t>https://africanmarketingconfederation.org/amc-conference-2022</t>
        </is>
      </c>
      <c r="L8" s="22" t="inlineStr">
        <is>
          <t>Open</t>
        </is>
      </c>
      <c r="M8" s="22" t="inlineStr"/>
      <c r="N8" s="24" t="n"/>
    </row>
    <row r="9" ht="30" customHeight="1">
      <c r="A9" s="42" t="inlineStr">
        <is>
          <t>https://africanmarketingconfederation.org/amc-conference-2023</t>
        </is>
      </c>
      <c r="B9" s="3" t="n">
        <v>200</v>
      </c>
      <c r="C9" s="4" t="inlineStr">
        <is>
          <t>2xx</t>
        </is>
      </c>
      <c r="D9" s="3" t="inlineStr">
        <is>
          <t>Indexable</t>
        </is>
      </c>
      <c r="E9" s="46" t="inlineStr">
        <is>
          <t>https://africanmarketingconfederation.org/amc-conference-2023</t>
        </is>
      </c>
      <c r="F9" s="4" t="inlineStr">
        <is>
          <t>self</t>
        </is>
      </c>
      <c r="G9" s="47" t="b">
        <v>1</v>
      </c>
      <c r="H9" s="3" t="b">
        <v>1</v>
      </c>
      <c r="I9" s="4" t="inlineStr">
        <is>
          <t>max-image-preview:large</t>
        </is>
      </c>
      <c r="J9" s="4" t="inlineStr"/>
      <c r="K9" s="46" t="inlineStr">
        <is>
          <t>https://africanmarketingconfederation.org/amc-conference-2023</t>
        </is>
      </c>
      <c r="L9" s="4" t="inlineStr">
        <is>
          <t>Open</t>
        </is>
      </c>
      <c r="M9" s="4" t="inlineStr"/>
    </row>
    <row r="10" ht="30" customHeight="1">
      <c r="A10" s="40" t="inlineStr">
        <is>
          <t>https://africanmarketingconfederation.org/amc-conference-2023/amc-awards-book-now</t>
        </is>
      </c>
      <c r="B10" s="3" t="n">
        <v>200</v>
      </c>
      <c r="C10" s="22" t="inlineStr">
        <is>
          <t>2xx</t>
        </is>
      </c>
      <c r="D10" s="3" t="inlineStr">
        <is>
          <t>Indexable</t>
        </is>
      </c>
      <c r="E10" s="44" t="inlineStr">
        <is>
          <t>https://africanmarketingconfederation.org/amc-conference-2023/amc-awards-book-now</t>
        </is>
      </c>
      <c r="F10" s="22" t="inlineStr">
        <is>
          <t>self</t>
        </is>
      </c>
      <c r="G10" s="47" t="b">
        <v>1</v>
      </c>
      <c r="H10" s="3" t="b">
        <v>1</v>
      </c>
      <c r="I10" s="22" t="inlineStr">
        <is>
          <t>max-image-preview:large</t>
        </is>
      </c>
      <c r="J10" s="22" t="inlineStr"/>
      <c r="K10" s="44" t="inlineStr">
        <is>
          <t>https://africanmarketingconfederation.org/amc-conference-2023/amc-awards-book-now</t>
        </is>
      </c>
      <c r="L10" s="22" t="inlineStr">
        <is>
          <t>Open</t>
        </is>
      </c>
      <c r="M10" s="22" t="inlineStr"/>
      <c r="N10" s="24" t="n"/>
    </row>
    <row r="11" ht="30" customHeight="1">
      <c r="A11" s="42" t="inlineStr">
        <is>
          <t>https://africanmarketingconfederation.org/amc-conference-2023/amc-awards</t>
        </is>
      </c>
      <c r="B11" s="3" t="n">
        <v>200</v>
      </c>
      <c r="C11" s="4" t="inlineStr">
        <is>
          <t>2xx</t>
        </is>
      </c>
      <c r="D11" s="3" t="inlineStr">
        <is>
          <t>Indexable</t>
        </is>
      </c>
      <c r="E11" s="46" t="inlineStr">
        <is>
          <t>https://africanmarketingconfederation.org/amc-conference-2023/amc-awards</t>
        </is>
      </c>
      <c r="F11" s="4" t="inlineStr">
        <is>
          <t>self</t>
        </is>
      </c>
      <c r="G11" s="47" t="b">
        <v>1</v>
      </c>
      <c r="H11" s="3" t="b">
        <v>1</v>
      </c>
      <c r="I11" s="4" t="inlineStr">
        <is>
          <t>max-image-preview:large</t>
        </is>
      </c>
      <c r="J11" s="4" t="inlineStr"/>
      <c r="K11" s="46" t="inlineStr">
        <is>
          <t>https://africanmarketingconfederation.org/amc-conference-2023/amc-awards</t>
        </is>
      </c>
      <c r="L11" s="4" t="inlineStr">
        <is>
          <t>Open</t>
        </is>
      </c>
      <c r="M11" s="4" t="inlineStr"/>
    </row>
  </sheetData>
  <autoFilter ref="A1:N11"/>
  <conditionalFormatting sqref="B2:B11">
    <cfRule type="cellIs" priority="1" operator="equal" dxfId="3">
      <formula>200</formula>
    </cfRule>
    <cfRule type="cellIs" priority="2" operator="between" dxfId="6">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 width="14" customWidth="1" min="9" max="9"/>
    <col width="19" customWidth="1" min="10" max="10"/>
  </cols>
  <sheetData>
    <row r="1">
      <c r="A1" s="21" t="inlineStr">
        <is>
          <t>URL</t>
        </is>
      </c>
      <c r="B1" s="21" t="inlineStr">
        <is>
          <t>Status Code</t>
        </is>
      </c>
      <c r="C1" s="21" t="inlineStr">
        <is>
          <t>Final URL</t>
        </is>
      </c>
      <c r="D1" s="21" t="inlineStr">
        <is>
          <t>Redirect Chain Length</t>
        </is>
      </c>
      <c r="E1" s="21" t="inlineStr">
        <is>
          <t>Redirect Target</t>
        </is>
      </c>
      <c r="F1" s="21" t="inlineStr">
        <is>
          <t>Redirect Hops</t>
        </is>
      </c>
      <c r="G1" s="21" t="inlineStr">
        <is>
          <t>HTTP-&gt;HTTPS Redirect</t>
        </is>
      </c>
      <c r="H1" s="21" t="inlineStr">
        <is>
          <t>Redirect Loop Flag</t>
        </is>
      </c>
      <c r="I1" s="21" t="inlineStr">
        <is>
          <t>Open in Main</t>
        </is>
      </c>
      <c r="J1" s="21" t="inlineStr">
        <is>
          <t>BACK TO DASHBOARD</t>
        </is>
      </c>
      <c r="K1" s="23" t="inlineStr">
        <is>
          <t>BACK TO DASHBOARD_1</t>
        </is>
      </c>
    </row>
    <row r="2" ht="30" customHeight="1">
      <c r="A2" s="40" t="inlineStr">
        <is>
          <t>https://africanmarketingconfederation.org/about-us</t>
        </is>
      </c>
      <c r="B2" s="3" t="n">
        <v>200</v>
      </c>
      <c r="C2" s="44" t="inlineStr">
        <is>
          <t>https://africanmarketingconfederation.org/about-us</t>
        </is>
      </c>
      <c r="D2" s="22" t="n">
        <v>0</v>
      </c>
      <c r="E2" s="22" t="inlineStr"/>
      <c r="F2" s="44" t="inlineStr"/>
      <c r="G2" s="22" t="b">
        <v>0</v>
      </c>
      <c r="H2" s="3" t="b">
        <v>0</v>
      </c>
      <c r="I2" s="22" t="inlineStr">
        <is>
          <t>Open</t>
        </is>
      </c>
      <c r="J2" s="22" t="inlineStr"/>
      <c r="K2" s="24" t="n"/>
    </row>
    <row r="3">
      <c r="A3" s="42" t="inlineStr">
        <is>
          <t>https://africanmarketingconfederation.org/</t>
        </is>
      </c>
      <c r="B3" s="3" t="n">
        <v>200</v>
      </c>
      <c r="C3" s="46" t="inlineStr">
        <is>
          <t>https://africanmarketingconfederation.org/</t>
        </is>
      </c>
      <c r="D3" s="4" t="n">
        <v>0</v>
      </c>
      <c r="E3" s="4" t="inlineStr"/>
      <c r="F3" s="46" t="inlineStr"/>
      <c r="G3" s="4" t="b">
        <v>0</v>
      </c>
      <c r="H3" s="3" t="b">
        <v>0</v>
      </c>
      <c r="I3" s="4" t="inlineStr">
        <is>
          <t>Open</t>
        </is>
      </c>
      <c r="J3" s="4" t="inlineStr"/>
    </row>
    <row r="4" ht="30" customHeight="1">
      <c r="A4" s="40" t="inlineStr">
        <is>
          <t>https://africanmarketingconfederation.org/african-marketing-confederation-tourism-chapter</t>
        </is>
      </c>
      <c r="B4" s="3" t="n">
        <v>200</v>
      </c>
      <c r="C4" s="44" t="inlineStr">
        <is>
          <t>https://africanmarketingconfederation.org/african-marketing-confederation-tourism-chapter</t>
        </is>
      </c>
      <c r="D4" s="22" t="n">
        <v>0</v>
      </c>
      <c r="E4" s="22" t="inlineStr"/>
      <c r="F4" s="44" t="inlineStr"/>
      <c r="G4" s="22" t="b">
        <v>0</v>
      </c>
      <c r="H4" s="3" t="b">
        <v>0</v>
      </c>
      <c r="I4" s="22" t="inlineStr">
        <is>
          <t>Open</t>
        </is>
      </c>
      <c r="J4" s="22" t="inlineStr"/>
      <c r="K4" s="24" t="n"/>
    </row>
    <row r="5" ht="30" customHeight="1">
      <c r="A5" s="42" t="inlineStr">
        <is>
          <t>https://africanmarketingconfederation.org/amc-awards-2024</t>
        </is>
      </c>
      <c r="B5" s="3" t="n">
        <v>200</v>
      </c>
      <c r="C5" s="46" t="inlineStr">
        <is>
          <t>https://africanmarketingconfederation.org/amc-awards-2024</t>
        </is>
      </c>
      <c r="D5" s="4" t="n">
        <v>0</v>
      </c>
      <c r="E5" s="4" t="inlineStr"/>
      <c r="F5" s="46" t="inlineStr"/>
      <c r="G5" s="4" t="b">
        <v>0</v>
      </c>
      <c r="H5" s="3" t="b">
        <v>0</v>
      </c>
      <c r="I5" s="4" t="inlineStr">
        <is>
          <t>Open</t>
        </is>
      </c>
      <c r="J5" s="4" t="inlineStr"/>
    </row>
    <row r="6" ht="30" customHeight="1">
      <c r="A6" s="40" t="inlineStr">
        <is>
          <t>https://africanmarketingconfederation.org/amc-conference-2022-prospectus</t>
        </is>
      </c>
      <c r="B6" s="3" t="n">
        <v>200</v>
      </c>
      <c r="C6" s="44" t="inlineStr">
        <is>
          <t>https://africanmarketingconfederation.org/amc-conference-2022-prospectus</t>
        </is>
      </c>
      <c r="D6" s="22" t="n">
        <v>0</v>
      </c>
      <c r="E6" s="22" t="inlineStr"/>
      <c r="F6" s="44" t="inlineStr"/>
      <c r="G6" s="22" t="b">
        <v>0</v>
      </c>
      <c r="H6" s="3" t="b">
        <v>0</v>
      </c>
      <c r="I6" s="22" t="inlineStr">
        <is>
          <t>Open</t>
        </is>
      </c>
      <c r="J6" s="22" t="inlineStr"/>
      <c r="K6" s="24" t="n"/>
    </row>
    <row r="7" ht="30" customHeight="1">
      <c r="A7" s="42" t="inlineStr">
        <is>
          <t>https://africanmarketingconfederation.org/amc-conference-2022-thank-you</t>
        </is>
      </c>
      <c r="B7" s="3" t="n">
        <v>200</v>
      </c>
      <c r="C7" s="46" t="inlineStr">
        <is>
          <t>https://africanmarketingconfederation.org/amc-conference-2022-thank-you</t>
        </is>
      </c>
      <c r="D7" s="4" t="n">
        <v>0</v>
      </c>
      <c r="E7" s="4" t="inlineStr"/>
      <c r="F7" s="46" t="inlineStr"/>
      <c r="G7" s="4" t="b">
        <v>0</v>
      </c>
      <c r="H7" s="3" t="b">
        <v>0</v>
      </c>
      <c r="I7" s="4" t="inlineStr">
        <is>
          <t>Open</t>
        </is>
      </c>
      <c r="J7" s="4" t="inlineStr"/>
    </row>
    <row r="8" ht="30" customHeight="1">
      <c r="A8" s="40" t="inlineStr">
        <is>
          <t>https://africanmarketingconfederation.org/amc-conference-2022</t>
        </is>
      </c>
      <c r="B8" s="3" t="n">
        <v>200</v>
      </c>
      <c r="C8" s="44" t="inlineStr">
        <is>
          <t>https://africanmarketingconfederation.org/amc-conference-2022</t>
        </is>
      </c>
      <c r="D8" s="22" t="n">
        <v>0</v>
      </c>
      <c r="E8" s="22" t="inlineStr"/>
      <c r="F8" s="44" t="inlineStr"/>
      <c r="G8" s="22" t="b">
        <v>0</v>
      </c>
      <c r="H8" s="3" t="b">
        <v>0</v>
      </c>
      <c r="I8" s="22" t="inlineStr">
        <is>
          <t>Open</t>
        </is>
      </c>
      <c r="J8" s="22" t="inlineStr"/>
      <c r="K8" s="24" t="n"/>
    </row>
    <row r="9" ht="30" customHeight="1">
      <c r="A9" s="42" t="inlineStr">
        <is>
          <t>https://africanmarketingconfederation.org/amc-conference-2023</t>
        </is>
      </c>
      <c r="B9" s="3" t="n">
        <v>200</v>
      </c>
      <c r="C9" s="46" t="inlineStr">
        <is>
          <t>https://africanmarketingconfederation.org/amc-conference-2023</t>
        </is>
      </c>
      <c r="D9" s="4" t="n">
        <v>0</v>
      </c>
      <c r="E9" s="4" t="inlineStr"/>
      <c r="F9" s="46" t="inlineStr"/>
      <c r="G9" s="4" t="b">
        <v>0</v>
      </c>
      <c r="H9" s="3" t="b">
        <v>0</v>
      </c>
      <c r="I9" s="4" t="inlineStr">
        <is>
          <t>Open</t>
        </is>
      </c>
      <c r="J9" s="4" t="inlineStr"/>
    </row>
    <row r="10" ht="30" customHeight="1">
      <c r="A10" s="40" t="inlineStr">
        <is>
          <t>https://africanmarketingconfederation.org/amc-conference-2023/amc-awards-book-now</t>
        </is>
      </c>
      <c r="B10" s="3" t="n">
        <v>200</v>
      </c>
      <c r="C10" s="44" t="inlineStr">
        <is>
          <t>https://africanmarketingconfederation.org/amc-conference-2023/amc-awards-book-now</t>
        </is>
      </c>
      <c r="D10" s="22" t="n">
        <v>0</v>
      </c>
      <c r="E10" s="22" t="inlineStr"/>
      <c r="F10" s="44" t="inlineStr"/>
      <c r="G10" s="22" t="b">
        <v>0</v>
      </c>
      <c r="H10" s="3" t="b">
        <v>0</v>
      </c>
      <c r="I10" s="22" t="inlineStr">
        <is>
          <t>Open</t>
        </is>
      </c>
      <c r="J10" s="22" t="inlineStr"/>
      <c r="K10" s="24" t="n"/>
    </row>
    <row r="11" ht="30" customHeight="1">
      <c r="A11" s="42" t="inlineStr">
        <is>
          <t>https://africanmarketingconfederation.org/amc-conference-2023/amc-awards</t>
        </is>
      </c>
      <c r="B11" s="3" t="n">
        <v>200</v>
      </c>
      <c r="C11" s="46" t="inlineStr">
        <is>
          <t>https://africanmarketingconfederation.org/amc-conference-2023/amc-awards</t>
        </is>
      </c>
      <c r="D11" s="4" t="n">
        <v>0</v>
      </c>
      <c r="E11" s="4" t="inlineStr"/>
      <c r="F11" s="46" t="inlineStr"/>
      <c r="G11" s="4" t="b">
        <v>0</v>
      </c>
      <c r="H11" s="3" t="b">
        <v>0</v>
      </c>
      <c r="I11" s="4" t="inlineStr">
        <is>
          <t>Open</t>
        </is>
      </c>
      <c r="J11" s="4" t="inlineStr"/>
    </row>
  </sheetData>
  <autoFilter ref="A1:K11"/>
  <conditionalFormatting sqref="B2:B11">
    <cfRule type="cellIs" priority="1" operator="equal" dxfId="3">
      <formula>200</formula>
    </cfRule>
    <cfRule type="cellIs" priority="2" operator="between" dxfId="6">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6" customWidth="1" min="3" max="3"/>
    <col width="18" customWidth="1" min="4" max="4"/>
    <col width="17" customWidth="1" min="5" max="5"/>
    <col width="21" customWidth="1" min="6" max="6"/>
    <col width="16" customWidth="1" min="7" max="7"/>
    <col width="23" customWidth="1" min="8" max="8"/>
    <col width="22" customWidth="1" min="9" max="9"/>
    <col width="15" customWidth="1" min="10" max="10"/>
    <col width="23" customWidth="1" min="11" max="11"/>
    <col width="7" customWidth="1" min="12" max="12"/>
    <col width="8" customWidth="1" min="13" max="13"/>
    <col width="8" customWidth="1" min="14" max="14"/>
    <col width="21" customWidth="1" min="15" max="15"/>
    <col width="29" customWidth="1" min="16" max="16"/>
    <col width="16" customWidth="1" min="17" max="17"/>
    <col width="14" customWidth="1" min="18" max="18"/>
    <col width="19" customWidth="1" min="19" max="19"/>
    <col width="19" customWidth="1" min="20" max="20"/>
  </cols>
  <sheetData>
    <row r="1">
      <c r="A1" s="21" t="inlineStr">
        <is>
          <t>URL</t>
        </is>
      </c>
      <c r="B1" s="21" t="inlineStr">
        <is>
          <t>Business Risk Score</t>
        </is>
      </c>
      <c r="C1" s="21" t="inlineStr">
        <is>
          <t>Severity Badge</t>
        </is>
      </c>
      <c r="D1" s="21" t="inlineStr">
        <is>
          <t>SEO Health Score</t>
        </is>
      </c>
      <c r="E1" s="21" t="inlineStr">
        <is>
          <t>GSC Impressions</t>
        </is>
      </c>
      <c r="F1" s="21" t="inlineStr">
        <is>
          <t>GSC CTR</t>
        </is>
      </c>
      <c r="G1" s="21" t="inlineStr">
        <is>
          <t>Revenue Intent</t>
        </is>
      </c>
      <c r="H1" s="21" t="inlineStr">
        <is>
          <t>Critical Issues Count</t>
        </is>
      </c>
      <c r="I1" s="21" t="inlineStr">
        <is>
          <t>Warning Issues Count</t>
        </is>
      </c>
      <c r="J1" s="21" t="inlineStr">
        <is>
          <t>Action Needed</t>
        </is>
      </c>
      <c r="K1" s="21" t="inlineStr">
        <is>
          <t>Why Prioritized</t>
        </is>
      </c>
      <c r="L1" s="21" t="inlineStr">
        <is>
          <t>Owner</t>
        </is>
      </c>
      <c r="M1" s="21" t="inlineStr">
        <is>
          <t>Status</t>
        </is>
      </c>
      <c r="N1" s="21" t="inlineStr">
        <is>
          <t>Sprint</t>
        </is>
      </c>
      <c r="O1" s="21" t="inlineStr">
        <is>
          <t>Indexability Reason</t>
        </is>
      </c>
      <c r="P1" s="21" t="inlineStr">
        <is>
          <t>Broken Internal Links Count</t>
        </is>
      </c>
      <c r="Q1" s="21" t="inlineStr">
        <is>
          <t>Canonical Type</t>
        </is>
      </c>
      <c r="R1" s="21" t="inlineStr">
        <is>
          <t>Open in Main</t>
        </is>
      </c>
      <c r="S1" s="21" t="inlineStr">
        <is>
          <t>Open in Technical</t>
        </is>
      </c>
      <c r="T1" s="21" t="inlineStr">
        <is>
          <t>BACK TO DASHBOARD</t>
        </is>
      </c>
      <c r="U1" s="23" t="inlineStr">
        <is>
          <t>BACK TO DASHBOARD_1</t>
        </is>
      </c>
    </row>
    <row r="2" ht="30" customHeight="1">
      <c r="A2" s="40" t="inlineStr">
        <is>
          <t>https://africanmarketingconfederation.org/about-us</t>
        </is>
      </c>
      <c r="B2" s="22" t="n">
        <v>0</v>
      </c>
      <c r="C2" s="22" t="inlineStr">
        <is>
          <t>Unmeasured</t>
        </is>
      </c>
      <c r="D2" s="41" t="inlineStr"/>
      <c r="E2" s="22" t="n">
        <v>200</v>
      </c>
      <c r="F2" s="22" t="n">
        <v>0.035</v>
      </c>
      <c r="G2" s="22" t="inlineStr">
        <is>
          <t>Standard</t>
        </is>
      </c>
      <c r="H2" s="22" t="inlineStr"/>
      <c r="I2" s="22" t="inlineStr"/>
      <c r="J2" s="22" t="inlineStr">
        <is>
          <t>No</t>
        </is>
      </c>
      <c r="K2" s="22" t="inlineStr">
        <is>
          <t>Broken internal links</t>
        </is>
      </c>
      <c r="L2" s="22" t="inlineStr">
        <is>
          <t>Dev</t>
        </is>
      </c>
      <c r="M2" s="25" t="inlineStr">
        <is>
          <t>Open</t>
        </is>
      </c>
      <c r="N2" s="22" t="inlineStr"/>
      <c r="O2" s="3" t="inlineStr">
        <is>
          <t>Indexable</t>
        </is>
      </c>
      <c r="P2" s="25" t="n">
        <v>1</v>
      </c>
      <c r="Q2" s="22" t="inlineStr">
        <is>
          <t>self</t>
        </is>
      </c>
      <c r="R2" s="22" t="inlineStr">
        <is>
          <t>Open</t>
        </is>
      </c>
      <c r="S2" s="22">
        <f>IFERROR(HYPERLINK("#Technical!A"&amp;MATCH(A2,Technical!A:A,0),"Open"),HYPERLINK("#Technical!A1","Open"))</f>
        <v/>
      </c>
      <c r="T2" s="22" t="inlineStr"/>
      <c r="U2" s="24" t="n"/>
    </row>
    <row r="3">
      <c r="A3" s="42" t="inlineStr">
        <is>
          <t>https://africanmarketingconfederation.org/</t>
        </is>
      </c>
      <c r="B3" s="4" t="n">
        <v>0</v>
      </c>
      <c r="C3" s="4" t="inlineStr">
        <is>
          <t>Unmeasured</t>
        </is>
      </c>
      <c r="D3" s="43" t="inlineStr"/>
      <c r="E3" s="4" t="n">
        <v>1108</v>
      </c>
      <c r="F3" s="4" t="n">
        <v>0.05415162454873646</v>
      </c>
      <c r="G3" s="4" t="inlineStr">
        <is>
          <t>Standard</t>
        </is>
      </c>
      <c r="H3" s="4" t="inlineStr"/>
      <c r="I3" s="4" t="inlineStr"/>
      <c r="J3" s="4" t="inlineStr">
        <is>
          <t>No</t>
        </is>
      </c>
      <c r="K3" s="4" t="inlineStr">
        <is>
          <t>Broken internal links</t>
        </is>
      </c>
      <c r="L3" s="4" t="inlineStr">
        <is>
          <t>Dev</t>
        </is>
      </c>
      <c r="M3" s="25" t="inlineStr">
        <is>
          <t>Open</t>
        </is>
      </c>
      <c r="N3" s="4" t="inlineStr"/>
      <c r="O3" s="3" t="inlineStr">
        <is>
          <t>Indexable</t>
        </is>
      </c>
      <c r="P3" s="25" t="n">
        <v>1</v>
      </c>
      <c r="Q3" s="4" t="inlineStr">
        <is>
          <t>self</t>
        </is>
      </c>
      <c r="R3" s="4" t="inlineStr">
        <is>
          <t>Open</t>
        </is>
      </c>
      <c r="S3" s="4">
        <f>IFERROR(HYPERLINK("#Technical!A"&amp;MATCH(A3,Technical!A:A,0),"Open"),HYPERLINK("#Technical!A1","Open"))</f>
        <v/>
      </c>
      <c r="T3" s="4" t="inlineStr"/>
    </row>
    <row r="4" ht="30" customHeight="1">
      <c r="A4" s="40" t="inlineStr">
        <is>
          <t>https://africanmarketingconfederation.org/african-marketing-confederation-tourism-chapter</t>
        </is>
      </c>
      <c r="B4" s="22" t="n">
        <v>0</v>
      </c>
      <c r="C4" s="22" t="inlineStr">
        <is>
          <t>Unmeasured</t>
        </is>
      </c>
      <c r="D4" s="41" t="inlineStr"/>
      <c r="E4" s="22" t="n">
        <v>8</v>
      </c>
      <c r="F4" s="22" t="n">
        <v>0</v>
      </c>
      <c r="G4" s="22" t="inlineStr">
        <is>
          <t>Standard</t>
        </is>
      </c>
      <c r="H4" s="22" t="inlineStr"/>
      <c r="I4" s="22" t="inlineStr"/>
      <c r="J4" s="22" t="inlineStr">
        <is>
          <t>No</t>
        </is>
      </c>
      <c r="K4" s="22" t="inlineStr">
        <is>
          <t>Broken internal links</t>
        </is>
      </c>
      <c r="L4" s="22" t="inlineStr">
        <is>
          <t>Dev</t>
        </is>
      </c>
      <c r="M4" s="25" t="inlineStr">
        <is>
          <t>Open</t>
        </is>
      </c>
      <c r="N4" s="22" t="inlineStr"/>
      <c r="O4" s="3" t="inlineStr">
        <is>
          <t>Indexable</t>
        </is>
      </c>
      <c r="P4" s="25" t="n">
        <v>1</v>
      </c>
      <c r="Q4" s="22" t="inlineStr">
        <is>
          <t>self</t>
        </is>
      </c>
      <c r="R4" s="22" t="inlineStr">
        <is>
          <t>Open</t>
        </is>
      </c>
      <c r="S4" s="22">
        <f>IFERROR(HYPERLINK("#Technical!A"&amp;MATCH(A4,Technical!A:A,0),"Open"),HYPERLINK("#Technical!A1","Open"))</f>
        <v/>
      </c>
      <c r="T4" s="22" t="inlineStr"/>
      <c r="U4" s="24" t="n"/>
    </row>
    <row r="5" ht="30" customHeight="1">
      <c r="A5" s="42" t="inlineStr">
        <is>
          <t>https://africanmarketingconfederation.org/amc-awards-2024</t>
        </is>
      </c>
      <c r="B5" s="4" t="n">
        <v>0</v>
      </c>
      <c r="C5" s="4" t="inlineStr">
        <is>
          <t>Unmeasured</t>
        </is>
      </c>
      <c r="D5" s="43" t="inlineStr"/>
      <c r="E5" s="4" t="n">
        <v>0</v>
      </c>
      <c r="F5" s="4" t="n">
        <v>0</v>
      </c>
      <c r="G5" s="4" t="inlineStr">
        <is>
          <t>Standard</t>
        </is>
      </c>
      <c r="H5" s="4" t="inlineStr"/>
      <c r="I5" s="4" t="inlineStr"/>
      <c r="J5" s="4" t="inlineStr">
        <is>
          <t>No</t>
        </is>
      </c>
      <c r="K5" s="4" t="inlineStr">
        <is>
          <t>Broken internal links</t>
        </is>
      </c>
      <c r="L5" s="4" t="inlineStr">
        <is>
          <t>Dev</t>
        </is>
      </c>
      <c r="M5" s="25" t="inlineStr">
        <is>
          <t>Open</t>
        </is>
      </c>
      <c r="N5" s="4" t="inlineStr"/>
      <c r="O5" s="3" t="inlineStr">
        <is>
          <t>Indexable</t>
        </is>
      </c>
      <c r="P5" s="25" t="n">
        <v>1</v>
      </c>
      <c r="Q5" s="4" t="inlineStr">
        <is>
          <t>self</t>
        </is>
      </c>
      <c r="R5" s="4" t="inlineStr">
        <is>
          <t>Open</t>
        </is>
      </c>
      <c r="S5" s="4">
        <f>IFERROR(HYPERLINK("#Technical!A"&amp;MATCH(A5,Technical!A:A,0),"Open"),HYPERLINK("#Technical!A1","Open"))</f>
        <v/>
      </c>
      <c r="T5" s="4" t="inlineStr"/>
    </row>
    <row r="6" ht="30" customHeight="1">
      <c r="A6" s="40" t="inlineStr">
        <is>
          <t>https://africanmarketingconfederation.org/amc-conference-2022-prospectus</t>
        </is>
      </c>
      <c r="B6" s="22" t="n">
        <v>0</v>
      </c>
      <c r="C6" s="22" t="inlineStr">
        <is>
          <t>Unmeasured</t>
        </is>
      </c>
      <c r="D6" s="41" t="inlineStr"/>
      <c r="E6" s="22" t="n">
        <v>0</v>
      </c>
      <c r="F6" s="22" t="n">
        <v>0</v>
      </c>
      <c r="G6" s="22" t="inlineStr">
        <is>
          <t>Standard</t>
        </is>
      </c>
      <c r="H6" s="22" t="inlineStr"/>
      <c r="I6" s="22" t="inlineStr"/>
      <c r="J6" s="22" t="inlineStr">
        <is>
          <t>No</t>
        </is>
      </c>
      <c r="K6" s="22" t="inlineStr">
        <is>
          <t>Broken internal links</t>
        </is>
      </c>
      <c r="L6" s="22" t="inlineStr">
        <is>
          <t>Dev</t>
        </is>
      </c>
      <c r="M6" s="25" t="inlineStr">
        <is>
          <t>Open</t>
        </is>
      </c>
      <c r="N6" s="22" t="inlineStr"/>
      <c r="O6" s="3" t="inlineStr">
        <is>
          <t>Indexable</t>
        </is>
      </c>
      <c r="P6" s="25" t="n">
        <v>1</v>
      </c>
      <c r="Q6" s="22" t="inlineStr">
        <is>
          <t>self</t>
        </is>
      </c>
      <c r="R6" s="22" t="inlineStr">
        <is>
          <t>Open</t>
        </is>
      </c>
      <c r="S6" s="22">
        <f>IFERROR(HYPERLINK("#Technical!A"&amp;MATCH(A6,Technical!A:A,0),"Open"),HYPERLINK("#Technical!A1","Open"))</f>
        <v/>
      </c>
      <c r="T6" s="22" t="inlineStr"/>
      <c r="U6" s="24" t="n"/>
    </row>
    <row r="7" ht="30" customHeight="1">
      <c r="A7" s="42" t="inlineStr">
        <is>
          <t>https://africanmarketingconfederation.org/amc-conference-2022-thank-you</t>
        </is>
      </c>
      <c r="B7" s="4" t="n">
        <v>0</v>
      </c>
      <c r="C7" s="4" t="inlineStr">
        <is>
          <t>Unmeasured</t>
        </is>
      </c>
      <c r="D7" s="43" t="inlineStr"/>
      <c r="E7" s="4" t="n">
        <v>0</v>
      </c>
      <c r="F7" s="4" t="n">
        <v>0</v>
      </c>
      <c r="G7" s="4" t="inlineStr">
        <is>
          <t>Standard</t>
        </is>
      </c>
      <c r="H7" s="4" t="inlineStr"/>
      <c r="I7" s="4" t="inlineStr"/>
      <c r="J7" s="4" t="inlineStr">
        <is>
          <t>No</t>
        </is>
      </c>
      <c r="K7" s="4" t="inlineStr">
        <is>
          <t>Broken internal links</t>
        </is>
      </c>
      <c r="L7" s="4" t="inlineStr">
        <is>
          <t>Dev</t>
        </is>
      </c>
      <c r="M7" s="25" t="inlineStr">
        <is>
          <t>Open</t>
        </is>
      </c>
      <c r="N7" s="4" t="inlineStr"/>
      <c r="O7" s="3" t="inlineStr">
        <is>
          <t>Indexable</t>
        </is>
      </c>
      <c r="P7" s="25" t="n">
        <v>2</v>
      </c>
      <c r="Q7" s="4" t="inlineStr">
        <is>
          <t>self</t>
        </is>
      </c>
      <c r="R7" s="4" t="inlineStr">
        <is>
          <t>Open</t>
        </is>
      </c>
      <c r="S7" s="4">
        <f>IFERROR(HYPERLINK("#Technical!A"&amp;MATCH(A7,Technical!A:A,0),"Open"),HYPERLINK("#Technical!A1","Open"))</f>
        <v/>
      </c>
      <c r="T7" s="4" t="inlineStr"/>
    </row>
    <row r="8" ht="30" customHeight="1">
      <c r="A8" s="40" t="inlineStr">
        <is>
          <t>https://africanmarketingconfederation.org/amc-conference-2022</t>
        </is>
      </c>
      <c r="B8" s="22" t="n">
        <v>0</v>
      </c>
      <c r="C8" s="22" t="inlineStr">
        <is>
          <t>Unmeasured</t>
        </is>
      </c>
      <c r="D8" s="41" t="inlineStr"/>
      <c r="E8" s="22" t="n">
        <v>10</v>
      </c>
      <c r="F8" s="22" t="n">
        <v>0</v>
      </c>
      <c r="G8" s="22" t="inlineStr">
        <is>
          <t>Standard</t>
        </is>
      </c>
      <c r="H8" s="22" t="inlineStr"/>
      <c r="I8" s="22" t="inlineStr"/>
      <c r="J8" s="22" t="inlineStr">
        <is>
          <t>No</t>
        </is>
      </c>
      <c r="K8" s="22" t="inlineStr">
        <is>
          <t>Broken internal links</t>
        </is>
      </c>
      <c r="L8" s="22" t="inlineStr">
        <is>
          <t>Dev</t>
        </is>
      </c>
      <c r="M8" s="25" t="inlineStr">
        <is>
          <t>Open</t>
        </is>
      </c>
      <c r="N8" s="22" t="inlineStr"/>
      <c r="O8" s="3" t="inlineStr">
        <is>
          <t>Indexable</t>
        </is>
      </c>
      <c r="P8" s="25" t="n">
        <v>1</v>
      </c>
      <c r="Q8" s="22" t="inlineStr">
        <is>
          <t>self</t>
        </is>
      </c>
      <c r="R8" s="22" t="inlineStr">
        <is>
          <t>Open</t>
        </is>
      </c>
      <c r="S8" s="22">
        <f>IFERROR(HYPERLINK("#Technical!A"&amp;MATCH(A8,Technical!A:A,0),"Open"),HYPERLINK("#Technical!A1","Open"))</f>
        <v/>
      </c>
      <c r="T8" s="22" t="inlineStr"/>
      <c r="U8" s="24" t="n"/>
    </row>
    <row r="9" ht="30" customHeight="1">
      <c r="A9" s="42" t="inlineStr">
        <is>
          <t>https://africanmarketingconfederation.org/amc-conference-2023</t>
        </is>
      </c>
      <c r="B9" s="4" t="n">
        <v>0</v>
      </c>
      <c r="C9" s="4" t="inlineStr">
        <is>
          <t>Unmeasured</t>
        </is>
      </c>
      <c r="D9" s="43" t="inlineStr"/>
      <c r="E9" s="4" t="n">
        <v>24</v>
      </c>
      <c r="F9" s="4" t="n">
        <v>0.04166666666666666</v>
      </c>
      <c r="G9" s="4" t="inlineStr">
        <is>
          <t>Standard</t>
        </is>
      </c>
      <c r="H9" s="4" t="inlineStr"/>
      <c r="I9" s="4" t="inlineStr"/>
      <c r="J9" s="4" t="inlineStr">
        <is>
          <t>No</t>
        </is>
      </c>
      <c r="K9" s="4" t="inlineStr">
        <is>
          <t>Broken internal links</t>
        </is>
      </c>
      <c r="L9" s="4" t="inlineStr">
        <is>
          <t>Dev</t>
        </is>
      </c>
      <c r="M9" s="25" t="inlineStr">
        <is>
          <t>Open</t>
        </is>
      </c>
      <c r="N9" s="4" t="inlineStr"/>
      <c r="O9" s="3" t="inlineStr">
        <is>
          <t>Indexable</t>
        </is>
      </c>
      <c r="P9" s="25" t="n">
        <v>2</v>
      </c>
      <c r="Q9" s="4" t="inlineStr">
        <is>
          <t>self</t>
        </is>
      </c>
      <c r="R9" s="4" t="inlineStr">
        <is>
          <t>Open</t>
        </is>
      </c>
      <c r="S9" s="4">
        <f>IFERROR(HYPERLINK("#Technical!A"&amp;MATCH(A9,Technical!A:A,0),"Open"),HYPERLINK("#Technical!A1","Open"))</f>
        <v/>
      </c>
      <c r="T9" s="4" t="inlineStr"/>
    </row>
    <row r="10" ht="30" customHeight="1">
      <c r="A10" s="40" t="inlineStr">
        <is>
          <t>https://africanmarketingconfederation.org/amc-conference-2023/amc-awards-book-now</t>
        </is>
      </c>
      <c r="B10" s="22" t="n">
        <v>0</v>
      </c>
      <c r="C10" s="22" t="inlineStr">
        <is>
          <t>Unmeasured</t>
        </is>
      </c>
      <c r="D10" s="41" t="inlineStr"/>
      <c r="E10" s="22" t="n">
        <v>0</v>
      </c>
      <c r="F10" s="22" t="n">
        <v>0</v>
      </c>
      <c r="G10" s="22" t="inlineStr">
        <is>
          <t>Standard</t>
        </is>
      </c>
      <c r="H10" s="22" t="inlineStr"/>
      <c r="I10" s="22" t="inlineStr"/>
      <c r="J10" s="22" t="inlineStr">
        <is>
          <t>No</t>
        </is>
      </c>
      <c r="K10" s="22" t="inlineStr">
        <is>
          <t>Broken internal links</t>
        </is>
      </c>
      <c r="L10" s="22" t="inlineStr">
        <is>
          <t>Dev</t>
        </is>
      </c>
      <c r="M10" s="25" t="inlineStr">
        <is>
          <t>Open</t>
        </is>
      </c>
      <c r="N10" s="22" t="inlineStr"/>
      <c r="O10" s="3" t="inlineStr">
        <is>
          <t>Indexable</t>
        </is>
      </c>
      <c r="P10" s="25" t="n">
        <v>1</v>
      </c>
      <c r="Q10" s="22" t="inlineStr">
        <is>
          <t>self</t>
        </is>
      </c>
      <c r="R10" s="22" t="inlineStr">
        <is>
          <t>Open</t>
        </is>
      </c>
      <c r="S10" s="22">
        <f>IFERROR(HYPERLINK("#Technical!A"&amp;MATCH(A10,Technical!A:A,0),"Open"),HYPERLINK("#Technical!A1","Open"))</f>
        <v/>
      </c>
      <c r="T10" s="22" t="inlineStr"/>
      <c r="U10" s="24" t="n"/>
    </row>
    <row r="11" ht="30" customHeight="1">
      <c r="A11" s="42" t="inlineStr">
        <is>
          <t>https://africanmarketingconfederation.org/amc-conference-2023/amc-awards</t>
        </is>
      </c>
      <c r="B11" s="4" t="n">
        <v>0</v>
      </c>
      <c r="C11" s="4" t="inlineStr">
        <is>
          <t>Unmeasured</t>
        </is>
      </c>
      <c r="D11" s="43" t="inlineStr"/>
      <c r="E11" s="4" t="n">
        <v>34</v>
      </c>
      <c r="F11" s="4" t="n">
        <v>0.05882352941176471</v>
      </c>
      <c r="G11" s="4" t="inlineStr">
        <is>
          <t>Standard</t>
        </is>
      </c>
      <c r="H11" s="4" t="inlineStr"/>
      <c r="I11" s="4" t="inlineStr"/>
      <c r="J11" s="4" t="inlineStr">
        <is>
          <t>No</t>
        </is>
      </c>
      <c r="K11" s="4" t="inlineStr">
        <is>
          <t>Broken internal links</t>
        </is>
      </c>
      <c r="L11" s="4" t="inlineStr">
        <is>
          <t>Dev</t>
        </is>
      </c>
      <c r="M11" s="25" t="inlineStr">
        <is>
          <t>Open</t>
        </is>
      </c>
      <c r="N11" s="4" t="inlineStr"/>
      <c r="O11" s="3" t="inlineStr">
        <is>
          <t>Indexable</t>
        </is>
      </c>
      <c r="P11" s="25" t="n">
        <v>1</v>
      </c>
      <c r="Q11" s="4" t="inlineStr">
        <is>
          <t>self</t>
        </is>
      </c>
      <c r="R11" s="4" t="inlineStr">
        <is>
          <t>Open</t>
        </is>
      </c>
      <c r="S11" s="4">
        <f>IFERROR(HYPERLINK("#Technical!A"&amp;MATCH(A11,Technical!A:A,0),"Open"),HYPERLINK("#Technical!A1","Open"))</f>
        <v/>
      </c>
      <c r="T11" s="4" t="inlineStr"/>
    </row>
  </sheetData>
  <autoFilter ref="A1:U11"/>
  <conditionalFormatting sqref="D2:D11">
    <cfRule type="colorScale" priority="1">
      <colorScale>
        <cfvo type="min"/>
        <cfvo type="percentile" val="50"/>
        <cfvo type="max"/>
        <color rgb="00F8696B"/>
        <color rgb="00FFEB84"/>
        <color rgb="0063BE7B"/>
      </colorScale>
    </cfRule>
  </conditionalFormatting>
  <conditionalFormatting sqref="J2:J11">
    <cfRule type="expression" priority="2" dxfId="2" stopIfTrue="1">
      <formula>LOWER(J2)="yes"</formula>
    </cfRule>
    <cfRule type="expression" priority="3" dxfId="3" stopIfTrue="1">
      <formula>LOWER(J2)="no"</formula>
    </cfRule>
  </conditionalFormatting>
  <conditionalFormatting sqref="C2:C11">
    <cfRule type="expression" priority="4" dxfId="2" stopIfTrue="1">
      <formula>LOWER(C2)="critical"</formula>
    </cfRule>
    <cfRule type="expression" priority="5" dxfId="7" stopIfTrue="1">
      <formula>LOWER(C2)="warning"</formula>
    </cfRule>
    <cfRule type="expression" priority="6" dxfId="3" stopIfTrue="1">
      <formula>OR(LOWER(C2)="pass",LOWER(C2)="observation")</formula>
    </cfRule>
  </conditionalFormatting>
  <conditionalFormatting sqref="M2:M11">
    <cfRule type="expression" priority="7" dxfId="4" stopIfTrue="1">
      <formula>LOWER(M2)="done"</formula>
    </cfRule>
    <cfRule type="expression" priority="8" dxfId="5" stopIfTrue="1">
      <formula>OR(LOWER(M2)="to do",LOWER(M2)="in progress",LOWER(M2)="in review")</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GSC Impressions" prompt="GSC Impressions. Review this metric to identify risk, then use linked tabs for details and remediation." type="custom">
      <formula1>TRUE</formula1>
    </dataValidation>
    <dataValidation sqref="F1" showDropDown="0" showInputMessage="1" showErrorMessage="0" allowBlank="1" promptTitle="GSC CTR" prompt="GSC CTR. Review this metric to identify risk, then use linked tabs for details and remediation." type="custom">
      <formula1>TRUE</formula1>
    </dataValidation>
    <dataValidation sqref="G1" showDropDown="0" showInputMessage="1" showErrorMessage="0" allowBlank="1" promptTitle="Revenue Intent" prompt="Revenue Intent. Review this metric to identify risk, then use linked tabs for details and remediation." type="custom">
      <formula1>TRUE</formula1>
    </dataValidation>
    <dataValidation sqref="H1" showDropDown="0" showInputMessage="1" showErrorMessage="0" allowBlank="1" promptTitle="Critical Issues Count" prompt="Critical Issues Count. Review this metric to identify risk, then use linked tabs for details and remediation." type="custom">
      <formula1>TRUE</formula1>
    </dataValidation>
    <dataValidation sqref="I1" showDropDown="0" showInputMessage="1" showErrorMessage="0" allowBlank="1" promptTitle="Warning Issues Count" prompt="Warning Issues Count. Review this metric to identify risk, then use linked tabs for details and remediation." type="custom">
      <formula1>TRUE</formula1>
    </dataValidation>
    <dataValidation sqref="J1" showDropDown="0" showInputMessage="1" showErrorMessage="0" allowBlank="1" promptTitle="Action Needed" prompt="Action Needed. Review this metric to identify risk, then use linked tabs for details and remediation." type="custom">
      <formula1>TRUE</formula1>
    </dataValidation>
    <dataValidation sqref="K1" showDropDown="0" showInputMessage="1" showErrorMessage="0" allowBlank="1" promptTitle="Why Prioritized" prompt="Why Prioritiz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Sprint" prompt="Workflow management field for planning and tracking remediation progress." type="custom">
      <formula1>TRUE</formula1>
    </dataValidation>
    <dataValidation sqref="O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P1" showDropDown="0" showInputMessage="1" showErrorMessage="0" allowBlank="1" promptTitle="Broken Internal Links Count" prompt="Link quality and crawl-path metric. Fix: repair broken links and improve internal linking relevance." type="custom">
      <formula1>TRUE</formula1>
    </dataValidation>
    <dataValidation sqref="Q1" showDropDown="0" showInputMessage="1" showErrorMessage="0" allowBlank="1" promptTitle="Canonical Type" prompt="Indexing/canonicalization signal. Fix: ensure indexable pages use correct canonicals and non-conflicting directives."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S1" showDropDown="0" showInputMessage="1" showErrorMessage="0" allowBlank="1" promptTitle="Open in Technical" prompt="Open in Technical. Review this metric to identify risk, then use linked tabs for details and remediation." type="custom">
      <formula1>TRUE</formula1>
    </dataValidation>
    <dataValidation sqref="U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U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9" customWidth="1" min="2" max="2"/>
    <col width="60" customWidth="1" min="3" max="3"/>
    <col width="14" customWidth="1" min="4" max="4"/>
    <col width="13" customWidth="1" min="5" max="5"/>
    <col width="43" customWidth="1" min="6" max="6"/>
    <col width="16" customWidth="1" min="7" max="7"/>
    <col width="15" customWidth="1" min="8" max="8"/>
    <col width="35" customWidth="1" min="9" max="9"/>
    <col width="55" customWidth="1" min="10" max="10"/>
    <col width="19" customWidth="1" min="11" max="11"/>
    <col width="30" customWidth="1" min="12" max="12"/>
    <col width="15" customWidth="1" min="13" max="13"/>
    <col width="13" customWidth="1" min="14" max="14"/>
    <col width="8" customWidth="1" min="15" max="15"/>
    <col width="12" customWidth="1" min="16" max="16"/>
    <col width="60" customWidth="1" min="17" max="17"/>
    <col width="60" customWidth="1" min="18" max="18"/>
    <col width="14" customWidth="1" min="19" max="19"/>
    <col width="19" customWidth="1" min="20" max="20"/>
    <col width="19" customWidth="1" min="21" max="21"/>
  </cols>
  <sheetData>
    <row r="1">
      <c r="A1" s="21" t="inlineStr">
        <is>
          <t>URL</t>
        </is>
      </c>
      <c r="B1" s="21" t="inlineStr">
        <is>
          <t>WordPress Post ID</t>
        </is>
      </c>
      <c r="C1" s="21" t="inlineStr">
        <is>
          <t>Direct Edit Link</t>
        </is>
      </c>
      <c r="D1" s="21" t="inlineStr">
        <is>
          <t>AIOSEO Panel</t>
        </is>
      </c>
      <c r="E1" s="21" t="inlineStr">
        <is>
          <t>Severity</t>
        </is>
      </c>
      <c r="F1" s="21" t="inlineStr">
        <is>
          <t>Issue</t>
        </is>
      </c>
      <c r="G1" s="21" t="inlineStr">
        <is>
          <t>Priority Score</t>
        </is>
      </c>
      <c r="H1" s="21" t="inlineStr">
        <is>
          <t>Current Value</t>
        </is>
      </c>
      <c r="I1" s="21" t="inlineStr">
        <is>
          <t>Recommended Target</t>
        </is>
      </c>
      <c r="J1" s="21" t="inlineStr">
        <is>
          <t>How to Fix in AIOSEO</t>
        </is>
      </c>
      <c r="K1" s="21" t="inlineStr">
        <is>
          <t>Reference Tab</t>
        </is>
      </c>
      <c r="L1" s="21" t="inlineStr">
        <is>
          <t>Reference Field</t>
        </is>
      </c>
      <c r="M1" s="21" t="inlineStr">
        <is>
          <t>Action Needed</t>
        </is>
      </c>
      <c r="N1" s="21" t="inlineStr">
        <is>
          <t>Owner</t>
        </is>
      </c>
      <c r="O1" s="21" t="inlineStr">
        <is>
          <t>Status</t>
        </is>
      </c>
      <c r="P1" s="21" t="inlineStr">
        <is>
          <t>Est. Hours</t>
        </is>
      </c>
      <c r="Q1" s="21" t="inlineStr">
        <is>
          <t>Stable Issue ID</t>
        </is>
      </c>
      <c r="R1" s="21" t="inlineStr">
        <is>
          <t>Why It Matters</t>
        </is>
      </c>
      <c r="S1" s="21" t="inlineStr">
        <is>
          <t>Open in Main</t>
        </is>
      </c>
      <c r="T1" s="21" t="inlineStr">
        <is>
          <t>Open in Technical</t>
        </is>
      </c>
      <c r="U1" s="21" t="inlineStr">
        <is>
          <t>BACK TO DASHBOARD</t>
        </is>
      </c>
      <c r="V1" s="23" t="inlineStr">
        <is>
          <t>BACK TO DASHBOARD_1</t>
        </is>
      </c>
    </row>
    <row r="2" ht="30" customHeight="1">
      <c r="A2" s="40" t="inlineStr">
        <is>
          <t>https://africanmarketingconfederation.org/</t>
        </is>
      </c>
      <c r="B2" s="22" t="n">
        <v>8</v>
      </c>
      <c r="C2" s="48" t="inlineStr">
        <is>
          <t>https://africanmarketingconfederation.org/wp-admin/post.php?post=8&amp;action=edit</t>
        </is>
      </c>
      <c r="D2" s="22" t="inlineStr">
        <is>
          <t>Links</t>
        </is>
      </c>
      <c r="E2" s="25" t="inlineStr">
        <is>
          <t>Critical</t>
        </is>
      </c>
      <c r="F2" s="22" t="inlineStr">
        <is>
          <t>Broken internal links</t>
        </is>
      </c>
      <c r="G2" s="27" t="n">
        <v>105</v>
      </c>
      <c r="H2" s="22" t="n">
        <v>1</v>
      </c>
      <c r="I2" s="22" t="inlineStr">
        <is>
          <t>0</t>
        </is>
      </c>
      <c r="J2" s="22" t="inlineStr">
        <is>
          <t>Replace dead links with live targets, or remove them in the page editor.</t>
        </is>
      </c>
      <c r="K2" s="49" t="inlineStr">
        <is>
          <t>Links</t>
        </is>
      </c>
      <c r="L2" s="22" t="inlineStr">
        <is>
          <t>Broken Internal Links Count</t>
        </is>
      </c>
      <c r="M2" s="22" t="inlineStr">
        <is>
          <t>Yes</t>
        </is>
      </c>
      <c r="N2" s="22" t="inlineStr">
        <is>
          <t>Dev</t>
        </is>
      </c>
      <c r="O2" s="25" t="inlineStr">
        <is>
          <t>Open</t>
        </is>
      </c>
      <c r="P2" s="22" t="n">
        <v>10</v>
      </c>
      <c r="Q2" s="22" t="inlineStr">
        <is>
          <t>https://africanmarketingconfederation.org/::aioseo_broken_internal_links</t>
        </is>
      </c>
      <c r="R2" s="22" t="inlineStr">
        <is>
          <t>Broken links waste crawl budget and degrade user experience.</t>
        </is>
      </c>
      <c r="S2" s="22" t="inlineStr">
        <is>
          <t>Open</t>
        </is>
      </c>
      <c r="T2" s="22">
        <f>IFERROR(HYPERLINK("#Technical!A"&amp;MATCH(A2,Technical!A:A,0),"Open"),HYPERLINK("#Technical!A1","Open"))</f>
        <v/>
      </c>
      <c r="U2" s="22" t="inlineStr"/>
      <c r="V2" s="24" t="n"/>
    </row>
    <row r="3" ht="30" customHeight="1">
      <c r="A3" s="42" t="inlineStr">
        <is>
          <t>https://africanmarketingconfederation.org/about-us</t>
        </is>
      </c>
      <c r="B3" s="4" t="n">
        <v>84</v>
      </c>
      <c r="C3" s="48" t="inlineStr">
        <is>
          <t>https://africanmarketingconfederation.org/wp-admin/post.php?post=84&amp;action=edit</t>
        </is>
      </c>
      <c r="D3" s="4" t="inlineStr">
        <is>
          <t>Links</t>
        </is>
      </c>
      <c r="E3" s="25" t="inlineStr">
        <is>
          <t>Critical</t>
        </is>
      </c>
      <c r="F3" s="4" t="inlineStr">
        <is>
          <t>Broken internal links</t>
        </is>
      </c>
      <c r="G3" s="31" t="n">
        <v>105</v>
      </c>
      <c r="H3" s="4" t="n">
        <v>1</v>
      </c>
      <c r="I3" s="4" t="inlineStr">
        <is>
          <t>0</t>
        </is>
      </c>
      <c r="J3" s="4" t="inlineStr">
        <is>
          <t>Replace dead links with live targets, or remove them in the page editor.</t>
        </is>
      </c>
      <c r="K3" s="50" t="inlineStr">
        <is>
          <t>Links</t>
        </is>
      </c>
      <c r="L3" s="4" t="inlineStr">
        <is>
          <t>Broken Internal Links Count</t>
        </is>
      </c>
      <c r="M3" s="4" t="inlineStr">
        <is>
          <t>Yes</t>
        </is>
      </c>
      <c r="N3" s="4" t="inlineStr">
        <is>
          <t>Dev</t>
        </is>
      </c>
      <c r="O3" s="25" t="inlineStr">
        <is>
          <t>Open</t>
        </is>
      </c>
      <c r="P3" s="4" t="n">
        <v>10</v>
      </c>
      <c r="Q3" s="4" t="inlineStr">
        <is>
          <t>https://africanmarketingconfederation.org/about-us::aioseo_broken_internal_links</t>
        </is>
      </c>
      <c r="R3" s="4" t="inlineStr">
        <is>
          <t>Broken links waste crawl budget and degrade user experience.</t>
        </is>
      </c>
      <c r="S3" s="4" t="inlineStr">
        <is>
          <t>Open</t>
        </is>
      </c>
      <c r="T3" s="4">
        <f>IFERROR(HYPERLINK("#Technical!A"&amp;MATCH(A3,Technical!A:A,0),"Open"),HYPERLINK("#Technical!A1","Open"))</f>
        <v/>
      </c>
      <c r="U3" s="4" t="inlineStr"/>
    </row>
    <row r="4" ht="30" customHeight="1">
      <c r="A4" s="40" t="inlineStr">
        <is>
          <t>https://africanmarketingconfederation.org/african-marketing-confederation-tourism-chapter</t>
        </is>
      </c>
      <c r="B4" s="22" t="n">
        <v>28165</v>
      </c>
      <c r="C4" s="48" t="inlineStr">
        <is>
          <t>https://africanmarketingconfederation.org/wp-admin/post.php?post=28165&amp;action=edit</t>
        </is>
      </c>
      <c r="D4" s="22" t="inlineStr">
        <is>
          <t>Links</t>
        </is>
      </c>
      <c r="E4" s="25" t="inlineStr">
        <is>
          <t>Critical</t>
        </is>
      </c>
      <c r="F4" s="22" t="inlineStr">
        <is>
          <t>Broken internal links</t>
        </is>
      </c>
      <c r="G4" s="27" t="n">
        <v>105</v>
      </c>
      <c r="H4" s="22" t="n">
        <v>1</v>
      </c>
      <c r="I4" s="22" t="inlineStr">
        <is>
          <t>0</t>
        </is>
      </c>
      <c r="J4" s="22" t="inlineStr">
        <is>
          <t>Replace dead links with live targets, or remove them in the page editor.</t>
        </is>
      </c>
      <c r="K4" s="49" t="inlineStr">
        <is>
          <t>Links</t>
        </is>
      </c>
      <c r="L4" s="22" t="inlineStr">
        <is>
          <t>Broken Internal Links Count</t>
        </is>
      </c>
      <c r="M4" s="22" t="inlineStr">
        <is>
          <t>Yes</t>
        </is>
      </c>
      <c r="N4" s="22" t="inlineStr">
        <is>
          <t>Dev</t>
        </is>
      </c>
      <c r="O4" s="25" t="inlineStr">
        <is>
          <t>Open</t>
        </is>
      </c>
      <c r="P4" s="22" t="n">
        <v>10</v>
      </c>
      <c r="Q4" s="22" t="inlineStr">
        <is>
          <t>https://africanmarketingconfederation.org/african-marketing-confederation-tourism-chapter::aioseo_broken_internal_links</t>
        </is>
      </c>
      <c r="R4" s="22" t="inlineStr">
        <is>
          <t>Broken links waste crawl budget and degrade user experience.</t>
        </is>
      </c>
      <c r="S4" s="22" t="inlineStr">
        <is>
          <t>Open</t>
        </is>
      </c>
      <c r="T4" s="22">
        <f>IFERROR(HYPERLINK("#Technical!A"&amp;MATCH(A4,Technical!A:A,0),"Open"),HYPERLINK("#Technical!A1","Open"))</f>
        <v/>
      </c>
      <c r="U4" s="22" t="inlineStr"/>
      <c r="V4" s="24" t="n"/>
    </row>
    <row r="5" ht="30" customHeight="1">
      <c r="A5" s="42" t="inlineStr">
        <is>
          <t>https://africanmarketingconfederation.org/amc-awards-2024</t>
        </is>
      </c>
      <c r="B5" s="4" t="n">
        <v>16125</v>
      </c>
      <c r="C5" s="48" t="inlineStr">
        <is>
          <t>https://africanmarketingconfederation.org/wp-admin/post.php?post=16125&amp;action=edit</t>
        </is>
      </c>
      <c r="D5" s="4" t="inlineStr">
        <is>
          <t>Links</t>
        </is>
      </c>
      <c r="E5" s="25" t="inlineStr">
        <is>
          <t>Critical</t>
        </is>
      </c>
      <c r="F5" s="4" t="inlineStr">
        <is>
          <t>Broken internal links</t>
        </is>
      </c>
      <c r="G5" s="31" t="n">
        <v>105</v>
      </c>
      <c r="H5" s="4" t="n">
        <v>1</v>
      </c>
      <c r="I5" s="4" t="inlineStr">
        <is>
          <t>0</t>
        </is>
      </c>
      <c r="J5" s="4" t="inlineStr">
        <is>
          <t>Replace dead links with live targets, or remove them in the page editor.</t>
        </is>
      </c>
      <c r="K5" s="50" t="inlineStr">
        <is>
          <t>Links</t>
        </is>
      </c>
      <c r="L5" s="4" t="inlineStr">
        <is>
          <t>Broken Internal Links Count</t>
        </is>
      </c>
      <c r="M5" s="4" t="inlineStr">
        <is>
          <t>Yes</t>
        </is>
      </c>
      <c r="N5" s="4" t="inlineStr">
        <is>
          <t>Dev</t>
        </is>
      </c>
      <c r="O5" s="25" t="inlineStr">
        <is>
          <t>Open</t>
        </is>
      </c>
      <c r="P5" s="4" t="n">
        <v>10</v>
      </c>
      <c r="Q5" s="4" t="inlineStr">
        <is>
          <t>https://africanmarketingconfederation.org/amc-awards-2024::aioseo_broken_internal_links</t>
        </is>
      </c>
      <c r="R5" s="4" t="inlineStr">
        <is>
          <t>Broken links waste crawl budget and degrade user experience.</t>
        </is>
      </c>
      <c r="S5" s="4" t="inlineStr">
        <is>
          <t>Open</t>
        </is>
      </c>
      <c r="T5" s="4">
        <f>IFERROR(HYPERLINK("#Technical!A"&amp;MATCH(A5,Technical!A:A,0),"Open"),HYPERLINK("#Technical!A1","Open"))</f>
        <v/>
      </c>
      <c r="U5" s="4" t="inlineStr"/>
    </row>
    <row r="6" ht="30" customHeight="1">
      <c r="A6" s="40" t="inlineStr">
        <is>
          <t>https://africanmarketingconfederation.org/amc-conference-2022</t>
        </is>
      </c>
      <c r="B6" s="22" t="n">
        <v>4494</v>
      </c>
      <c r="C6" s="48" t="inlineStr">
        <is>
          <t>https://africanmarketingconfederation.org/wp-admin/post.php?post=4494&amp;action=edit</t>
        </is>
      </c>
      <c r="D6" s="22" t="inlineStr">
        <is>
          <t>Links</t>
        </is>
      </c>
      <c r="E6" s="25" t="inlineStr">
        <is>
          <t>Critical</t>
        </is>
      </c>
      <c r="F6" s="22" t="inlineStr">
        <is>
          <t>Broken internal links</t>
        </is>
      </c>
      <c r="G6" s="27" t="n">
        <v>105</v>
      </c>
      <c r="H6" s="22" t="n">
        <v>1</v>
      </c>
      <c r="I6" s="22" t="inlineStr">
        <is>
          <t>0</t>
        </is>
      </c>
      <c r="J6" s="22" t="inlineStr">
        <is>
          <t>Replace dead links with live targets, or remove them in the page editor.</t>
        </is>
      </c>
      <c r="K6" s="49" t="inlineStr">
        <is>
          <t>Links</t>
        </is>
      </c>
      <c r="L6" s="22" t="inlineStr">
        <is>
          <t>Broken Internal Links Count</t>
        </is>
      </c>
      <c r="M6" s="22" t="inlineStr">
        <is>
          <t>Yes</t>
        </is>
      </c>
      <c r="N6" s="22" t="inlineStr">
        <is>
          <t>Dev</t>
        </is>
      </c>
      <c r="O6" s="25" t="inlineStr">
        <is>
          <t>Open</t>
        </is>
      </c>
      <c r="P6" s="22" t="n">
        <v>10</v>
      </c>
      <c r="Q6" s="22" t="inlineStr">
        <is>
          <t>https://africanmarketingconfederation.org/amc-conference-2022::aioseo_broken_internal_links</t>
        </is>
      </c>
      <c r="R6" s="22" t="inlineStr">
        <is>
          <t>Broken links waste crawl budget and degrade user experience.</t>
        </is>
      </c>
      <c r="S6" s="22" t="inlineStr">
        <is>
          <t>Open</t>
        </is>
      </c>
      <c r="T6" s="22">
        <f>IFERROR(HYPERLINK("#Technical!A"&amp;MATCH(A6,Technical!A:A,0),"Open"),HYPERLINK("#Technical!A1","Open"))</f>
        <v/>
      </c>
      <c r="U6" s="22" t="inlineStr"/>
      <c r="V6" s="24" t="n"/>
    </row>
    <row r="7" ht="30" customHeight="1">
      <c r="A7" s="42" t="inlineStr">
        <is>
          <t>https://africanmarketingconfederation.org/amc-conference-2022-prospectus</t>
        </is>
      </c>
      <c r="B7" s="4" t="n">
        <v>5619</v>
      </c>
      <c r="C7" s="48" t="inlineStr">
        <is>
          <t>https://africanmarketingconfederation.org/wp-admin/post.php?post=5619&amp;action=edit</t>
        </is>
      </c>
      <c r="D7" s="4" t="inlineStr">
        <is>
          <t>Links</t>
        </is>
      </c>
      <c r="E7" s="25" t="inlineStr">
        <is>
          <t>Critical</t>
        </is>
      </c>
      <c r="F7" s="4" t="inlineStr">
        <is>
          <t>Broken internal links</t>
        </is>
      </c>
      <c r="G7" s="31" t="n">
        <v>105</v>
      </c>
      <c r="H7" s="4" t="n">
        <v>1</v>
      </c>
      <c r="I7" s="4" t="inlineStr">
        <is>
          <t>0</t>
        </is>
      </c>
      <c r="J7" s="4" t="inlineStr">
        <is>
          <t>Replace dead links with live targets, or remove them in the page editor.</t>
        </is>
      </c>
      <c r="K7" s="50" t="inlineStr">
        <is>
          <t>Links</t>
        </is>
      </c>
      <c r="L7" s="4" t="inlineStr">
        <is>
          <t>Broken Internal Links Count</t>
        </is>
      </c>
      <c r="M7" s="4" t="inlineStr">
        <is>
          <t>Yes</t>
        </is>
      </c>
      <c r="N7" s="4" t="inlineStr">
        <is>
          <t>Dev</t>
        </is>
      </c>
      <c r="O7" s="25" t="inlineStr">
        <is>
          <t>Open</t>
        </is>
      </c>
      <c r="P7" s="4" t="n">
        <v>10</v>
      </c>
      <c r="Q7" s="4" t="inlineStr">
        <is>
          <t>https://africanmarketingconfederation.org/amc-conference-2022-prospectus::aioseo_broken_internal_links</t>
        </is>
      </c>
      <c r="R7" s="4" t="inlineStr">
        <is>
          <t>Broken links waste crawl budget and degrade user experience.</t>
        </is>
      </c>
      <c r="S7" s="4" t="inlineStr">
        <is>
          <t>Open</t>
        </is>
      </c>
      <c r="T7" s="4">
        <f>IFERROR(HYPERLINK("#Technical!A"&amp;MATCH(A7,Technical!A:A,0),"Open"),HYPERLINK("#Technical!A1","Open"))</f>
        <v/>
      </c>
      <c r="U7" s="4" t="inlineStr"/>
    </row>
    <row r="8" ht="30" customHeight="1">
      <c r="A8" s="40" t="inlineStr">
        <is>
          <t>https://africanmarketingconfederation.org/amc-conference-2022-thank-you</t>
        </is>
      </c>
      <c r="B8" s="22" t="n">
        <v>4941</v>
      </c>
      <c r="C8" s="48" t="inlineStr">
        <is>
          <t>https://africanmarketingconfederation.org/wp-admin/post.php?post=4941&amp;action=edit</t>
        </is>
      </c>
      <c r="D8" s="22" t="inlineStr">
        <is>
          <t>Links</t>
        </is>
      </c>
      <c r="E8" s="25" t="inlineStr">
        <is>
          <t>Critical</t>
        </is>
      </c>
      <c r="F8" s="22" t="inlineStr">
        <is>
          <t>Broken internal links</t>
        </is>
      </c>
      <c r="G8" s="27" t="n">
        <v>105</v>
      </c>
      <c r="H8" s="22" t="n">
        <v>2</v>
      </c>
      <c r="I8" s="22" t="inlineStr">
        <is>
          <t>0</t>
        </is>
      </c>
      <c r="J8" s="22" t="inlineStr">
        <is>
          <t>Replace dead links with live targets, or remove them in the page editor.</t>
        </is>
      </c>
      <c r="K8" s="49" t="inlineStr">
        <is>
          <t>Links</t>
        </is>
      </c>
      <c r="L8" s="22" t="inlineStr">
        <is>
          <t>Broken Internal Links Count</t>
        </is>
      </c>
      <c r="M8" s="22" t="inlineStr">
        <is>
          <t>Yes</t>
        </is>
      </c>
      <c r="N8" s="22" t="inlineStr">
        <is>
          <t>Dev</t>
        </is>
      </c>
      <c r="O8" s="25" t="inlineStr">
        <is>
          <t>Open</t>
        </is>
      </c>
      <c r="P8" s="22" t="n">
        <v>10</v>
      </c>
      <c r="Q8" s="22" t="inlineStr">
        <is>
          <t>https://africanmarketingconfederation.org/amc-conference-2022-thank-you::aioseo_broken_internal_links</t>
        </is>
      </c>
      <c r="R8" s="22" t="inlineStr">
        <is>
          <t>Broken links waste crawl budget and degrade user experience.</t>
        </is>
      </c>
      <c r="S8" s="22" t="inlineStr">
        <is>
          <t>Open</t>
        </is>
      </c>
      <c r="T8" s="22">
        <f>IFERROR(HYPERLINK("#Technical!A"&amp;MATCH(A8,Technical!A:A,0),"Open"),HYPERLINK("#Technical!A1","Open"))</f>
        <v/>
      </c>
      <c r="U8" s="22" t="inlineStr"/>
      <c r="V8" s="24" t="n"/>
    </row>
    <row r="9" ht="30" customHeight="1">
      <c r="A9" s="42" t="inlineStr">
        <is>
          <t>https://africanmarketingconfederation.org/amc-conference-2023</t>
        </is>
      </c>
      <c r="B9" s="4" t="n">
        <v>12371</v>
      </c>
      <c r="C9" s="48" t="inlineStr">
        <is>
          <t>https://africanmarketingconfederation.org/wp-admin/post.php?post=12371&amp;action=edit</t>
        </is>
      </c>
      <c r="D9" s="4" t="inlineStr">
        <is>
          <t>Links</t>
        </is>
      </c>
      <c r="E9" s="25" t="inlineStr">
        <is>
          <t>Critical</t>
        </is>
      </c>
      <c r="F9" s="4" t="inlineStr">
        <is>
          <t>Broken internal links</t>
        </is>
      </c>
      <c r="G9" s="31" t="n">
        <v>105</v>
      </c>
      <c r="H9" s="4" t="n">
        <v>2</v>
      </c>
      <c r="I9" s="4" t="inlineStr">
        <is>
          <t>0</t>
        </is>
      </c>
      <c r="J9" s="4" t="inlineStr">
        <is>
          <t>Replace dead links with live targets, or remove them in the page editor.</t>
        </is>
      </c>
      <c r="K9" s="50" t="inlineStr">
        <is>
          <t>Links</t>
        </is>
      </c>
      <c r="L9" s="4" t="inlineStr">
        <is>
          <t>Broken Internal Links Count</t>
        </is>
      </c>
      <c r="M9" s="4" t="inlineStr">
        <is>
          <t>Yes</t>
        </is>
      </c>
      <c r="N9" s="4" t="inlineStr">
        <is>
          <t>Dev</t>
        </is>
      </c>
      <c r="O9" s="25" t="inlineStr">
        <is>
          <t>Open</t>
        </is>
      </c>
      <c r="P9" s="4" t="n">
        <v>10</v>
      </c>
      <c r="Q9" s="4" t="inlineStr">
        <is>
          <t>https://africanmarketingconfederation.org/amc-conference-2023::aioseo_broken_internal_links</t>
        </is>
      </c>
      <c r="R9" s="4" t="inlineStr">
        <is>
          <t>Broken links waste crawl budget and degrade user experience.</t>
        </is>
      </c>
      <c r="S9" s="4" t="inlineStr">
        <is>
          <t>Open</t>
        </is>
      </c>
      <c r="T9" s="4">
        <f>IFERROR(HYPERLINK("#Technical!A"&amp;MATCH(A9,Technical!A:A,0),"Open"),HYPERLINK("#Technical!A1","Open"))</f>
        <v/>
      </c>
      <c r="U9" s="4" t="inlineStr"/>
    </row>
    <row r="10" ht="30" customHeight="1">
      <c r="A10" s="40" t="inlineStr">
        <is>
          <t>https://africanmarketingconfederation.org/amc-conference-2023/amc-awards</t>
        </is>
      </c>
      <c r="B10" s="22" t="n">
        <v>12954</v>
      </c>
      <c r="C10" s="48" t="inlineStr">
        <is>
          <t>https://africanmarketingconfederation.org/wp-admin/post.php?post=12954&amp;action=edit</t>
        </is>
      </c>
      <c r="D10" s="22" t="inlineStr">
        <is>
          <t>Links</t>
        </is>
      </c>
      <c r="E10" s="25" t="inlineStr">
        <is>
          <t>Critical</t>
        </is>
      </c>
      <c r="F10" s="22" t="inlineStr">
        <is>
          <t>Broken internal links</t>
        </is>
      </c>
      <c r="G10" s="27" t="n">
        <v>105</v>
      </c>
      <c r="H10" s="22" t="n">
        <v>1</v>
      </c>
      <c r="I10" s="22" t="inlineStr">
        <is>
          <t>0</t>
        </is>
      </c>
      <c r="J10" s="22" t="inlineStr">
        <is>
          <t>Replace dead links with live targets, or remove them in the page editor.</t>
        </is>
      </c>
      <c r="K10" s="49" t="inlineStr">
        <is>
          <t>Links</t>
        </is>
      </c>
      <c r="L10" s="22" t="inlineStr">
        <is>
          <t>Broken Internal Links Count</t>
        </is>
      </c>
      <c r="M10" s="22" t="inlineStr">
        <is>
          <t>Yes</t>
        </is>
      </c>
      <c r="N10" s="22" t="inlineStr">
        <is>
          <t>Dev</t>
        </is>
      </c>
      <c r="O10" s="25" t="inlineStr">
        <is>
          <t>Open</t>
        </is>
      </c>
      <c r="P10" s="22" t="n">
        <v>10</v>
      </c>
      <c r="Q10" s="22" t="inlineStr">
        <is>
          <t>https://africanmarketingconfederation.org/amc-conference-2023/amc-awards::aioseo_broken_internal_links</t>
        </is>
      </c>
      <c r="R10" s="22" t="inlineStr">
        <is>
          <t>Broken links waste crawl budget and degrade user experience.</t>
        </is>
      </c>
      <c r="S10" s="22" t="inlineStr">
        <is>
          <t>Open</t>
        </is>
      </c>
      <c r="T10" s="22">
        <f>IFERROR(HYPERLINK("#Technical!A"&amp;MATCH(A10,Technical!A:A,0),"Open"),HYPERLINK("#Technical!A1","Open"))</f>
        <v/>
      </c>
      <c r="U10" s="22" t="inlineStr"/>
      <c r="V10" s="24" t="n"/>
    </row>
    <row r="11" ht="30" customHeight="1">
      <c r="A11" s="42" t="inlineStr">
        <is>
          <t>https://africanmarketingconfederation.org/amc-conference-2023/amc-awards-book-now</t>
        </is>
      </c>
      <c r="B11" s="4" t="n">
        <v>13164</v>
      </c>
      <c r="C11" s="48" t="inlineStr">
        <is>
          <t>https://africanmarketingconfederation.org/wp-admin/post.php?post=13164&amp;action=edit</t>
        </is>
      </c>
      <c r="D11" s="4" t="inlineStr">
        <is>
          <t>Links</t>
        </is>
      </c>
      <c r="E11" s="25" t="inlineStr">
        <is>
          <t>Critical</t>
        </is>
      </c>
      <c r="F11" s="4" t="inlineStr">
        <is>
          <t>Broken internal links</t>
        </is>
      </c>
      <c r="G11" s="31" t="n">
        <v>105</v>
      </c>
      <c r="H11" s="4" t="n">
        <v>1</v>
      </c>
      <c r="I11" s="4" t="inlineStr">
        <is>
          <t>0</t>
        </is>
      </c>
      <c r="J11" s="4" t="inlineStr">
        <is>
          <t>Replace dead links with live targets, or remove them in the page editor.</t>
        </is>
      </c>
      <c r="K11" s="50" t="inlineStr">
        <is>
          <t>Links</t>
        </is>
      </c>
      <c r="L11" s="4" t="inlineStr">
        <is>
          <t>Broken Internal Links Count</t>
        </is>
      </c>
      <c r="M11" s="4" t="inlineStr">
        <is>
          <t>Yes</t>
        </is>
      </c>
      <c r="N11" s="4" t="inlineStr">
        <is>
          <t>Dev</t>
        </is>
      </c>
      <c r="O11" s="25" t="inlineStr">
        <is>
          <t>Open</t>
        </is>
      </c>
      <c r="P11" s="4" t="n">
        <v>10</v>
      </c>
      <c r="Q11" s="4" t="inlineStr">
        <is>
          <t>https://africanmarketingconfederation.org/amc-conference-2023/amc-awards-book-now::aioseo_broken_internal_links</t>
        </is>
      </c>
      <c r="R11" s="4" t="inlineStr">
        <is>
          <t>Broken links waste crawl budget and degrade user experience.</t>
        </is>
      </c>
      <c r="S11" s="4" t="inlineStr">
        <is>
          <t>Open</t>
        </is>
      </c>
      <c r="T11" s="4">
        <f>IFERROR(HYPERLINK("#Technical!A"&amp;MATCH(A11,Technical!A:A,0),"Open"),HYPERLINK("#Technical!A1","Open"))</f>
        <v/>
      </c>
      <c r="U11" s="4" t="inlineStr"/>
    </row>
    <row r="12" ht="30" customHeight="1">
      <c r="A12" s="40" t="inlineStr">
        <is>
          <t>https://africanmarketingconfederation.org/amc-conference-2023/amc-awards-book-now</t>
        </is>
      </c>
      <c r="B12" s="22" t="n">
        <v>13164</v>
      </c>
      <c r="C12" s="48" t="inlineStr">
        <is>
          <t>https://africanmarketingconfederation.org/wp-admin/post.php?post=13164&amp;action=edit</t>
        </is>
      </c>
      <c r="D12" s="22" t="inlineStr">
        <is>
          <t>Basic SEO</t>
        </is>
      </c>
      <c r="E12" s="34" t="inlineStr">
        <is>
          <t>Warning</t>
        </is>
      </c>
      <c r="F12" s="22" t="inlineStr">
        <is>
          <t>Missing meta description</t>
        </is>
      </c>
      <c r="G12" s="27" t="n">
        <v>67</v>
      </c>
      <c r="H12" s="22" t="inlineStr">
        <is>
          <t>Missing</t>
        </is>
      </c>
      <c r="I12" s="22" t="inlineStr">
        <is>
          <t>120-160 characters</t>
        </is>
      </c>
      <c r="J12" s="22" t="inlineStr">
        <is>
          <t>In AIOSEO snippet settings, add a concise, unique meta description aligned to page intent.</t>
        </is>
      </c>
      <c r="K12" s="49" t="inlineStr">
        <is>
          <t>Main</t>
        </is>
      </c>
      <c r="L12" s="22" t="inlineStr">
        <is>
          <t>Meta Description</t>
        </is>
      </c>
      <c r="M12" s="22" t="inlineStr">
        <is>
          <t>Yes</t>
        </is>
      </c>
      <c r="N12" s="22" t="inlineStr">
        <is>
          <t>Copy Writer</t>
        </is>
      </c>
      <c r="O12" s="25" t="inlineStr">
        <is>
          <t>Open</t>
        </is>
      </c>
      <c r="P12" s="22" t="n">
        <v>4</v>
      </c>
      <c r="Q12" s="22" t="inlineStr">
        <is>
          <t>https://africanmarketingconfederation.org/amc-conference-2023/amc-awards-book-now::aioseo_missing_meta_description</t>
        </is>
      </c>
      <c r="R12" s="22" t="inlineStr">
        <is>
          <t>Missing descriptions reduce control over search snippet messaging.</t>
        </is>
      </c>
      <c r="S12" s="22" t="inlineStr">
        <is>
          <t>Open</t>
        </is>
      </c>
      <c r="T12" s="22">
        <f>IFERROR(HYPERLINK("#Technical!A"&amp;MATCH(A12,Technical!A:A,0),"Open"),HYPERLINK("#Technical!A1","Open"))</f>
        <v/>
      </c>
      <c r="U12" s="22" t="inlineStr"/>
      <c r="V12" s="24" t="n"/>
    </row>
    <row r="13" ht="30" customHeight="1">
      <c r="A13" s="42" t="inlineStr">
        <is>
          <t>https://africanmarketingconfederation.org/</t>
        </is>
      </c>
      <c r="B13" s="4" t="n">
        <v>8</v>
      </c>
      <c r="C13" s="48" t="inlineStr">
        <is>
          <t>https://africanmarketingconfederation.org/wp-admin/post.php?post=8&amp;action=edit</t>
        </is>
      </c>
      <c r="D13" s="4" t="inlineStr">
        <is>
          <t>Content</t>
        </is>
      </c>
      <c r="E13" s="34" t="inlineStr">
        <is>
          <t>Warning</t>
        </is>
      </c>
      <c r="F13" s="4" t="inlineStr">
        <is>
          <t>Low AEO readiness score</t>
        </is>
      </c>
      <c r="G13" s="31" t="n">
        <v>67</v>
      </c>
      <c r="H13" s="4" t="n">
        <v>0</v>
      </c>
      <c r="I13" s="4" t="inlineStr">
        <is>
          <t>&gt;=60</t>
        </is>
      </c>
      <c r="J13" s="4" t="inlineStr">
        <is>
          <t>Add concise answer blocks, question-led subheadings, and clear structured sections.</t>
        </is>
      </c>
      <c r="K13" s="50" t="inlineStr">
        <is>
          <t>AEO</t>
        </is>
      </c>
      <c r="L13" s="4" t="inlineStr">
        <is>
          <t>AEO Readiness Score</t>
        </is>
      </c>
      <c r="M13" s="4" t="inlineStr">
        <is>
          <t>Yes</t>
        </is>
      </c>
      <c r="N13" s="4" t="inlineStr">
        <is>
          <t>Copy Writer</t>
        </is>
      </c>
      <c r="O13" s="25" t="inlineStr">
        <is>
          <t>Open</t>
        </is>
      </c>
      <c r="P13" s="4" t="n">
        <v>4</v>
      </c>
      <c r="Q13" s="4" t="inlineStr">
        <is>
          <t>https://africanmarketingconfederation.org/::aioseo_low_aeo_readiness_score</t>
        </is>
      </c>
      <c r="R13" s="4" t="inlineStr">
        <is>
          <t>Weak answer-style structure lowers AI/answer-engine retrieval potential.</t>
        </is>
      </c>
      <c r="S13" s="4" t="inlineStr">
        <is>
          <t>Open</t>
        </is>
      </c>
      <c r="T13" s="4">
        <f>IFERROR(HYPERLINK("#Technical!A"&amp;MATCH(A13,Technical!A:A,0),"Open"),HYPERLINK("#Technical!A1","Open"))</f>
        <v/>
      </c>
      <c r="U13" s="4" t="inlineStr"/>
    </row>
    <row r="14" ht="30" customHeight="1">
      <c r="A14" s="40" t="inlineStr">
        <is>
          <t>https://africanmarketingconfederation.org/about-us</t>
        </is>
      </c>
      <c r="B14" s="22" t="n">
        <v>84</v>
      </c>
      <c r="C14" s="48" t="inlineStr">
        <is>
          <t>https://africanmarketingconfederation.org/wp-admin/post.php?post=84&amp;action=edit</t>
        </is>
      </c>
      <c r="D14" s="22" t="inlineStr">
        <is>
          <t>Content</t>
        </is>
      </c>
      <c r="E14" s="34" t="inlineStr">
        <is>
          <t>Warning</t>
        </is>
      </c>
      <c r="F14" s="22" t="inlineStr">
        <is>
          <t>Low AEO readiness score</t>
        </is>
      </c>
      <c r="G14" s="27" t="n">
        <v>67</v>
      </c>
      <c r="H14" s="22" t="n">
        <v>0</v>
      </c>
      <c r="I14" s="22" t="inlineStr">
        <is>
          <t>&gt;=60</t>
        </is>
      </c>
      <c r="J14" s="22" t="inlineStr">
        <is>
          <t>Add concise answer blocks, question-led subheadings, and clear structured sections.</t>
        </is>
      </c>
      <c r="K14" s="49" t="inlineStr">
        <is>
          <t>AEO</t>
        </is>
      </c>
      <c r="L14" s="22" t="inlineStr">
        <is>
          <t>AEO Readiness Score</t>
        </is>
      </c>
      <c r="M14" s="22" t="inlineStr">
        <is>
          <t>Yes</t>
        </is>
      </c>
      <c r="N14" s="22" t="inlineStr">
        <is>
          <t>Copy Writer</t>
        </is>
      </c>
      <c r="O14" s="25" t="inlineStr">
        <is>
          <t>Open</t>
        </is>
      </c>
      <c r="P14" s="22" t="n">
        <v>4</v>
      </c>
      <c r="Q14" s="22" t="inlineStr">
        <is>
          <t>https://africanmarketingconfederation.org/about-us::aioseo_low_aeo_readiness_score</t>
        </is>
      </c>
      <c r="R14" s="22" t="inlineStr">
        <is>
          <t>Weak answer-style structure lowers AI/answer-engine retrieval potential.</t>
        </is>
      </c>
      <c r="S14" s="22" t="inlineStr">
        <is>
          <t>Open</t>
        </is>
      </c>
      <c r="T14" s="22">
        <f>IFERROR(HYPERLINK("#Technical!A"&amp;MATCH(A14,Technical!A:A,0),"Open"),HYPERLINK("#Technical!A1","Open"))</f>
        <v/>
      </c>
      <c r="U14" s="22" t="inlineStr"/>
      <c r="V14" s="24" t="n"/>
    </row>
    <row r="15" ht="30" customHeight="1">
      <c r="A15" s="42" t="inlineStr">
        <is>
          <t>https://africanmarketingconfederation.org/african-marketing-confederation-tourism-chapter</t>
        </is>
      </c>
      <c r="B15" s="4" t="n">
        <v>28165</v>
      </c>
      <c r="C15" s="48" t="inlineStr">
        <is>
          <t>https://africanmarketingconfederation.org/wp-admin/post.php?post=28165&amp;action=edit</t>
        </is>
      </c>
      <c r="D15" s="4" t="inlineStr">
        <is>
          <t>Content</t>
        </is>
      </c>
      <c r="E15" s="34" t="inlineStr">
        <is>
          <t>Warning</t>
        </is>
      </c>
      <c r="F15" s="4" t="inlineStr">
        <is>
          <t>Low AEO readiness score</t>
        </is>
      </c>
      <c r="G15" s="31" t="n">
        <v>67</v>
      </c>
      <c r="H15" s="4" t="n">
        <v>0</v>
      </c>
      <c r="I15" s="4" t="inlineStr">
        <is>
          <t>&gt;=60</t>
        </is>
      </c>
      <c r="J15" s="4" t="inlineStr">
        <is>
          <t>Add concise answer blocks, question-led subheadings, and clear structured sections.</t>
        </is>
      </c>
      <c r="K15" s="50" t="inlineStr">
        <is>
          <t>AEO</t>
        </is>
      </c>
      <c r="L15" s="4" t="inlineStr">
        <is>
          <t>AEO Readiness Score</t>
        </is>
      </c>
      <c r="M15" s="4" t="inlineStr">
        <is>
          <t>Yes</t>
        </is>
      </c>
      <c r="N15" s="4" t="inlineStr">
        <is>
          <t>Copy Writer</t>
        </is>
      </c>
      <c r="O15" s="25" t="inlineStr">
        <is>
          <t>Open</t>
        </is>
      </c>
      <c r="P15" s="4" t="n">
        <v>4</v>
      </c>
      <c r="Q15" s="4" t="inlineStr">
        <is>
          <t>https://africanmarketingconfederation.org/african-marketing-confederation-tourism-chapter::aioseo_low_aeo_readiness_score</t>
        </is>
      </c>
      <c r="R15" s="4" t="inlineStr">
        <is>
          <t>Weak answer-style structure lowers AI/answer-engine retrieval potential.</t>
        </is>
      </c>
      <c r="S15" s="4" t="inlineStr">
        <is>
          <t>Open</t>
        </is>
      </c>
      <c r="T15" s="4">
        <f>IFERROR(HYPERLINK("#Technical!A"&amp;MATCH(A15,Technical!A:A,0),"Open"),HYPERLINK("#Technical!A1","Open"))</f>
        <v/>
      </c>
      <c r="U15" s="4" t="inlineStr"/>
    </row>
    <row r="16" ht="30" customHeight="1">
      <c r="A16" s="40" t="inlineStr">
        <is>
          <t>https://africanmarketingconfederation.org/amc-awards-2024</t>
        </is>
      </c>
      <c r="B16" s="22" t="n">
        <v>16125</v>
      </c>
      <c r="C16" s="48" t="inlineStr">
        <is>
          <t>https://africanmarketingconfederation.org/wp-admin/post.php?post=16125&amp;action=edit</t>
        </is>
      </c>
      <c r="D16" s="22" t="inlineStr">
        <is>
          <t>Content</t>
        </is>
      </c>
      <c r="E16" s="34" t="inlineStr">
        <is>
          <t>Warning</t>
        </is>
      </c>
      <c r="F16" s="22" t="inlineStr">
        <is>
          <t>Low AEO readiness score</t>
        </is>
      </c>
      <c r="G16" s="27" t="n">
        <v>67</v>
      </c>
      <c r="H16" s="22" t="n">
        <v>0</v>
      </c>
      <c r="I16" s="22" t="inlineStr">
        <is>
          <t>&gt;=60</t>
        </is>
      </c>
      <c r="J16" s="22" t="inlineStr">
        <is>
          <t>Add concise answer blocks, question-led subheadings, and clear structured sections.</t>
        </is>
      </c>
      <c r="K16" s="49" t="inlineStr">
        <is>
          <t>AEO</t>
        </is>
      </c>
      <c r="L16" s="22" t="inlineStr">
        <is>
          <t>AEO Readiness Score</t>
        </is>
      </c>
      <c r="M16" s="22" t="inlineStr">
        <is>
          <t>Yes</t>
        </is>
      </c>
      <c r="N16" s="22" t="inlineStr">
        <is>
          <t>Copy Writer</t>
        </is>
      </c>
      <c r="O16" s="25" t="inlineStr">
        <is>
          <t>Open</t>
        </is>
      </c>
      <c r="P16" s="22" t="n">
        <v>4</v>
      </c>
      <c r="Q16" s="22" t="inlineStr">
        <is>
          <t>https://africanmarketingconfederation.org/amc-awards-2024::aioseo_low_aeo_readiness_score</t>
        </is>
      </c>
      <c r="R16" s="22" t="inlineStr">
        <is>
          <t>Weak answer-style structure lowers AI/answer-engine retrieval potential.</t>
        </is>
      </c>
      <c r="S16" s="22" t="inlineStr">
        <is>
          <t>Open</t>
        </is>
      </c>
      <c r="T16" s="22">
        <f>IFERROR(HYPERLINK("#Technical!A"&amp;MATCH(A16,Technical!A:A,0),"Open"),HYPERLINK("#Technical!A1","Open"))</f>
        <v/>
      </c>
      <c r="U16" s="22" t="inlineStr"/>
      <c r="V16" s="24" t="n"/>
    </row>
    <row r="17" ht="30" customHeight="1">
      <c r="A17" s="42" t="inlineStr">
        <is>
          <t>https://africanmarketingconfederation.org/amc-conference-2022</t>
        </is>
      </c>
      <c r="B17" s="4" t="n">
        <v>4494</v>
      </c>
      <c r="C17" s="48" t="inlineStr">
        <is>
          <t>https://africanmarketingconfederation.org/wp-admin/post.php?post=4494&amp;action=edit</t>
        </is>
      </c>
      <c r="D17" s="4" t="inlineStr">
        <is>
          <t>Content</t>
        </is>
      </c>
      <c r="E17" s="34" t="inlineStr">
        <is>
          <t>Warning</t>
        </is>
      </c>
      <c r="F17" s="4" t="inlineStr">
        <is>
          <t>Low AEO readiness score</t>
        </is>
      </c>
      <c r="G17" s="31" t="n">
        <v>67</v>
      </c>
      <c r="H17" s="4" t="n">
        <v>0</v>
      </c>
      <c r="I17" s="4" t="inlineStr">
        <is>
          <t>&gt;=60</t>
        </is>
      </c>
      <c r="J17" s="4" t="inlineStr">
        <is>
          <t>Add concise answer blocks, question-led subheadings, and clear structured sections.</t>
        </is>
      </c>
      <c r="K17" s="50" t="inlineStr">
        <is>
          <t>AEO</t>
        </is>
      </c>
      <c r="L17" s="4" t="inlineStr">
        <is>
          <t>AEO Readiness Score</t>
        </is>
      </c>
      <c r="M17" s="4" t="inlineStr">
        <is>
          <t>Yes</t>
        </is>
      </c>
      <c r="N17" s="4" t="inlineStr">
        <is>
          <t>Copy Writer</t>
        </is>
      </c>
      <c r="O17" s="25" t="inlineStr">
        <is>
          <t>Open</t>
        </is>
      </c>
      <c r="P17" s="4" t="n">
        <v>4</v>
      </c>
      <c r="Q17" s="4" t="inlineStr">
        <is>
          <t>https://africanmarketingconfederation.org/amc-conference-2022::aioseo_low_aeo_readiness_score</t>
        </is>
      </c>
      <c r="R17" s="4" t="inlineStr">
        <is>
          <t>Weak answer-style structure lowers AI/answer-engine retrieval potential.</t>
        </is>
      </c>
      <c r="S17" s="4" t="inlineStr">
        <is>
          <t>Open</t>
        </is>
      </c>
      <c r="T17" s="4">
        <f>IFERROR(HYPERLINK("#Technical!A"&amp;MATCH(A17,Technical!A:A,0),"Open"),HYPERLINK("#Technical!A1","Open"))</f>
        <v/>
      </c>
      <c r="U17" s="4" t="inlineStr"/>
    </row>
    <row r="18" ht="30" customHeight="1">
      <c r="A18" s="40" t="inlineStr">
        <is>
          <t>https://africanmarketingconfederation.org/amc-conference-2022-prospectus</t>
        </is>
      </c>
      <c r="B18" s="22" t="n">
        <v>5619</v>
      </c>
      <c r="C18" s="48" t="inlineStr">
        <is>
          <t>https://africanmarketingconfederation.org/wp-admin/post.php?post=5619&amp;action=edit</t>
        </is>
      </c>
      <c r="D18" s="22" t="inlineStr">
        <is>
          <t>Content</t>
        </is>
      </c>
      <c r="E18" s="34" t="inlineStr">
        <is>
          <t>Warning</t>
        </is>
      </c>
      <c r="F18" s="22" t="inlineStr">
        <is>
          <t>Low AEO readiness score</t>
        </is>
      </c>
      <c r="G18" s="27" t="n">
        <v>67</v>
      </c>
      <c r="H18" s="22" t="n">
        <v>0</v>
      </c>
      <c r="I18" s="22" t="inlineStr">
        <is>
          <t>&gt;=60</t>
        </is>
      </c>
      <c r="J18" s="22" t="inlineStr">
        <is>
          <t>Add concise answer blocks, question-led subheadings, and clear structured sections.</t>
        </is>
      </c>
      <c r="K18" s="49" t="inlineStr">
        <is>
          <t>AEO</t>
        </is>
      </c>
      <c r="L18" s="22" t="inlineStr">
        <is>
          <t>AEO Readiness Score</t>
        </is>
      </c>
      <c r="M18" s="22" t="inlineStr">
        <is>
          <t>Yes</t>
        </is>
      </c>
      <c r="N18" s="22" t="inlineStr">
        <is>
          <t>Copy Writer</t>
        </is>
      </c>
      <c r="O18" s="25" t="inlineStr">
        <is>
          <t>Open</t>
        </is>
      </c>
      <c r="P18" s="22" t="n">
        <v>4</v>
      </c>
      <c r="Q18" s="22" t="inlineStr">
        <is>
          <t>https://africanmarketingconfederation.org/amc-conference-2022-prospectus::aioseo_low_aeo_readiness_score</t>
        </is>
      </c>
      <c r="R18" s="22" t="inlineStr">
        <is>
          <t>Weak answer-style structure lowers AI/answer-engine retrieval potential.</t>
        </is>
      </c>
      <c r="S18" s="22" t="inlineStr">
        <is>
          <t>Open</t>
        </is>
      </c>
      <c r="T18" s="22">
        <f>IFERROR(HYPERLINK("#Technical!A"&amp;MATCH(A18,Technical!A:A,0),"Open"),HYPERLINK("#Technical!A1","Open"))</f>
        <v/>
      </c>
      <c r="U18" s="22" t="inlineStr"/>
      <c r="V18" s="24" t="n"/>
    </row>
    <row r="19" ht="30" customHeight="1">
      <c r="A19" s="42" t="inlineStr">
        <is>
          <t>https://africanmarketingconfederation.org/amc-conference-2022-thank-you</t>
        </is>
      </c>
      <c r="B19" s="4" t="n">
        <v>4941</v>
      </c>
      <c r="C19" s="48" t="inlineStr">
        <is>
          <t>https://africanmarketingconfederation.org/wp-admin/post.php?post=4941&amp;action=edit</t>
        </is>
      </c>
      <c r="D19" s="4" t="inlineStr">
        <is>
          <t>Content</t>
        </is>
      </c>
      <c r="E19" s="34" t="inlineStr">
        <is>
          <t>Warning</t>
        </is>
      </c>
      <c r="F19" s="4" t="inlineStr">
        <is>
          <t>Low AEO readiness score</t>
        </is>
      </c>
      <c r="G19" s="31" t="n">
        <v>67</v>
      </c>
      <c r="H19" s="4" t="n">
        <v>0</v>
      </c>
      <c r="I19" s="4" t="inlineStr">
        <is>
          <t>&gt;=60</t>
        </is>
      </c>
      <c r="J19" s="4" t="inlineStr">
        <is>
          <t>Add concise answer blocks, question-led subheadings, and clear structured sections.</t>
        </is>
      </c>
      <c r="K19" s="50" t="inlineStr">
        <is>
          <t>AEO</t>
        </is>
      </c>
      <c r="L19" s="4" t="inlineStr">
        <is>
          <t>AEO Readiness Score</t>
        </is>
      </c>
      <c r="M19" s="4" t="inlineStr">
        <is>
          <t>Yes</t>
        </is>
      </c>
      <c r="N19" s="4" t="inlineStr">
        <is>
          <t>Copy Writer</t>
        </is>
      </c>
      <c r="O19" s="25" t="inlineStr">
        <is>
          <t>Open</t>
        </is>
      </c>
      <c r="P19" s="4" t="n">
        <v>4</v>
      </c>
      <c r="Q19" s="4" t="inlineStr">
        <is>
          <t>https://africanmarketingconfederation.org/amc-conference-2022-thank-you::aioseo_low_aeo_readiness_score</t>
        </is>
      </c>
      <c r="R19" s="4" t="inlineStr">
        <is>
          <t>Weak answer-style structure lowers AI/answer-engine retrieval potential.</t>
        </is>
      </c>
      <c r="S19" s="4" t="inlineStr">
        <is>
          <t>Open</t>
        </is>
      </c>
      <c r="T19" s="4">
        <f>IFERROR(HYPERLINK("#Technical!A"&amp;MATCH(A19,Technical!A:A,0),"Open"),HYPERLINK("#Technical!A1","Open"))</f>
        <v/>
      </c>
      <c r="U19" s="4" t="inlineStr"/>
    </row>
    <row r="20" ht="30" customHeight="1">
      <c r="A20" s="40" t="inlineStr">
        <is>
          <t>https://africanmarketingconfederation.org/amc-conference-2023</t>
        </is>
      </c>
      <c r="B20" s="22" t="n">
        <v>12371</v>
      </c>
      <c r="C20" s="48" t="inlineStr">
        <is>
          <t>https://africanmarketingconfederation.org/wp-admin/post.php?post=12371&amp;action=edit</t>
        </is>
      </c>
      <c r="D20" s="22" t="inlineStr">
        <is>
          <t>Content</t>
        </is>
      </c>
      <c r="E20" s="34" t="inlineStr">
        <is>
          <t>Warning</t>
        </is>
      </c>
      <c r="F20" s="22" t="inlineStr">
        <is>
          <t>Low AEO readiness score</t>
        </is>
      </c>
      <c r="G20" s="27" t="n">
        <v>67</v>
      </c>
      <c r="H20" s="22" t="n">
        <v>0</v>
      </c>
      <c r="I20" s="22" t="inlineStr">
        <is>
          <t>&gt;=60</t>
        </is>
      </c>
      <c r="J20" s="22" t="inlineStr">
        <is>
          <t>Add concise answer blocks, question-led subheadings, and clear structured sections.</t>
        </is>
      </c>
      <c r="K20" s="49" t="inlineStr">
        <is>
          <t>AEO</t>
        </is>
      </c>
      <c r="L20" s="22" t="inlineStr">
        <is>
          <t>AEO Readiness Score</t>
        </is>
      </c>
      <c r="M20" s="22" t="inlineStr">
        <is>
          <t>Yes</t>
        </is>
      </c>
      <c r="N20" s="22" t="inlineStr">
        <is>
          <t>Copy Writer</t>
        </is>
      </c>
      <c r="O20" s="25" t="inlineStr">
        <is>
          <t>Open</t>
        </is>
      </c>
      <c r="P20" s="22" t="n">
        <v>4</v>
      </c>
      <c r="Q20" s="22" t="inlineStr">
        <is>
          <t>https://africanmarketingconfederation.org/amc-conference-2023::aioseo_low_aeo_readiness_score</t>
        </is>
      </c>
      <c r="R20" s="22" t="inlineStr">
        <is>
          <t>Weak answer-style structure lowers AI/answer-engine retrieval potential.</t>
        </is>
      </c>
      <c r="S20" s="22" t="inlineStr">
        <is>
          <t>Open</t>
        </is>
      </c>
      <c r="T20" s="22">
        <f>IFERROR(HYPERLINK("#Technical!A"&amp;MATCH(A20,Technical!A:A,0),"Open"),HYPERLINK("#Technical!A1","Open"))</f>
        <v/>
      </c>
      <c r="U20" s="22" t="inlineStr"/>
      <c r="V20" s="24" t="n"/>
    </row>
    <row r="21" ht="30" customHeight="1">
      <c r="A21" s="42" t="inlineStr">
        <is>
          <t>https://africanmarketingconfederation.org/amc-conference-2023/amc-awards</t>
        </is>
      </c>
      <c r="B21" s="4" t="n">
        <v>12954</v>
      </c>
      <c r="C21" s="48" t="inlineStr">
        <is>
          <t>https://africanmarketingconfederation.org/wp-admin/post.php?post=12954&amp;action=edit</t>
        </is>
      </c>
      <c r="D21" s="4" t="inlineStr">
        <is>
          <t>Content</t>
        </is>
      </c>
      <c r="E21" s="34" t="inlineStr">
        <is>
          <t>Warning</t>
        </is>
      </c>
      <c r="F21" s="4" t="inlineStr">
        <is>
          <t>Low AEO readiness score</t>
        </is>
      </c>
      <c r="G21" s="31" t="n">
        <v>67</v>
      </c>
      <c r="H21" s="4" t="n">
        <v>0</v>
      </c>
      <c r="I21" s="4" t="inlineStr">
        <is>
          <t>&gt;=60</t>
        </is>
      </c>
      <c r="J21" s="4" t="inlineStr">
        <is>
          <t>Add concise answer blocks, question-led subheadings, and clear structured sections.</t>
        </is>
      </c>
      <c r="K21" s="50" t="inlineStr">
        <is>
          <t>AEO</t>
        </is>
      </c>
      <c r="L21" s="4" t="inlineStr">
        <is>
          <t>AEO Readiness Score</t>
        </is>
      </c>
      <c r="M21" s="4" t="inlineStr">
        <is>
          <t>Yes</t>
        </is>
      </c>
      <c r="N21" s="4" t="inlineStr">
        <is>
          <t>Copy Writer</t>
        </is>
      </c>
      <c r="O21" s="25" t="inlineStr">
        <is>
          <t>Open</t>
        </is>
      </c>
      <c r="P21" s="4" t="n">
        <v>4</v>
      </c>
      <c r="Q21" s="4" t="inlineStr">
        <is>
          <t>https://africanmarketingconfederation.org/amc-conference-2023/amc-awards::aioseo_low_aeo_readiness_score</t>
        </is>
      </c>
      <c r="R21" s="4" t="inlineStr">
        <is>
          <t>Weak answer-style structure lowers AI/answer-engine retrieval potential.</t>
        </is>
      </c>
      <c r="S21" s="4" t="inlineStr">
        <is>
          <t>Open</t>
        </is>
      </c>
      <c r="T21" s="4">
        <f>IFERROR(HYPERLINK("#Technical!A"&amp;MATCH(A21,Technical!A:A,0),"Open"),HYPERLINK("#Technical!A1","Open"))</f>
        <v/>
      </c>
      <c r="U21" s="4" t="inlineStr"/>
    </row>
    <row r="22" ht="30" customHeight="1">
      <c r="A22" s="40" t="inlineStr">
        <is>
          <t>https://africanmarketingconfederation.org/amc-conference-2023/amc-awards-book-now</t>
        </is>
      </c>
      <c r="B22" s="22" t="n">
        <v>13164</v>
      </c>
      <c r="C22" s="48" t="inlineStr">
        <is>
          <t>https://africanmarketingconfederation.org/wp-admin/post.php?post=13164&amp;action=edit</t>
        </is>
      </c>
      <c r="D22" s="22" t="inlineStr">
        <is>
          <t>Content</t>
        </is>
      </c>
      <c r="E22" s="34" t="inlineStr">
        <is>
          <t>Warning</t>
        </is>
      </c>
      <c r="F22" s="22" t="inlineStr">
        <is>
          <t>Low AEO readiness score</t>
        </is>
      </c>
      <c r="G22" s="27" t="n">
        <v>67</v>
      </c>
      <c r="H22" s="22" t="n">
        <v>0</v>
      </c>
      <c r="I22" s="22" t="inlineStr">
        <is>
          <t>&gt;=60</t>
        </is>
      </c>
      <c r="J22" s="22" t="inlineStr">
        <is>
          <t>Add concise answer blocks, question-led subheadings, and clear structured sections.</t>
        </is>
      </c>
      <c r="K22" s="49" t="inlineStr">
        <is>
          <t>AEO</t>
        </is>
      </c>
      <c r="L22" s="22" t="inlineStr">
        <is>
          <t>AEO Readiness Score</t>
        </is>
      </c>
      <c r="M22" s="22" t="inlineStr">
        <is>
          <t>Yes</t>
        </is>
      </c>
      <c r="N22" s="22" t="inlineStr">
        <is>
          <t>Copy Writer</t>
        </is>
      </c>
      <c r="O22" s="25" t="inlineStr">
        <is>
          <t>Open</t>
        </is>
      </c>
      <c r="P22" s="22" t="n">
        <v>4</v>
      </c>
      <c r="Q22" s="22" t="inlineStr">
        <is>
          <t>https://africanmarketingconfederation.org/amc-conference-2023/amc-awards-book-now::aioseo_low_aeo_readiness_score</t>
        </is>
      </c>
      <c r="R22" s="22" t="inlineStr">
        <is>
          <t>Weak answer-style structure lowers AI/answer-engine retrieval potential.</t>
        </is>
      </c>
      <c r="S22" s="22" t="inlineStr">
        <is>
          <t>Open</t>
        </is>
      </c>
      <c r="T22" s="22">
        <f>IFERROR(HYPERLINK("#Technical!A"&amp;MATCH(A22,Technical!A:A,0),"Open"),HYPERLINK("#Technical!A1","Open"))</f>
        <v/>
      </c>
      <c r="U22" s="22" t="inlineStr"/>
      <c r="V22" s="24" t="n"/>
    </row>
    <row r="23" ht="30" customHeight="1">
      <c r="A23" s="42" t="inlineStr">
        <is>
          <t>https://africanmarketingconfederation.org/</t>
        </is>
      </c>
      <c r="B23" s="4" t="n">
        <v>8</v>
      </c>
      <c r="C23" s="48" t="inlineStr">
        <is>
          <t>https://africanmarketingconfederation.org/wp-admin/post.php?post=8&amp;action=edit</t>
        </is>
      </c>
      <c r="D23" s="4" t="inlineStr">
        <is>
          <t>Readability</t>
        </is>
      </c>
      <c r="E23" s="34" t="inlineStr">
        <is>
          <t>Warning</t>
        </is>
      </c>
      <c r="F23" s="4" t="inlineStr">
        <is>
          <t>Low image alt coverage</t>
        </is>
      </c>
      <c r="G23" s="31" t="n">
        <v>67</v>
      </c>
      <c r="H23" s="4" t="n">
        <v>79.03</v>
      </c>
      <c r="I23" s="4" t="inlineStr">
        <is>
          <t>&gt;=80%</t>
        </is>
      </c>
      <c r="J23" s="4" t="inlineStr">
        <is>
          <t>Add descriptive alt text to meaningful images in the page editor/media fields.</t>
        </is>
      </c>
      <c r="K23" s="50" t="inlineStr">
        <is>
          <t>Media</t>
        </is>
      </c>
      <c r="L23" s="4" t="inlineStr">
        <is>
          <t>Image Alt Coverage (%)</t>
        </is>
      </c>
      <c r="M23" s="4" t="inlineStr">
        <is>
          <t>Yes</t>
        </is>
      </c>
      <c r="N23" s="4" t="inlineStr">
        <is>
          <t>Copy Writer</t>
        </is>
      </c>
      <c r="O23" s="25" t="inlineStr">
        <is>
          <t>Open</t>
        </is>
      </c>
      <c r="P23" s="4" t="n">
        <v>4</v>
      </c>
      <c r="Q23" s="4" t="inlineStr">
        <is>
          <t>https://africanmarketingconfederation.org/::aioseo_low_image_alt_coverage</t>
        </is>
      </c>
      <c r="R23" s="4" t="inlineStr">
        <is>
          <t>Missing alt text reduces accessibility and weakens image context signals.</t>
        </is>
      </c>
      <c r="S23" s="4" t="inlineStr">
        <is>
          <t>Open</t>
        </is>
      </c>
      <c r="T23" s="4">
        <f>IFERROR(HYPERLINK("#Technical!A"&amp;MATCH(A23,Technical!A:A,0),"Open"),HYPERLINK("#Technical!A1","Open"))</f>
        <v/>
      </c>
      <c r="U23" s="4" t="inlineStr"/>
    </row>
    <row r="24" ht="30" customHeight="1">
      <c r="A24" s="40" t="inlineStr">
        <is>
          <t>https://africanmarketingconfederation.org/</t>
        </is>
      </c>
      <c r="B24" s="22" t="n">
        <v>8</v>
      </c>
      <c r="C24" s="48" t="inlineStr">
        <is>
          <t>https://africanmarketingconfederation.org/wp-admin/post.php?post=8&amp;action=edit</t>
        </is>
      </c>
      <c r="D24" s="22" t="inlineStr">
        <is>
          <t>Readability</t>
        </is>
      </c>
      <c r="E24" s="34" t="inlineStr">
        <is>
          <t>Warning</t>
        </is>
      </c>
      <c r="F24" s="22" t="inlineStr">
        <is>
          <t>Thin content</t>
        </is>
      </c>
      <c r="G24" s="27" t="n">
        <v>67</v>
      </c>
      <c r="H24" s="22" t="n">
        <v>35</v>
      </c>
      <c r="I24" s="22" t="inlineStr">
        <is>
          <t>&gt;=300 words (quality first)</t>
        </is>
      </c>
      <c r="J24" s="22" t="inlineStr">
        <is>
          <t>Expand page copy with useful, unique sections that answer key user questions.</t>
        </is>
      </c>
      <c r="K24" s="49" t="inlineStr">
        <is>
          <t>Content</t>
        </is>
      </c>
      <c r="L24" s="22" t="inlineStr">
        <is>
          <t>Word Count</t>
        </is>
      </c>
      <c r="M24" s="22" t="inlineStr">
        <is>
          <t>Yes</t>
        </is>
      </c>
      <c r="N24" s="22" t="inlineStr">
        <is>
          <t>Copy Writer</t>
        </is>
      </c>
      <c r="O24" s="25" t="inlineStr">
        <is>
          <t>Open</t>
        </is>
      </c>
      <c r="P24" s="22" t="n">
        <v>4</v>
      </c>
      <c r="Q24" s="22" t="inlineStr">
        <is>
          <t>https://africanmarketingconfederation.org/::aioseo_thin_content</t>
        </is>
      </c>
      <c r="R24" s="22" t="inlineStr">
        <is>
          <t>Low-content pages can struggle to satisfy intent and rank competitively.</t>
        </is>
      </c>
      <c r="S24" s="22" t="inlineStr">
        <is>
          <t>Open</t>
        </is>
      </c>
      <c r="T24" s="22">
        <f>IFERROR(HYPERLINK("#Technical!A"&amp;MATCH(A24,Technical!A:A,0),"Open"),HYPERLINK("#Technical!A1","Open"))</f>
        <v/>
      </c>
      <c r="U24" s="22" t="inlineStr"/>
      <c r="V24" s="24" t="n"/>
    </row>
    <row r="25" ht="30" customHeight="1">
      <c r="A25" s="42" t="inlineStr">
        <is>
          <t>https://africanmarketingconfederation.org/about-us</t>
        </is>
      </c>
      <c r="B25" s="4" t="n">
        <v>84</v>
      </c>
      <c r="C25" s="48" t="inlineStr">
        <is>
          <t>https://africanmarketingconfederation.org/wp-admin/post.php?post=84&amp;action=edit</t>
        </is>
      </c>
      <c r="D25" s="4" t="inlineStr">
        <is>
          <t>Readability</t>
        </is>
      </c>
      <c r="E25" s="34" t="inlineStr">
        <is>
          <t>Warning</t>
        </is>
      </c>
      <c r="F25" s="4" t="inlineStr">
        <is>
          <t>Low image alt coverage</t>
        </is>
      </c>
      <c r="G25" s="31" t="n">
        <v>67</v>
      </c>
      <c r="H25" s="4" t="n">
        <v>72.73</v>
      </c>
      <c r="I25" s="4" t="inlineStr">
        <is>
          <t>&gt;=80%</t>
        </is>
      </c>
      <c r="J25" s="4" t="inlineStr">
        <is>
          <t>Add descriptive alt text to meaningful images in the page editor/media fields.</t>
        </is>
      </c>
      <c r="K25" s="50" t="inlineStr">
        <is>
          <t>Media</t>
        </is>
      </c>
      <c r="L25" s="4" t="inlineStr">
        <is>
          <t>Image Alt Coverage (%)</t>
        </is>
      </c>
      <c r="M25" s="4" t="inlineStr">
        <is>
          <t>Yes</t>
        </is>
      </c>
      <c r="N25" s="4" t="inlineStr">
        <is>
          <t>Copy Writer</t>
        </is>
      </c>
      <c r="O25" s="25" t="inlineStr">
        <is>
          <t>Open</t>
        </is>
      </c>
      <c r="P25" s="4" t="n">
        <v>4</v>
      </c>
      <c r="Q25" s="4" t="inlineStr">
        <is>
          <t>https://africanmarketingconfederation.org/about-us::aioseo_low_image_alt_coverage</t>
        </is>
      </c>
      <c r="R25" s="4" t="inlineStr">
        <is>
          <t>Missing alt text reduces accessibility and weakens image context signals.</t>
        </is>
      </c>
      <c r="S25" s="4" t="inlineStr">
        <is>
          <t>Open</t>
        </is>
      </c>
      <c r="T25" s="4">
        <f>IFERROR(HYPERLINK("#Technical!A"&amp;MATCH(A25,Technical!A:A,0),"Open"),HYPERLINK("#Technical!A1","Open"))</f>
        <v/>
      </c>
      <c r="U25" s="4" t="inlineStr"/>
    </row>
    <row r="26" ht="30" customHeight="1">
      <c r="A26" s="40" t="inlineStr">
        <is>
          <t>https://africanmarketingconfederation.org/about-us</t>
        </is>
      </c>
      <c r="B26" s="22" t="n">
        <v>84</v>
      </c>
      <c r="C26" s="48" t="inlineStr">
        <is>
          <t>https://africanmarketingconfederation.org/wp-admin/post.php?post=84&amp;action=edit</t>
        </is>
      </c>
      <c r="D26" s="22" t="inlineStr">
        <is>
          <t>Readability</t>
        </is>
      </c>
      <c r="E26" s="34" t="inlineStr">
        <is>
          <t>Warning</t>
        </is>
      </c>
      <c r="F26" s="22" t="inlineStr">
        <is>
          <t>Thin content</t>
        </is>
      </c>
      <c r="G26" s="27" t="n">
        <v>67</v>
      </c>
      <c r="H26" s="22" t="n">
        <v>235</v>
      </c>
      <c r="I26" s="22" t="inlineStr">
        <is>
          <t>&gt;=300 words (quality first)</t>
        </is>
      </c>
      <c r="J26" s="22" t="inlineStr">
        <is>
          <t>Expand page copy with useful, unique sections that answer key user questions.</t>
        </is>
      </c>
      <c r="K26" s="49" t="inlineStr">
        <is>
          <t>Content</t>
        </is>
      </c>
      <c r="L26" s="22" t="inlineStr">
        <is>
          <t>Word Count</t>
        </is>
      </c>
      <c r="M26" s="22" t="inlineStr">
        <is>
          <t>Yes</t>
        </is>
      </c>
      <c r="N26" s="22" t="inlineStr">
        <is>
          <t>Copy Writer</t>
        </is>
      </c>
      <c r="O26" s="25" t="inlineStr">
        <is>
          <t>Open</t>
        </is>
      </c>
      <c r="P26" s="22" t="n">
        <v>4</v>
      </c>
      <c r="Q26" s="22" t="inlineStr">
        <is>
          <t>https://africanmarketingconfederation.org/about-us::aioseo_thin_content</t>
        </is>
      </c>
      <c r="R26" s="22" t="inlineStr">
        <is>
          <t>Low-content pages can struggle to satisfy intent and rank competitively.</t>
        </is>
      </c>
      <c r="S26" s="22" t="inlineStr">
        <is>
          <t>Open</t>
        </is>
      </c>
      <c r="T26" s="22">
        <f>IFERROR(HYPERLINK("#Technical!A"&amp;MATCH(A26,Technical!A:A,0),"Open"),HYPERLINK("#Technical!A1","Open"))</f>
        <v/>
      </c>
      <c r="U26" s="22" t="inlineStr"/>
      <c r="V26" s="24" t="n"/>
    </row>
    <row r="27" ht="30" customHeight="1">
      <c r="A27" s="42" t="inlineStr">
        <is>
          <t>https://africanmarketingconfederation.org/amc-awards-2024</t>
        </is>
      </c>
      <c r="B27" s="4" t="n">
        <v>16125</v>
      </c>
      <c r="C27" s="48" t="inlineStr">
        <is>
          <t>https://africanmarketingconfederation.org/wp-admin/post.php?post=16125&amp;action=edit</t>
        </is>
      </c>
      <c r="D27" s="4" t="inlineStr">
        <is>
          <t>Readability</t>
        </is>
      </c>
      <c r="E27" s="34" t="inlineStr">
        <is>
          <t>Warning</t>
        </is>
      </c>
      <c r="F27" s="4" t="inlineStr">
        <is>
          <t>Low image alt coverage</t>
        </is>
      </c>
      <c r="G27" s="31" t="n">
        <v>67</v>
      </c>
      <c r="H27" s="4" t="n">
        <v>73.12</v>
      </c>
      <c r="I27" s="4" t="inlineStr">
        <is>
          <t>&gt;=80%</t>
        </is>
      </c>
      <c r="J27" s="4" t="inlineStr">
        <is>
          <t>Add descriptive alt text to meaningful images in the page editor/media fields.</t>
        </is>
      </c>
      <c r="K27" s="50" t="inlineStr">
        <is>
          <t>Media</t>
        </is>
      </c>
      <c r="L27" s="4" t="inlineStr">
        <is>
          <t>Image Alt Coverage (%)</t>
        </is>
      </c>
      <c r="M27" s="4" t="inlineStr">
        <is>
          <t>Yes</t>
        </is>
      </c>
      <c r="N27" s="4" t="inlineStr">
        <is>
          <t>Copy Writer</t>
        </is>
      </c>
      <c r="O27" s="25" t="inlineStr">
        <is>
          <t>Open</t>
        </is>
      </c>
      <c r="P27" s="4" t="n">
        <v>4</v>
      </c>
      <c r="Q27" s="4" t="inlineStr">
        <is>
          <t>https://africanmarketingconfederation.org/amc-awards-2024::aioseo_low_image_alt_coverage</t>
        </is>
      </c>
      <c r="R27" s="4" t="inlineStr">
        <is>
          <t>Missing alt text reduces accessibility and weakens image context signals.</t>
        </is>
      </c>
      <c r="S27" s="4" t="inlineStr">
        <is>
          <t>Open</t>
        </is>
      </c>
      <c r="T27" s="4">
        <f>IFERROR(HYPERLINK("#Technical!A"&amp;MATCH(A27,Technical!A:A,0),"Open"),HYPERLINK("#Technical!A1","Open"))</f>
        <v/>
      </c>
      <c r="U27" s="4" t="inlineStr"/>
    </row>
    <row r="28" ht="30" customHeight="1">
      <c r="A28" s="40" t="inlineStr">
        <is>
          <t>https://africanmarketingconfederation.org/amc-conference-2022</t>
        </is>
      </c>
      <c r="B28" s="22" t="n">
        <v>4494</v>
      </c>
      <c r="C28" s="48" t="inlineStr">
        <is>
          <t>https://africanmarketingconfederation.org/wp-admin/post.php?post=4494&amp;action=edit</t>
        </is>
      </c>
      <c r="D28" s="22" t="inlineStr">
        <is>
          <t>Readability</t>
        </is>
      </c>
      <c r="E28" s="34" t="inlineStr">
        <is>
          <t>Warning</t>
        </is>
      </c>
      <c r="F28" s="22" t="inlineStr">
        <is>
          <t>Low image alt coverage</t>
        </is>
      </c>
      <c r="G28" s="27" t="n">
        <v>67</v>
      </c>
      <c r="H28" s="22" t="n">
        <v>53.57</v>
      </c>
      <c r="I28" s="22" t="inlineStr">
        <is>
          <t>&gt;=80%</t>
        </is>
      </c>
      <c r="J28" s="22" t="inlineStr">
        <is>
          <t>Add descriptive alt text to meaningful images in the page editor/media fields.</t>
        </is>
      </c>
      <c r="K28" s="49" t="inlineStr">
        <is>
          <t>Media</t>
        </is>
      </c>
      <c r="L28" s="22" t="inlineStr">
        <is>
          <t>Image Alt Coverage (%)</t>
        </is>
      </c>
      <c r="M28" s="22" t="inlineStr">
        <is>
          <t>Yes</t>
        </is>
      </c>
      <c r="N28" s="22" t="inlineStr">
        <is>
          <t>Copy Writer</t>
        </is>
      </c>
      <c r="O28" s="25" t="inlineStr">
        <is>
          <t>Open</t>
        </is>
      </c>
      <c r="P28" s="22" t="n">
        <v>4</v>
      </c>
      <c r="Q28" s="22" t="inlineStr">
        <is>
          <t>https://africanmarketingconfederation.org/amc-conference-2022::aioseo_low_image_alt_coverage</t>
        </is>
      </c>
      <c r="R28" s="22" t="inlineStr">
        <is>
          <t>Missing alt text reduces accessibility and weakens image context signals.</t>
        </is>
      </c>
      <c r="S28" s="22" t="inlineStr">
        <is>
          <t>Open</t>
        </is>
      </c>
      <c r="T28" s="22">
        <f>IFERROR(HYPERLINK("#Technical!A"&amp;MATCH(A28,Technical!A:A,0),"Open"),HYPERLINK("#Technical!A1","Open"))</f>
        <v/>
      </c>
      <c r="U28" s="22" t="inlineStr"/>
      <c r="V28" s="24" t="n"/>
    </row>
    <row r="29" ht="30" customHeight="1">
      <c r="A29" s="42" t="inlineStr">
        <is>
          <t>https://africanmarketingconfederation.org/amc-conference-2022</t>
        </is>
      </c>
      <c r="B29" s="4" t="n">
        <v>4494</v>
      </c>
      <c r="C29" s="48" t="inlineStr">
        <is>
          <t>https://africanmarketingconfederation.org/wp-admin/post.php?post=4494&amp;action=edit</t>
        </is>
      </c>
      <c r="D29" s="4" t="inlineStr">
        <is>
          <t>Readability</t>
        </is>
      </c>
      <c r="E29" s="34" t="inlineStr">
        <is>
          <t>Warning</t>
        </is>
      </c>
      <c r="F29" s="4" t="inlineStr">
        <is>
          <t>Missing H1 heading</t>
        </is>
      </c>
      <c r="G29" s="31" t="n">
        <v>67</v>
      </c>
      <c r="H29" s="4" t="n">
        <v>0</v>
      </c>
      <c r="I29" s="4" t="inlineStr">
        <is>
          <t>Exactly 1 descriptive H1</t>
        </is>
      </c>
      <c r="J29" s="4" t="inlineStr">
        <is>
          <t>Update page content to include a single descriptive H1 aligned to primary intent.</t>
        </is>
      </c>
      <c r="K29" s="50" t="inlineStr">
        <is>
          <t>Content</t>
        </is>
      </c>
      <c r="L29" s="4" t="inlineStr">
        <is>
          <t>Missing H1 Flag</t>
        </is>
      </c>
      <c r="M29" s="4" t="inlineStr">
        <is>
          <t>Yes</t>
        </is>
      </c>
      <c r="N29" s="4" t="inlineStr">
        <is>
          <t>Copy Writer</t>
        </is>
      </c>
      <c r="O29" s="25" t="inlineStr">
        <is>
          <t>Open</t>
        </is>
      </c>
      <c r="P29" s="4" t="n">
        <v>4</v>
      </c>
      <c r="Q29" s="4" t="inlineStr">
        <is>
          <t>https://africanmarketingconfederation.org/amc-conference-2022::aioseo_missing_h1_heading</t>
        </is>
      </c>
      <c r="R29" s="4" t="inlineStr">
        <is>
          <t>A missing H1 weakens topical clarity for users and crawlers.</t>
        </is>
      </c>
      <c r="S29" s="4" t="inlineStr">
        <is>
          <t>Open</t>
        </is>
      </c>
      <c r="T29" s="4">
        <f>IFERROR(HYPERLINK("#Technical!A"&amp;MATCH(A29,Technical!A:A,0),"Open"),HYPERLINK("#Technical!A1","Open"))</f>
        <v/>
      </c>
      <c r="U29" s="4" t="inlineStr"/>
    </row>
    <row r="30" ht="30" customHeight="1">
      <c r="A30" s="40" t="inlineStr">
        <is>
          <t>https://africanmarketingconfederation.org/amc-conference-2022</t>
        </is>
      </c>
      <c r="B30" s="22" t="n">
        <v>4494</v>
      </c>
      <c r="C30" s="48" t="inlineStr">
        <is>
          <t>https://africanmarketingconfederation.org/wp-admin/post.php?post=4494&amp;action=edit</t>
        </is>
      </c>
      <c r="D30" s="22" t="inlineStr">
        <is>
          <t>Readability</t>
        </is>
      </c>
      <c r="E30" s="34" t="inlineStr">
        <is>
          <t>Warning</t>
        </is>
      </c>
      <c r="F30" s="22" t="inlineStr">
        <is>
          <t>Thin content</t>
        </is>
      </c>
      <c r="G30" s="27" t="n">
        <v>67</v>
      </c>
      <c r="H30" s="22" t="n">
        <v>32</v>
      </c>
      <c r="I30" s="22" t="inlineStr">
        <is>
          <t>&gt;=300 words (quality first)</t>
        </is>
      </c>
      <c r="J30" s="22" t="inlineStr">
        <is>
          <t>Expand page copy with useful, unique sections that answer key user questions.</t>
        </is>
      </c>
      <c r="K30" s="49" t="inlineStr">
        <is>
          <t>Content</t>
        </is>
      </c>
      <c r="L30" s="22" t="inlineStr">
        <is>
          <t>Word Count</t>
        </is>
      </c>
      <c r="M30" s="22" t="inlineStr">
        <is>
          <t>Yes</t>
        </is>
      </c>
      <c r="N30" s="22" t="inlineStr">
        <is>
          <t>Copy Writer</t>
        </is>
      </c>
      <c r="O30" s="25" t="inlineStr">
        <is>
          <t>Open</t>
        </is>
      </c>
      <c r="P30" s="22" t="n">
        <v>4</v>
      </c>
      <c r="Q30" s="22" t="inlineStr">
        <is>
          <t>https://africanmarketingconfederation.org/amc-conference-2022::aioseo_thin_content</t>
        </is>
      </c>
      <c r="R30" s="22" t="inlineStr">
        <is>
          <t>Low-content pages can struggle to satisfy intent and rank competitively.</t>
        </is>
      </c>
      <c r="S30" s="22" t="inlineStr">
        <is>
          <t>Open</t>
        </is>
      </c>
      <c r="T30" s="22">
        <f>IFERROR(HYPERLINK("#Technical!A"&amp;MATCH(A30,Technical!A:A,0),"Open"),HYPERLINK("#Technical!A1","Open"))</f>
        <v/>
      </c>
      <c r="U30" s="22" t="inlineStr"/>
      <c r="V30" s="24" t="n"/>
    </row>
    <row r="31" ht="30" customHeight="1">
      <c r="A31" s="42" t="inlineStr">
        <is>
          <t>https://africanmarketingconfederation.org/amc-conference-2022-prospectus</t>
        </is>
      </c>
      <c r="B31" s="4" t="n">
        <v>5619</v>
      </c>
      <c r="C31" s="48" t="inlineStr">
        <is>
          <t>https://africanmarketingconfederation.org/wp-admin/post.php?post=5619&amp;action=edit</t>
        </is>
      </c>
      <c r="D31" s="4" t="inlineStr">
        <is>
          <t>Readability</t>
        </is>
      </c>
      <c r="E31" s="34" t="inlineStr">
        <is>
          <t>Warning</t>
        </is>
      </c>
      <c r="F31" s="4" t="inlineStr">
        <is>
          <t>Low image alt coverage</t>
        </is>
      </c>
      <c r="G31" s="31" t="n">
        <v>67</v>
      </c>
      <c r="H31" s="4" t="n">
        <v>65.22</v>
      </c>
      <c r="I31" s="4" t="inlineStr">
        <is>
          <t>&gt;=80%</t>
        </is>
      </c>
      <c r="J31" s="4" t="inlineStr">
        <is>
          <t>Add descriptive alt text to meaningful images in the page editor/media fields.</t>
        </is>
      </c>
      <c r="K31" s="50" t="inlineStr">
        <is>
          <t>Media</t>
        </is>
      </c>
      <c r="L31" s="4" t="inlineStr">
        <is>
          <t>Image Alt Coverage (%)</t>
        </is>
      </c>
      <c r="M31" s="4" t="inlineStr">
        <is>
          <t>Yes</t>
        </is>
      </c>
      <c r="N31" s="4" t="inlineStr">
        <is>
          <t>Copy Writer</t>
        </is>
      </c>
      <c r="O31" s="25" t="inlineStr">
        <is>
          <t>Open</t>
        </is>
      </c>
      <c r="P31" s="4" t="n">
        <v>4</v>
      </c>
      <c r="Q31" s="4" t="inlineStr">
        <is>
          <t>https://africanmarketingconfederation.org/amc-conference-2022-prospectus::aioseo_low_image_alt_coverage</t>
        </is>
      </c>
      <c r="R31" s="4" t="inlineStr">
        <is>
          <t>Missing alt text reduces accessibility and weakens image context signals.</t>
        </is>
      </c>
      <c r="S31" s="4" t="inlineStr">
        <is>
          <t>Open</t>
        </is>
      </c>
      <c r="T31" s="4">
        <f>IFERROR(HYPERLINK("#Technical!A"&amp;MATCH(A31,Technical!A:A,0),"Open"),HYPERLINK("#Technical!A1","Open"))</f>
        <v/>
      </c>
      <c r="U31" s="4" t="inlineStr"/>
    </row>
    <row r="32" ht="30" customHeight="1">
      <c r="A32" s="40" t="inlineStr">
        <is>
          <t>https://africanmarketingconfederation.org/amc-conference-2022-prospectus</t>
        </is>
      </c>
      <c r="B32" s="22" t="n">
        <v>5619</v>
      </c>
      <c r="C32" s="48" t="inlineStr">
        <is>
          <t>https://africanmarketingconfederation.org/wp-admin/post.php?post=5619&amp;action=edit</t>
        </is>
      </c>
      <c r="D32" s="22" t="inlineStr">
        <is>
          <t>Readability</t>
        </is>
      </c>
      <c r="E32" s="34" t="inlineStr">
        <is>
          <t>Warning</t>
        </is>
      </c>
      <c r="F32" s="22" t="inlineStr">
        <is>
          <t>Missing H1 heading</t>
        </is>
      </c>
      <c r="G32" s="27" t="n">
        <v>67</v>
      </c>
      <c r="H32" s="22" t="n">
        <v>0</v>
      </c>
      <c r="I32" s="22" t="inlineStr">
        <is>
          <t>Exactly 1 descriptive H1</t>
        </is>
      </c>
      <c r="J32" s="22" t="inlineStr">
        <is>
          <t>Update page content to include a single descriptive H1 aligned to primary intent.</t>
        </is>
      </c>
      <c r="K32" s="49" t="inlineStr">
        <is>
          <t>Content</t>
        </is>
      </c>
      <c r="L32" s="22" t="inlineStr">
        <is>
          <t>Missing H1 Flag</t>
        </is>
      </c>
      <c r="M32" s="22" t="inlineStr">
        <is>
          <t>Yes</t>
        </is>
      </c>
      <c r="N32" s="22" t="inlineStr">
        <is>
          <t>Copy Writer</t>
        </is>
      </c>
      <c r="O32" s="25" t="inlineStr">
        <is>
          <t>Open</t>
        </is>
      </c>
      <c r="P32" s="22" t="n">
        <v>4</v>
      </c>
      <c r="Q32" s="22" t="inlineStr">
        <is>
          <t>https://africanmarketingconfederation.org/amc-conference-2022-prospectus::aioseo_missing_h1_heading</t>
        </is>
      </c>
      <c r="R32" s="22" t="inlineStr">
        <is>
          <t>A missing H1 weakens topical clarity for users and crawlers.</t>
        </is>
      </c>
      <c r="S32" s="22" t="inlineStr">
        <is>
          <t>Open</t>
        </is>
      </c>
      <c r="T32" s="22">
        <f>IFERROR(HYPERLINK("#Technical!A"&amp;MATCH(A32,Technical!A:A,0),"Open"),HYPERLINK("#Technical!A1","Open"))</f>
        <v/>
      </c>
      <c r="U32" s="22" t="inlineStr"/>
      <c r="V32" s="24" t="n"/>
    </row>
    <row r="33" ht="30" customHeight="1">
      <c r="A33" s="42" t="inlineStr">
        <is>
          <t>https://africanmarketingconfederation.org/amc-conference-2022-prospectus</t>
        </is>
      </c>
      <c r="B33" s="4" t="n">
        <v>5619</v>
      </c>
      <c r="C33" s="48" t="inlineStr">
        <is>
          <t>https://africanmarketingconfederation.org/wp-admin/post.php?post=5619&amp;action=edit</t>
        </is>
      </c>
      <c r="D33" s="4" t="inlineStr">
        <is>
          <t>Readability</t>
        </is>
      </c>
      <c r="E33" s="34" t="inlineStr">
        <is>
          <t>Warning</t>
        </is>
      </c>
      <c r="F33" s="4" t="inlineStr">
        <is>
          <t>Thin content</t>
        </is>
      </c>
      <c r="G33" s="31" t="n">
        <v>67</v>
      </c>
      <c r="H33" s="4" t="n">
        <v>120</v>
      </c>
      <c r="I33" s="4" t="inlineStr">
        <is>
          <t>&gt;=300 words (quality first)</t>
        </is>
      </c>
      <c r="J33" s="4" t="inlineStr">
        <is>
          <t>Expand page copy with useful, unique sections that answer key user questions.</t>
        </is>
      </c>
      <c r="K33" s="50" t="inlineStr">
        <is>
          <t>Content</t>
        </is>
      </c>
      <c r="L33" s="4" t="inlineStr">
        <is>
          <t>Word Count</t>
        </is>
      </c>
      <c r="M33" s="4" t="inlineStr">
        <is>
          <t>Yes</t>
        </is>
      </c>
      <c r="N33" s="4" t="inlineStr">
        <is>
          <t>Copy Writer</t>
        </is>
      </c>
      <c r="O33" s="25" t="inlineStr">
        <is>
          <t>Open</t>
        </is>
      </c>
      <c r="P33" s="4" t="n">
        <v>4</v>
      </c>
      <c r="Q33" s="4" t="inlineStr">
        <is>
          <t>https://africanmarketingconfederation.org/amc-conference-2022-prospectus::aioseo_thin_content</t>
        </is>
      </c>
      <c r="R33" s="4" t="inlineStr">
        <is>
          <t>Low-content pages can struggle to satisfy intent and rank competitively.</t>
        </is>
      </c>
      <c r="S33" s="4" t="inlineStr">
        <is>
          <t>Open</t>
        </is>
      </c>
      <c r="T33" s="4">
        <f>IFERROR(HYPERLINK("#Technical!A"&amp;MATCH(A33,Technical!A:A,0),"Open"),HYPERLINK("#Technical!A1","Open"))</f>
        <v/>
      </c>
      <c r="U33" s="4" t="inlineStr"/>
    </row>
    <row r="34" ht="30" customHeight="1">
      <c r="A34" s="40" t="inlineStr">
        <is>
          <t>https://africanmarketingconfederation.org/amc-conference-2022-thank-you</t>
        </is>
      </c>
      <c r="B34" s="22" t="n">
        <v>4941</v>
      </c>
      <c r="C34" s="48" t="inlineStr">
        <is>
          <t>https://africanmarketingconfederation.org/wp-admin/post.php?post=4941&amp;action=edit</t>
        </is>
      </c>
      <c r="D34" s="22" t="inlineStr">
        <is>
          <t>Readability</t>
        </is>
      </c>
      <c r="E34" s="34" t="inlineStr">
        <is>
          <t>Warning</t>
        </is>
      </c>
      <c r="F34" s="22" t="inlineStr">
        <is>
          <t>Low image alt coverage</t>
        </is>
      </c>
      <c r="G34" s="27" t="n">
        <v>67</v>
      </c>
      <c r="H34" s="22" t="n">
        <v>50</v>
      </c>
      <c r="I34" s="22" t="inlineStr">
        <is>
          <t>&gt;=80%</t>
        </is>
      </c>
      <c r="J34" s="22" t="inlineStr">
        <is>
          <t>Add descriptive alt text to meaningful images in the page editor/media fields.</t>
        </is>
      </c>
      <c r="K34" s="49" t="inlineStr">
        <is>
          <t>Media</t>
        </is>
      </c>
      <c r="L34" s="22" t="inlineStr">
        <is>
          <t>Image Alt Coverage (%)</t>
        </is>
      </c>
      <c r="M34" s="22" t="inlineStr">
        <is>
          <t>Yes</t>
        </is>
      </c>
      <c r="N34" s="22" t="inlineStr">
        <is>
          <t>Copy Writer</t>
        </is>
      </c>
      <c r="O34" s="25" t="inlineStr">
        <is>
          <t>Open</t>
        </is>
      </c>
      <c r="P34" s="22" t="n">
        <v>4</v>
      </c>
      <c r="Q34" s="22" t="inlineStr">
        <is>
          <t>https://africanmarketingconfederation.org/amc-conference-2022-thank-you::aioseo_low_image_alt_coverage</t>
        </is>
      </c>
      <c r="R34" s="22" t="inlineStr">
        <is>
          <t>Missing alt text reduces accessibility and weakens image context signals.</t>
        </is>
      </c>
      <c r="S34" s="22" t="inlineStr">
        <is>
          <t>Open</t>
        </is>
      </c>
      <c r="T34" s="22">
        <f>IFERROR(HYPERLINK("#Technical!A"&amp;MATCH(A34,Technical!A:A,0),"Open"),HYPERLINK("#Technical!A1","Open"))</f>
        <v/>
      </c>
      <c r="U34" s="22" t="inlineStr"/>
      <c r="V34" s="24" t="n"/>
    </row>
    <row r="35" ht="30" customHeight="1">
      <c r="A35" s="42" t="inlineStr">
        <is>
          <t>https://africanmarketingconfederation.org/amc-conference-2022-thank-you</t>
        </is>
      </c>
      <c r="B35" s="4" t="n">
        <v>4941</v>
      </c>
      <c r="C35" s="48" t="inlineStr">
        <is>
          <t>https://africanmarketingconfederation.org/wp-admin/post.php?post=4941&amp;action=edit</t>
        </is>
      </c>
      <c r="D35" s="4" t="inlineStr">
        <is>
          <t>Readability</t>
        </is>
      </c>
      <c r="E35" s="34" t="inlineStr">
        <is>
          <t>Warning</t>
        </is>
      </c>
      <c r="F35" s="4" t="inlineStr">
        <is>
          <t>Missing H1 heading</t>
        </is>
      </c>
      <c r="G35" s="31" t="n">
        <v>67</v>
      </c>
      <c r="H35" s="4" t="n">
        <v>0</v>
      </c>
      <c r="I35" s="4" t="inlineStr">
        <is>
          <t>Exactly 1 descriptive H1</t>
        </is>
      </c>
      <c r="J35" s="4" t="inlineStr">
        <is>
          <t>Update page content to include a single descriptive H1 aligned to primary intent.</t>
        </is>
      </c>
      <c r="K35" s="50" t="inlineStr">
        <is>
          <t>Content</t>
        </is>
      </c>
      <c r="L35" s="4" t="inlineStr">
        <is>
          <t>Missing H1 Flag</t>
        </is>
      </c>
      <c r="M35" s="4" t="inlineStr">
        <is>
          <t>Yes</t>
        </is>
      </c>
      <c r="N35" s="4" t="inlineStr">
        <is>
          <t>Copy Writer</t>
        </is>
      </c>
      <c r="O35" s="25" t="inlineStr">
        <is>
          <t>Open</t>
        </is>
      </c>
      <c r="P35" s="4" t="n">
        <v>4</v>
      </c>
      <c r="Q35" s="4" t="inlineStr">
        <is>
          <t>https://africanmarketingconfederation.org/amc-conference-2022-thank-you::aioseo_missing_h1_heading</t>
        </is>
      </c>
      <c r="R35" s="4" t="inlineStr">
        <is>
          <t>A missing H1 weakens topical clarity for users and crawlers.</t>
        </is>
      </c>
      <c r="S35" s="4" t="inlineStr">
        <is>
          <t>Open</t>
        </is>
      </c>
      <c r="T35" s="4">
        <f>IFERROR(HYPERLINK("#Technical!A"&amp;MATCH(A35,Technical!A:A,0),"Open"),HYPERLINK("#Technical!A1","Open"))</f>
        <v/>
      </c>
      <c r="U35" s="4" t="inlineStr"/>
    </row>
    <row r="36" ht="30" customHeight="1">
      <c r="A36" s="40" t="inlineStr">
        <is>
          <t>https://africanmarketingconfederation.org/amc-conference-2023</t>
        </is>
      </c>
      <c r="B36" s="22" t="n">
        <v>12371</v>
      </c>
      <c r="C36" s="48" t="inlineStr">
        <is>
          <t>https://africanmarketingconfederation.org/wp-admin/post.php?post=12371&amp;action=edit</t>
        </is>
      </c>
      <c r="D36" s="22" t="inlineStr">
        <is>
          <t>Readability</t>
        </is>
      </c>
      <c r="E36" s="34" t="inlineStr">
        <is>
          <t>Warning</t>
        </is>
      </c>
      <c r="F36" s="22" t="inlineStr">
        <is>
          <t>Low image alt coverage</t>
        </is>
      </c>
      <c r="G36" s="27" t="n">
        <v>67</v>
      </c>
      <c r="H36" s="22" t="n">
        <v>33.93</v>
      </c>
      <c r="I36" s="22" t="inlineStr">
        <is>
          <t>&gt;=80%</t>
        </is>
      </c>
      <c r="J36" s="22" t="inlineStr">
        <is>
          <t>Add descriptive alt text to meaningful images in the page editor/media fields.</t>
        </is>
      </c>
      <c r="K36" s="49" t="inlineStr">
        <is>
          <t>Media</t>
        </is>
      </c>
      <c r="L36" s="22" t="inlineStr">
        <is>
          <t>Image Alt Coverage (%)</t>
        </is>
      </c>
      <c r="M36" s="22" t="inlineStr">
        <is>
          <t>Yes</t>
        </is>
      </c>
      <c r="N36" s="22" t="inlineStr">
        <is>
          <t>Copy Writer</t>
        </is>
      </c>
      <c r="O36" s="25" t="inlineStr">
        <is>
          <t>Open</t>
        </is>
      </c>
      <c r="P36" s="22" t="n">
        <v>4</v>
      </c>
      <c r="Q36" s="22" t="inlineStr">
        <is>
          <t>https://africanmarketingconfederation.org/amc-conference-2023::aioseo_low_image_alt_coverage</t>
        </is>
      </c>
      <c r="R36" s="22" t="inlineStr">
        <is>
          <t>Missing alt text reduces accessibility and weakens image context signals.</t>
        </is>
      </c>
      <c r="S36" s="22" t="inlineStr">
        <is>
          <t>Open</t>
        </is>
      </c>
      <c r="T36" s="22">
        <f>IFERROR(HYPERLINK("#Technical!A"&amp;MATCH(A36,Technical!A:A,0),"Open"),HYPERLINK("#Technical!A1","Open"))</f>
        <v/>
      </c>
      <c r="U36" s="22" t="inlineStr"/>
      <c r="V36" s="24" t="n"/>
    </row>
    <row r="37" ht="30" customHeight="1">
      <c r="A37" s="42" t="inlineStr">
        <is>
          <t>https://africanmarketingconfederation.org/amc-conference-2023/amc-awards</t>
        </is>
      </c>
      <c r="B37" s="4" t="n">
        <v>12954</v>
      </c>
      <c r="C37" s="48" t="inlineStr">
        <is>
          <t>https://africanmarketingconfederation.org/wp-admin/post.php?post=12954&amp;action=edit</t>
        </is>
      </c>
      <c r="D37" s="4" t="inlineStr">
        <is>
          <t>Readability</t>
        </is>
      </c>
      <c r="E37" s="34" t="inlineStr">
        <is>
          <t>Warning</t>
        </is>
      </c>
      <c r="F37" s="4" t="inlineStr">
        <is>
          <t>Low image alt coverage</t>
        </is>
      </c>
      <c r="G37" s="31" t="n">
        <v>67</v>
      </c>
      <c r="H37" s="4" t="n">
        <v>72</v>
      </c>
      <c r="I37" s="4" t="inlineStr">
        <is>
          <t>&gt;=80%</t>
        </is>
      </c>
      <c r="J37" s="4" t="inlineStr">
        <is>
          <t>Add descriptive alt text to meaningful images in the page editor/media fields.</t>
        </is>
      </c>
      <c r="K37" s="50" t="inlineStr">
        <is>
          <t>Media</t>
        </is>
      </c>
      <c r="L37" s="4" t="inlineStr">
        <is>
          <t>Image Alt Coverage (%)</t>
        </is>
      </c>
      <c r="M37" s="4" t="inlineStr">
        <is>
          <t>Yes</t>
        </is>
      </c>
      <c r="N37" s="4" t="inlineStr">
        <is>
          <t>Copy Writer</t>
        </is>
      </c>
      <c r="O37" s="25" t="inlineStr">
        <is>
          <t>Open</t>
        </is>
      </c>
      <c r="P37" s="4" t="n">
        <v>4</v>
      </c>
      <c r="Q37" s="4" t="inlineStr">
        <is>
          <t>https://africanmarketingconfederation.org/amc-conference-2023/amc-awards::aioseo_low_image_alt_coverage</t>
        </is>
      </c>
      <c r="R37" s="4" t="inlineStr">
        <is>
          <t>Missing alt text reduces accessibility and weakens image context signals.</t>
        </is>
      </c>
      <c r="S37" s="4" t="inlineStr">
        <is>
          <t>Open</t>
        </is>
      </c>
      <c r="T37" s="4">
        <f>IFERROR(HYPERLINK("#Technical!A"&amp;MATCH(A37,Technical!A:A,0),"Open"),HYPERLINK("#Technical!A1","Open"))</f>
        <v/>
      </c>
      <c r="U37" s="4" t="inlineStr"/>
    </row>
    <row r="38" ht="30" customHeight="1">
      <c r="A38" s="40" t="inlineStr">
        <is>
          <t>https://africanmarketingconfederation.org/amc-conference-2023/amc-awards-book-now</t>
        </is>
      </c>
      <c r="B38" s="22" t="n">
        <v>13164</v>
      </c>
      <c r="C38" s="48" t="inlineStr">
        <is>
          <t>https://africanmarketingconfederation.org/wp-admin/post.php?post=13164&amp;action=edit</t>
        </is>
      </c>
      <c r="D38" s="22" t="inlineStr">
        <is>
          <t>Readability</t>
        </is>
      </c>
      <c r="E38" s="34" t="inlineStr">
        <is>
          <t>Warning</t>
        </is>
      </c>
      <c r="F38" s="22" t="inlineStr">
        <is>
          <t>Low image alt coverage</t>
        </is>
      </c>
      <c r="G38" s="27" t="n">
        <v>67</v>
      </c>
      <c r="H38" s="22" t="n">
        <v>75</v>
      </c>
      <c r="I38" s="22" t="inlineStr">
        <is>
          <t>&gt;=80%</t>
        </is>
      </c>
      <c r="J38" s="22" t="inlineStr">
        <is>
          <t>Add descriptive alt text to meaningful images in the page editor/media fields.</t>
        </is>
      </c>
      <c r="K38" s="49" t="inlineStr">
        <is>
          <t>Media</t>
        </is>
      </c>
      <c r="L38" s="22" t="inlineStr">
        <is>
          <t>Image Alt Coverage (%)</t>
        </is>
      </c>
      <c r="M38" s="22" t="inlineStr">
        <is>
          <t>Yes</t>
        </is>
      </c>
      <c r="N38" s="22" t="inlineStr">
        <is>
          <t>Copy Writer</t>
        </is>
      </c>
      <c r="O38" s="25" t="inlineStr">
        <is>
          <t>Open</t>
        </is>
      </c>
      <c r="P38" s="22" t="n">
        <v>4</v>
      </c>
      <c r="Q38" s="22" t="inlineStr">
        <is>
          <t>https://africanmarketingconfederation.org/amc-conference-2023/amc-awards-book-now::aioseo_low_image_alt_coverage</t>
        </is>
      </c>
      <c r="R38" s="22" t="inlineStr">
        <is>
          <t>Missing alt text reduces accessibility and weakens image context signals.</t>
        </is>
      </c>
      <c r="S38" s="22" t="inlineStr">
        <is>
          <t>Open</t>
        </is>
      </c>
      <c r="T38" s="22">
        <f>IFERROR(HYPERLINK("#Technical!A"&amp;MATCH(A38,Technical!A:A,0),"Open"),HYPERLINK("#Technical!A1","Open"))</f>
        <v/>
      </c>
      <c r="U38" s="22" t="inlineStr"/>
      <c r="V38" s="24" t="n"/>
    </row>
    <row r="39" ht="30" customHeight="1">
      <c r="A39" s="42" t="inlineStr">
        <is>
          <t>https://africanmarketingconfederation.org/amc-conference-2023/amc-awards-book-now</t>
        </is>
      </c>
      <c r="B39" s="4" t="n">
        <v>13164</v>
      </c>
      <c r="C39" s="48" t="inlineStr">
        <is>
          <t>https://africanmarketingconfederation.org/wp-admin/post.php?post=13164&amp;action=edit</t>
        </is>
      </c>
      <c r="D39" s="4" t="inlineStr">
        <is>
          <t>Readability</t>
        </is>
      </c>
      <c r="E39" s="34" t="inlineStr">
        <is>
          <t>Warning</t>
        </is>
      </c>
      <c r="F39" s="4" t="inlineStr">
        <is>
          <t>Missing H1 heading</t>
        </is>
      </c>
      <c r="G39" s="31" t="n">
        <v>67</v>
      </c>
      <c r="H39" s="4" t="n">
        <v>0</v>
      </c>
      <c r="I39" s="4" t="inlineStr">
        <is>
          <t>Exactly 1 descriptive H1</t>
        </is>
      </c>
      <c r="J39" s="4" t="inlineStr">
        <is>
          <t>Update page content to include a single descriptive H1 aligned to primary intent.</t>
        </is>
      </c>
      <c r="K39" s="50" t="inlineStr">
        <is>
          <t>Content</t>
        </is>
      </c>
      <c r="L39" s="4" t="inlineStr">
        <is>
          <t>Missing H1 Flag</t>
        </is>
      </c>
      <c r="M39" s="4" t="inlineStr">
        <is>
          <t>Yes</t>
        </is>
      </c>
      <c r="N39" s="4" t="inlineStr">
        <is>
          <t>Copy Writer</t>
        </is>
      </c>
      <c r="O39" s="25" t="inlineStr">
        <is>
          <t>Open</t>
        </is>
      </c>
      <c r="P39" s="4" t="n">
        <v>4</v>
      </c>
      <c r="Q39" s="4" t="inlineStr">
        <is>
          <t>https://africanmarketingconfederation.org/amc-conference-2023/amc-awards-book-now::aioseo_missing_h1_heading</t>
        </is>
      </c>
      <c r="R39" s="4" t="inlineStr">
        <is>
          <t>A missing H1 weakens topical clarity for users and crawlers.</t>
        </is>
      </c>
      <c r="S39" s="4" t="inlineStr">
        <is>
          <t>Open</t>
        </is>
      </c>
      <c r="T39" s="4">
        <f>IFERROR(HYPERLINK("#Technical!A"&amp;MATCH(A39,Technical!A:A,0),"Open"),HYPERLINK("#Technical!A1","Open"))</f>
        <v/>
      </c>
      <c r="U39" s="4" t="inlineStr"/>
    </row>
    <row r="40" ht="30" customHeight="1">
      <c r="A40" s="40" t="inlineStr">
        <is>
          <t>https://africanmarketingconfederation.org/amc-conference-2023/amc-awards-book-now</t>
        </is>
      </c>
      <c r="B40" s="22" t="n">
        <v>13164</v>
      </c>
      <c r="C40" s="48" t="inlineStr">
        <is>
          <t>https://africanmarketingconfederation.org/wp-admin/post.php?post=13164&amp;action=edit</t>
        </is>
      </c>
      <c r="D40" s="22" t="inlineStr">
        <is>
          <t>Readability</t>
        </is>
      </c>
      <c r="E40" s="34" t="inlineStr">
        <is>
          <t>Warning</t>
        </is>
      </c>
      <c r="F40" s="22" t="inlineStr">
        <is>
          <t>Thin content</t>
        </is>
      </c>
      <c r="G40" s="27" t="n">
        <v>67</v>
      </c>
      <c r="H40" s="22" t="n">
        <v>31</v>
      </c>
      <c r="I40" s="22" t="inlineStr">
        <is>
          <t>&gt;=300 words (quality first)</t>
        </is>
      </c>
      <c r="J40" s="22" t="inlineStr">
        <is>
          <t>Expand page copy with useful, unique sections that answer key user questions.</t>
        </is>
      </c>
      <c r="K40" s="49" t="inlineStr">
        <is>
          <t>Content</t>
        </is>
      </c>
      <c r="L40" s="22" t="inlineStr">
        <is>
          <t>Word Count</t>
        </is>
      </c>
      <c r="M40" s="22" t="inlineStr">
        <is>
          <t>Yes</t>
        </is>
      </c>
      <c r="N40" s="22" t="inlineStr">
        <is>
          <t>Copy Writer</t>
        </is>
      </c>
      <c r="O40" s="25" t="inlineStr">
        <is>
          <t>Open</t>
        </is>
      </c>
      <c r="P40" s="22" t="n">
        <v>4</v>
      </c>
      <c r="Q40" s="22" t="inlineStr">
        <is>
          <t>https://africanmarketingconfederation.org/amc-conference-2023/amc-awards-book-now::aioseo_thin_content</t>
        </is>
      </c>
      <c r="R40" s="22" t="inlineStr">
        <is>
          <t>Low-content pages can struggle to satisfy intent and rank competitively.</t>
        </is>
      </c>
      <c r="S40" s="22" t="inlineStr">
        <is>
          <t>Open</t>
        </is>
      </c>
      <c r="T40" s="22">
        <f>IFERROR(HYPERLINK("#Technical!A"&amp;MATCH(A40,Technical!A:A,0),"Open"),HYPERLINK("#Technical!A1","Open"))</f>
        <v/>
      </c>
      <c r="U40" s="22" t="inlineStr"/>
      <c r="V40" s="24" t="n"/>
    </row>
    <row r="41" ht="45" customHeight="1">
      <c r="A41" s="42" t="inlineStr">
        <is>
          <t>https://africanmarketingconfederation.org/</t>
        </is>
      </c>
      <c r="B41" s="4" t="n">
        <v>8</v>
      </c>
      <c r="C41" s="48" t="inlineStr">
        <is>
          <t>https://africanmarketingconfederation.org/wp-admin/post.php?post=8&amp;action=edit</t>
        </is>
      </c>
      <c r="D41" s="4" t="inlineStr">
        <is>
          <t>Schema</t>
        </is>
      </c>
      <c r="E41" s="34" t="inlineStr">
        <is>
          <t>Warning</t>
        </is>
      </c>
      <c r="F41" s="4" t="inlineStr">
        <is>
          <t>No schema markup detected</t>
        </is>
      </c>
      <c r="G41" s="31" t="n">
        <v>67</v>
      </c>
      <c r="H41" s="4" t="n">
        <v>0</v>
      </c>
      <c r="I41" s="4" t="inlineStr">
        <is>
          <t>At least one relevant schema type</t>
        </is>
      </c>
      <c r="J41" s="4" t="inlineStr">
        <is>
          <t>In AIOSEO schema settings for the page, add the most relevant type (Article/FAQ/HowTo/Product, etc.).</t>
        </is>
      </c>
      <c r="K41" s="50" t="inlineStr">
        <is>
          <t>Schema &amp; Metadata</t>
        </is>
      </c>
      <c r="L41" s="4" t="inlineStr">
        <is>
          <t>Schema Types Count</t>
        </is>
      </c>
      <c r="M41" s="4" t="inlineStr">
        <is>
          <t>Yes</t>
        </is>
      </c>
      <c r="N41" s="4" t="inlineStr">
        <is>
          <t>Copy Writer</t>
        </is>
      </c>
      <c r="O41" s="25" t="inlineStr">
        <is>
          <t>Open</t>
        </is>
      </c>
      <c r="P41" s="4" t="n">
        <v>4</v>
      </c>
      <c r="Q41" s="4" t="inlineStr">
        <is>
          <t>https://africanmarketingconfederation.org/::aioseo_no_schema_markup_detected</t>
        </is>
      </c>
      <c r="R41" s="4" t="inlineStr">
        <is>
          <t>Schema improves understanding and rich result eligibility.</t>
        </is>
      </c>
      <c r="S41" s="4" t="inlineStr">
        <is>
          <t>Open</t>
        </is>
      </c>
      <c r="T41" s="4">
        <f>IFERROR(HYPERLINK("#Technical!A"&amp;MATCH(A41,Technical!A:A,0),"Open"),HYPERLINK("#Technical!A1","Open"))</f>
        <v/>
      </c>
      <c r="U41" s="4" t="inlineStr"/>
    </row>
    <row r="42" ht="45" customHeight="1">
      <c r="A42" s="40" t="inlineStr">
        <is>
          <t>https://africanmarketingconfederation.org/about-us</t>
        </is>
      </c>
      <c r="B42" s="22" t="n">
        <v>84</v>
      </c>
      <c r="C42" s="48" t="inlineStr">
        <is>
          <t>https://africanmarketingconfederation.org/wp-admin/post.php?post=84&amp;action=edit</t>
        </is>
      </c>
      <c r="D42" s="22" t="inlineStr">
        <is>
          <t>Schema</t>
        </is>
      </c>
      <c r="E42" s="34" t="inlineStr">
        <is>
          <t>Warning</t>
        </is>
      </c>
      <c r="F42" s="22" t="inlineStr">
        <is>
          <t>No schema markup detected</t>
        </is>
      </c>
      <c r="G42" s="27" t="n">
        <v>67</v>
      </c>
      <c r="H42" s="22" t="n">
        <v>0</v>
      </c>
      <c r="I42" s="22" t="inlineStr">
        <is>
          <t>At least one relevant schema type</t>
        </is>
      </c>
      <c r="J42" s="22" t="inlineStr">
        <is>
          <t>In AIOSEO schema settings for the page, add the most relevant type (Article/FAQ/HowTo/Product, etc.).</t>
        </is>
      </c>
      <c r="K42" s="49" t="inlineStr">
        <is>
          <t>Schema &amp; Metadata</t>
        </is>
      </c>
      <c r="L42" s="22" t="inlineStr">
        <is>
          <t>Schema Types Count</t>
        </is>
      </c>
      <c r="M42" s="22" t="inlineStr">
        <is>
          <t>Yes</t>
        </is>
      </c>
      <c r="N42" s="22" t="inlineStr">
        <is>
          <t>Copy Writer</t>
        </is>
      </c>
      <c r="O42" s="25" t="inlineStr">
        <is>
          <t>Open</t>
        </is>
      </c>
      <c r="P42" s="22" t="n">
        <v>4</v>
      </c>
      <c r="Q42" s="22" t="inlineStr">
        <is>
          <t>https://africanmarketingconfederation.org/about-us::aioseo_no_schema_markup_detected</t>
        </is>
      </c>
      <c r="R42" s="22" t="inlineStr">
        <is>
          <t>Schema improves understanding and rich result eligibility.</t>
        </is>
      </c>
      <c r="S42" s="22" t="inlineStr">
        <is>
          <t>Open</t>
        </is>
      </c>
      <c r="T42" s="22">
        <f>IFERROR(HYPERLINK("#Technical!A"&amp;MATCH(A42,Technical!A:A,0),"Open"),HYPERLINK("#Technical!A1","Open"))</f>
        <v/>
      </c>
      <c r="U42" s="22" t="inlineStr"/>
      <c r="V42" s="24" t="n"/>
    </row>
    <row r="43" ht="45" customHeight="1">
      <c r="A43" s="42" t="inlineStr">
        <is>
          <t>https://africanmarketingconfederation.org/african-marketing-confederation-tourism-chapter</t>
        </is>
      </c>
      <c r="B43" s="4" t="n">
        <v>28165</v>
      </c>
      <c r="C43" s="48" t="inlineStr">
        <is>
          <t>https://africanmarketingconfederation.org/wp-admin/post.php?post=28165&amp;action=edit</t>
        </is>
      </c>
      <c r="D43" s="4" t="inlineStr">
        <is>
          <t>Schema</t>
        </is>
      </c>
      <c r="E43" s="34" t="inlineStr">
        <is>
          <t>Warning</t>
        </is>
      </c>
      <c r="F43" s="4" t="inlineStr">
        <is>
          <t>No schema markup detected</t>
        </is>
      </c>
      <c r="G43" s="31" t="n">
        <v>67</v>
      </c>
      <c r="H43" s="4" t="n">
        <v>0</v>
      </c>
      <c r="I43" s="4" t="inlineStr">
        <is>
          <t>At least one relevant schema type</t>
        </is>
      </c>
      <c r="J43" s="4" t="inlineStr">
        <is>
          <t>In AIOSEO schema settings for the page, add the most relevant type (Article/FAQ/HowTo/Product, etc.).</t>
        </is>
      </c>
      <c r="K43" s="50" t="inlineStr">
        <is>
          <t>Schema &amp; Metadata</t>
        </is>
      </c>
      <c r="L43" s="4" t="inlineStr">
        <is>
          <t>Schema Types Count</t>
        </is>
      </c>
      <c r="M43" s="4" t="inlineStr">
        <is>
          <t>Yes</t>
        </is>
      </c>
      <c r="N43" s="4" t="inlineStr">
        <is>
          <t>Copy Writer</t>
        </is>
      </c>
      <c r="O43" s="25" t="inlineStr">
        <is>
          <t>Open</t>
        </is>
      </c>
      <c r="P43" s="4" t="n">
        <v>4</v>
      </c>
      <c r="Q43" s="4" t="inlineStr">
        <is>
          <t>https://africanmarketingconfederation.org/african-marketing-confederation-tourism-chapter::aioseo_no_schema_markup_detected</t>
        </is>
      </c>
      <c r="R43" s="4" t="inlineStr">
        <is>
          <t>Schema improves understanding and rich result eligibility.</t>
        </is>
      </c>
      <c r="S43" s="4" t="inlineStr">
        <is>
          <t>Open</t>
        </is>
      </c>
      <c r="T43" s="4">
        <f>IFERROR(HYPERLINK("#Technical!A"&amp;MATCH(A43,Technical!A:A,0),"Open"),HYPERLINK("#Technical!A1","Open"))</f>
        <v/>
      </c>
      <c r="U43" s="4" t="inlineStr"/>
    </row>
    <row r="44" ht="45" customHeight="1">
      <c r="A44" s="40" t="inlineStr">
        <is>
          <t>https://africanmarketingconfederation.org/amc-awards-2024</t>
        </is>
      </c>
      <c r="B44" s="22" t="n">
        <v>16125</v>
      </c>
      <c r="C44" s="48" t="inlineStr">
        <is>
          <t>https://africanmarketingconfederation.org/wp-admin/post.php?post=16125&amp;action=edit</t>
        </is>
      </c>
      <c r="D44" s="22" t="inlineStr">
        <is>
          <t>Schema</t>
        </is>
      </c>
      <c r="E44" s="34" t="inlineStr">
        <is>
          <t>Warning</t>
        </is>
      </c>
      <c r="F44" s="22" t="inlineStr">
        <is>
          <t>No schema markup detected</t>
        </is>
      </c>
      <c r="G44" s="27" t="n">
        <v>67</v>
      </c>
      <c r="H44" s="22" t="n">
        <v>0</v>
      </c>
      <c r="I44" s="22" t="inlineStr">
        <is>
          <t>At least one relevant schema type</t>
        </is>
      </c>
      <c r="J44" s="22" t="inlineStr">
        <is>
          <t>In AIOSEO schema settings for the page, add the most relevant type (Article/FAQ/HowTo/Product, etc.).</t>
        </is>
      </c>
      <c r="K44" s="49" t="inlineStr">
        <is>
          <t>Schema &amp; Metadata</t>
        </is>
      </c>
      <c r="L44" s="22" t="inlineStr">
        <is>
          <t>Schema Types Count</t>
        </is>
      </c>
      <c r="M44" s="22" t="inlineStr">
        <is>
          <t>Yes</t>
        </is>
      </c>
      <c r="N44" s="22" t="inlineStr">
        <is>
          <t>Copy Writer</t>
        </is>
      </c>
      <c r="O44" s="25" t="inlineStr">
        <is>
          <t>Open</t>
        </is>
      </c>
      <c r="P44" s="22" t="n">
        <v>4</v>
      </c>
      <c r="Q44" s="22" t="inlineStr">
        <is>
          <t>https://africanmarketingconfederation.org/amc-awards-2024::aioseo_no_schema_markup_detected</t>
        </is>
      </c>
      <c r="R44" s="22" t="inlineStr">
        <is>
          <t>Schema improves understanding and rich result eligibility.</t>
        </is>
      </c>
      <c r="S44" s="22" t="inlineStr">
        <is>
          <t>Open</t>
        </is>
      </c>
      <c r="T44" s="22">
        <f>IFERROR(HYPERLINK("#Technical!A"&amp;MATCH(A44,Technical!A:A,0),"Open"),HYPERLINK("#Technical!A1","Open"))</f>
        <v/>
      </c>
      <c r="U44" s="22" t="inlineStr"/>
      <c r="V44" s="24" t="n"/>
    </row>
    <row r="45" ht="45" customHeight="1">
      <c r="A45" s="42" t="inlineStr">
        <is>
          <t>https://africanmarketingconfederation.org/amc-conference-2022</t>
        </is>
      </c>
      <c r="B45" s="4" t="n">
        <v>4494</v>
      </c>
      <c r="C45" s="48" t="inlineStr">
        <is>
          <t>https://africanmarketingconfederation.org/wp-admin/post.php?post=4494&amp;action=edit</t>
        </is>
      </c>
      <c r="D45" s="4" t="inlineStr">
        <is>
          <t>Schema</t>
        </is>
      </c>
      <c r="E45" s="34" t="inlineStr">
        <is>
          <t>Warning</t>
        </is>
      </c>
      <c r="F45" s="4" t="inlineStr">
        <is>
          <t>No schema markup detected</t>
        </is>
      </c>
      <c r="G45" s="31" t="n">
        <v>67</v>
      </c>
      <c r="H45" s="4" t="n">
        <v>0</v>
      </c>
      <c r="I45" s="4" t="inlineStr">
        <is>
          <t>At least one relevant schema type</t>
        </is>
      </c>
      <c r="J45" s="4" t="inlineStr">
        <is>
          <t>In AIOSEO schema settings for the page, add the most relevant type (Article/FAQ/HowTo/Product, etc.).</t>
        </is>
      </c>
      <c r="K45" s="50" t="inlineStr">
        <is>
          <t>Schema &amp; Metadata</t>
        </is>
      </c>
      <c r="L45" s="4" t="inlineStr">
        <is>
          <t>Schema Types Count</t>
        </is>
      </c>
      <c r="M45" s="4" t="inlineStr">
        <is>
          <t>Yes</t>
        </is>
      </c>
      <c r="N45" s="4" t="inlineStr">
        <is>
          <t>Copy Writer</t>
        </is>
      </c>
      <c r="O45" s="25" t="inlineStr">
        <is>
          <t>Open</t>
        </is>
      </c>
      <c r="P45" s="4" t="n">
        <v>4</v>
      </c>
      <c r="Q45" s="4" t="inlineStr">
        <is>
          <t>https://africanmarketingconfederation.org/amc-conference-2022::aioseo_no_schema_markup_detected</t>
        </is>
      </c>
      <c r="R45" s="4" t="inlineStr">
        <is>
          <t>Schema improves understanding and rich result eligibility.</t>
        </is>
      </c>
      <c r="S45" s="4" t="inlineStr">
        <is>
          <t>Open</t>
        </is>
      </c>
      <c r="T45" s="4">
        <f>IFERROR(HYPERLINK("#Technical!A"&amp;MATCH(A45,Technical!A:A,0),"Open"),HYPERLINK("#Technical!A1","Open"))</f>
        <v/>
      </c>
      <c r="U45" s="4" t="inlineStr"/>
    </row>
    <row r="46" ht="45" customHeight="1">
      <c r="A46" s="40" t="inlineStr">
        <is>
          <t>https://africanmarketingconfederation.org/amc-conference-2022-prospectus</t>
        </is>
      </c>
      <c r="B46" s="22" t="n">
        <v>5619</v>
      </c>
      <c r="C46" s="48" t="inlineStr">
        <is>
          <t>https://africanmarketingconfederation.org/wp-admin/post.php?post=5619&amp;action=edit</t>
        </is>
      </c>
      <c r="D46" s="22" t="inlineStr">
        <is>
          <t>Schema</t>
        </is>
      </c>
      <c r="E46" s="34" t="inlineStr">
        <is>
          <t>Warning</t>
        </is>
      </c>
      <c r="F46" s="22" t="inlineStr">
        <is>
          <t>No schema markup detected</t>
        </is>
      </c>
      <c r="G46" s="27" t="n">
        <v>67</v>
      </c>
      <c r="H46" s="22" t="n">
        <v>0</v>
      </c>
      <c r="I46" s="22" t="inlineStr">
        <is>
          <t>At least one relevant schema type</t>
        </is>
      </c>
      <c r="J46" s="22" t="inlineStr">
        <is>
          <t>In AIOSEO schema settings for the page, add the most relevant type (Article/FAQ/HowTo/Product, etc.).</t>
        </is>
      </c>
      <c r="K46" s="49" t="inlineStr">
        <is>
          <t>Schema &amp; Metadata</t>
        </is>
      </c>
      <c r="L46" s="22" t="inlineStr">
        <is>
          <t>Schema Types Count</t>
        </is>
      </c>
      <c r="M46" s="22" t="inlineStr">
        <is>
          <t>Yes</t>
        </is>
      </c>
      <c r="N46" s="22" t="inlineStr">
        <is>
          <t>Copy Writer</t>
        </is>
      </c>
      <c r="O46" s="25" t="inlineStr">
        <is>
          <t>Open</t>
        </is>
      </c>
      <c r="P46" s="22" t="n">
        <v>4</v>
      </c>
      <c r="Q46" s="22" t="inlineStr">
        <is>
          <t>https://africanmarketingconfederation.org/amc-conference-2022-prospectus::aioseo_no_schema_markup_detected</t>
        </is>
      </c>
      <c r="R46" s="22" t="inlineStr">
        <is>
          <t>Schema improves understanding and rich result eligibility.</t>
        </is>
      </c>
      <c r="S46" s="22" t="inlineStr">
        <is>
          <t>Open</t>
        </is>
      </c>
      <c r="T46" s="22">
        <f>IFERROR(HYPERLINK("#Technical!A"&amp;MATCH(A46,Technical!A:A,0),"Open"),HYPERLINK("#Technical!A1","Open"))</f>
        <v/>
      </c>
      <c r="U46" s="22" t="inlineStr"/>
      <c r="V46" s="24" t="n"/>
    </row>
    <row r="47" ht="45" customHeight="1">
      <c r="A47" s="42" t="inlineStr">
        <is>
          <t>https://africanmarketingconfederation.org/amc-conference-2022-thank-you</t>
        </is>
      </c>
      <c r="B47" s="4" t="n">
        <v>4941</v>
      </c>
      <c r="C47" s="48" t="inlineStr">
        <is>
          <t>https://africanmarketingconfederation.org/wp-admin/post.php?post=4941&amp;action=edit</t>
        </is>
      </c>
      <c r="D47" s="4" t="inlineStr">
        <is>
          <t>Schema</t>
        </is>
      </c>
      <c r="E47" s="34" t="inlineStr">
        <is>
          <t>Warning</t>
        </is>
      </c>
      <c r="F47" s="4" t="inlineStr">
        <is>
          <t>No schema markup detected</t>
        </is>
      </c>
      <c r="G47" s="31" t="n">
        <v>67</v>
      </c>
      <c r="H47" s="4" t="n">
        <v>0</v>
      </c>
      <c r="I47" s="4" t="inlineStr">
        <is>
          <t>At least one relevant schema type</t>
        </is>
      </c>
      <c r="J47" s="4" t="inlineStr">
        <is>
          <t>In AIOSEO schema settings for the page, add the most relevant type (Article/FAQ/HowTo/Product, etc.).</t>
        </is>
      </c>
      <c r="K47" s="50" t="inlineStr">
        <is>
          <t>Schema &amp; Metadata</t>
        </is>
      </c>
      <c r="L47" s="4" t="inlineStr">
        <is>
          <t>Schema Types Count</t>
        </is>
      </c>
      <c r="M47" s="4" t="inlineStr">
        <is>
          <t>Yes</t>
        </is>
      </c>
      <c r="N47" s="4" t="inlineStr">
        <is>
          <t>Copy Writer</t>
        </is>
      </c>
      <c r="O47" s="25" t="inlineStr">
        <is>
          <t>Open</t>
        </is>
      </c>
      <c r="P47" s="4" t="n">
        <v>4</v>
      </c>
      <c r="Q47" s="4" t="inlineStr">
        <is>
          <t>https://africanmarketingconfederation.org/amc-conference-2022-thank-you::aioseo_no_schema_markup_detected</t>
        </is>
      </c>
      <c r="R47" s="4" t="inlineStr">
        <is>
          <t>Schema improves understanding and rich result eligibility.</t>
        </is>
      </c>
      <c r="S47" s="4" t="inlineStr">
        <is>
          <t>Open</t>
        </is>
      </c>
      <c r="T47" s="4">
        <f>IFERROR(HYPERLINK("#Technical!A"&amp;MATCH(A47,Technical!A:A,0),"Open"),HYPERLINK("#Technical!A1","Open"))</f>
        <v/>
      </c>
      <c r="U47" s="4" t="inlineStr"/>
    </row>
    <row r="48" ht="45" customHeight="1">
      <c r="A48" s="40" t="inlineStr">
        <is>
          <t>https://africanmarketingconfederation.org/amc-conference-2023</t>
        </is>
      </c>
      <c r="B48" s="22" t="n">
        <v>12371</v>
      </c>
      <c r="C48" s="48" t="inlineStr">
        <is>
          <t>https://africanmarketingconfederation.org/wp-admin/post.php?post=12371&amp;action=edit</t>
        </is>
      </c>
      <c r="D48" s="22" t="inlineStr">
        <is>
          <t>Schema</t>
        </is>
      </c>
      <c r="E48" s="34" t="inlineStr">
        <is>
          <t>Warning</t>
        </is>
      </c>
      <c r="F48" s="22" t="inlineStr">
        <is>
          <t>No schema markup detected</t>
        </is>
      </c>
      <c r="G48" s="27" t="n">
        <v>67</v>
      </c>
      <c r="H48" s="22" t="n">
        <v>0</v>
      </c>
      <c r="I48" s="22" t="inlineStr">
        <is>
          <t>At least one relevant schema type</t>
        </is>
      </c>
      <c r="J48" s="22" t="inlineStr">
        <is>
          <t>In AIOSEO schema settings for the page, add the most relevant type (Article/FAQ/HowTo/Product, etc.).</t>
        </is>
      </c>
      <c r="K48" s="49" t="inlineStr">
        <is>
          <t>Schema &amp; Metadata</t>
        </is>
      </c>
      <c r="L48" s="22" t="inlineStr">
        <is>
          <t>Schema Types Count</t>
        </is>
      </c>
      <c r="M48" s="22" t="inlineStr">
        <is>
          <t>Yes</t>
        </is>
      </c>
      <c r="N48" s="22" t="inlineStr">
        <is>
          <t>Copy Writer</t>
        </is>
      </c>
      <c r="O48" s="25" t="inlineStr">
        <is>
          <t>Open</t>
        </is>
      </c>
      <c r="P48" s="22" t="n">
        <v>4</v>
      </c>
      <c r="Q48" s="22" t="inlineStr">
        <is>
          <t>https://africanmarketingconfederation.org/amc-conference-2023::aioseo_no_schema_markup_detected</t>
        </is>
      </c>
      <c r="R48" s="22" t="inlineStr">
        <is>
          <t>Schema improves understanding and rich result eligibility.</t>
        </is>
      </c>
      <c r="S48" s="22" t="inlineStr">
        <is>
          <t>Open</t>
        </is>
      </c>
      <c r="T48" s="22">
        <f>IFERROR(HYPERLINK("#Technical!A"&amp;MATCH(A48,Technical!A:A,0),"Open"),HYPERLINK("#Technical!A1","Open"))</f>
        <v/>
      </c>
      <c r="U48" s="22" t="inlineStr"/>
      <c r="V48" s="24" t="n"/>
    </row>
    <row r="49" ht="45" customHeight="1">
      <c r="A49" s="42" t="inlineStr">
        <is>
          <t>https://africanmarketingconfederation.org/amc-conference-2023/amc-awards</t>
        </is>
      </c>
      <c r="B49" s="4" t="n">
        <v>12954</v>
      </c>
      <c r="C49" s="48" t="inlineStr">
        <is>
          <t>https://africanmarketingconfederation.org/wp-admin/post.php?post=12954&amp;action=edit</t>
        </is>
      </c>
      <c r="D49" s="4" t="inlineStr">
        <is>
          <t>Schema</t>
        </is>
      </c>
      <c r="E49" s="34" t="inlineStr">
        <is>
          <t>Warning</t>
        </is>
      </c>
      <c r="F49" s="4" t="inlineStr">
        <is>
          <t>No schema markup detected</t>
        </is>
      </c>
      <c r="G49" s="31" t="n">
        <v>67</v>
      </c>
      <c r="H49" s="4" t="n">
        <v>0</v>
      </c>
      <c r="I49" s="4" t="inlineStr">
        <is>
          <t>At least one relevant schema type</t>
        </is>
      </c>
      <c r="J49" s="4" t="inlineStr">
        <is>
          <t>In AIOSEO schema settings for the page, add the most relevant type (Article/FAQ/HowTo/Product, etc.).</t>
        </is>
      </c>
      <c r="K49" s="50" t="inlineStr">
        <is>
          <t>Schema &amp; Metadata</t>
        </is>
      </c>
      <c r="L49" s="4" t="inlineStr">
        <is>
          <t>Schema Types Count</t>
        </is>
      </c>
      <c r="M49" s="4" t="inlineStr">
        <is>
          <t>Yes</t>
        </is>
      </c>
      <c r="N49" s="4" t="inlineStr">
        <is>
          <t>Copy Writer</t>
        </is>
      </c>
      <c r="O49" s="25" t="inlineStr">
        <is>
          <t>Open</t>
        </is>
      </c>
      <c r="P49" s="4" t="n">
        <v>4</v>
      </c>
      <c r="Q49" s="4" t="inlineStr">
        <is>
          <t>https://africanmarketingconfederation.org/amc-conference-2023/amc-awards::aioseo_no_schema_markup_detected</t>
        </is>
      </c>
      <c r="R49" s="4" t="inlineStr">
        <is>
          <t>Schema improves understanding and rich result eligibility.</t>
        </is>
      </c>
      <c r="S49" s="4" t="inlineStr">
        <is>
          <t>Open</t>
        </is>
      </c>
      <c r="T49" s="4">
        <f>IFERROR(HYPERLINK("#Technical!A"&amp;MATCH(A49,Technical!A:A,0),"Open"),HYPERLINK("#Technical!A1","Open"))</f>
        <v/>
      </c>
      <c r="U49" s="4" t="inlineStr"/>
    </row>
    <row r="50" ht="45" customHeight="1">
      <c r="A50" s="40" t="inlineStr">
        <is>
          <t>https://africanmarketingconfederation.org/amc-conference-2023/amc-awards-book-now</t>
        </is>
      </c>
      <c r="B50" s="22" t="n">
        <v>13164</v>
      </c>
      <c r="C50" s="48" t="inlineStr">
        <is>
          <t>https://africanmarketingconfederation.org/wp-admin/post.php?post=13164&amp;action=edit</t>
        </is>
      </c>
      <c r="D50" s="22" t="inlineStr">
        <is>
          <t>Schema</t>
        </is>
      </c>
      <c r="E50" s="34" t="inlineStr">
        <is>
          <t>Warning</t>
        </is>
      </c>
      <c r="F50" s="22" t="inlineStr">
        <is>
          <t>No schema markup detected</t>
        </is>
      </c>
      <c r="G50" s="27" t="n">
        <v>67</v>
      </c>
      <c r="H50" s="22" t="n">
        <v>0</v>
      </c>
      <c r="I50" s="22" t="inlineStr">
        <is>
          <t>At least one relevant schema type</t>
        </is>
      </c>
      <c r="J50" s="22" t="inlineStr">
        <is>
          <t>In AIOSEO schema settings for the page, add the most relevant type (Article/FAQ/HowTo/Product, etc.).</t>
        </is>
      </c>
      <c r="K50" s="49" t="inlineStr">
        <is>
          <t>Schema &amp; Metadata</t>
        </is>
      </c>
      <c r="L50" s="22" t="inlineStr">
        <is>
          <t>Schema Types Count</t>
        </is>
      </c>
      <c r="M50" s="22" t="inlineStr">
        <is>
          <t>Yes</t>
        </is>
      </c>
      <c r="N50" s="22" t="inlineStr">
        <is>
          <t>Copy Writer</t>
        </is>
      </c>
      <c r="O50" s="25" t="inlineStr">
        <is>
          <t>Open</t>
        </is>
      </c>
      <c r="P50" s="22" t="n">
        <v>4</v>
      </c>
      <c r="Q50" s="22" t="inlineStr">
        <is>
          <t>https://africanmarketingconfederation.org/amc-conference-2023/amc-awards-book-now::aioseo_no_schema_markup_detected</t>
        </is>
      </c>
      <c r="R50" s="22" t="inlineStr">
        <is>
          <t>Schema improves understanding and rich result eligibility.</t>
        </is>
      </c>
      <c r="S50" s="22" t="inlineStr">
        <is>
          <t>Open</t>
        </is>
      </c>
      <c r="T50" s="22">
        <f>IFERROR(HYPERLINK("#Technical!A"&amp;MATCH(A50,Technical!A:A,0),"Open"),HYPERLINK("#Technical!A1","Open"))</f>
        <v/>
      </c>
      <c r="U50" s="22" t="inlineStr"/>
      <c r="V50" s="24" t="n"/>
    </row>
    <row r="51" ht="30" customHeight="1">
      <c r="A51" s="42" t="inlineStr">
        <is>
          <t>https://africanmarketingconfederation.org/about-us</t>
        </is>
      </c>
      <c r="B51" s="4" t="n">
        <v>84</v>
      </c>
      <c r="C51" s="48" t="inlineStr">
        <is>
          <t>https://africanmarketingconfederation.org/wp-admin/post.php?post=84&amp;action=edit</t>
        </is>
      </c>
      <c r="D51" s="4" t="inlineStr">
        <is>
          <t>Basic SEO</t>
        </is>
      </c>
      <c r="E51" s="37" t="inlineStr">
        <is>
          <t>Observation</t>
        </is>
      </c>
      <c r="F51" s="4" t="inlineStr">
        <is>
          <t>Meta description too long</t>
        </is>
      </c>
      <c r="G51" s="31" t="n">
        <v>37</v>
      </c>
      <c r="H51" s="4" t="n">
        <v>405</v>
      </c>
      <c r="I51" s="4" t="inlineStr">
        <is>
          <t>120-160 characters</t>
        </is>
      </c>
      <c r="J51" s="4" t="inlineStr">
        <is>
          <t>Trim meta description in AIOSEO and front-load essential context.</t>
        </is>
      </c>
      <c r="K51" s="50" t="inlineStr">
        <is>
          <t>Main</t>
        </is>
      </c>
      <c r="L51" s="4" t="inlineStr">
        <is>
          <t>Meta Description</t>
        </is>
      </c>
      <c r="M51" s="4" t="inlineStr">
        <is>
          <t>No</t>
        </is>
      </c>
      <c r="N51" s="4" t="inlineStr">
        <is>
          <t>Copy Writer</t>
        </is>
      </c>
      <c r="O51" s="25" t="inlineStr">
        <is>
          <t>Open</t>
        </is>
      </c>
      <c r="P51" s="4" t="n">
        <v>4</v>
      </c>
      <c r="Q51" s="4" t="inlineStr">
        <is>
          <t>https://africanmarketingconfederation.org/about-us::aioseo_meta_description_too_long</t>
        </is>
      </c>
      <c r="R51" s="4" t="inlineStr">
        <is>
          <t>Long descriptions are often truncated and lose message clarity.</t>
        </is>
      </c>
      <c r="S51" s="4" t="inlineStr">
        <is>
          <t>Open</t>
        </is>
      </c>
      <c r="T51" s="4">
        <f>IFERROR(HYPERLINK("#Technical!A"&amp;MATCH(A51,Technical!A:A,0),"Open"),HYPERLINK("#Technical!A1","Open"))</f>
        <v/>
      </c>
      <c r="U51" s="4" t="inlineStr"/>
    </row>
    <row r="52" ht="30" customHeight="1">
      <c r="A52" s="40" t="inlineStr">
        <is>
          <t>https://africanmarketingconfederation.org/african-marketing-confederation-tourism-chapter</t>
        </is>
      </c>
      <c r="B52" s="22" t="n">
        <v>28165</v>
      </c>
      <c r="C52" s="48" t="inlineStr">
        <is>
          <t>https://africanmarketingconfederation.org/wp-admin/post.php?post=28165&amp;action=edit</t>
        </is>
      </c>
      <c r="D52" s="22" t="inlineStr">
        <is>
          <t>Basic SEO</t>
        </is>
      </c>
      <c r="E52" s="37" t="inlineStr">
        <is>
          <t>Observation</t>
        </is>
      </c>
      <c r="F52" s="22" t="inlineStr">
        <is>
          <t>Meta description too long</t>
        </is>
      </c>
      <c r="G52" s="27" t="n">
        <v>37</v>
      </c>
      <c r="H52" s="22" t="n">
        <v>423</v>
      </c>
      <c r="I52" s="22" t="inlineStr">
        <is>
          <t>120-160 characters</t>
        </is>
      </c>
      <c r="J52" s="22" t="inlineStr">
        <is>
          <t>Trim meta description in AIOSEO and front-load essential context.</t>
        </is>
      </c>
      <c r="K52" s="49" t="inlineStr">
        <is>
          <t>Main</t>
        </is>
      </c>
      <c r="L52" s="22" t="inlineStr">
        <is>
          <t>Meta Description</t>
        </is>
      </c>
      <c r="M52" s="22" t="inlineStr">
        <is>
          <t>No</t>
        </is>
      </c>
      <c r="N52" s="22" t="inlineStr">
        <is>
          <t>Copy Writer</t>
        </is>
      </c>
      <c r="O52" s="25" t="inlineStr">
        <is>
          <t>Open</t>
        </is>
      </c>
      <c r="P52" s="22" t="n">
        <v>4</v>
      </c>
      <c r="Q52" s="22" t="inlineStr">
        <is>
          <t>https://africanmarketingconfederation.org/african-marketing-confederation-tourism-chapter::aioseo_meta_description_too_long</t>
        </is>
      </c>
      <c r="R52" s="22" t="inlineStr">
        <is>
          <t>Long descriptions are often truncated and lose message clarity.</t>
        </is>
      </c>
      <c r="S52" s="22" t="inlineStr">
        <is>
          <t>Open</t>
        </is>
      </c>
      <c r="T52" s="22">
        <f>IFERROR(HYPERLINK("#Technical!A"&amp;MATCH(A52,Technical!A:A,0),"Open"),HYPERLINK("#Technical!A1","Open"))</f>
        <v/>
      </c>
      <c r="U52" s="22" t="inlineStr"/>
      <c r="V52" s="24" t="n"/>
    </row>
    <row r="53" ht="30" customHeight="1">
      <c r="A53" s="42" t="inlineStr">
        <is>
          <t>https://africanmarketingconfederation.org/amc-awards-2024</t>
        </is>
      </c>
      <c r="B53" s="4" t="n">
        <v>16125</v>
      </c>
      <c r="C53" s="48" t="inlineStr">
        <is>
          <t>https://africanmarketingconfederation.org/wp-admin/post.php?post=16125&amp;action=edit</t>
        </is>
      </c>
      <c r="D53" s="4" t="inlineStr">
        <is>
          <t>Basic SEO</t>
        </is>
      </c>
      <c r="E53" s="37" t="inlineStr">
        <is>
          <t>Observation</t>
        </is>
      </c>
      <c r="F53" s="4" t="inlineStr">
        <is>
          <t>Meta description too long</t>
        </is>
      </c>
      <c r="G53" s="31" t="n">
        <v>37</v>
      </c>
      <c r="H53" s="4" t="n">
        <v>406</v>
      </c>
      <c r="I53" s="4" t="inlineStr">
        <is>
          <t>120-160 characters</t>
        </is>
      </c>
      <c r="J53" s="4" t="inlineStr">
        <is>
          <t>Trim meta description in AIOSEO and front-load essential context.</t>
        </is>
      </c>
      <c r="K53" s="50" t="inlineStr">
        <is>
          <t>Main</t>
        </is>
      </c>
      <c r="L53" s="4" t="inlineStr">
        <is>
          <t>Meta Description</t>
        </is>
      </c>
      <c r="M53" s="4" t="inlineStr">
        <is>
          <t>No</t>
        </is>
      </c>
      <c r="N53" s="4" t="inlineStr">
        <is>
          <t>Copy Writer</t>
        </is>
      </c>
      <c r="O53" s="25" t="inlineStr">
        <is>
          <t>Open</t>
        </is>
      </c>
      <c r="P53" s="4" t="n">
        <v>4</v>
      </c>
      <c r="Q53" s="4" t="inlineStr">
        <is>
          <t>https://africanmarketingconfederation.org/amc-awards-2024::aioseo_meta_description_too_long</t>
        </is>
      </c>
      <c r="R53" s="4" t="inlineStr">
        <is>
          <t>Long descriptions are often truncated and lose message clarity.</t>
        </is>
      </c>
      <c r="S53" s="4" t="inlineStr">
        <is>
          <t>Open</t>
        </is>
      </c>
      <c r="T53" s="4">
        <f>IFERROR(HYPERLINK("#Technical!A"&amp;MATCH(A53,Technical!A:A,0),"Open"),HYPERLINK("#Technical!A1","Open"))</f>
        <v/>
      </c>
      <c r="U53" s="4" t="inlineStr"/>
    </row>
    <row r="54" ht="30" customHeight="1">
      <c r="A54" s="40" t="inlineStr">
        <is>
          <t>https://africanmarketingconfederation.org/amc-conference-2022</t>
        </is>
      </c>
      <c r="B54" s="22" t="n">
        <v>4494</v>
      </c>
      <c r="C54" s="48" t="inlineStr">
        <is>
          <t>https://africanmarketingconfederation.org/wp-admin/post.php?post=4494&amp;action=edit</t>
        </is>
      </c>
      <c r="D54" s="22" t="inlineStr">
        <is>
          <t>Basic SEO</t>
        </is>
      </c>
      <c r="E54" s="37" t="inlineStr">
        <is>
          <t>Observation</t>
        </is>
      </c>
      <c r="F54" s="22" t="inlineStr">
        <is>
          <t>Meta description too long</t>
        </is>
      </c>
      <c r="G54" s="27" t="n">
        <v>37</v>
      </c>
      <c r="H54" s="22" t="n">
        <v>387</v>
      </c>
      <c r="I54" s="22" t="inlineStr">
        <is>
          <t>120-160 characters</t>
        </is>
      </c>
      <c r="J54" s="22" t="inlineStr">
        <is>
          <t>Trim meta description in AIOSEO and front-load essential context.</t>
        </is>
      </c>
      <c r="K54" s="49" t="inlineStr">
        <is>
          <t>Main</t>
        </is>
      </c>
      <c r="L54" s="22" t="inlineStr">
        <is>
          <t>Meta Description</t>
        </is>
      </c>
      <c r="M54" s="22" t="inlineStr">
        <is>
          <t>No</t>
        </is>
      </c>
      <c r="N54" s="22" t="inlineStr">
        <is>
          <t>Copy Writer</t>
        </is>
      </c>
      <c r="O54" s="25" t="inlineStr">
        <is>
          <t>Open</t>
        </is>
      </c>
      <c r="P54" s="22" t="n">
        <v>4</v>
      </c>
      <c r="Q54" s="22" t="inlineStr">
        <is>
          <t>https://africanmarketingconfederation.org/amc-conference-2022::aioseo_meta_description_too_long</t>
        </is>
      </c>
      <c r="R54" s="22" t="inlineStr">
        <is>
          <t>Long descriptions are often truncated and lose message clarity.</t>
        </is>
      </c>
      <c r="S54" s="22" t="inlineStr">
        <is>
          <t>Open</t>
        </is>
      </c>
      <c r="T54" s="22">
        <f>IFERROR(HYPERLINK("#Technical!A"&amp;MATCH(A54,Technical!A:A,0),"Open"),HYPERLINK("#Technical!A1","Open"))</f>
        <v/>
      </c>
      <c r="U54" s="22" t="inlineStr"/>
      <c r="V54" s="24" t="n"/>
    </row>
    <row r="55" ht="30" customHeight="1">
      <c r="A55" s="42" t="inlineStr">
        <is>
          <t>https://africanmarketingconfederation.org/amc-conference-2022-prospectus</t>
        </is>
      </c>
      <c r="B55" s="4" t="n">
        <v>5619</v>
      </c>
      <c r="C55" s="48" t="inlineStr">
        <is>
          <t>https://africanmarketingconfederation.org/wp-admin/post.php?post=5619&amp;action=edit</t>
        </is>
      </c>
      <c r="D55" s="4" t="inlineStr">
        <is>
          <t>Basic SEO</t>
        </is>
      </c>
      <c r="E55" s="37" t="inlineStr">
        <is>
          <t>Observation</t>
        </is>
      </c>
      <c r="F55" s="4" t="inlineStr">
        <is>
          <t>Meta description too long</t>
        </is>
      </c>
      <c r="G55" s="31" t="n">
        <v>37</v>
      </c>
      <c r="H55" s="4" t="n">
        <v>335</v>
      </c>
      <c r="I55" s="4" t="inlineStr">
        <is>
          <t>120-160 characters</t>
        </is>
      </c>
      <c r="J55" s="4" t="inlineStr">
        <is>
          <t>Trim meta description in AIOSEO and front-load essential context.</t>
        </is>
      </c>
      <c r="K55" s="50" t="inlineStr">
        <is>
          <t>Main</t>
        </is>
      </c>
      <c r="L55" s="4" t="inlineStr">
        <is>
          <t>Meta Description</t>
        </is>
      </c>
      <c r="M55" s="4" t="inlineStr">
        <is>
          <t>No</t>
        </is>
      </c>
      <c r="N55" s="4" t="inlineStr">
        <is>
          <t>Copy Writer</t>
        </is>
      </c>
      <c r="O55" s="25" t="inlineStr">
        <is>
          <t>Open</t>
        </is>
      </c>
      <c r="P55" s="4" t="n">
        <v>4</v>
      </c>
      <c r="Q55" s="4" t="inlineStr">
        <is>
          <t>https://africanmarketingconfederation.org/amc-conference-2022-prospectus::aioseo_meta_description_too_long</t>
        </is>
      </c>
      <c r="R55" s="4" t="inlineStr">
        <is>
          <t>Long descriptions are often truncated and lose message clarity.</t>
        </is>
      </c>
      <c r="S55" s="4" t="inlineStr">
        <is>
          <t>Open</t>
        </is>
      </c>
      <c r="T55" s="4">
        <f>IFERROR(HYPERLINK("#Technical!A"&amp;MATCH(A55,Technical!A:A,0),"Open"),HYPERLINK("#Technical!A1","Open"))</f>
        <v/>
      </c>
      <c r="U55" s="4" t="inlineStr"/>
    </row>
    <row r="56" ht="30" customHeight="1">
      <c r="A56" s="40" t="inlineStr">
        <is>
          <t>https://africanmarketingconfederation.org/amc-conference-2022-thank-you</t>
        </is>
      </c>
      <c r="B56" s="22" t="n">
        <v>4941</v>
      </c>
      <c r="C56" s="48" t="inlineStr">
        <is>
          <t>https://africanmarketingconfederation.org/wp-admin/post.php?post=4941&amp;action=edit</t>
        </is>
      </c>
      <c r="D56" s="22" t="inlineStr">
        <is>
          <t>Basic SEO</t>
        </is>
      </c>
      <c r="E56" s="37" t="inlineStr">
        <is>
          <t>Observation</t>
        </is>
      </c>
      <c r="F56" s="22" t="inlineStr">
        <is>
          <t>Meta description too long</t>
        </is>
      </c>
      <c r="G56" s="27" t="n">
        <v>37</v>
      </c>
      <c r="H56" s="22" t="n">
        <v>337</v>
      </c>
      <c r="I56" s="22" t="inlineStr">
        <is>
          <t>120-160 characters</t>
        </is>
      </c>
      <c r="J56" s="22" t="inlineStr">
        <is>
          <t>Trim meta description in AIOSEO and front-load essential context.</t>
        </is>
      </c>
      <c r="K56" s="49" t="inlineStr">
        <is>
          <t>Main</t>
        </is>
      </c>
      <c r="L56" s="22" t="inlineStr">
        <is>
          <t>Meta Description</t>
        </is>
      </c>
      <c r="M56" s="22" t="inlineStr">
        <is>
          <t>No</t>
        </is>
      </c>
      <c r="N56" s="22" t="inlineStr">
        <is>
          <t>Copy Writer</t>
        </is>
      </c>
      <c r="O56" s="25" t="inlineStr">
        <is>
          <t>Open</t>
        </is>
      </c>
      <c r="P56" s="22" t="n">
        <v>4</v>
      </c>
      <c r="Q56" s="22" t="inlineStr">
        <is>
          <t>https://africanmarketingconfederation.org/amc-conference-2022-thank-you::aioseo_meta_description_too_long</t>
        </is>
      </c>
      <c r="R56" s="22" t="inlineStr">
        <is>
          <t>Long descriptions are often truncated and lose message clarity.</t>
        </is>
      </c>
      <c r="S56" s="22" t="inlineStr">
        <is>
          <t>Open</t>
        </is>
      </c>
      <c r="T56" s="22">
        <f>IFERROR(HYPERLINK("#Technical!A"&amp;MATCH(A56,Technical!A:A,0),"Open"),HYPERLINK("#Technical!A1","Open"))</f>
        <v/>
      </c>
      <c r="U56" s="22" t="inlineStr"/>
      <c r="V56" s="24" t="n"/>
    </row>
    <row r="57" ht="30" customHeight="1">
      <c r="A57" s="42" t="inlineStr">
        <is>
          <t>https://africanmarketingconfederation.org/amc-conference-2023</t>
        </is>
      </c>
      <c r="B57" s="4" t="n">
        <v>12371</v>
      </c>
      <c r="C57" s="48" t="inlineStr">
        <is>
          <t>https://africanmarketingconfederation.org/wp-admin/post.php?post=12371&amp;action=edit</t>
        </is>
      </c>
      <c r="D57" s="4" t="inlineStr">
        <is>
          <t>Basic SEO</t>
        </is>
      </c>
      <c r="E57" s="37" t="inlineStr">
        <is>
          <t>Observation</t>
        </is>
      </c>
      <c r="F57" s="4" t="inlineStr">
        <is>
          <t>Meta description too long</t>
        </is>
      </c>
      <c r="G57" s="31" t="n">
        <v>37</v>
      </c>
      <c r="H57" s="4" t="n">
        <v>398</v>
      </c>
      <c r="I57" s="4" t="inlineStr">
        <is>
          <t>120-160 characters</t>
        </is>
      </c>
      <c r="J57" s="4" t="inlineStr">
        <is>
          <t>Trim meta description in AIOSEO and front-load essential context.</t>
        </is>
      </c>
      <c r="K57" s="50" t="inlineStr">
        <is>
          <t>Main</t>
        </is>
      </c>
      <c r="L57" s="4" t="inlineStr">
        <is>
          <t>Meta Description</t>
        </is>
      </c>
      <c r="M57" s="4" t="inlineStr">
        <is>
          <t>No</t>
        </is>
      </c>
      <c r="N57" s="4" t="inlineStr">
        <is>
          <t>Copy Writer</t>
        </is>
      </c>
      <c r="O57" s="25" t="inlineStr">
        <is>
          <t>Open</t>
        </is>
      </c>
      <c r="P57" s="4" t="n">
        <v>4</v>
      </c>
      <c r="Q57" s="4" t="inlineStr">
        <is>
          <t>https://africanmarketingconfederation.org/amc-conference-2023::aioseo_meta_description_too_long</t>
        </is>
      </c>
      <c r="R57" s="4" t="inlineStr">
        <is>
          <t>Long descriptions are often truncated and lose message clarity.</t>
        </is>
      </c>
      <c r="S57" s="4" t="inlineStr">
        <is>
          <t>Open</t>
        </is>
      </c>
      <c r="T57" s="4">
        <f>IFERROR(HYPERLINK("#Technical!A"&amp;MATCH(A57,Technical!A:A,0),"Open"),HYPERLINK("#Technical!A1","Open"))</f>
        <v/>
      </c>
      <c r="U57" s="4" t="inlineStr"/>
    </row>
    <row r="58" ht="30" customHeight="1">
      <c r="A58" s="40" t="inlineStr">
        <is>
          <t>https://africanmarketingconfederation.org/amc-conference-2023/amc-awards</t>
        </is>
      </c>
      <c r="B58" s="22" t="n">
        <v>12954</v>
      </c>
      <c r="C58" s="48" t="inlineStr">
        <is>
          <t>https://africanmarketingconfederation.org/wp-admin/post.php?post=12954&amp;action=edit</t>
        </is>
      </c>
      <c r="D58" s="22" t="inlineStr">
        <is>
          <t>Basic SEO</t>
        </is>
      </c>
      <c r="E58" s="37" t="inlineStr">
        <is>
          <t>Observation</t>
        </is>
      </c>
      <c r="F58" s="22" t="inlineStr">
        <is>
          <t>Meta description too long</t>
        </is>
      </c>
      <c r="G58" s="27" t="n">
        <v>37</v>
      </c>
      <c r="H58" s="22" t="n">
        <v>432</v>
      </c>
      <c r="I58" s="22" t="inlineStr">
        <is>
          <t>120-160 characters</t>
        </is>
      </c>
      <c r="J58" s="22" t="inlineStr">
        <is>
          <t>Trim meta description in AIOSEO and front-load essential context.</t>
        </is>
      </c>
      <c r="K58" s="49" t="inlineStr">
        <is>
          <t>Main</t>
        </is>
      </c>
      <c r="L58" s="22" t="inlineStr">
        <is>
          <t>Meta Description</t>
        </is>
      </c>
      <c r="M58" s="22" t="inlineStr">
        <is>
          <t>No</t>
        </is>
      </c>
      <c r="N58" s="22" t="inlineStr">
        <is>
          <t>Copy Writer</t>
        </is>
      </c>
      <c r="O58" s="25" t="inlineStr">
        <is>
          <t>Open</t>
        </is>
      </c>
      <c r="P58" s="22" t="n">
        <v>4</v>
      </c>
      <c r="Q58" s="22" t="inlineStr">
        <is>
          <t>https://africanmarketingconfederation.org/amc-conference-2023/amc-awards::aioseo_meta_description_too_long</t>
        </is>
      </c>
      <c r="R58" s="22" t="inlineStr">
        <is>
          <t>Long descriptions are often truncated and lose message clarity.</t>
        </is>
      </c>
      <c r="S58" s="22" t="inlineStr">
        <is>
          <t>Open</t>
        </is>
      </c>
      <c r="T58" s="22">
        <f>IFERROR(HYPERLINK("#Technical!A"&amp;MATCH(A58,Technical!A:A,0),"Open"),HYPERLINK("#Technical!A1","Open"))</f>
        <v/>
      </c>
      <c r="U58" s="22" t="inlineStr"/>
      <c r="V58" s="24" t="n"/>
    </row>
    <row r="59" ht="30" customHeight="1">
      <c r="A59" s="42" t="inlineStr">
        <is>
          <t>https://africanmarketingconfederation.org/</t>
        </is>
      </c>
      <c r="B59" s="4" t="n">
        <v>8</v>
      </c>
      <c r="C59" s="48" t="inlineStr">
        <is>
          <t>https://africanmarketingconfederation.org/wp-admin/post.php?post=8&amp;action=edit</t>
        </is>
      </c>
      <c r="D59" s="4" t="inlineStr">
        <is>
          <t>Content</t>
        </is>
      </c>
      <c r="E59" s="37" t="inlineStr">
        <is>
          <t>Observation</t>
        </is>
      </c>
      <c r="F59" s="4" t="inlineStr">
        <is>
          <t>No concise answer paragraph (40-60 words)</t>
        </is>
      </c>
      <c r="G59" s="31" t="n">
        <v>37</v>
      </c>
      <c r="H59" s="4" t="n">
        <v>0</v>
      </c>
      <c r="I59" s="4" t="inlineStr">
        <is>
          <t>&gt;=1 concise answer block</t>
        </is>
      </c>
      <c r="J59" s="4" t="inlineStr">
        <is>
          <t>Add a direct 40-60 word answer immediately below key question headings.</t>
        </is>
      </c>
      <c r="K59" s="50" t="inlineStr">
        <is>
          <t>AEO</t>
        </is>
      </c>
      <c r="L59" s="4" t="inlineStr">
        <is>
          <t>Paragraphs 40-60 Words Count</t>
        </is>
      </c>
      <c r="M59" s="4" t="inlineStr">
        <is>
          <t>No</t>
        </is>
      </c>
      <c r="N59" s="4" t="inlineStr">
        <is>
          <t>Copy Writer</t>
        </is>
      </c>
      <c r="O59" s="25" t="inlineStr">
        <is>
          <t>Open</t>
        </is>
      </c>
      <c r="P59" s="4" t="n">
        <v>4</v>
      </c>
      <c r="Q59" s="4" t="inlineStr">
        <is>
          <t>https://africanmarketingconfederation.org/::aioseo_no_concise_answer_paragraph_40-60_words_</t>
        </is>
      </c>
      <c r="R59" s="4" t="inlineStr">
        <is>
          <t>Compact answer blocks improve direct-answer extraction chances.</t>
        </is>
      </c>
      <c r="S59" s="4" t="inlineStr">
        <is>
          <t>Open</t>
        </is>
      </c>
      <c r="T59" s="4">
        <f>IFERROR(HYPERLINK("#Technical!A"&amp;MATCH(A59,Technical!A:A,0),"Open"),HYPERLINK("#Technical!A1","Open"))</f>
        <v/>
      </c>
      <c r="U59" s="4" t="inlineStr"/>
    </row>
    <row r="60" ht="30" customHeight="1">
      <c r="A60" s="40" t="inlineStr">
        <is>
          <t>https://africanmarketingconfederation.org/about-us</t>
        </is>
      </c>
      <c r="B60" s="22" t="n">
        <v>84</v>
      </c>
      <c r="C60" s="48" t="inlineStr">
        <is>
          <t>https://africanmarketingconfederation.org/wp-admin/post.php?post=84&amp;action=edit</t>
        </is>
      </c>
      <c r="D60" s="22" t="inlineStr">
        <is>
          <t>Content</t>
        </is>
      </c>
      <c r="E60" s="37" t="inlineStr">
        <is>
          <t>Observation</t>
        </is>
      </c>
      <c r="F60" s="22" t="inlineStr">
        <is>
          <t>No concise answer paragraph (40-60 words)</t>
        </is>
      </c>
      <c r="G60" s="27" t="n">
        <v>37</v>
      </c>
      <c r="H60" s="22" t="n">
        <v>0</v>
      </c>
      <c r="I60" s="22" t="inlineStr">
        <is>
          <t>&gt;=1 concise answer block</t>
        </is>
      </c>
      <c r="J60" s="22" t="inlineStr">
        <is>
          <t>Add a direct 40-60 word answer immediately below key question headings.</t>
        </is>
      </c>
      <c r="K60" s="49" t="inlineStr">
        <is>
          <t>AEO</t>
        </is>
      </c>
      <c r="L60" s="22" t="inlineStr">
        <is>
          <t>Paragraphs 40-60 Words Count</t>
        </is>
      </c>
      <c r="M60" s="22" t="inlineStr">
        <is>
          <t>No</t>
        </is>
      </c>
      <c r="N60" s="22" t="inlineStr">
        <is>
          <t>Copy Writer</t>
        </is>
      </c>
      <c r="O60" s="25" t="inlineStr">
        <is>
          <t>Open</t>
        </is>
      </c>
      <c r="P60" s="22" t="n">
        <v>4</v>
      </c>
      <c r="Q60" s="22" t="inlineStr">
        <is>
          <t>https://africanmarketingconfederation.org/about-us::aioseo_no_concise_answer_paragraph_40-60_words_</t>
        </is>
      </c>
      <c r="R60" s="22" t="inlineStr">
        <is>
          <t>Compact answer blocks improve direct-answer extraction chances.</t>
        </is>
      </c>
      <c r="S60" s="22" t="inlineStr">
        <is>
          <t>Open</t>
        </is>
      </c>
      <c r="T60" s="22">
        <f>IFERROR(HYPERLINK("#Technical!A"&amp;MATCH(A60,Technical!A:A,0),"Open"),HYPERLINK("#Technical!A1","Open"))</f>
        <v/>
      </c>
      <c r="U60" s="22" t="inlineStr"/>
      <c r="V60" s="24" t="n"/>
    </row>
    <row r="61" ht="30" customHeight="1">
      <c r="A61" s="42" t="inlineStr">
        <is>
          <t>https://africanmarketingconfederation.org/african-marketing-confederation-tourism-chapter</t>
        </is>
      </c>
      <c r="B61" s="4" t="n">
        <v>28165</v>
      </c>
      <c r="C61" s="48" t="inlineStr">
        <is>
          <t>https://africanmarketingconfederation.org/wp-admin/post.php?post=28165&amp;action=edit</t>
        </is>
      </c>
      <c r="D61" s="4" t="inlineStr">
        <is>
          <t>Content</t>
        </is>
      </c>
      <c r="E61" s="37" t="inlineStr">
        <is>
          <t>Observation</t>
        </is>
      </c>
      <c r="F61" s="4" t="inlineStr">
        <is>
          <t>No concise answer paragraph (40-60 words)</t>
        </is>
      </c>
      <c r="G61" s="31" t="n">
        <v>37</v>
      </c>
      <c r="H61" s="4" t="n">
        <v>0</v>
      </c>
      <c r="I61" s="4" t="inlineStr">
        <is>
          <t>&gt;=1 concise answer block</t>
        </is>
      </c>
      <c r="J61" s="4" t="inlineStr">
        <is>
          <t>Add a direct 40-60 word answer immediately below key question headings.</t>
        </is>
      </c>
      <c r="K61" s="50" t="inlineStr">
        <is>
          <t>AEO</t>
        </is>
      </c>
      <c r="L61" s="4" t="inlineStr">
        <is>
          <t>Paragraphs 40-60 Words Count</t>
        </is>
      </c>
      <c r="M61" s="4" t="inlineStr">
        <is>
          <t>No</t>
        </is>
      </c>
      <c r="N61" s="4" t="inlineStr">
        <is>
          <t>Copy Writer</t>
        </is>
      </c>
      <c r="O61" s="25" t="inlineStr">
        <is>
          <t>Open</t>
        </is>
      </c>
      <c r="P61" s="4" t="n">
        <v>4</v>
      </c>
      <c r="Q61" s="4" t="inlineStr">
        <is>
          <t>https://africanmarketingconfederation.org/african-marketing-confederation-tourism-chapter::aioseo_no_concise_answer_paragraph_40-60_words_</t>
        </is>
      </c>
      <c r="R61" s="4" t="inlineStr">
        <is>
          <t>Compact answer blocks improve direct-answer extraction chances.</t>
        </is>
      </c>
      <c r="S61" s="4" t="inlineStr">
        <is>
          <t>Open</t>
        </is>
      </c>
      <c r="T61" s="4">
        <f>IFERROR(HYPERLINK("#Technical!A"&amp;MATCH(A61,Technical!A:A,0),"Open"),HYPERLINK("#Technical!A1","Open"))</f>
        <v/>
      </c>
      <c r="U61" s="4" t="inlineStr"/>
    </row>
    <row r="62" ht="30" customHeight="1">
      <c r="A62" s="40" t="inlineStr">
        <is>
          <t>https://africanmarketingconfederation.org/amc-awards-2024</t>
        </is>
      </c>
      <c r="B62" s="22" t="n">
        <v>16125</v>
      </c>
      <c r="C62" s="48" t="inlineStr">
        <is>
          <t>https://africanmarketingconfederation.org/wp-admin/post.php?post=16125&amp;action=edit</t>
        </is>
      </c>
      <c r="D62" s="22" t="inlineStr">
        <is>
          <t>Content</t>
        </is>
      </c>
      <c r="E62" s="37" t="inlineStr">
        <is>
          <t>Observation</t>
        </is>
      </c>
      <c r="F62" s="22" t="inlineStr">
        <is>
          <t>No concise answer paragraph (40-60 words)</t>
        </is>
      </c>
      <c r="G62" s="27" t="n">
        <v>37</v>
      </c>
      <c r="H62" s="22" t="n">
        <v>0</v>
      </c>
      <c r="I62" s="22" t="inlineStr">
        <is>
          <t>&gt;=1 concise answer block</t>
        </is>
      </c>
      <c r="J62" s="22" t="inlineStr">
        <is>
          <t>Add a direct 40-60 word answer immediately below key question headings.</t>
        </is>
      </c>
      <c r="K62" s="49" t="inlineStr">
        <is>
          <t>AEO</t>
        </is>
      </c>
      <c r="L62" s="22" t="inlineStr">
        <is>
          <t>Paragraphs 40-60 Words Count</t>
        </is>
      </c>
      <c r="M62" s="22" t="inlineStr">
        <is>
          <t>No</t>
        </is>
      </c>
      <c r="N62" s="22" t="inlineStr">
        <is>
          <t>Copy Writer</t>
        </is>
      </c>
      <c r="O62" s="25" t="inlineStr">
        <is>
          <t>Open</t>
        </is>
      </c>
      <c r="P62" s="22" t="n">
        <v>4</v>
      </c>
      <c r="Q62" s="22" t="inlineStr">
        <is>
          <t>https://africanmarketingconfederation.org/amc-awards-2024::aioseo_no_concise_answer_paragraph_40-60_words_</t>
        </is>
      </c>
      <c r="R62" s="22" t="inlineStr">
        <is>
          <t>Compact answer blocks improve direct-answer extraction chances.</t>
        </is>
      </c>
      <c r="S62" s="22" t="inlineStr">
        <is>
          <t>Open</t>
        </is>
      </c>
      <c r="T62" s="22">
        <f>IFERROR(HYPERLINK("#Technical!A"&amp;MATCH(A62,Technical!A:A,0),"Open"),HYPERLINK("#Technical!A1","Open"))</f>
        <v/>
      </c>
      <c r="U62" s="22" t="inlineStr"/>
      <c r="V62" s="24" t="n"/>
    </row>
    <row r="63" ht="30" customHeight="1">
      <c r="A63" s="42" t="inlineStr">
        <is>
          <t>https://africanmarketingconfederation.org/amc-conference-2022</t>
        </is>
      </c>
      <c r="B63" s="4" t="n">
        <v>4494</v>
      </c>
      <c r="C63" s="48" t="inlineStr">
        <is>
          <t>https://africanmarketingconfederation.org/wp-admin/post.php?post=4494&amp;action=edit</t>
        </is>
      </c>
      <c r="D63" s="4" t="inlineStr">
        <is>
          <t>Content</t>
        </is>
      </c>
      <c r="E63" s="37" t="inlineStr">
        <is>
          <t>Observation</t>
        </is>
      </c>
      <c r="F63" s="4" t="inlineStr">
        <is>
          <t>No concise answer paragraph (40-60 words)</t>
        </is>
      </c>
      <c r="G63" s="31" t="n">
        <v>37</v>
      </c>
      <c r="H63" s="4" t="n">
        <v>0</v>
      </c>
      <c r="I63" s="4" t="inlineStr">
        <is>
          <t>&gt;=1 concise answer block</t>
        </is>
      </c>
      <c r="J63" s="4" t="inlineStr">
        <is>
          <t>Add a direct 40-60 word answer immediately below key question headings.</t>
        </is>
      </c>
      <c r="K63" s="50" t="inlineStr">
        <is>
          <t>AEO</t>
        </is>
      </c>
      <c r="L63" s="4" t="inlineStr">
        <is>
          <t>Paragraphs 40-60 Words Count</t>
        </is>
      </c>
      <c r="M63" s="4" t="inlineStr">
        <is>
          <t>No</t>
        </is>
      </c>
      <c r="N63" s="4" t="inlineStr">
        <is>
          <t>Copy Writer</t>
        </is>
      </c>
      <c r="O63" s="25" t="inlineStr">
        <is>
          <t>Open</t>
        </is>
      </c>
      <c r="P63" s="4" t="n">
        <v>4</v>
      </c>
      <c r="Q63" s="4" t="inlineStr">
        <is>
          <t>https://africanmarketingconfederation.org/amc-conference-2022::aioseo_no_concise_answer_paragraph_40-60_words_</t>
        </is>
      </c>
      <c r="R63" s="4" t="inlineStr">
        <is>
          <t>Compact answer blocks improve direct-answer extraction chances.</t>
        </is>
      </c>
      <c r="S63" s="4" t="inlineStr">
        <is>
          <t>Open</t>
        </is>
      </c>
      <c r="T63" s="4">
        <f>IFERROR(HYPERLINK("#Technical!A"&amp;MATCH(A63,Technical!A:A,0),"Open"),HYPERLINK("#Technical!A1","Open"))</f>
        <v/>
      </c>
      <c r="U63" s="4" t="inlineStr"/>
    </row>
    <row r="64" ht="30" customHeight="1">
      <c r="A64" s="40" t="inlineStr">
        <is>
          <t>https://africanmarketingconfederation.org/amc-conference-2022-prospectus</t>
        </is>
      </c>
      <c r="B64" s="22" t="n">
        <v>5619</v>
      </c>
      <c r="C64" s="48" t="inlineStr">
        <is>
          <t>https://africanmarketingconfederation.org/wp-admin/post.php?post=5619&amp;action=edit</t>
        </is>
      </c>
      <c r="D64" s="22" t="inlineStr">
        <is>
          <t>Content</t>
        </is>
      </c>
      <c r="E64" s="37" t="inlineStr">
        <is>
          <t>Observation</t>
        </is>
      </c>
      <c r="F64" s="22" t="inlineStr">
        <is>
          <t>No concise answer paragraph (40-60 words)</t>
        </is>
      </c>
      <c r="G64" s="27" t="n">
        <v>37</v>
      </c>
      <c r="H64" s="22" t="n">
        <v>0</v>
      </c>
      <c r="I64" s="22" t="inlineStr">
        <is>
          <t>&gt;=1 concise answer block</t>
        </is>
      </c>
      <c r="J64" s="22" t="inlineStr">
        <is>
          <t>Add a direct 40-60 word answer immediately below key question headings.</t>
        </is>
      </c>
      <c r="K64" s="49" t="inlineStr">
        <is>
          <t>AEO</t>
        </is>
      </c>
      <c r="L64" s="22" t="inlineStr">
        <is>
          <t>Paragraphs 40-60 Words Count</t>
        </is>
      </c>
      <c r="M64" s="22" t="inlineStr">
        <is>
          <t>No</t>
        </is>
      </c>
      <c r="N64" s="22" t="inlineStr">
        <is>
          <t>Copy Writer</t>
        </is>
      </c>
      <c r="O64" s="25" t="inlineStr">
        <is>
          <t>Open</t>
        </is>
      </c>
      <c r="P64" s="22" t="n">
        <v>4</v>
      </c>
      <c r="Q64" s="22" t="inlineStr">
        <is>
          <t>https://africanmarketingconfederation.org/amc-conference-2022-prospectus::aioseo_no_concise_answer_paragraph_40-60_words_</t>
        </is>
      </c>
      <c r="R64" s="22" t="inlineStr">
        <is>
          <t>Compact answer blocks improve direct-answer extraction chances.</t>
        </is>
      </c>
      <c r="S64" s="22" t="inlineStr">
        <is>
          <t>Open</t>
        </is>
      </c>
      <c r="T64" s="22">
        <f>IFERROR(HYPERLINK("#Technical!A"&amp;MATCH(A64,Technical!A:A,0),"Open"),HYPERLINK("#Technical!A1","Open"))</f>
        <v/>
      </c>
      <c r="U64" s="22" t="inlineStr"/>
      <c r="V64" s="24" t="n"/>
    </row>
    <row r="65" ht="30" customHeight="1">
      <c r="A65" s="42" t="inlineStr">
        <is>
          <t>https://africanmarketingconfederation.org/amc-conference-2022-thank-you</t>
        </is>
      </c>
      <c r="B65" s="4" t="n">
        <v>4941</v>
      </c>
      <c r="C65" s="48" t="inlineStr">
        <is>
          <t>https://africanmarketingconfederation.org/wp-admin/post.php?post=4941&amp;action=edit</t>
        </is>
      </c>
      <c r="D65" s="4" t="inlineStr">
        <is>
          <t>Content</t>
        </is>
      </c>
      <c r="E65" s="37" t="inlineStr">
        <is>
          <t>Observation</t>
        </is>
      </c>
      <c r="F65" s="4" t="inlineStr">
        <is>
          <t>No concise answer paragraph (40-60 words)</t>
        </is>
      </c>
      <c r="G65" s="31" t="n">
        <v>37</v>
      </c>
      <c r="H65" s="4" t="n">
        <v>0</v>
      </c>
      <c r="I65" s="4" t="inlineStr">
        <is>
          <t>&gt;=1 concise answer block</t>
        </is>
      </c>
      <c r="J65" s="4" t="inlineStr">
        <is>
          <t>Add a direct 40-60 word answer immediately below key question headings.</t>
        </is>
      </c>
      <c r="K65" s="50" t="inlineStr">
        <is>
          <t>AEO</t>
        </is>
      </c>
      <c r="L65" s="4" t="inlineStr">
        <is>
          <t>Paragraphs 40-60 Words Count</t>
        </is>
      </c>
      <c r="M65" s="4" t="inlineStr">
        <is>
          <t>No</t>
        </is>
      </c>
      <c r="N65" s="4" t="inlineStr">
        <is>
          <t>Copy Writer</t>
        </is>
      </c>
      <c r="O65" s="25" t="inlineStr">
        <is>
          <t>Open</t>
        </is>
      </c>
      <c r="P65" s="4" t="n">
        <v>4</v>
      </c>
      <c r="Q65" s="4" t="inlineStr">
        <is>
          <t>https://africanmarketingconfederation.org/amc-conference-2022-thank-you::aioseo_no_concise_answer_paragraph_40-60_words_</t>
        </is>
      </c>
      <c r="R65" s="4" t="inlineStr">
        <is>
          <t>Compact answer blocks improve direct-answer extraction chances.</t>
        </is>
      </c>
      <c r="S65" s="4" t="inlineStr">
        <is>
          <t>Open</t>
        </is>
      </c>
      <c r="T65" s="4">
        <f>IFERROR(HYPERLINK("#Technical!A"&amp;MATCH(A65,Technical!A:A,0),"Open"),HYPERLINK("#Technical!A1","Open"))</f>
        <v/>
      </c>
      <c r="U65" s="4" t="inlineStr"/>
    </row>
    <row r="66" ht="30" customHeight="1">
      <c r="A66" s="40" t="inlineStr">
        <is>
          <t>https://africanmarketingconfederation.org/amc-conference-2023</t>
        </is>
      </c>
      <c r="B66" s="22" t="n">
        <v>12371</v>
      </c>
      <c r="C66" s="48" t="inlineStr">
        <is>
          <t>https://africanmarketingconfederation.org/wp-admin/post.php?post=12371&amp;action=edit</t>
        </is>
      </c>
      <c r="D66" s="22" t="inlineStr">
        <is>
          <t>Content</t>
        </is>
      </c>
      <c r="E66" s="37" t="inlineStr">
        <is>
          <t>Observation</t>
        </is>
      </c>
      <c r="F66" s="22" t="inlineStr">
        <is>
          <t>No concise answer paragraph (40-60 words)</t>
        </is>
      </c>
      <c r="G66" s="27" t="n">
        <v>37</v>
      </c>
      <c r="H66" s="22" t="n">
        <v>0</v>
      </c>
      <c r="I66" s="22" t="inlineStr">
        <is>
          <t>&gt;=1 concise answer block</t>
        </is>
      </c>
      <c r="J66" s="22" t="inlineStr">
        <is>
          <t>Add a direct 40-60 word answer immediately below key question headings.</t>
        </is>
      </c>
      <c r="K66" s="49" t="inlineStr">
        <is>
          <t>AEO</t>
        </is>
      </c>
      <c r="L66" s="22" t="inlineStr">
        <is>
          <t>Paragraphs 40-60 Words Count</t>
        </is>
      </c>
      <c r="M66" s="22" t="inlineStr">
        <is>
          <t>No</t>
        </is>
      </c>
      <c r="N66" s="22" t="inlineStr">
        <is>
          <t>Copy Writer</t>
        </is>
      </c>
      <c r="O66" s="25" t="inlineStr">
        <is>
          <t>Open</t>
        </is>
      </c>
      <c r="P66" s="22" t="n">
        <v>4</v>
      </c>
      <c r="Q66" s="22" t="inlineStr">
        <is>
          <t>https://africanmarketingconfederation.org/amc-conference-2023::aioseo_no_concise_answer_paragraph_40-60_words_</t>
        </is>
      </c>
      <c r="R66" s="22" t="inlineStr">
        <is>
          <t>Compact answer blocks improve direct-answer extraction chances.</t>
        </is>
      </c>
      <c r="S66" s="22" t="inlineStr">
        <is>
          <t>Open</t>
        </is>
      </c>
      <c r="T66" s="22">
        <f>IFERROR(HYPERLINK("#Technical!A"&amp;MATCH(A66,Technical!A:A,0),"Open"),HYPERLINK("#Technical!A1","Open"))</f>
        <v/>
      </c>
      <c r="U66" s="22" t="inlineStr"/>
      <c r="V66" s="24" t="n"/>
    </row>
    <row r="67" ht="30" customHeight="1">
      <c r="A67" s="42" t="inlineStr">
        <is>
          <t>https://africanmarketingconfederation.org/amc-conference-2023/amc-awards</t>
        </is>
      </c>
      <c r="B67" s="4" t="n">
        <v>12954</v>
      </c>
      <c r="C67" s="48" t="inlineStr">
        <is>
          <t>https://africanmarketingconfederation.org/wp-admin/post.php?post=12954&amp;action=edit</t>
        </is>
      </c>
      <c r="D67" s="4" t="inlineStr">
        <is>
          <t>Content</t>
        </is>
      </c>
      <c r="E67" s="37" t="inlineStr">
        <is>
          <t>Observation</t>
        </is>
      </c>
      <c r="F67" s="4" t="inlineStr">
        <is>
          <t>No concise answer paragraph (40-60 words)</t>
        </is>
      </c>
      <c r="G67" s="31" t="n">
        <v>37</v>
      </c>
      <c r="H67" s="4" t="n">
        <v>0</v>
      </c>
      <c r="I67" s="4" t="inlineStr">
        <is>
          <t>&gt;=1 concise answer block</t>
        </is>
      </c>
      <c r="J67" s="4" t="inlineStr">
        <is>
          <t>Add a direct 40-60 word answer immediately below key question headings.</t>
        </is>
      </c>
      <c r="K67" s="50" t="inlineStr">
        <is>
          <t>AEO</t>
        </is>
      </c>
      <c r="L67" s="4" t="inlineStr">
        <is>
          <t>Paragraphs 40-60 Words Count</t>
        </is>
      </c>
      <c r="M67" s="4" t="inlineStr">
        <is>
          <t>No</t>
        </is>
      </c>
      <c r="N67" s="4" t="inlineStr">
        <is>
          <t>Copy Writer</t>
        </is>
      </c>
      <c r="O67" s="25" t="inlineStr">
        <is>
          <t>Open</t>
        </is>
      </c>
      <c r="P67" s="4" t="n">
        <v>4</v>
      </c>
      <c r="Q67" s="4" t="inlineStr">
        <is>
          <t>https://africanmarketingconfederation.org/amc-conference-2023/amc-awards::aioseo_no_concise_answer_paragraph_40-60_words_</t>
        </is>
      </c>
      <c r="R67" s="4" t="inlineStr">
        <is>
          <t>Compact answer blocks improve direct-answer extraction chances.</t>
        </is>
      </c>
      <c r="S67" s="4" t="inlineStr">
        <is>
          <t>Open</t>
        </is>
      </c>
      <c r="T67" s="4">
        <f>IFERROR(HYPERLINK("#Technical!A"&amp;MATCH(A67,Technical!A:A,0),"Open"),HYPERLINK("#Technical!A1","Open"))</f>
        <v/>
      </c>
      <c r="U67" s="4" t="inlineStr"/>
    </row>
    <row r="68" ht="30" customHeight="1">
      <c r="A68" s="40" t="inlineStr">
        <is>
          <t>https://africanmarketingconfederation.org/amc-conference-2023/amc-awards-book-now</t>
        </is>
      </c>
      <c r="B68" s="22" t="n">
        <v>13164</v>
      </c>
      <c r="C68" s="48" t="inlineStr">
        <is>
          <t>https://africanmarketingconfederation.org/wp-admin/post.php?post=13164&amp;action=edit</t>
        </is>
      </c>
      <c r="D68" s="22" t="inlineStr">
        <is>
          <t>Content</t>
        </is>
      </c>
      <c r="E68" s="37" t="inlineStr">
        <is>
          <t>Observation</t>
        </is>
      </c>
      <c r="F68" s="22" t="inlineStr">
        <is>
          <t>No concise answer paragraph (40-60 words)</t>
        </is>
      </c>
      <c r="G68" s="27" t="n">
        <v>37</v>
      </c>
      <c r="H68" s="22" t="n">
        <v>0</v>
      </c>
      <c r="I68" s="22" t="inlineStr">
        <is>
          <t>&gt;=1 concise answer block</t>
        </is>
      </c>
      <c r="J68" s="22" t="inlineStr">
        <is>
          <t>Add a direct 40-60 word answer immediately below key question headings.</t>
        </is>
      </c>
      <c r="K68" s="49" t="inlineStr">
        <is>
          <t>AEO</t>
        </is>
      </c>
      <c r="L68" s="22" t="inlineStr">
        <is>
          <t>Paragraphs 40-60 Words Count</t>
        </is>
      </c>
      <c r="M68" s="22" t="inlineStr">
        <is>
          <t>No</t>
        </is>
      </c>
      <c r="N68" s="22" t="inlineStr">
        <is>
          <t>Copy Writer</t>
        </is>
      </c>
      <c r="O68" s="25" t="inlineStr">
        <is>
          <t>Open</t>
        </is>
      </c>
      <c r="P68" s="22" t="n">
        <v>4</v>
      </c>
      <c r="Q68" s="22" t="inlineStr">
        <is>
          <t>https://africanmarketingconfederation.org/amc-conference-2023/amc-awards-book-now::aioseo_no_concise_answer_paragraph_40-60_words_</t>
        </is>
      </c>
      <c r="R68" s="22" t="inlineStr">
        <is>
          <t>Compact answer blocks improve direct-answer extraction chances.</t>
        </is>
      </c>
      <c r="S68" s="22" t="inlineStr">
        <is>
          <t>Open</t>
        </is>
      </c>
      <c r="T68" s="22">
        <f>IFERROR(HYPERLINK("#Technical!A"&amp;MATCH(A68,Technical!A:A,0),"Open"),HYPERLINK("#Technical!A1","Open"))</f>
        <v/>
      </c>
      <c r="U68" s="22" t="inlineStr"/>
      <c r="V68" s="24" t="n"/>
    </row>
    <row r="69" ht="30" customHeight="1">
      <c r="A69" s="42" t="inlineStr">
        <is>
          <t>https://africanmarketingconfederation.org/</t>
        </is>
      </c>
      <c r="B69" s="4" t="n">
        <v>8</v>
      </c>
      <c r="C69" s="48" t="inlineStr">
        <is>
          <t>https://africanmarketingconfederation.org/wp-admin/post.php?post=8&amp;action=edit</t>
        </is>
      </c>
      <c r="D69" s="4" t="inlineStr">
        <is>
          <t>Readability</t>
        </is>
      </c>
      <c r="E69" s="37" t="inlineStr">
        <is>
          <t>Observation</t>
        </is>
      </c>
      <c r="F69" s="4" t="inlineStr">
        <is>
          <t>Multiple H1 headings</t>
        </is>
      </c>
      <c r="G69" s="31" t="n">
        <v>37</v>
      </c>
      <c r="H69" s="4" t="n">
        <v>5</v>
      </c>
      <c r="I69" s="4" t="inlineStr">
        <is>
          <t>Exactly 1 H1</t>
        </is>
      </c>
      <c r="J69" s="4" t="inlineStr">
        <is>
          <t>Keep one primary H1, convert remaining top-level headings to H2/H3 where appropriate.</t>
        </is>
      </c>
      <c r="K69" s="50" t="inlineStr">
        <is>
          <t>Content</t>
        </is>
      </c>
      <c r="L69" s="4" t="inlineStr">
        <is>
          <t>Multiple H1 Flag</t>
        </is>
      </c>
      <c r="M69" s="4" t="inlineStr">
        <is>
          <t>No</t>
        </is>
      </c>
      <c r="N69" s="4" t="inlineStr">
        <is>
          <t>Copy Writer</t>
        </is>
      </c>
      <c r="O69" s="25" t="inlineStr">
        <is>
          <t>Open</t>
        </is>
      </c>
      <c r="P69" s="4" t="n">
        <v>4</v>
      </c>
      <c r="Q69" s="4" t="inlineStr">
        <is>
          <t>https://africanmarketingconfederation.org/::aioseo_multiple_h1_headings</t>
        </is>
      </c>
      <c r="R69" s="4" t="inlineStr">
        <is>
          <t>Multiple H1s can reduce heading hierarchy clarity.</t>
        </is>
      </c>
      <c r="S69" s="4" t="inlineStr">
        <is>
          <t>Open</t>
        </is>
      </c>
      <c r="T69" s="4">
        <f>IFERROR(HYPERLINK("#Technical!A"&amp;MATCH(A69,Technical!A:A,0),"Open"),HYPERLINK("#Technical!A1","Open"))</f>
        <v/>
      </c>
      <c r="U69" s="4" t="inlineStr"/>
    </row>
    <row r="70" ht="30" customHeight="1">
      <c r="A70" s="40" t="inlineStr">
        <is>
          <t>https://africanmarketingconfederation.org/</t>
        </is>
      </c>
      <c r="B70" s="22" t="n">
        <v>8</v>
      </c>
      <c r="C70" s="48" t="inlineStr">
        <is>
          <t>https://africanmarketingconfederation.org/wp-admin/post.php?post=8&amp;action=edit</t>
        </is>
      </c>
      <c r="D70" s="22" t="inlineStr">
        <is>
          <t>Readability</t>
        </is>
      </c>
      <c r="E70" s="37" t="inlineStr">
        <is>
          <t>Observation</t>
        </is>
      </c>
      <c r="F70" s="22" t="inlineStr">
        <is>
          <t>No question-style headings</t>
        </is>
      </c>
      <c r="G70" s="27" t="n">
        <v>37</v>
      </c>
      <c r="H70" s="22" t="n">
        <v>0</v>
      </c>
      <c r="I70" s="22" t="inlineStr">
        <is>
          <t>&gt;=1 where intent is informational</t>
        </is>
      </c>
      <c r="J70" s="22" t="inlineStr">
        <is>
          <t>Add at least one natural question heading (H2/H3) matching user intent.</t>
        </is>
      </c>
      <c r="K70" s="49" t="inlineStr">
        <is>
          <t>AEO</t>
        </is>
      </c>
      <c r="L70" s="22" t="inlineStr">
        <is>
          <t>Question Heading Count</t>
        </is>
      </c>
      <c r="M70" s="22" t="inlineStr">
        <is>
          <t>No</t>
        </is>
      </c>
      <c r="N70" s="22" t="inlineStr">
        <is>
          <t>Copy Writer</t>
        </is>
      </c>
      <c r="O70" s="25" t="inlineStr">
        <is>
          <t>Open</t>
        </is>
      </c>
      <c r="P70" s="22" t="n">
        <v>4</v>
      </c>
      <c r="Q70" s="22" t="inlineStr">
        <is>
          <t>https://africanmarketingconfederation.org/::aioseo_no_question-style_headings</t>
        </is>
      </c>
      <c r="R70" s="22" t="inlineStr">
        <is>
          <t>Question headings better align with query phrasing and snippet extraction.</t>
        </is>
      </c>
      <c r="S70" s="22" t="inlineStr">
        <is>
          <t>Open</t>
        </is>
      </c>
      <c r="T70" s="22">
        <f>IFERROR(HYPERLINK("#Technical!A"&amp;MATCH(A70,Technical!A:A,0),"Open"),HYPERLINK("#Technical!A1","Open"))</f>
        <v/>
      </c>
      <c r="U70" s="22" t="inlineStr"/>
      <c r="V70" s="24" t="n"/>
    </row>
    <row r="71" ht="30" customHeight="1">
      <c r="A71" s="42" t="inlineStr">
        <is>
          <t>https://africanmarketingconfederation.org/about-us</t>
        </is>
      </c>
      <c r="B71" s="4" t="n">
        <v>84</v>
      </c>
      <c r="C71" s="48" t="inlineStr">
        <is>
          <t>https://africanmarketingconfederation.org/wp-admin/post.php?post=84&amp;action=edit</t>
        </is>
      </c>
      <c r="D71" s="4" t="inlineStr">
        <is>
          <t>Readability</t>
        </is>
      </c>
      <c r="E71" s="37" t="inlineStr">
        <is>
          <t>Observation</t>
        </is>
      </c>
      <c r="F71" s="4" t="inlineStr">
        <is>
          <t>No question-style headings</t>
        </is>
      </c>
      <c r="G71" s="31" t="n">
        <v>37</v>
      </c>
      <c r="H71" s="4" t="n">
        <v>0</v>
      </c>
      <c r="I71" s="4" t="inlineStr">
        <is>
          <t>&gt;=1 where intent is informational</t>
        </is>
      </c>
      <c r="J71" s="4" t="inlineStr">
        <is>
          <t>Add at least one natural question heading (H2/H3) matching user intent.</t>
        </is>
      </c>
      <c r="K71" s="50" t="inlineStr">
        <is>
          <t>AEO</t>
        </is>
      </c>
      <c r="L71" s="4" t="inlineStr">
        <is>
          <t>Question Heading Count</t>
        </is>
      </c>
      <c r="M71" s="4" t="inlineStr">
        <is>
          <t>No</t>
        </is>
      </c>
      <c r="N71" s="4" t="inlineStr">
        <is>
          <t>Copy Writer</t>
        </is>
      </c>
      <c r="O71" s="25" t="inlineStr">
        <is>
          <t>Open</t>
        </is>
      </c>
      <c r="P71" s="4" t="n">
        <v>4</v>
      </c>
      <c r="Q71" s="4" t="inlineStr">
        <is>
          <t>https://africanmarketingconfederation.org/about-us::aioseo_no_question-style_headings</t>
        </is>
      </c>
      <c r="R71" s="4" t="inlineStr">
        <is>
          <t>Question headings better align with query phrasing and snippet extraction.</t>
        </is>
      </c>
      <c r="S71" s="4" t="inlineStr">
        <is>
          <t>Open</t>
        </is>
      </c>
      <c r="T71" s="4">
        <f>IFERROR(HYPERLINK("#Technical!A"&amp;MATCH(A71,Technical!A:A,0),"Open"),HYPERLINK("#Technical!A1","Open"))</f>
        <v/>
      </c>
      <c r="U71" s="4" t="inlineStr"/>
    </row>
    <row r="72" ht="30" customHeight="1">
      <c r="A72" s="40" t="inlineStr">
        <is>
          <t>https://africanmarketingconfederation.org/african-marketing-confederation-tourism-chapter</t>
        </is>
      </c>
      <c r="B72" s="22" t="n">
        <v>28165</v>
      </c>
      <c r="C72" s="48" t="inlineStr">
        <is>
          <t>https://africanmarketingconfederation.org/wp-admin/post.php?post=28165&amp;action=edit</t>
        </is>
      </c>
      <c r="D72" s="22" t="inlineStr">
        <is>
          <t>Readability</t>
        </is>
      </c>
      <c r="E72" s="37" t="inlineStr">
        <is>
          <t>Observation</t>
        </is>
      </c>
      <c r="F72" s="22" t="inlineStr">
        <is>
          <t>Multiple H1 headings</t>
        </is>
      </c>
      <c r="G72" s="27" t="n">
        <v>37</v>
      </c>
      <c r="H72" s="22" t="n">
        <v>2</v>
      </c>
      <c r="I72" s="22" t="inlineStr">
        <is>
          <t>Exactly 1 H1</t>
        </is>
      </c>
      <c r="J72" s="22" t="inlineStr">
        <is>
          <t>Keep one primary H1, convert remaining top-level headings to H2/H3 where appropriate.</t>
        </is>
      </c>
      <c r="K72" s="49" t="inlineStr">
        <is>
          <t>Content</t>
        </is>
      </c>
      <c r="L72" s="22" t="inlineStr">
        <is>
          <t>Multiple H1 Flag</t>
        </is>
      </c>
      <c r="M72" s="22" t="inlineStr">
        <is>
          <t>No</t>
        </is>
      </c>
      <c r="N72" s="22" t="inlineStr">
        <is>
          <t>Copy Writer</t>
        </is>
      </c>
      <c r="O72" s="25" t="inlineStr">
        <is>
          <t>Open</t>
        </is>
      </c>
      <c r="P72" s="22" t="n">
        <v>4</v>
      </c>
      <c r="Q72" s="22" t="inlineStr">
        <is>
          <t>https://africanmarketingconfederation.org/african-marketing-confederation-tourism-chapter::aioseo_multiple_h1_headings</t>
        </is>
      </c>
      <c r="R72" s="22" t="inlineStr">
        <is>
          <t>Multiple H1s can reduce heading hierarchy clarity.</t>
        </is>
      </c>
      <c r="S72" s="22" t="inlineStr">
        <is>
          <t>Open</t>
        </is>
      </c>
      <c r="T72" s="22">
        <f>IFERROR(HYPERLINK("#Technical!A"&amp;MATCH(A72,Technical!A:A,0),"Open"),HYPERLINK("#Technical!A1","Open"))</f>
        <v/>
      </c>
      <c r="U72" s="22" t="inlineStr"/>
      <c r="V72" s="24" t="n"/>
    </row>
    <row r="73" ht="30" customHeight="1">
      <c r="A73" s="42" t="inlineStr">
        <is>
          <t>https://africanmarketingconfederation.org/african-marketing-confederation-tourism-chapter</t>
        </is>
      </c>
      <c r="B73" s="4" t="n">
        <v>28165</v>
      </c>
      <c r="C73" s="48" t="inlineStr">
        <is>
          <t>https://africanmarketingconfederation.org/wp-admin/post.php?post=28165&amp;action=edit</t>
        </is>
      </c>
      <c r="D73" s="4" t="inlineStr">
        <is>
          <t>Readability</t>
        </is>
      </c>
      <c r="E73" s="37" t="inlineStr">
        <is>
          <t>Observation</t>
        </is>
      </c>
      <c r="F73" s="4" t="inlineStr">
        <is>
          <t>No question-style headings</t>
        </is>
      </c>
      <c r="G73" s="31" t="n">
        <v>37</v>
      </c>
      <c r="H73" s="4" t="n">
        <v>0</v>
      </c>
      <c r="I73" s="4" t="inlineStr">
        <is>
          <t>&gt;=1 where intent is informational</t>
        </is>
      </c>
      <c r="J73" s="4" t="inlineStr">
        <is>
          <t>Add at least one natural question heading (H2/H3) matching user intent.</t>
        </is>
      </c>
      <c r="K73" s="50" t="inlineStr">
        <is>
          <t>AEO</t>
        </is>
      </c>
      <c r="L73" s="4" t="inlineStr">
        <is>
          <t>Question Heading Count</t>
        </is>
      </c>
      <c r="M73" s="4" t="inlineStr">
        <is>
          <t>No</t>
        </is>
      </c>
      <c r="N73" s="4" t="inlineStr">
        <is>
          <t>Copy Writer</t>
        </is>
      </c>
      <c r="O73" s="25" t="inlineStr">
        <is>
          <t>Open</t>
        </is>
      </c>
      <c r="P73" s="4" t="n">
        <v>4</v>
      </c>
      <c r="Q73" s="4" t="inlineStr">
        <is>
          <t>https://africanmarketingconfederation.org/african-marketing-confederation-tourism-chapter::aioseo_no_question-style_headings</t>
        </is>
      </c>
      <c r="R73" s="4" t="inlineStr">
        <is>
          <t>Question headings better align with query phrasing and snippet extraction.</t>
        </is>
      </c>
      <c r="S73" s="4" t="inlineStr">
        <is>
          <t>Open</t>
        </is>
      </c>
      <c r="T73" s="4">
        <f>IFERROR(HYPERLINK("#Technical!A"&amp;MATCH(A73,Technical!A:A,0),"Open"),HYPERLINK("#Technical!A1","Open"))</f>
        <v/>
      </c>
      <c r="U73" s="4" t="inlineStr"/>
    </row>
    <row r="74" ht="30" customHeight="1">
      <c r="A74" s="40" t="inlineStr">
        <is>
          <t>https://africanmarketingconfederation.org/amc-awards-2024</t>
        </is>
      </c>
      <c r="B74" s="22" t="n">
        <v>16125</v>
      </c>
      <c r="C74" s="48" t="inlineStr">
        <is>
          <t>https://africanmarketingconfederation.org/wp-admin/post.php?post=16125&amp;action=edit</t>
        </is>
      </c>
      <c r="D74" s="22" t="inlineStr">
        <is>
          <t>Readability</t>
        </is>
      </c>
      <c r="E74" s="37" t="inlineStr">
        <is>
          <t>Observation</t>
        </is>
      </c>
      <c r="F74" s="22" t="inlineStr">
        <is>
          <t>Multiple H1 headings</t>
        </is>
      </c>
      <c r="G74" s="27" t="n">
        <v>37</v>
      </c>
      <c r="H74" s="22" t="n">
        <v>2</v>
      </c>
      <c r="I74" s="22" t="inlineStr">
        <is>
          <t>Exactly 1 H1</t>
        </is>
      </c>
      <c r="J74" s="22" t="inlineStr">
        <is>
          <t>Keep one primary H1, convert remaining top-level headings to H2/H3 where appropriate.</t>
        </is>
      </c>
      <c r="K74" s="49" t="inlineStr">
        <is>
          <t>Content</t>
        </is>
      </c>
      <c r="L74" s="22" t="inlineStr">
        <is>
          <t>Multiple H1 Flag</t>
        </is>
      </c>
      <c r="M74" s="22" t="inlineStr">
        <is>
          <t>No</t>
        </is>
      </c>
      <c r="N74" s="22" t="inlineStr">
        <is>
          <t>Copy Writer</t>
        </is>
      </c>
      <c r="O74" s="25" t="inlineStr">
        <is>
          <t>Open</t>
        </is>
      </c>
      <c r="P74" s="22" t="n">
        <v>4</v>
      </c>
      <c r="Q74" s="22" t="inlineStr">
        <is>
          <t>https://africanmarketingconfederation.org/amc-awards-2024::aioseo_multiple_h1_headings</t>
        </is>
      </c>
      <c r="R74" s="22" t="inlineStr">
        <is>
          <t>Multiple H1s can reduce heading hierarchy clarity.</t>
        </is>
      </c>
      <c r="S74" s="22" t="inlineStr">
        <is>
          <t>Open</t>
        </is>
      </c>
      <c r="T74" s="22">
        <f>IFERROR(HYPERLINK("#Technical!A"&amp;MATCH(A74,Technical!A:A,0),"Open"),HYPERLINK("#Technical!A1","Open"))</f>
        <v/>
      </c>
      <c r="U74" s="22" t="inlineStr"/>
      <c r="V74" s="24" t="n"/>
    </row>
    <row r="75" ht="30" customHeight="1">
      <c r="A75" s="42" t="inlineStr">
        <is>
          <t>https://africanmarketingconfederation.org/amc-awards-2024</t>
        </is>
      </c>
      <c r="B75" s="4" t="n">
        <v>16125</v>
      </c>
      <c r="C75" s="48" t="inlineStr">
        <is>
          <t>https://africanmarketingconfederation.org/wp-admin/post.php?post=16125&amp;action=edit</t>
        </is>
      </c>
      <c r="D75" s="4" t="inlineStr">
        <is>
          <t>Readability</t>
        </is>
      </c>
      <c r="E75" s="37" t="inlineStr">
        <is>
          <t>Observation</t>
        </is>
      </c>
      <c r="F75" s="4" t="inlineStr">
        <is>
          <t>No question-style headings</t>
        </is>
      </c>
      <c r="G75" s="31" t="n">
        <v>37</v>
      </c>
      <c r="H75" s="4" t="n">
        <v>0</v>
      </c>
      <c r="I75" s="4" t="inlineStr">
        <is>
          <t>&gt;=1 where intent is informational</t>
        </is>
      </c>
      <c r="J75" s="4" t="inlineStr">
        <is>
          <t>Add at least one natural question heading (H2/H3) matching user intent.</t>
        </is>
      </c>
      <c r="K75" s="50" t="inlineStr">
        <is>
          <t>AEO</t>
        </is>
      </c>
      <c r="L75" s="4" t="inlineStr">
        <is>
          <t>Question Heading Count</t>
        </is>
      </c>
      <c r="M75" s="4" t="inlineStr">
        <is>
          <t>No</t>
        </is>
      </c>
      <c r="N75" s="4" t="inlineStr">
        <is>
          <t>Copy Writer</t>
        </is>
      </c>
      <c r="O75" s="25" t="inlineStr">
        <is>
          <t>Open</t>
        </is>
      </c>
      <c r="P75" s="4" t="n">
        <v>4</v>
      </c>
      <c r="Q75" s="4" t="inlineStr">
        <is>
          <t>https://africanmarketingconfederation.org/amc-awards-2024::aioseo_no_question-style_headings</t>
        </is>
      </c>
      <c r="R75" s="4" t="inlineStr">
        <is>
          <t>Question headings better align with query phrasing and snippet extraction.</t>
        </is>
      </c>
      <c r="S75" s="4" t="inlineStr">
        <is>
          <t>Open</t>
        </is>
      </c>
      <c r="T75" s="4">
        <f>IFERROR(HYPERLINK("#Technical!A"&amp;MATCH(A75,Technical!A:A,0),"Open"),HYPERLINK("#Technical!A1","Open"))</f>
        <v/>
      </c>
      <c r="U75" s="4" t="inlineStr"/>
    </row>
    <row r="76" ht="30" customHeight="1">
      <c r="A76" s="40" t="inlineStr">
        <is>
          <t>https://africanmarketingconfederation.org/amc-conference-2022</t>
        </is>
      </c>
      <c r="B76" s="22" t="n">
        <v>4494</v>
      </c>
      <c r="C76" s="48" t="inlineStr">
        <is>
          <t>https://africanmarketingconfederation.org/wp-admin/post.php?post=4494&amp;action=edit</t>
        </is>
      </c>
      <c r="D76" s="22" t="inlineStr">
        <is>
          <t>Readability</t>
        </is>
      </c>
      <c r="E76" s="37" t="inlineStr">
        <is>
          <t>Observation</t>
        </is>
      </c>
      <c r="F76" s="22" t="inlineStr">
        <is>
          <t>No question-style headings</t>
        </is>
      </c>
      <c r="G76" s="27" t="n">
        <v>37</v>
      </c>
      <c r="H76" s="22" t="n">
        <v>0</v>
      </c>
      <c r="I76" s="22" t="inlineStr">
        <is>
          <t>&gt;=1 where intent is informational</t>
        </is>
      </c>
      <c r="J76" s="22" t="inlineStr">
        <is>
          <t>Add at least one natural question heading (H2/H3) matching user intent.</t>
        </is>
      </c>
      <c r="K76" s="49" t="inlineStr">
        <is>
          <t>AEO</t>
        </is>
      </c>
      <c r="L76" s="22" t="inlineStr">
        <is>
          <t>Question Heading Count</t>
        </is>
      </c>
      <c r="M76" s="22" t="inlineStr">
        <is>
          <t>No</t>
        </is>
      </c>
      <c r="N76" s="22" t="inlineStr">
        <is>
          <t>Copy Writer</t>
        </is>
      </c>
      <c r="O76" s="25" t="inlineStr">
        <is>
          <t>Open</t>
        </is>
      </c>
      <c r="P76" s="22" t="n">
        <v>4</v>
      </c>
      <c r="Q76" s="22" t="inlineStr">
        <is>
          <t>https://africanmarketingconfederation.org/amc-conference-2022::aioseo_no_question-style_headings</t>
        </is>
      </c>
      <c r="R76" s="22" t="inlineStr">
        <is>
          <t>Question headings better align with query phrasing and snippet extraction.</t>
        </is>
      </c>
      <c r="S76" s="22" t="inlineStr">
        <is>
          <t>Open</t>
        </is>
      </c>
      <c r="T76" s="22">
        <f>IFERROR(HYPERLINK("#Technical!A"&amp;MATCH(A76,Technical!A:A,0),"Open"),HYPERLINK("#Technical!A1","Open"))</f>
        <v/>
      </c>
      <c r="U76" s="22" t="inlineStr"/>
      <c r="V76" s="24" t="n"/>
    </row>
    <row r="77" ht="30" customHeight="1">
      <c r="A77" s="42" t="inlineStr">
        <is>
          <t>https://africanmarketingconfederation.org/amc-conference-2022-prospectus</t>
        </is>
      </c>
      <c r="B77" s="4" t="n">
        <v>5619</v>
      </c>
      <c r="C77" s="48" t="inlineStr">
        <is>
          <t>https://africanmarketingconfederation.org/wp-admin/post.php?post=5619&amp;action=edit</t>
        </is>
      </c>
      <c r="D77" s="4" t="inlineStr">
        <is>
          <t>Readability</t>
        </is>
      </c>
      <c r="E77" s="37" t="inlineStr">
        <is>
          <t>Observation</t>
        </is>
      </c>
      <c r="F77" s="4" t="inlineStr">
        <is>
          <t>No question-style headings</t>
        </is>
      </c>
      <c r="G77" s="31" t="n">
        <v>37</v>
      </c>
      <c r="H77" s="4" t="n">
        <v>0</v>
      </c>
      <c r="I77" s="4" t="inlineStr">
        <is>
          <t>&gt;=1 where intent is informational</t>
        </is>
      </c>
      <c r="J77" s="4" t="inlineStr">
        <is>
          <t>Add at least one natural question heading (H2/H3) matching user intent.</t>
        </is>
      </c>
      <c r="K77" s="50" t="inlineStr">
        <is>
          <t>AEO</t>
        </is>
      </c>
      <c r="L77" s="4" t="inlineStr">
        <is>
          <t>Question Heading Count</t>
        </is>
      </c>
      <c r="M77" s="4" t="inlineStr">
        <is>
          <t>No</t>
        </is>
      </c>
      <c r="N77" s="4" t="inlineStr">
        <is>
          <t>Copy Writer</t>
        </is>
      </c>
      <c r="O77" s="25" t="inlineStr">
        <is>
          <t>Open</t>
        </is>
      </c>
      <c r="P77" s="4" t="n">
        <v>4</v>
      </c>
      <c r="Q77" s="4" t="inlineStr">
        <is>
          <t>https://africanmarketingconfederation.org/amc-conference-2022-prospectus::aioseo_no_question-style_headings</t>
        </is>
      </c>
      <c r="R77" s="4" t="inlineStr">
        <is>
          <t>Question headings better align with query phrasing and snippet extraction.</t>
        </is>
      </c>
      <c r="S77" s="4" t="inlineStr">
        <is>
          <t>Open</t>
        </is>
      </c>
      <c r="T77" s="4">
        <f>IFERROR(HYPERLINK("#Technical!A"&amp;MATCH(A77,Technical!A:A,0),"Open"),HYPERLINK("#Technical!A1","Open"))</f>
        <v/>
      </c>
      <c r="U77" s="4" t="inlineStr"/>
    </row>
    <row r="78" ht="30" customHeight="1">
      <c r="A78" s="40" t="inlineStr">
        <is>
          <t>https://africanmarketingconfederation.org/amc-conference-2022-thank-you</t>
        </is>
      </c>
      <c r="B78" s="22" t="n">
        <v>4941</v>
      </c>
      <c r="C78" s="48" t="inlineStr">
        <is>
          <t>https://africanmarketingconfederation.org/wp-admin/post.php?post=4941&amp;action=edit</t>
        </is>
      </c>
      <c r="D78" s="22" t="inlineStr">
        <is>
          <t>Readability</t>
        </is>
      </c>
      <c r="E78" s="37" t="inlineStr">
        <is>
          <t>Observation</t>
        </is>
      </c>
      <c r="F78" s="22" t="inlineStr">
        <is>
          <t>No question-style headings</t>
        </is>
      </c>
      <c r="G78" s="27" t="n">
        <v>37</v>
      </c>
      <c r="H78" s="22" t="n">
        <v>0</v>
      </c>
      <c r="I78" s="22" t="inlineStr">
        <is>
          <t>&gt;=1 where intent is informational</t>
        </is>
      </c>
      <c r="J78" s="22" t="inlineStr">
        <is>
          <t>Add at least one natural question heading (H2/H3) matching user intent.</t>
        </is>
      </c>
      <c r="K78" s="49" t="inlineStr">
        <is>
          <t>AEO</t>
        </is>
      </c>
      <c r="L78" s="22" t="inlineStr">
        <is>
          <t>Question Heading Count</t>
        </is>
      </c>
      <c r="M78" s="22" t="inlineStr">
        <is>
          <t>No</t>
        </is>
      </c>
      <c r="N78" s="22" t="inlineStr">
        <is>
          <t>Copy Writer</t>
        </is>
      </c>
      <c r="O78" s="25" t="inlineStr">
        <is>
          <t>Open</t>
        </is>
      </c>
      <c r="P78" s="22" t="n">
        <v>4</v>
      </c>
      <c r="Q78" s="22" t="inlineStr">
        <is>
          <t>https://africanmarketingconfederation.org/amc-conference-2022-thank-you::aioseo_no_question-style_headings</t>
        </is>
      </c>
      <c r="R78" s="22" t="inlineStr">
        <is>
          <t>Question headings better align with query phrasing and snippet extraction.</t>
        </is>
      </c>
      <c r="S78" s="22" t="inlineStr">
        <is>
          <t>Open</t>
        </is>
      </c>
      <c r="T78" s="22">
        <f>IFERROR(HYPERLINK("#Technical!A"&amp;MATCH(A78,Technical!A:A,0),"Open"),HYPERLINK("#Technical!A1","Open"))</f>
        <v/>
      </c>
      <c r="U78" s="22" t="inlineStr"/>
      <c r="V78" s="24" t="n"/>
    </row>
    <row r="79" ht="30" customHeight="1">
      <c r="A79" s="42" t="inlineStr">
        <is>
          <t>https://africanmarketingconfederation.org/amc-conference-2023</t>
        </is>
      </c>
      <c r="B79" s="4" t="n">
        <v>12371</v>
      </c>
      <c r="C79" s="48" t="inlineStr">
        <is>
          <t>https://africanmarketingconfederation.org/wp-admin/post.php?post=12371&amp;action=edit</t>
        </is>
      </c>
      <c r="D79" s="4" t="inlineStr">
        <is>
          <t>Readability</t>
        </is>
      </c>
      <c r="E79" s="37" t="inlineStr">
        <is>
          <t>Observation</t>
        </is>
      </c>
      <c r="F79" s="4" t="inlineStr">
        <is>
          <t>No question-style headings</t>
        </is>
      </c>
      <c r="G79" s="31" t="n">
        <v>37</v>
      </c>
      <c r="H79" s="4" t="n">
        <v>0</v>
      </c>
      <c r="I79" s="4" t="inlineStr">
        <is>
          <t>&gt;=1 where intent is informational</t>
        </is>
      </c>
      <c r="J79" s="4" t="inlineStr">
        <is>
          <t>Add at least one natural question heading (H2/H3) matching user intent.</t>
        </is>
      </c>
      <c r="K79" s="50" t="inlineStr">
        <is>
          <t>AEO</t>
        </is>
      </c>
      <c r="L79" s="4" t="inlineStr">
        <is>
          <t>Question Heading Count</t>
        </is>
      </c>
      <c r="M79" s="4" t="inlineStr">
        <is>
          <t>No</t>
        </is>
      </c>
      <c r="N79" s="4" t="inlineStr">
        <is>
          <t>Copy Writer</t>
        </is>
      </c>
      <c r="O79" s="25" t="inlineStr">
        <is>
          <t>Open</t>
        </is>
      </c>
      <c r="P79" s="4" t="n">
        <v>4</v>
      </c>
      <c r="Q79" s="4" t="inlineStr">
        <is>
          <t>https://africanmarketingconfederation.org/amc-conference-2023::aioseo_no_question-style_headings</t>
        </is>
      </c>
      <c r="R79" s="4" t="inlineStr">
        <is>
          <t>Question headings better align with query phrasing and snippet extraction.</t>
        </is>
      </c>
      <c r="S79" s="4" t="inlineStr">
        <is>
          <t>Open</t>
        </is>
      </c>
      <c r="T79" s="4">
        <f>IFERROR(HYPERLINK("#Technical!A"&amp;MATCH(A79,Technical!A:A,0),"Open"),HYPERLINK("#Technical!A1","Open"))</f>
        <v/>
      </c>
      <c r="U79" s="4" t="inlineStr"/>
    </row>
    <row r="80" ht="30" customHeight="1">
      <c r="A80" s="40" t="inlineStr">
        <is>
          <t>https://africanmarketingconfederation.org/amc-conference-2023/amc-awards</t>
        </is>
      </c>
      <c r="B80" s="22" t="n">
        <v>12954</v>
      </c>
      <c r="C80" s="48" t="inlineStr">
        <is>
          <t>https://africanmarketingconfederation.org/wp-admin/post.php?post=12954&amp;action=edit</t>
        </is>
      </c>
      <c r="D80" s="22" t="inlineStr">
        <is>
          <t>Readability</t>
        </is>
      </c>
      <c r="E80" s="37" t="inlineStr">
        <is>
          <t>Observation</t>
        </is>
      </c>
      <c r="F80" s="22" t="inlineStr">
        <is>
          <t>No question-style headings</t>
        </is>
      </c>
      <c r="G80" s="27" t="n">
        <v>37</v>
      </c>
      <c r="H80" s="22" t="n">
        <v>0</v>
      </c>
      <c r="I80" s="22" t="inlineStr">
        <is>
          <t>&gt;=1 where intent is informational</t>
        </is>
      </c>
      <c r="J80" s="22" t="inlineStr">
        <is>
          <t>Add at least one natural question heading (H2/H3) matching user intent.</t>
        </is>
      </c>
      <c r="K80" s="49" t="inlineStr">
        <is>
          <t>AEO</t>
        </is>
      </c>
      <c r="L80" s="22" t="inlineStr">
        <is>
          <t>Question Heading Count</t>
        </is>
      </c>
      <c r="M80" s="22" t="inlineStr">
        <is>
          <t>No</t>
        </is>
      </c>
      <c r="N80" s="22" t="inlineStr">
        <is>
          <t>Copy Writer</t>
        </is>
      </c>
      <c r="O80" s="25" t="inlineStr">
        <is>
          <t>Open</t>
        </is>
      </c>
      <c r="P80" s="22" t="n">
        <v>4</v>
      </c>
      <c r="Q80" s="22" t="inlineStr">
        <is>
          <t>https://africanmarketingconfederation.org/amc-conference-2023/amc-awards::aioseo_no_question-style_headings</t>
        </is>
      </c>
      <c r="R80" s="22" t="inlineStr">
        <is>
          <t>Question headings better align with query phrasing and snippet extraction.</t>
        </is>
      </c>
      <c r="S80" s="22" t="inlineStr">
        <is>
          <t>Open</t>
        </is>
      </c>
      <c r="T80" s="22">
        <f>IFERROR(HYPERLINK("#Technical!A"&amp;MATCH(A80,Technical!A:A,0),"Open"),HYPERLINK("#Technical!A1","Open"))</f>
        <v/>
      </c>
      <c r="U80" s="22" t="inlineStr"/>
      <c r="V80" s="24" t="n"/>
    </row>
    <row r="81" ht="30" customHeight="1">
      <c r="A81" s="42" t="inlineStr">
        <is>
          <t>https://africanmarketingconfederation.org/amc-conference-2023/amc-awards-book-now</t>
        </is>
      </c>
      <c r="B81" s="4" t="n">
        <v>13164</v>
      </c>
      <c r="C81" s="48" t="inlineStr">
        <is>
          <t>https://africanmarketingconfederation.org/wp-admin/post.php?post=13164&amp;action=edit</t>
        </is>
      </c>
      <c r="D81" s="4" t="inlineStr">
        <is>
          <t>Readability</t>
        </is>
      </c>
      <c r="E81" s="37" t="inlineStr">
        <is>
          <t>Observation</t>
        </is>
      </c>
      <c r="F81" s="4" t="inlineStr">
        <is>
          <t>No question-style headings</t>
        </is>
      </c>
      <c r="G81" s="31" t="n">
        <v>37</v>
      </c>
      <c r="H81" s="4" t="n">
        <v>0</v>
      </c>
      <c r="I81" s="4" t="inlineStr">
        <is>
          <t>&gt;=1 where intent is informational</t>
        </is>
      </c>
      <c r="J81" s="4" t="inlineStr">
        <is>
          <t>Add at least one natural question heading (H2/H3) matching user intent.</t>
        </is>
      </c>
      <c r="K81" s="50" t="inlineStr">
        <is>
          <t>AEO</t>
        </is>
      </c>
      <c r="L81" s="4" t="inlineStr">
        <is>
          <t>Question Heading Count</t>
        </is>
      </c>
      <c r="M81" s="4" t="inlineStr">
        <is>
          <t>No</t>
        </is>
      </c>
      <c r="N81" s="4" t="inlineStr">
        <is>
          <t>Copy Writer</t>
        </is>
      </c>
      <c r="O81" s="25" t="inlineStr">
        <is>
          <t>Open</t>
        </is>
      </c>
      <c r="P81" s="4" t="n">
        <v>4</v>
      </c>
      <c r="Q81" s="4" t="inlineStr">
        <is>
          <t>https://africanmarketingconfederation.org/amc-conference-2023/amc-awards-book-now::aioseo_no_question-style_headings</t>
        </is>
      </c>
      <c r="R81" s="4" t="inlineStr">
        <is>
          <t>Question headings better align with query phrasing and snippet extraction.</t>
        </is>
      </c>
      <c r="S81" s="4" t="inlineStr">
        <is>
          <t>Open</t>
        </is>
      </c>
      <c r="T81" s="4">
        <f>IFERROR(HYPERLINK("#Technical!A"&amp;MATCH(A81,Technical!A:A,0),"Open"),HYPERLINK("#Technical!A1","Open"))</f>
        <v/>
      </c>
      <c r="U81" s="4" t="inlineStr"/>
    </row>
    <row r="82" ht="45" customHeight="1">
      <c r="A82" s="40" t="inlineStr">
        <is>
          <t>https://africanmarketingconfederation.org/</t>
        </is>
      </c>
      <c r="B82" s="22" t="n">
        <v>8</v>
      </c>
      <c r="C82" s="48" t="inlineStr">
        <is>
          <t>https://africanmarketingconfederation.org/wp-admin/post.php?post=8&amp;action=edit</t>
        </is>
      </c>
      <c r="D82" s="22" t="inlineStr">
        <is>
          <t>Schema</t>
        </is>
      </c>
      <c r="E82" s="37" t="inlineStr">
        <is>
          <t>Observation</t>
        </is>
      </c>
      <c r="F82" s="22" t="inlineStr">
        <is>
          <t>No FAQ/QA schema</t>
        </is>
      </c>
      <c r="G82" s="27" t="n">
        <v>37</v>
      </c>
      <c r="H82" s="22" t="n">
        <v>0</v>
      </c>
      <c r="I82" s="22" t="inlineStr">
        <is>
          <t>True when page has Q&amp;A intent</t>
        </is>
      </c>
      <c r="J82" s="22" t="inlineStr">
        <is>
          <t>If content is Q&amp;A style, add FAQPage/QAPage schema in AIOSEO and keep markup aligned with on-page content.</t>
        </is>
      </c>
      <c r="K82" s="49" t="inlineStr">
        <is>
          <t>AEO</t>
        </is>
      </c>
      <c r="L82" s="22" t="inlineStr">
        <is>
          <t>QAPage/FAQ Schema Present</t>
        </is>
      </c>
      <c r="M82" s="22" t="inlineStr">
        <is>
          <t>No</t>
        </is>
      </c>
      <c r="N82" s="22" t="inlineStr">
        <is>
          <t>Copy Writer</t>
        </is>
      </c>
      <c r="O82" s="25" t="inlineStr">
        <is>
          <t>Open</t>
        </is>
      </c>
      <c r="P82" s="22" t="n">
        <v>4</v>
      </c>
      <c r="Q82" s="22" t="inlineStr">
        <is>
          <t>https://africanmarketingconfederation.org/::aioseo_no_faq_qa_schema</t>
        </is>
      </c>
      <c r="R82" s="22" t="inlineStr">
        <is>
          <t>Q&amp;A schema can improve eligibility for answer-rich results.</t>
        </is>
      </c>
      <c r="S82" s="22" t="inlineStr">
        <is>
          <t>Open</t>
        </is>
      </c>
      <c r="T82" s="22">
        <f>IFERROR(HYPERLINK("#Technical!A"&amp;MATCH(A82,Technical!A:A,0),"Open"),HYPERLINK("#Technical!A1","Open"))</f>
        <v/>
      </c>
      <c r="U82" s="22" t="inlineStr"/>
      <c r="V82" s="24" t="n"/>
    </row>
    <row r="83" ht="45" customHeight="1">
      <c r="A83" s="42" t="inlineStr">
        <is>
          <t>https://africanmarketingconfederation.org/about-us</t>
        </is>
      </c>
      <c r="B83" s="4" t="n">
        <v>84</v>
      </c>
      <c r="C83" s="48" t="inlineStr">
        <is>
          <t>https://africanmarketingconfederation.org/wp-admin/post.php?post=84&amp;action=edit</t>
        </is>
      </c>
      <c r="D83" s="4" t="inlineStr">
        <is>
          <t>Schema</t>
        </is>
      </c>
      <c r="E83" s="37" t="inlineStr">
        <is>
          <t>Observation</t>
        </is>
      </c>
      <c r="F83" s="4" t="inlineStr">
        <is>
          <t>No FAQ/QA schema</t>
        </is>
      </c>
      <c r="G83" s="31" t="n">
        <v>37</v>
      </c>
      <c r="H83" s="4" t="n">
        <v>0</v>
      </c>
      <c r="I83" s="4" t="inlineStr">
        <is>
          <t>True when page has Q&amp;A intent</t>
        </is>
      </c>
      <c r="J83" s="4" t="inlineStr">
        <is>
          <t>If content is Q&amp;A style, add FAQPage/QAPage schema in AIOSEO and keep markup aligned with on-page content.</t>
        </is>
      </c>
      <c r="K83" s="50" t="inlineStr">
        <is>
          <t>AEO</t>
        </is>
      </c>
      <c r="L83" s="4" t="inlineStr">
        <is>
          <t>QAPage/FAQ Schema Present</t>
        </is>
      </c>
      <c r="M83" s="4" t="inlineStr">
        <is>
          <t>No</t>
        </is>
      </c>
      <c r="N83" s="4" t="inlineStr">
        <is>
          <t>Copy Writer</t>
        </is>
      </c>
      <c r="O83" s="25" t="inlineStr">
        <is>
          <t>Open</t>
        </is>
      </c>
      <c r="P83" s="4" t="n">
        <v>4</v>
      </c>
      <c r="Q83" s="4" t="inlineStr">
        <is>
          <t>https://africanmarketingconfederation.org/about-us::aioseo_no_faq_qa_schema</t>
        </is>
      </c>
      <c r="R83" s="4" t="inlineStr">
        <is>
          <t>Q&amp;A schema can improve eligibility for answer-rich results.</t>
        </is>
      </c>
      <c r="S83" s="4" t="inlineStr">
        <is>
          <t>Open</t>
        </is>
      </c>
      <c r="T83" s="4">
        <f>IFERROR(HYPERLINK("#Technical!A"&amp;MATCH(A83,Technical!A:A,0),"Open"),HYPERLINK("#Technical!A1","Open"))</f>
        <v/>
      </c>
      <c r="U83" s="4" t="inlineStr"/>
    </row>
    <row r="84" ht="45" customHeight="1">
      <c r="A84" s="40" t="inlineStr">
        <is>
          <t>https://africanmarketingconfederation.org/african-marketing-confederation-tourism-chapter</t>
        </is>
      </c>
      <c r="B84" s="22" t="n">
        <v>28165</v>
      </c>
      <c r="C84" s="48" t="inlineStr">
        <is>
          <t>https://africanmarketingconfederation.org/wp-admin/post.php?post=28165&amp;action=edit</t>
        </is>
      </c>
      <c r="D84" s="22" t="inlineStr">
        <is>
          <t>Schema</t>
        </is>
      </c>
      <c r="E84" s="37" t="inlineStr">
        <is>
          <t>Observation</t>
        </is>
      </c>
      <c r="F84" s="22" t="inlineStr">
        <is>
          <t>No FAQ/QA schema</t>
        </is>
      </c>
      <c r="G84" s="27" t="n">
        <v>37</v>
      </c>
      <c r="H84" s="22" t="n">
        <v>0</v>
      </c>
      <c r="I84" s="22" t="inlineStr">
        <is>
          <t>True when page has Q&amp;A intent</t>
        </is>
      </c>
      <c r="J84" s="22" t="inlineStr">
        <is>
          <t>If content is Q&amp;A style, add FAQPage/QAPage schema in AIOSEO and keep markup aligned with on-page content.</t>
        </is>
      </c>
      <c r="K84" s="49" t="inlineStr">
        <is>
          <t>AEO</t>
        </is>
      </c>
      <c r="L84" s="22" t="inlineStr">
        <is>
          <t>QAPage/FAQ Schema Present</t>
        </is>
      </c>
      <c r="M84" s="22" t="inlineStr">
        <is>
          <t>No</t>
        </is>
      </c>
      <c r="N84" s="22" t="inlineStr">
        <is>
          <t>Copy Writer</t>
        </is>
      </c>
      <c r="O84" s="25" t="inlineStr">
        <is>
          <t>Open</t>
        </is>
      </c>
      <c r="P84" s="22" t="n">
        <v>4</v>
      </c>
      <c r="Q84" s="22" t="inlineStr">
        <is>
          <t>https://africanmarketingconfederation.org/african-marketing-confederation-tourism-chapter::aioseo_no_faq_qa_schema</t>
        </is>
      </c>
      <c r="R84" s="22" t="inlineStr">
        <is>
          <t>Q&amp;A schema can improve eligibility for answer-rich results.</t>
        </is>
      </c>
      <c r="S84" s="22" t="inlineStr">
        <is>
          <t>Open</t>
        </is>
      </c>
      <c r="T84" s="22">
        <f>IFERROR(HYPERLINK("#Technical!A"&amp;MATCH(A84,Technical!A:A,0),"Open"),HYPERLINK("#Technical!A1","Open"))</f>
        <v/>
      </c>
      <c r="U84" s="22" t="inlineStr"/>
      <c r="V84" s="24" t="n"/>
    </row>
    <row r="85" ht="45" customHeight="1">
      <c r="A85" s="42" t="inlineStr">
        <is>
          <t>https://africanmarketingconfederation.org/amc-awards-2024</t>
        </is>
      </c>
      <c r="B85" s="4" t="n">
        <v>16125</v>
      </c>
      <c r="C85" s="48" t="inlineStr">
        <is>
          <t>https://africanmarketingconfederation.org/wp-admin/post.php?post=16125&amp;action=edit</t>
        </is>
      </c>
      <c r="D85" s="4" t="inlineStr">
        <is>
          <t>Schema</t>
        </is>
      </c>
      <c r="E85" s="37" t="inlineStr">
        <is>
          <t>Observation</t>
        </is>
      </c>
      <c r="F85" s="4" t="inlineStr">
        <is>
          <t>No FAQ/QA schema</t>
        </is>
      </c>
      <c r="G85" s="31" t="n">
        <v>37</v>
      </c>
      <c r="H85" s="4" t="n">
        <v>0</v>
      </c>
      <c r="I85" s="4" t="inlineStr">
        <is>
          <t>True when page has Q&amp;A intent</t>
        </is>
      </c>
      <c r="J85" s="4" t="inlineStr">
        <is>
          <t>If content is Q&amp;A style, add FAQPage/QAPage schema in AIOSEO and keep markup aligned with on-page content.</t>
        </is>
      </c>
      <c r="K85" s="50" t="inlineStr">
        <is>
          <t>AEO</t>
        </is>
      </c>
      <c r="L85" s="4" t="inlineStr">
        <is>
          <t>QAPage/FAQ Schema Present</t>
        </is>
      </c>
      <c r="M85" s="4" t="inlineStr">
        <is>
          <t>No</t>
        </is>
      </c>
      <c r="N85" s="4" t="inlineStr">
        <is>
          <t>Copy Writer</t>
        </is>
      </c>
      <c r="O85" s="25" t="inlineStr">
        <is>
          <t>Open</t>
        </is>
      </c>
      <c r="P85" s="4" t="n">
        <v>4</v>
      </c>
      <c r="Q85" s="4" t="inlineStr">
        <is>
          <t>https://africanmarketingconfederation.org/amc-awards-2024::aioseo_no_faq_qa_schema</t>
        </is>
      </c>
      <c r="R85" s="4" t="inlineStr">
        <is>
          <t>Q&amp;A schema can improve eligibility for answer-rich results.</t>
        </is>
      </c>
      <c r="S85" s="4" t="inlineStr">
        <is>
          <t>Open</t>
        </is>
      </c>
      <c r="T85" s="4">
        <f>IFERROR(HYPERLINK("#Technical!A"&amp;MATCH(A85,Technical!A:A,0),"Open"),HYPERLINK("#Technical!A1","Open"))</f>
        <v/>
      </c>
      <c r="U85" s="4" t="inlineStr"/>
    </row>
    <row r="86" ht="45" customHeight="1">
      <c r="A86" s="40" t="inlineStr">
        <is>
          <t>https://africanmarketingconfederation.org/amc-conference-2022</t>
        </is>
      </c>
      <c r="B86" s="22" t="n">
        <v>4494</v>
      </c>
      <c r="C86" s="48" t="inlineStr">
        <is>
          <t>https://africanmarketingconfederation.org/wp-admin/post.php?post=4494&amp;action=edit</t>
        </is>
      </c>
      <c r="D86" s="22" t="inlineStr">
        <is>
          <t>Schema</t>
        </is>
      </c>
      <c r="E86" s="37" t="inlineStr">
        <is>
          <t>Observation</t>
        </is>
      </c>
      <c r="F86" s="22" t="inlineStr">
        <is>
          <t>No FAQ/QA schema</t>
        </is>
      </c>
      <c r="G86" s="27" t="n">
        <v>37</v>
      </c>
      <c r="H86" s="22" t="n">
        <v>0</v>
      </c>
      <c r="I86" s="22" t="inlineStr">
        <is>
          <t>True when page has Q&amp;A intent</t>
        </is>
      </c>
      <c r="J86" s="22" t="inlineStr">
        <is>
          <t>If content is Q&amp;A style, add FAQPage/QAPage schema in AIOSEO and keep markup aligned with on-page content.</t>
        </is>
      </c>
      <c r="K86" s="49" t="inlineStr">
        <is>
          <t>AEO</t>
        </is>
      </c>
      <c r="L86" s="22" t="inlineStr">
        <is>
          <t>QAPage/FAQ Schema Present</t>
        </is>
      </c>
      <c r="M86" s="22" t="inlineStr">
        <is>
          <t>No</t>
        </is>
      </c>
      <c r="N86" s="22" t="inlineStr">
        <is>
          <t>Copy Writer</t>
        </is>
      </c>
      <c r="O86" s="25" t="inlineStr">
        <is>
          <t>Open</t>
        </is>
      </c>
      <c r="P86" s="22" t="n">
        <v>4</v>
      </c>
      <c r="Q86" s="22" t="inlineStr">
        <is>
          <t>https://africanmarketingconfederation.org/amc-conference-2022::aioseo_no_faq_qa_schema</t>
        </is>
      </c>
      <c r="R86" s="22" t="inlineStr">
        <is>
          <t>Q&amp;A schema can improve eligibility for answer-rich results.</t>
        </is>
      </c>
      <c r="S86" s="22" t="inlineStr">
        <is>
          <t>Open</t>
        </is>
      </c>
      <c r="T86" s="22">
        <f>IFERROR(HYPERLINK("#Technical!A"&amp;MATCH(A86,Technical!A:A,0),"Open"),HYPERLINK("#Technical!A1","Open"))</f>
        <v/>
      </c>
      <c r="U86" s="22" t="inlineStr"/>
      <c r="V86" s="24" t="n"/>
    </row>
    <row r="87" ht="45" customHeight="1">
      <c r="A87" s="42" t="inlineStr">
        <is>
          <t>https://africanmarketingconfederation.org/amc-conference-2022-prospectus</t>
        </is>
      </c>
      <c r="B87" s="4" t="n">
        <v>5619</v>
      </c>
      <c r="C87" s="48" t="inlineStr">
        <is>
          <t>https://africanmarketingconfederation.org/wp-admin/post.php?post=5619&amp;action=edit</t>
        </is>
      </c>
      <c r="D87" s="4" t="inlineStr">
        <is>
          <t>Schema</t>
        </is>
      </c>
      <c r="E87" s="37" t="inlineStr">
        <is>
          <t>Observation</t>
        </is>
      </c>
      <c r="F87" s="4" t="inlineStr">
        <is>
          <t>No FAQ/QA schema</t>
        </is>
      </c>
      <c r="G87" s="31" t="n">
        <v>37</v>
      </c>
      <c r="H87" s="4" t="n">
        <v>0</v>
      </c>
      <c r="I87" s="4" t="inlineStr">
        <is>
          <t>True when page has Q&amp;A intent</t>
        </is>
      </c>
      <c r="J87" s="4" t="inlineStr">
        <is>
          <t>If content is Q&amp;A style, add FAQPage/QAPage schema in AIOSEO and keep markup aligned with on-page content.</t>
        </is>
      </c>
      <c r="K87" s="50" t="inlineStr">
        <is>
          <t>AEO</t>
        </is>
      </c>
      <c r="L87" s="4" t="inlineStr">
        <is>
          <t>QAPage/FAQ Schema Present</t>
        </is>
      </c>
      <c r="M87" s="4" t="inlineStr">
        <is>
          <t>No</t>
        </is>
      </c>
      <c r="N87" s="4" t="inlineStr">
        <is>
          <t>Copy Writer</t>
        </is>
      </c>
      <c r="O87" s="25" t="inlineStr">
        <is>
          <t>Open</t>
        </is>
      </c>
      <c r="P87" s="4" t="n">
        <v>4</v>
      </c>
      <c r="Q87" s="4" t="inlineStr">
        <is>
          <t>https://africanmarketingconfederation.org/amc-conference-2022-prospectus::aioseo_no_faq_qa_schema</t>
        </is>
      </c>
      <c r="R87" s="4" t="inlineStr">
        <is>
          <t>Q&amp;A schema can improve eligibility for answer-rich results.</t>
        </is>
      </c>
      <c r="S87" s="4" t="inlineStr">
        <is>
          <t>Open</t>
        </is>
      </c>
      <c r="T87" s="4">
        <f>IFERROR(HYPERLINK("#Technical!A"&amp;MATCH(A87,Technical!A:A,0),"Open"),HYPERLINK("#Technical!A1","Open"))</f>
        <v/>
      </c>
      <c r="U87" s="4" t="inlineStr"/>
    </row>
    <row r="88" ht="45" customHeight="1">
      <c r="A88" s="40" t="inlineStr">
        <is>
          <t>https://africanmarketingconfederation.org/amc-conference-2022-thank-you</t>
        </is>
      </c>
      <c r="B88" s="22" t="n">
        <v>4941</v>
      </c>
      <c r="C88" s="48" t="inlineStr">
        <is>
          <t>https://africanmarketingconfederation.org/wp-admin/post.php?post=4941&amp;action=edit</t>
        </is>
      </c>
      <c r="D88" s="22" t="inlineStr">
        <is>
          <t>Schema</t>
        </is>
      </c>
      <c r="E88" s="37" t="inlineStr">
        <is>
          <t>Observation</t>
        </is>
      </c>
      <c r="F88" s="22" t="inlineStr">
        <is>
          <t>No FAQ/QA schema</t>
        </is>
      </c>
      <c r="G88" s="27" t="n">
        <v>37</v>
      </c>
      <c r="H88" s="22" t="n">
        <v>0</v>
      </c>
      <c r="I88" s="22" t="inlineStr">
        <is>
          <t>True when page has Q&amp;A intent</t>
        </is>
      </c>
      <c r="J88" s="22" t="inlineStr">
        <is>
          <t>If content is Q&amp;A style, add FAQPage/QAPage schema in AIOSEO and keep markup aligned with on-page content.</t>
        </is>
      </c>
      <c r="K88" s="49" t="inlineStr">
        <is>
          <t>AEO</t>
        </is>
      </c>
      <c r="L88" s="22" t="inlineStr">
        <is>
          <t>QAPage/FAQ Schema Present</t>
        </is>
      </c>
      <c r="M88" s="22" t="inlineStr">
        <is>
          <t>No</t>
        </is>
      </c>
      <c r="N88" s="22" t="inlineStr">
        <is>
          <t>Copy Writer</t>
        </is>
      </c>
      <c r="O88" s="25" t="inlineStr">
        <is>
          <t>Open</t>
        </is>
      </c>
      <c r="P88" s="22" t="n">
        <v>4</v>
      </c>
      <c r="Q88" s="22" t="inlineStr">
        <is>
          <t>https://africanmarketingconfederation.org/amc-conference-2022-thank-you::aioseo_no_faq_qa_schema</t>
        </is>
      </c>
      <c r="R88" s="22" t="inlineStr">
        <is>
          <t>Q&amp;A schema can improve eligibility for answer-rich results.</t>
        </is>
      </c>
      <c r="S88" s="22" t="inlineStr">
        <is>
          <t>Open</t>
        </is>
      </c>
      <c r="T88" s="22">
        <f>IFERROR(HYPERLINK("#Technical!A"&amp;MATCH(A88,Technical!A:A,0),"Open"),HYPERLINK("#Technical!A1","Open"))</f>
        <v/>
      </c>
      <c r="U88" s="22" t="inlineStr"/>
      <c r="V88" s="24" t="n"/>
    </row>
    <row r="89" ht="45" customHeight="1">
      <c r="A89" s="42" t="inlineStr">
        <is>
          <t>https://africanmarketingconfederation.org/amc-conference-2023</t>
        </is>
      </c>
      <c r="B89" s="4" t="n">
        <v>12371</v>
      </c>
      <c r="C89" s="48" t="inlineStr">
        <is>
          <t>https://africanmarketingconfederation.org/wp-admin/post.php?post=12371&amp;action=edit</t>
        </is>
      </c>
      <c r="D89" s="4" t="inlineStr">
        <is>
          <t>Schema</t>
        </is>
      </c>
      <c r="E89" s="37" t="inlineStr">
        <is>
          <t>Observation</t>
        </is>
      </c>
      <c r="F89" s="4" t="inlineStr">
        <is>
          <t>No FAQ/QA schema</t>
        </is>
      </c>
      <c r="G89" s="31" t="n">
        <v>37</v>
      </c>
      <c r="H89" s="4" t="n">
        <v>0</v>
      </c>
      <c r="I89" s="4" t="inlineStr">
        <is>
          <t>True when page has Q&amp;A intent</t>
        </is>
      </c>
      <c r="J89" s="4" t="inlineStr">
        <is>
          <t>If content is Q&amp;A style, add FAQPage/QAPage schema in AIOSEO and keep markup aligned with on-page content.</t>
        </is>
      </c>
      <c r="K89" s="50" t="inlineStr">
        <is>
          <t>AEO</t>
        </is>
      </c>
      <c r="L89" s="4" t="inlineStr">
        <is>
          <t>QAPage/FAQ Schema Present</t>
        </is>
      </c>
      <c r="M89" s="4" t="inlineStr">
        <is>
          <t>No</t>
        </is>
      </c>
      <c r="N89" s="4" t="inlineStr">
        <is>
          <t>Copy Writer</t>
        </is>
      </c>
      <c r="O89" s="25" t="inlineStr">
        <is>
          <t>Open</t>
        </is>
      </c>
      <c r="P89" s="4" t="n">
        <v>4</v>
      </c>
      <c r="Q89" s="4" t="inlineStr">
        <is>
          <t>https://africanmarketingconfederation.org/amc-conference-2023::aioseo_no_faq_qa_schema</t>
        </is>
      </c>
      <c r="R89" s="4" t="inlineStr">
        <is>
          <t>Q&amp;A schema can improve eligibility for answer-rich results.</t>
        </is>
      </c>
      <c r="S89" s="4" t="inlineStr">
        <is>
          <t>Open</t>
        </is>
      </c>
      <c r="T89" s="4">
        <f>IFERROR(HYPERLINK("#Technical!A"&amp;MATCH(A89,Technical!A:A,0),"Open"),HYPERLINK("#Technical!A1","Open"))</f>
        <v/>
      </c>
      <c r="U89" s="4" t="inlineStr"/>
    </row>
    <row r="90" ht="45" customHeight="1">
      <c r="A90" s="40" t="inlineStr">
        <is>
          <t>https://africanmarketingconfederation.org/amc-conference-2023/amc-awards</t>
        </is>
      </c>
      <c r="B90" s="22" t="n">
        <v>12954</v>
      </c>
      <c r="C90" s="48" t="inlineStr">
        <is>
          <t>https://africanmarketingconfederation.org/wp-admin/post.php?post=12954&amp;action=edit</t>
        </is>
      </c>
      <c r="D90" s="22" t="inlineStr">
        <is>
          <t>Schema</t>
        </is>
      </c>
      <c r="E90" s="37" t="inlineStr">
        <is>
          <t>Observation</t>
        </is>
      </c>
      <c r="F90" s="22" t="inlineStr">
        <is>
          <t>No FAQ/QA schema</t>
        </is>
      </c>
      <c r="G90" s="27" t="n">
        <v>37</v>
      </c>
      <c r="H90" s="22" t="n">
        <v>0</v>
      </c>
      <c r="I90" s="22" t="inlineStr">
        <is>
          <t>True when page has Q&amp;A intent</t>
        </is>
      </c>
      <c r="J90" s="22" t="inlineStr">
        <is>
          <t>If content is Q&amp;A style, add FAQPage/QAPage schema in AIOSEO and keep markup aligned with on-page content.</t>
        </is>
      </c>
      <c r="K90" s="49" t="inlineStr">
        <is>
          <t>AEO</t>
        </is>
      </c>
      <c r="L90" s="22" t="inlineStr">
        <is>
          <t>QAPage/FAQ Schema Present</t>
        </is>
      </c>
      <c r="M90" s="22" t="inlineStr">
        <is>
          <t>No</t>
        </is>
      </c>
      <c r="N90" s="22" t="inlineStr">
        <is>
          <t>Copy Writer</t>
        </is>
      </c>
      <c r="O90" s="25" t="inlineStr">
        <is>
          <t>Open</t>
        </is>
      </c>
      <c r="P90" s="22" t="n">
        <v>4</v>
      </c>
      <c r="Q90" s="22" t="inlineStr">
        <is>
          <t>https://africanmarketingconfederation.org/amc-conference-2023/amc-awards::aioseo_no_faq_qa_schema</t>
        </is>
      </c>
      <c r="R90" s="22" t="inlineStr">
        <is>
          <t>Q&amp;A schema can improve eligibility for answer-rich results.</t>
        </is>
      </c>
      <c r="S90" s="22" t="inlineStr">
        <is>
          <t>Open</t>
        </is>
      </c>
      <c r="T90" s="22">
        <f>IFERROR(HYPERLINK("#Technical!A"&amp;MATCH(A90,Technical!A:A,0),"Open"),HYPERLINK("#Technical!A1","Open"))</f>
        <v/>
      </c>
      <c r="U90" s="22" t="inlineStr"/>
      <c r="V90" s="24" t="n"/>
    </row>
    <row r="91" ht="45" customHeight="1">
      <c r="A91" s="42" t="inlineStr">
        <is>
          <t>https://africanmarketingconfederation.org/amc-conference-2023/amc-awards-book-now</t>
        </is>
      </c>
      <c r="B91" s="4" t="n">
        <v>13164</v>
      </c>
      <c r="C91" s="48" t="inlineStr">
        <is>
          <t>https://africanmarketingconfederation.org/wp-admin/post.php?post=13164&amp;action=edit</t>
        </is>
      </c>
      <c r="D91" s="4" t="inlineStr">
        <is>
          <t>Schema</t>
        </is>
      </c>
      <c r="E91" s="37" t="inlineStr">
        <is>
          <t>Observation</t>
        </is>
      </c>
      <c r="F91" s="4" t="inlineStr">
        <is>
          <t>No FAQ/QA schema</t>
        </is>
      </c>
      <c r="G91" s="31" t="n">
        <v>37</v>
      </c>
      <c r="H91" s="4" t="n">
        <v>0</v>
      </c>
      <c r="I91" s="4" t="inlineStr">
        <is>
          <t>True when page has Q&amp;A intent</t>
        </is>
      </c>
      <c r="J91" s="4" t="inlineStr">
        <is>
          <t>If content is Q&amp;A style, add FAQPage/QAPage schema in AIOSEO and keep markup aligned with on-page content.</t>
        </is>
      </c>
      <c r="K91" s="50" t="inlineStr">
        <is>
          <t>AEO</t>
        </is>
      </c>
      <c r="L91" s="4" t="inlineStr">
        <is>
          <t>QAPage/FAQ Schema Present</t>
        </is>
      </c>
      <c r="M91" s="4" t="inlineStr">
        <is>
          <t>No</t>
        </is>
      </c>
      <c r="N91" s="4" t="inlineStr">
        <is>
          <t>Copy Writer</t>
        </is>
      </c>
      <c r="O91" s="25" t="inlineStr">
        <is>
          <t>Open</t>
        </is>
      </c>
      <c r="P91" s="4" t="n">
        <v>4</v>
      </c>
      <c r="Q91" s="4" t="inlineStr">
        <is>
          <t>https://africanmarketingconfederation.org/amc-conference-2023/amc-awards-book-now::aioseo_no_faq_qa_schema</t>
        </is>
      </c>
      <c r="R91" s="4" t="inlineStr">
        <is>
          <t>Q&amp;A schema can improve eligibility for answer-rich results.</t>
        </is>
      </c>
      <c r="S91" s="4" t="inlineStr">
        <is>
          <t>Open</t>
        </is>
      </c>
      <c r="T91" s="4">
        <f>IFERROR(HYPERLINK("#Technical!A"&amp;MATCH(A91,Technical!A:A,0),"Open"),HYPERLINK("#Technical!A1","Open"))</f>
        <v/>
      </c>
      <c r="U91" s="4" t="inlineStr"/>
    </row>
    <row r="92" ht="30" customHeight="1">
      <c r="A92" s="40" t="inlineStr">
        <is>
          <t>https://africanmarketingconfederation.org/</t>
        </is>
      </c>
      <c r="B92" s="22" t="n">
        <v>8</v>
      </c>
      <c r="C92" s="48" t="inlineStr">
        <is>
          <t>https://africanmarketingconfederation.org/wp-admin/post.php?post=8&amp;action=edit</t>
        </is>
      </c>
      <c r="D92" s="22" t="inlineStr">
        <is>
          <t>Title</t>
        </is>
      </c>
      <c r="E92" s="37" t="inlineStr">
        <is>
          <t>Observation</t>
        </is>
      </c>
      <c r="F92" s="22" t="inlineStr">
        <is>
          <t>SEO title too long</t>
        </is>
      </c>
      <c r="G92" s="27" t="n">
        <v>37</v>
      </c>
      <c r="H92" s="22" t="n">
        <v>66</v>
      </c>
      <c r="I92" s="22" t="inlineStr">
        <is>
          <t>40-60 characters</t>
        </is>
      </c>
      <c r="J92" s="22" t="inlineStr">
        <is>
          <t>Shorten title in AIOSEO snippet editor and keep key terms in the first 55-60 characters.</t>
        </is>
      </c>
      <c r="K92" s="49" t="inlineStr">
        <is>
          <t>Main</t>
        </is>
      </c>
      <c r="L92" s="22" t="inlineStr">
        <is>
          <t>Title</t>
        </is>
      </c>
      <c r="M92" s="22" t="inlineStr">
        <is>
          <t>No</t>
        </is>
      </c>
      <c r="N92" s="22" t="inlineStr">
        <is>
          <t>Copy Writer</t>
        </is>
      </c>
      <c r="O92" s="25" t="inlineStr">
        <is>
          <t>Open</t>
        </is>
      </c>
      <c r="P92" s="22" t="n">
        <v>4</v>
      </c>
      <c r="Q92" s="22" t="inlineStr">
        <is>
          <t>https://africanmarketingconfederation.org/::aioseo_seo_title_too_long</t>
        </is>
      </c>
      <c r="R92" s="22" t="inlineStr">
        <is>
          <t>Long titles are more likely to truncate in SERPs.</t>
        </is>
      </c>
      <c r="S92" s="22" t="inlineStr">
        <is>
          <t>Open</t>
        </is>
      </c>
      <c r="T92" s="22">
        <f>IFERROR(HYPERLINK("#Technical!A"&amp;MATCH(A92,Technical!A:A,0),"Open"),HYPERLINK("#Technical!A1","Open"))</f>
        <v/>
      </c>
      <c r="U92" s="22" t="inlineStr"/>
      <c r="V92" s="24" t="n"/>
    </row>
    <row r="93" ht="30" customHeight="1">
      <c r="A93" s="42" t="inlineStr">
        <is>
          <t>https://africanmarketingconfederation.org/about-us</t>
        </is>
      </c>
      <c r="B93" s="4" t="n">
        <v>84</v>
      </c>
      <c r="C93" s="48" t="inlineStr">
        <is>
          <t>https://africanmarketingconfederation.org/wp-admin/post.php?post=84&amp;action=edit</t>
        </is>
      </c>
      <c r="D93" s="4" t="inlineStr">
        <is>
          <t>Title</t>
        </is>
      </c>
      <c r="E93" s="37" t="inlineStr">
        <is>
          <t>Observation</t>
        </is>
      </c>
      <c r="F93" s="4" t="inlineStr">
        <is>
          <t>SEO title too long</t>
        </is>
      </c>
      <c r="G93" s="31" t="n">
        <v>37</v>
      </c>
      <c r="H93" s="4" t="n">
        <v>107</v>
      </c>
      <c r="I93" s="4" t="inlineStr">
        <is>
          <t>40-60 characters</t>
        </is>
      </c>
      <c r="J93" s="4" t="inlineStr">
        <is>
          <t>Shorten title in AIOSEO snippet editor and keep key terms in the first 55-60 characters.</t>
        </is>
      </c>
      <c r="K93" s="50" t="inlineStr">
        <is>
          <t>Main</t>
        </is>
      </c>
      <c r="L93" s="4" t="inlineStr">
        <is>
          <t>Title</t>
        </is>
      </c>
      <c r="M93" s="4" t="inlineStr">
        <is>
          <t>No</t>
        </is>
      </c>
      <c r="N93" s="4" t="inlineStr">
        <is>
          <t>Copy Writer</t>
        </is>
      </c>
      <c r="O93" s="25" t="inlineStr">
        <is>
          <t>Open</t>
        </is>
      </c>
      <c r="P93" s="4" t="n">
        <v>4</v>
      </c>
      <c r="Q93" s="4" t="inlineStr">
        <is>
          <t>https://africanmarketingconfederation.org/about-us::aioseo_seo_title_too_long</t>
        </is>
      </c>
      <c r="R93" s="4" t="inlineStr">
        <is>
          <t>Long titles are more likely to truncate in SERPs.</t>
        </is>
      </c>
      <c r="S93" s="4" t="inlineStr">
        <is>
          <t>Open</t>
        </is>
      </c>
      <c r="T93" s="4">
        <f>IFERROR(HYPERLINK("#Technical!A"&amp;MATCH(A93,Technical!A:A,0),"Open"),HYPERLINK("#Technical!A1","Open"))</f>
        <v/>
      </c>
      <c r="U93" s="4" t="inlineStr"/>
    </row>
    <row r="94" ht="30" customHeight="1">
      <c r="A94" s="40" t="inlineStr">
        <is>
          <t>https://africanmarketingconfederation.org/african-marketing-confederation-tourism-chapter</t>
        </is>
      </c>
      <c r="B94" s="22" t="n">
        <v>28165</v>
      </c>
      <c r="C94" s="48" t="inlineStr">
        <is>
          <t>https://africanmarketingconfederation.org/wp-admin/post.php?post=28165&amp;action=edit</t>
        </is>
      </c>
      <c r="D94" s="22" t="inlineStr">
        <is>
          <t>Title</t>
        </is>
      </c>
      <c r="E94" s="37" t="inlineStr">
        <is>
          <t>Observation</t>
        </is>
      </c>
      <c r="F94" s="22" t="inlineStr">
        <is>
          <t>SEO title too long</t>
        </is>
      </c>
      <c r="G94" s="27" t="n">
        <v>37</v>
      </c>
      <c r="H94" s="22" t="n">
        <v>81</v>
      </c>
      <c r="I94" s="22" t="inlineStr">
        <is>
          <t>40-60 characters</t>
        </is>
      </c>
      <c r="J94" s="22" t="inlineStr">
        <is>
          <t>Shorten title in AIOSEO snippet editor and keep key terms in the first 55-60 characters.</t>
        </is>
      </c>
      <c r="K94" s="49" t="inlineStr">
        <is>
          <t>Main</t>
        </is>
      </c>
      <c r="L94" s="22" t="inlineStr">
        <is>
          <t>Title</t>
        </is>
      </c>
      <c r="M94" s="22" t="inlineStr">
        <is>
          <t>No</t>
        </is>
      </c>
      <c r="N94" s="22" t="inlineStr">
        <is>
          <t>Copy Writer</t>
        </is>
      </c>
      <c r="O94" s="25" t="inlineStr">
        <is>
          <t>Open</t>
        </is>
      </c>
      <c r="P94" s="22" t="n">
        <v>4</v>
      </c>
      <c r="Q94" s="22" t="inlineStr">
        <is>
          <t>https://africanmarketingconfederation.org/african-marketing-confederation-tourism-chapter::aioseo_seo_title_too_long</t>
        </is>
      </c>
      <c r="R94" s="22" t="inlineStr">
        <is>
          <t>Long titles are more likely to truncate in SERPs.</t>
        </is>
      </c>
      <c r="S94" s="22" t="inlineStr">
        <is>
          <t>Open</t>
        </is>
      </c>
      <c r="T94" s="22">
        <f>IFERROR(HYPERLINK("#Technical!A"&amp;MATCH(A94,Technical!A:A,0),"Open"),HYPERLINK("#Technical!A1","Open"))</f>
        <v/>
      </c>
      <c r="U94" s="22" t="inlineStr"/>
      <c r="V94" s="24" t="n"/>
    </row>
    <row r="95" ht="30" customHeight="1">
      <c r="A95" s="42" t="inlineStr">
        <is>
          <t>https://africanmarketingconfederation.org/amc-conference-2022-prospectus</t>
        </is>
      </c>
      <c r="B95" s="4" t="n">
        <v>5619</v>
      </c>
      <c r="C95" s="48" t="inlineStr">
        <is>
          <t>https://africanmarketingconfederation.org/wp-admin/post.php?post=5619&amp;action=edit</t>
        </is>
      </c>
      <c r="D95" s="4" t="inlineStr">
        <is>
          <t>Title</t>
        </is>
      </c>
      <c r="E95" s="37" t="inlineStr">
        <is>
          <t>Observation</t>
        </is>
      </c>
      <c r="F95" s="4" t="inlineStr">
        <is>
          <t>SEO title too long</t>
        </is>
      </c>
      <c r="G95" s="31" t="n">
        <v>37</v>
      </c>
      <c r="H95" s="4" t="n">
        <v>66</v>
      </c>
      <c r="I95" s="4" t="inlineStr">
        <is>
          <t>40-60 characters</t>
        </is>
      </c>
      <c r="J95" s="4" t="inlineStr">
        <is>
          <t>Shorten title in AIOSEO snippet editor and keep key terms in the first 55-60 characters.</t>
        </is>
      </c>
      <c r="K95" s="50" t="inlineStr">
        <is>
          <t>Main</t>
        </is>
      </c>
      <c r="L95" s="4" t="inlineStr">
        <is>
          <t>Title</t>
        </is>
      </c>
      <c r="M95" s="4" t="inlineStr">
        <is>
          <t>No</t>
        </is>
      </c>
      <c r="N95" s="4" t="inlineStr">
        <is>
          <t>Copy Writer</t>
        </is>
      </c>
      <c r="O95" s="25" t="inlineStr">
        <is>
          <t>Open</t>
        </is>
      </c>
      <c r="P95" s="4" t="n">
        <v>4</v>
      </c>
      <c r="Q95" s="4" t="inlineStr">
        <is>
          <t>https://africanmarketingconfederation.org/amc-conference-2022-prospectus::aioseo_seo_title_too_long</t>
        </is>
      </c>
      <c r="R95" s="4" t="inlineStr">
        <is>
          <t>Long titles are more likely to truncate in SERPs.</t>
        </is>
      </c>
      <c r="S95" s="4" t="inlineStr">
        <is>
          <t>Open</t>
        </is>
      </c>
      <c r="T95" s="4">
        <f>IFERROR(HYPERLINK("#Technical!A"&amp;MATCH(A95,Technical!A:A,0),"Open"),HYPERLINK("#Technical!A1","Open"))</f>
        <v/>
      </c>
      <c r="U95" s="4" t="inlineStr"/>
    </row>
    <row r="96" ht="30" customHeight="1">
      <c r="A96" s="40" t="inlineStr">
        <is>
          <t>https://africanmarketingconfederation.org/amc-conference-2022-thank-you</t>
        </is>
      </c>
      <c r="B96" s="22" t="n">
        <v>4941</v>
      </c>
      <c r="C96" s="48" t="inlineStr">
        <is>
          <t>https://africanmarketingconfederation.org/wp-admin/post.php?post=4941&amp;action=edit</t>
        </is>
      </c>
      <c r="D96" s="22" t="inlineStr">
        <is>
          <t>Title</t>
        </is>
      </c>
      <c r="E96" s="37" t="inlineStr">
        <is>
          <t>Observation</t>
        </is>
      </c>
      <c r="F96" s="22" t="inlineStr">
        <is>
          <t>SEO title too long</t>
        </is>
      </c>
      <c r="G96" s="27" t="n">
        <v>37</v>
      </c>
      <c r="H96" s="22" t="n">
        <v>65</v>
      </c>
      <c r="I96" s="22" t="inlineStr">
        <is>
          <t>40-60 characters</t>
        </is>
      </c>
      <c r="J96" s="22" t="inlineStr">
        <is>
          <t>Shorten title in AIOSEO snippet editor and keep key terms in the first 55-60 characters.</t>
        </is>
      </c>
      <c r="K96" s="49" t="inlineStr">
        <is>
          <t>Main</t>
        </is>
      </c>
      <c r="L96" s="22" t="inlineStr">
        <is>
          <t>Title</t>
        </is>
      </c>
      <c r="M96" s="22" t="inlineStr">
        <is>
          <t>No</t>
        </is>
      </c>
      <c r="N96" s="22" t="inlineStr">
        <is>
          <t>Copy Writer</t>
        </is>
      </c>
      <c r="O96" s="25" t="inlineStr">
        <is>
          <t>Open</t>
        </is>
      </c>
      <c r="P96" s="22" t="n">
        <v>4</v>
      </c>
      <c r="Q96" s="22" t="inlineStr">
        <is>
          <t>https://africanmarketingconfederation.org/amc-conference-2022-thank-you::aioseo_seo_title_too_long</t>
        </is>
      </c>
      <c r="R96" s="22" t="inlineStr">
        <is>
          <t>Long titles are more likely to truncate in SERPs.</t>
        </is>
      </c>
      <c r="S96" s="22" t="inlineStr">
        <is>
          <t>Open</t>
        </is>
      </c>
      <c r="T96" s="22">
        <f>IFERROR(HYPERLINK("#Technical!A"&amp;MATCH(A96,Technical!A:A,0),"Open"),HYPERLINK("#Technical!A1","Open"))</f>
        <v/>
      </c>
      <c r="U96" s="22" t="inlineStr"/>
      <c r="V96" s="24" t="n"/>
    </row>
  </sheetData>
  <autoFilter ref="A1:V96"/>
  <conditionalFormatting sqref="G2:G96">
    <cfRule type="cellIs" priority="1" operator="greaterThanOrEqual" dxfId="0">
      <formula>85</formula>
    </cfRule>
    <cfRule type="cellIs" priority="2" operator="between" dxfId="1">
      <formula>65</formula>
      <formula>84</formula>
    </cfRule>
  </conditionalFormatting>
  <conditionalFormatting sqref="M2:M96">
    <cfRule type="expression" priority="3" dxfId="2" stopIfTrue="1">
      <formula>LOWER(M2)="yes"</formula>
    </cfRule>
    <cfRule type="expression" priority="4" dxfId="3" stopIfTrue="1">
      <formula>LOWER(M2)="no"</formula>
    </cfRule>
  </conditionalFormatting>
  <conditionalFormatting sqref="O2:O96">
    <cfRule type="expression" priority="5" dxfId="4" stopIfTrue="1">
      <formula>LOWER(O2)="done"</formula>
    </cfRule>
    <cfRule type="expression" priority="6" dxfId="5" stopIfTrue="1">
      <formula>OR(LOWER(O2)="to do",LOWER(O2)="in progress",LOWER(O2)="in review")</formula>
    </cfRule>
  </conditionalFormatting>
  <dataValidations count="24">
    <dataValidation sqref="O2:O96"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Press Post ID" prompt="WordPress Post ID. Review this metric to identify risk, then use linked tabs for details and remediation." type="custom">
      <formula1>TRUE</formula1>
    </dataValidation>
    <dataValidation sqref="C1" showDropDown="0" showInputMessage="1" showErrorMessage="0" allowBlank="1" promptTitle="Direct Edit Link" prompt="Link quality and crawl-path metric. Fix: repair broken links and improve internal linking relevance." type="custom">
      <formula1>TRUE</formula1>
    </dataValidation>
    <dataValidation sqref="D1" showDropDown="0" showInputMessage="1" showErrorMessage="0" allowBlank="1" promptTitle="AIOSEO Panel" prompt="AIOSEO Panel. Review this metric to identify risk, then use linked tabs for details and remediation." type="custom">
      <formula1>TRUE</formula1>
    </dataValidation>
    <dataValidation sqref="E1" showDropDown="0" showInputMessage="1" showErrorMessage="0" allowBlank="1" promptTitle="Severity" prompt="Issue impact level. Fix: Resolve Critical first, then Warning, then improvement opportunities." type="custom">
      <formula1>TRUE</formula1>
    </dataValidation>
    <dataValidation sqref="F1" showDropDown="0" showInputMessage="1" showErrorMessage="0" allowBlank="1" promptTitle="Issue" prompt="Issue. Review this metric to identify risk, then use linked tabs for details and remediation." type="custom">
      <formula1>TRUE</formula1>
    </dataValidation>
    <dataValidation sqref="G1" showDropDown="0" showInputMessage="1" showErrorMessage="0" allowBlank="1" promptTitle="Priority Score" prompt="Execution priority score combining impact and effort. Fix: Start from highest scores." type="custom">
      <formula1>TRUE</formula1>
    </dataValidation>
    <dataValidation sqref="H1" showDropDown="0" showInputMessage="1" showErrorMessage="0" allowBlank="1" promptTitle="Current Value" prompt="Current Value. Review this metric to identify risk, then use linked tabs for details and remediation." type="custom">
      <formula1>TRUE</formula1>
    </dataValidation>
    <dataValidation sqref="I1" showDropDown="0" showInputMessage="1" showErrorMessage="0" allowBlank="1" promptTitle="Recommended Target" prompt="Recommended Target. Review this metric to identify risk, then use linked tabs for details and remediation." type="custom">
      <formula1>TRUE</formula1>
    </dataValidation>
    <dataValidation sqref="J1" showDropDown="0" showInputMessage="1" showErrorMessage="0" allowBlank="1" promptTitle="How to Fix in AIOSEO" prompt="How to Fix in AIOSEO. Review this metric to identify risk, then use linked tabs for details and remediation." type="custom">
      <formula1>TRUE</formula1>
    </dataValidation>
    <dataValidation sqref="K1" showDropDown="0" showInputMessage="1" showErrorMessage="0" allowBlank="1" promptTitle="Reference Tab" prompt="Summary grouping/navigation field. Use with hyperlinks to jump into detailed tabs." type="custom">
      <formula1>TRUE</formula1>
    </dataValidation>
    <dataValidation sqref="L1" showDropDown="0" showInputMessage="1" showErrorMessage="0" allowBlank="1" promptTitle="Reference Field" prompt="Reference Field. Review this metric to identify risk, then use linked tabs for details and remediation." type="custom">
      <formula1>TRUE</formula1>
    </dataValidation>
    <dataValidation sqref="M1" showDropDown="0" showInputMessage="1" showErrorMessage="0" allowBlank="1" promptTitle="Action Needed" prompt="Action Needed. Review this metric to identify risk, then use linked tabs for details and remediation." type="custom">
      <formula1>TRUE</formula1>
    </dataValidation>
    <dataValidation sqref="N1" showDropDown="0" showInputMessage="1" showErrorMessage="0" allowBlank="1" promptTitle="Owner" prompt="Workflow management field for planning and tracking remediation progress."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Est. Hours" prompt="Est. Hours. Review this metric to identify risk, then use linked tabs for details and remediation." type="custom">
      <formula1>TRUE</formula1>
    </dataValidation>
    <dataValidation sqref="Q1" showDropDown="0" showInputMessage="1" showErrorMessage="0" allowBlank="1" promptTitle="Stable Issue ID" prompt="Stable Issue ID. Review this metric to identify risk, then use linked tabs for details and remediation." type="custom">
      <formula1>TRUE</formula1>
    </dataValidation>
    <dataValidation sqref="R1" showDropDown="0" showInputMessage="1" showErrorMessage="0" allowBlank="1" promptTitle="Why It Matters" prompt="Why It Matters. Review this metric to identify risk, then use linked tabs for details and remediation." type="custom">
      <formula1>TRUE</formula1>
    </dataValidation>
    <dataValidation sqref="S1" showDropDown="0" showInputMessage="1" showErrorMessage="0" allowBlank="1" promptTitle="Open in Main" prompt="Navigation helper. Click to jump directly to the related record in another tab." type="custom">
      <formula1>TRUE</formula1>
    </dataValidation>
    <dataValidation sqref="T1" showDropDown="0" showInputMessage="1" showErrorMessage="0" allowBlank="1" promptTitle="Open in Technical" prompt="Open in Technical. Review this metric to identify risk, then use linked tabs for details and remediation."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G1" showDropDown="0" showInputMessage="1" showErrorMessage="0" allowBlank="1" promptTitle="Priority Score" prompt="Issue priority score for execution order. Fix: Start with the highest values to reduce risk fastest." type="custom">
      <formula1>TRUE</formula1>
    </dataValidation>
    <dataValidation sqref="E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V1" r:id="rId1"/>
    <hyperlink xmlns:r="http://schemas.openxmlformats.org/officeDocument/2006/relationships" ref="A2" r:id="rId2"/>
    <hyperlink xmlns:r="http://schemas.openxmlformats.org/officeDocument/2006/relationships" ref="C2" r:id="rId3"/>
    <hyperlink xmlns:r="http://schemas.openxmlformats.org/officeDocument/2006/relationships" ref="K2" r:id="rId4"/>
    <hyperlink xmlns:r="http://schemas.openxmlformats.org/officeDocument/2006/relationships" ref="A3" r:id="rId5"/>
    <hyperlink xmlns:r="http://schemas.openxmlformats.org/officeDocument/2006/relationships" ref="C3" r:id="rId6"/>
    <hyperlink xmlns:r="http://schemas.openxmlformats.org/officeDocument/2006/relationships" ref="K3" r:id="rId7"/>
    <hyperlink xmlns:r="http://schemas.openxmlformats.org/officeDocument/2006/relationships" ref="A4" r:id="rId8"/>
    <hyperlink xmlns:r="http://schemas.openxmlformats.org/officeDocument/2006/relationships" ref="C4" r:id="rId9"/>
    <hyperlink xmlns:r="http://schemas.openxmlformats.org/officeDocument/2006/relationships" ref="K4" r:id="rId10"/>
    <hyperlink xmlns:r="http://schemas.openxmlformats.org/officeDocument/2006/relationships" ref="A5" r:id="rId11"/>
    <hyperlink xmlns:r="http://schemas.openxmlformats.org/officeDocument/2006/relationships" ref="C5" r:id="rId12"/>
    <hyperlink xmlns:r="http://schemas.openxmlformats.org/officeDocument/2006/relationships" ref="K5" r:id="rId13"/>
    <hyperlink xmlns:r="http://schemas.openxmlformats.org/officeDocument/2006/relationships" ref="A6" r:id="rId14"/>
    <hyperlink xmlns:r="http://schemas.openxmlformats.org/officeDocument/2006/relationships" ref="C6" r:id="rId15"/>
    <hyperlink xmlns:r="http://schemas.openxmlformats.org/officeDocument/2006/relationships" ref="K6" r:id="rId16"/>
    <hyperlink xmlns:r="http://schemas.openxmlformats.org/officeDocument/2006/relationships" ref="A7" r:id="rId17"/>
    <hyperlink xmlns:r="http://schemas.openxmlformats.org/officeDocument/2006/relationships" ref="C7" r:id="rId18"/>
    <hyperlink xmlns:r="http://schemas.openxmlformats.org/officeDocument/2006/relationships" ref="K7" r:id="rId19"/>
    <hyperlink xmlns:r="http://schemas.openxmlformats.org/officeDocument/2006/relationships" ref="A8" r:id="rId20"/>
    <hyperlink xmlns:r="http://schemas.openxmlformats.org/officeDocument/2006/relationships" ref="C8" r:id="rId21"/>
    <hyperlink xmlns:r="http://schemas.openxmlformats.org/officeDocument/2006/relationships" ref="K8" r:id="rId22"/>
    <hyperlink xmlns:r="http://schemas.openxmlformats.org/officeDocument/2006/relationships" ref="A9" r:id="rId23"/>
    <hyperlink xmlns:r="http://schemas.openxmlformats.org/officeDocument/2006/relationships" ref="C9" r:id="rId24"/>
    <hyperlink xmlns:r="http://schemas.openxmlformats.org/officeDocument/2006/relationships" ref="K9" r:id="rId25"/>
    <hyperlink xmlns:r="http://schemas.openxmlformats.org/officeDocument/2006/relationships" ref="A10" r:id="rId26"/>
    <hyperlink xmlns:r="http://schemas.openxmlformats.org/officeDocument/2006/relationships" ref="C10" r:id="rId27"/>
    <hyperlink xmlns:r="http://schemas.openxmlformats.org/officeDocument/2006/relationships" ref="K10" r:id="rId28"/>
    <hyperlink xmlns:r="http://schemas.openxmlformats.org/officeDocument/2006/relationships" ref="A11" r:id="rId29"/>
    <hyperlink xmlns:r="http://schemas.openxmlformats.org/officeDocument/2006/relationships" ref="C11" r:id="rId30"/>
    <hyperlink xmlns:r="http://schemas.openxmlformats.org/officeDocument/2006/relationships" ref="K11" r:id="rId31"/>
    <hyperlink xmlns:r="http://schemas.openxmlformats.org/officeDocument/2006/relationships" ref="A12" r:id="rId32"/>
    <hyperlink xmlns:r="http://schemas.openxmlformats.org/officeDocument/2006/relationships" ref="C12" r:id="rId33"/>
    <hyperlink xmlns:r="http://schemas.openxmlformats.org/officeDocument/2006/relationships" ref="K12" r:id="rId34"/>
    <hyperlink xmlns:r="http://schemas.openxmlformats.org/officeDocument/2006/relationships" ref="A13" r:id="rId35"/>
    <hyperlink xmlns:r="http://schemas.openxmlformats.org/officeDocument/2006/relationships" ref="C13" r:id="rId36"/>
    <hyperlink xmlns:r="http://schemas.openxmlformats.org/officeDocument/2006/relationships" ref="K13" r:id="rId37"/>
    <hyperlink xmlns:r="http://schemas.openxmlformats.org/officeDocument/2006/relationships" ref="A14" r:id="rId38"/>
    <hyperlink xmlns:r="http://schemas.openxmlformats.org/officeDocument/2006/relationships" ref="C14" r:id="rId39"/>
    <hyperlink xmlns:r="http://schemas.openxmlformats.org/officeDocument/2006/relationships" ref="K14" r:id="rId40"/>
    <hyperlink xmlns:r="http://schemas.openxmlformats.org/officeDocument/2006/relationships" ref="A15" r:id="rId41"/>
    <hyperlink xmlns:r="http://schemas.openxmlformats.org/officeDocument/2006/relationships" ref="C15" r:id="rId42"/>
    <hyperlink xmlns:r="http://schemas.openxmlformats.org/officeDocument/2006/relationships" ref="K15" r:id="rId43"/>
    <hyperlink xmlns:r="http://schemas.openxmlformats.org/officeDocument/2006/relationships" ref="A16" r:id="rId44"/>
    <hyperlink xmlns:r="http://schemas.openxmlformats.org/officeDocument/2006/relationships" ref="C16" r:id="rId45"/>
    <hyperlink xmlns:r="http://schemas.openxmlformats.org/officeDocument/2006/relationships" ref="K16" r:id="rId46"/>
    <hyperlink xmlns:r="http://schemas.openxmlformats.org/officeDocument/2006/relationships" ref="A17" r:id="rId47"/>
    <hyperlink xmlns:r="http://schemas.openxmlformats.org/officeDocument/2006/relationships" ref="C17" r:id="rId48"/>
    <hyperlink xmlns:r="http://schemas.openxmlformats.org/officeDocument/2006/relationships" ref="K17" r:id="rId49"/>
    <hyperlink xmlns:r="http://schemas.openxmlformats.org/officeDocument/2006/relationships" ref="A18" r:id="rId50"/>
    <hyperlink xmlns:r="http://schemas.openxmlformats.org/officeDocument/2006/relationships" ref="C18" r:id="rId51"/>
    <hyperlink xmlns:r="http://schemas.openxmlformats.org/officeDocument/2006/relationships" ref="K18" r:id="rId52"/>
    <hyperlink xmlns:r="http://schemas.openxmlformats.org/officeDocument/2006/relationships" ref="A19" r:id="rId53"/>
    <hyperlink xmlns:r="http://schemas.openxmlformats.org/officeDocument/2006/relationships" ref="C19" r:id="rId54"/>
    <hyperlink xmlns:r="http://schemas.openxmlformats.org/officeDocument/2006/relationships" ref="K19" r:id="rId55"/>
    <hyperlink xmlns:r="http://schemas.openxmlformats.org/officeDocument/2006/relationships" ref="A20" r:id="rId56"/>
    <hyperlink xmlns:r="http://schemas.openxmlformats.org/officeDocument/2006/relationships" ref="C20" r:id="rId57"/>
    <hyperlink xmlns:r="http://schemas.openxmlformats.org/officeDocument/2006/relationships" ref="K20" r:id="rId58"/>
    <hyperlink xmlns:r="http://schemas.openxmlformats.org/officeDocument/2006/relationships" ref="A21" r:id="rId59"/>
    <hyperlink xmlns:r="http://schemas.openxmlformats.org/officeDocument/2006/relationships" ref="C21" r:id="rId60"/>
    <hyperlink xmlns:r="http://schemas.openxmlformats.org/officeDocument/2006/relationships" ref="K21" r:id="rId61"/>
    <hyperlink xmlns:r="http://schemas.openxmlformats.org/officeDocument/2006/relationships" ref="A22" r:id="rId62"/>
    <hyperlink xmlns:r="http://schemas.openxmlformats.org/officeDocument/2006/relationships" ref="C22" r:id="rId63"/>
    <hyperlink xmlns:r="http://schemas.openxmlformats.org/officeDocument/2006/relationships" ref="K22" r:id="rId64"/>
    <hyperlink xmlns:r="http://schemas.openxmlformats.org/officeDocument/2006/relationships" ref="A23" r:id="rId65"/>
    <hyperlink xmlns:r="http://schemas.openxmlformats.org/officeDocument/2006/relationships" ref="C23" r:id="rId66"/>
    <hyperlink xmlns:r="http://schemas.openxmlformats.org/officeDocument/2006/relationships" ref="K23" r:id="rId67"/>
    <hyperlink xmlns:r="http://schemas.openxmlformats.org/officeDocument/2006/relationships" ref="A24" r:id="rId68"/>
    <hyperlink xmlns:r="http://schemas.openxmlformats.org/officeDocument/2006/relationships" ref="C24" r:id="rId69"/>
    <hyperlink xmlns:r="http://schemas.openxmlformats.org/officeDocument/2006/relationships" ref="K24" r:id="rId70"/>
    <hyperlink xmlns:r="http://schemas.openxmlformats.org/officeDocument/2006/relationships" ref="A25" r:id="rId71"/>
    <hyperlink xmlns:r="http://schemas.openxmlformats.org/officeDocument/2006/relationships" ref="C25" r:id="rId72"/>
    <hyperlink xmlns:r="http://schemas.openxmlformats.org/officeDocument/2006/relationships" ref="K25" r:id="rId73"/>
    <hyperlink xmlns:r="http://schemas.openxmlformats.org/officeDocument/2006/relationships" ref="A26" r:id="rId74"/>
    <hyperlink xmlns:r="http://schemas.openxmlformats.org/officeDocument/2006/relationships" ref="C26" r:id="rId75"/>
    <hyperlink xmlns:r="http://schemas.openxmlformats.org/officeDocument/2006/relationships" ref="K26" r:id="rId76"/>
    <hyperlink xmlns:r="http://schemas.openxmlformats.org/officeDocument/2006/relationships" ref="A27" r:id="rId77"/>
    <hyperlink xmlns:r="http://schemas.openxmlformats.org/officeDocument/2006/relationships" ref="C27" r:id="rId78"/>
    <hyperlink xmlns:r="http://schemas.openxmlformats.org/officeDocument/2006/relationships" ref="K27" r:id="rId79"/>
    <hyperlink xmlns:r="http://schemas.openxmlformats.org/officeDocument/2006/relationships" ref="A28" r:id="rId80"/>
    <hyperlink xmlns:r="http://schemas.openxmlformats.org/officeDocument/2006/relationships" ref="C28" r:id="rId81"/>
    <hyperlink xmlns:r="http://schemas.openxmlformats.org/officeDocument/2006/relationships" ref="K28" r:id="rId82"/>
    <hyperlink xmlns:r="http://schemas.openxmlformats.org/officeDocument/2006/relationships" ref="A29" r:id="rId83"/>
    <hyperlink xmlns:r="http://schemas.openxmlformats.org/officeDocument/2006/relationships" ref="C29" r:id="rId84"/>
    <hyperlink xmlns:r="http://schemas.openxmlformats.org/officeDocument/2006/relationships" ref="K29" r:id="rId85"/>
    <hyperlink xmlns:r="http://schemas.openxmlformats.org/officeDocument/2006/relationships" ref="A30" r:id="rId86"/>
    <hyperlink xmlns:r="http://schemas.openxmlformats.org/officeDocument/2006/relationships" ref="C30" r:id="rId87"/>
    <hyperlink xmlns:r="http://schemas.openxmlformats.org/officeDocument/2006/relationships" ref="K30" r:id="rId88"/>
    <hyperlink xmlns:r="http://schemas.openxmlformats.org/officeDocument/2006/relationships" ref="A31" r:id="rId89"/>
    <hyperlink xmlns:r="http://schemas.openxmlformats.org/officeDocument/2006/relationships" ref="C31" r:id="rId90"/>
    <hyperlink xmlns:r="http://schemas.openxmlformats.org/officeDocument/2006/relationships" ref="K31" r:id="rId91"/>
    <hyperlink xmlns:r="http://schemas.openxmlformats.org/officeDocument/2006/relationships" ref="A32" r:id="rId92"/>
    <hyperlink xmlns:r="http://schemas.openxmlformats.org/officeDocument/2006/relationships" ref="C32" r:id="rId93"/>
    <hyperlink xmlns:r="http://schemas.openxmlformats.org/officeDocument/2006/relationships" ref="K32" r:id="rId94"/>
    <hyperlink xmlns:r="http://schemas.openxmlformats.org/officeDocument/2006/relationships" ref="A33" r:id="rId95"/>
    <hyperlink xmlns:r="http://schemas.openxmlformats.org/officeDocument/2006/relationships" ref="C33" r:id="rId96"/>
    <hyperlink xmlns:r="http://schemas.openxmlformats.org/officeDocument/2006/relationships" ref="K33" r:id="rId97"/>
    <hyperlink xmlns:r="http://schemas.openxmlformats.org/officeDocument/2006/relationships" ref="A34" r:id="rId98"/>
    <hyperlink xmlns:r="http://schemas.openxmlformats.org/officeDocument/2006/relationships" ref="C34" r:id="rId99"/>
    <hyperlink xmlns:r="http://schemas.openxmlformats.org/officeDocument/2006/relationships" ref="K34" r:id="rId100"/>
    <hyperlink xmlns:r="http://schemas.openxmlformats.org/officeDocument/2006/relationships" ref="A35" r:id="rId101"/>
    <hyperlink xmlns:r="http://schemas.openxmlformats.org/officeDocument/2006/relationships" ref="C35" r:id="rId102"/>
    <hyperlink xmlns:r="http://schemas.openxmlformats.org/officeDocument/2006/relationships" ref="K35" r:id="rId103"/>
    <hyperlink xmlns:r="http://schemas.openxmlformats.org/officeDocument/2006/relationships" ref="A36" r:id="rId104"/>
    <hyperlink xmlns:r="http://schemas.openxmlformats.org/officeDocument/2006/relationships" ref="C36" r:id="rId105"/>
    <hyperlink xmlns:r="http://schemas.openxmlformats.org/officeDocument/2006/relationships" ref="K36" r:id="rId106"/>
    <hyperlink xmlns:r="http://schemas.openxmlformats.org/officeDocument/2006/relationships" ref="A37" r:id="rId107"/>
    <hyperlink xmlns:r="http://schemas.openxmlformats.org/officeDocument/2006/relationships" ref="C37" r:id="rId108"/>
    <hyperlink xmlns:r="http://schemas.openxmlformats.org/officeDocument/2006/relationships" ref="K37" r:id="rId109"/>
    <hyperlink xmlns:r="http://schemas.openxmlformats.org/officeDocument/2006/relationships" ref="A38" r:id="rId110"/>
    <hyperlink xmlns:r="http://schemas.openxmlformats.org/officeDocument/2006/relationships" ref="C38" r:id="rId111"/>
    <hyperlink xmlns:r="http://schemas.openxmlformats.org/officeDocument/2006/relationships" ref="K38" r:id="rId112"/>
    <hyperlink xmlns:r="http://schemas.openxmlformats.org/officeDocument/2006/relationships" ref="A39" r:id="rId113"/>
    <hyperlink xmlns:r="http://schemas.openxmlformats.org/officeDocument/2006/relationships" ref="C39" r:id="rId114"/>
    <hyperlink xmlns:r="http://schemas.openxmlformats.org/officeDocument/2006/relationships" ref="K39" r:id="rId115"/>
    <hyperlink xmlns:r="http://schemas.openxmlformats.org/officeDocument/2006/relationships" ref="A40" r:id="rId116"/>
    <hyperlink xmlns:r="http://schemas.openxmlformats.org/officeDocument/2006/relationships" ref="C40" r:id="rId117"/>
    <hyperlink xmlns:r="http://schemas.openxmlformats.org/officeDocument/2006/relationships" ref="K40" r:id="rId118"/>
    <hyperlink xmlns:r="http://schemas.openxmlformats.org/officeDocument/2006/relationships" ref="A41" r:id="rId119"/>
    <hyperlink xmlns:r="http://schemas.openxmlformats.org/officeDocument/2006/relationships" ref="C41" r:id="rId120"/>
    <hyperlink xmlns:r="http://schemas.openxmlformats.org/officeDocument/2006/relationships" ref="K41" r:id="rId121"/>
    <hyperlink xmlns:r="http://schemas.openxmlformats.org/officeDocument/2006/relationships" ref="A42" r:id="rId122"/>
    <hyperlink xmlns:r="http://schemas.openxmlformats.org/officeDocument/2006/relationships" ref="C42" r:id="rId123"/>
    <hyperlink xmlns:r="http://schemas.openxmlformats.org/officeDocument/2006/relationships" ref="K42" r:id="rId124"/>
    <hyperlink xmlns:r="http://schemas.openxmlformats.org/officeDocument/2006/relationships" ref="A43" r:id="rId125"/>
    <hyperlink xmlns:r="http://schemas.openxmlformats.org/officeDocument/2006/relationships" ref="C43" r:id="rId126"/>
    <hyperlink xmlns:r="http://schemas.openxmlformats.org/officeDocument/2006/relationships" ref="K43" r:id="rId127"/>
    <hyperlink xmlns:r="http://schemas.openxmlformats.org/officeDocument/2006/relationships" ref="A44" r:id="rId128"/>
    <hyperlink xmlns:r="http://schemas.openxmlformats.org/officeDocument/2006/relationships" ref="C44" r:id="rId129"/>
    <hyperlink xmlns:r="http://schemas.openxmlformats.org/officeDocument/2006/relationships" ref="K44" r:id="rId130"/>
    <hyperlink xmlns:r="http://schemas.openxmlformats.org/officeDocument/2006/relationships" ref="A45" r:id="rId131"/>
    <hyperlink xmlns:r="http://schemas.openxmlformats.org/officeDocument/2006/relationships" ref="C45" r:id="rId132"/>
    <hyperlink xmlns:r="http://schemas.openxmlformats.org/officeDocument/2006/relationships" ref="K45" r:id="rId133"/>
    <hyperlink xmlns:r="http://schemas.openxmlformats.org/officeDocument/2006/relationships" ref="A46" r:id="rId134"/>
    <hyperlink xmlns:r="http://schemas.openxmlformats.org/officeDocument/2006/relationships" ref="C46" r:id="rId135"/>
    <hyperlink xmlns:r="http://schemas.openxmlformats.org/officeDocument/2006/relationships" ref="K46" r:id="rId136"/>
    <hyperlink xmlns:r="http://schemas.openxmlformats.org/officeDocument/2006/relationships" ref="A47" r:id="rId137"/>
    <hyperlink xmlns:r="http://schemas.openxmlformats.org/officeDocument/2006/relationships" ref="C47" r:id="rId138"/>
    <hyperlink xmlns:r="http://schemas.openxmlformats.org/officeDocument/2006/relationships" ref="K47" r:id="rId139"/>
    <hyperlink xmlns:r="http://schemas.openxmlformats.org/officeDocument/2006/relationships" ref="A48" r:id="rId140"/>
    <hyperlink xmlns:r="http://schemas.openxmlformats.org/officeDocument/2006/relationships" ref="C48" r:id="rId141"/>
    <hyperlink xmlns:r="http://schemas.openxmlformats.org/officeDocument/2006/relationships" ref="K48" r:id="rId142"/>
    <hyperlink xmlns:r="http://schemas.openxmlformats.org/officeDocument/2006/relationships" ref="A49" r:id="rId143"/>
    <hyperlink xmlns:r="http://schemas.openxmlformats.org/officeDocument/2006/relationships" ref="C49" r:id="rId144"/>
    <hyperlink xmlns:r="http://schemas.openxmlformats.org/officeDocument/2006/relationships" ref="K49" r:id="rId145"/>
    <hyperlink xmlns:r="http://schemas.openxmlformats.org/officeDocument/2006/relationships" ref="A50" r:id="rId146"/>
    <hyperlink xmlns:r="http://schemas.openxmlformats.org/officeDocument/2006/relationships" ref="C50" r:id="rId147"/>
    <hyperlink xmlns:r="http://schemas.openxmlformats.org/officeDocument/2006/relationships" ref="K50" r:id="rId148"/>
    <hyperlink xmlns:r="http://schemas.openxmlformats.org/officeDocument/2006/relationships" ref="A51" r:id="rId149"/>
    <hyperlink xmlns:r="http://schemas.openxmlformats.org/officeDocument/2006/relationships" ref="C51" r:id="rId150"/>
    <hyperlink xmlns:r="http://schemas.openxmlformats.org/officeDocument/2006/relationships" ref="K51" r:id="rId151"/>
    <hyperlink xmlns:r="http://schemas.openxmlformats.org/officeDocument/2006/relationships" ref="A52" r:id="rId152"/>
    <hyperlink xmlns:r="http://schemas.openxmlformats.org/officeDocument/2006/relationships" ref="C52" r:id="rId153"/>
    <hyperlink xmlns:r="http://schemas.openxmlformats.org/officeDocument/2006/relationships" ref="K52" r:id="rId154"/>
    <hyperlink xmlns:r="http://schemas.openxmlformats.org/officeDocument/2006/relationships" ref="A53" r:id="rId155"/>
    <hyperlink xmlns:r="http://schemas.openxmlformats.org/officeDocument/2006/relationships" ref="C53" r:id="rId156"/>
    <hyperlink xmlns:r="http://schemas.openxmlformats.org/officeDocument/2006/relationships" ref="K53" r:id="rId157"/>
    <hyperlink xmlns:r="http://schemas.openxmlformats.org/officeDocument/2006/relationships" ref="A54" r:id="rId158"/>
    <hyperlink xmlns:r="http://schemas.openxmlformats.org/officeDocument/2006/relationships" ref="C54" r:id="rId159"/>
    <hyperlink xmlns:r="http://schemas.openxmlformats.org/officeDocument/2006/relationships" ref="K54" r:id="rId160"/>
    <hyperlink xmlns:r="http://schemas.openxmlformats.org/officeDocument/2006/relationships" ref="A55" r:id="rId161"/>
    <hyperlink xmlns:r="http://schemas.openxmlformats.org/officeDocument/2006/relationships" ref="C55" r:id="rId162"/>
    <hyperlink xmlns:r="http://schemas.openxmlformats.org/officeDocument/2006/relationships" ref="K55" r:id="rId163"/>
    <hyperlink xmlns:r="http://schemas.openxmlformats.org/officeDocument/2006/relationships" ref="A56" r:id="rId164"/>
    <hyperlink xmlns:r="http://schemas.openxmlformats.org/officeDocument/2006/relationships" ref="C56" r:id="rId165"/>
    <hyperlink xmlns:r="http://schemas.openxmlformats.org/officeDocument/2006/relationships" ref="K56" r:id="rId166"/>
    <hyperlink xmlns:r="http://schemas.openxmlformats.org/officeDocument/2006/relationships" ref="A57" r:id="rId167"/>
    <hyperlink xmlns:r="http://schemas.openxmlformats.org/officeDocument/2006/relationships" ref="C57" r:id="rId168"/>
    <hyperlink xmlns:r="http://schemas.openxmlformats.org/officeDocument/2006/relationships" ref="K57" r:id="rId169"/>
    <hyperlink xmlns:r="http://schemas.openxmlformats.org/officeDocument/2006/relationships" ref="A58" r:id="rId170"/>
    <hyperlink xmlns:r="http://schemas.openxmlformats.org/officeDocument/2006/relationships" ref="C58" r:id="rId171"/>
    <hyperlink xmlns:r="http://schemas.openxmlformats.org/officeDocument/2006/relationships" ref="K58" r:id="rId172"/>
    <hyperlink xmlns:r="http://schemas.openxmlformats.org/officeDocument/2006/relationships" ref="A59" r:id="rId173"/>
    <hyperlink xmlns:r="http://schemas.openxmlformats.org/officeDocument/2006/relationships" ref="C59" r:id="rId174"/>
    <hyperlink xmlns:r="http://schemas.openxmlformats.org/officeDocument/2006/relationships" ref="K59" r:id="rId175"/>
    <hyperlink xmlns:r="http://schemas.openxmlformats.org/officeDocument/2006/relationships" ref="A60" r:id="rId176"/>
    <hyperlink xmlns:r="http://schemas.openxmlformats.org/officeDocument/2006/relationships" ref="C60" r:id="rId177"/>
    <hyperlink xmlns:r="http://schemas.openxmlformats.org/officeDocument/2006/relationships" ref="K60" r:id="rId178"/>
    <hyperlink xmlns:r="http://schemas.openxmlformats.org/officeDocument/2006/relationships" ref="A61" r:id="rId179"/>
    <hyperlink xmlns:r="http://schemas.openxmlformats.org/officeDocument/2006/relationships" ref="C61" r:id="rId180"/>
    <hyperlink xmlns:r="http://schemas.openxmlformats.org/officeDocument/2006/relationships" ref="K61" r:id="rId181"/>
    <hyperlink xmlns:r="http://schemas.openxmlformats.org/officeDocument/2006/relationships" ref="A62" r:id="rId182"/>
    <hyperlink xmlns:r="http://schemas.openxmlformats.org/officeDocument/2006/relationships" ref="C62" r:id="rId183"/>
    <hyperlink xmlns:r="http://schemas.openxmlformats.org/officeDocument/2006/relationships" ref="K62" r:id="rId184"/>
    <hyperlink xmlns:r="http://schemas.openxmlformats.org/officeDocument/2006/relationships" ref="A63" r:id="rId185"/>
    <hyperlink xmlns:r="http://schemas.openxmlformats.org/officeDocument/2006/relationships" ref="C63" r:id="rId186"/>
    <hyperlink xmlns:r="http://schemas.openxmlformats.org/officeDocument/2006/relationships" ref="K63" r:id="rId187"/>
    <hyperlink xmlns:r="http://schemas.openxmlformats.org/officeDocument/2006/relationships" ref="A64" r:id="rId188"/>
    <hyperlink xmlns:r="http://schemas.openxmlformats.org/officeDocument/2006/relationships" ref="C64" r:id="rId189"/>
    <hyperlink xmlns:r="http://schemas.openxmlformats.org/officeDocument/2006/relationships" ref="K64" r:id="rId190"/>
    <hyperlink xmlns:r="http://schemas.openxmlformats.org/officeDocument/2006/relationships" ref="A65" r:id="rId191"/>
    <hyperlink xmlns:r="http://schemas.openxmlformats.org/officeDocument/2006/relationships" ref="C65" r:id="rId192"/>
    <hyperlink xmlns:r="http://schemas.openxmlformats.org/officeDocument/2006/relationships" ref="K65" r:id="rId193"/>
    <hyperlink xmlns:r="http://schemas.openxmlformats.org/officeDocument/2006/relationships" ref="A66" r:id="rId194"/>
    <hyperlink xmlns:r="http://schemas.openxmlformats.org/officeDocument/2006/relationships" ref="C66" r:id="rId195"/>
    <hyperlink xmlns:r="http://schemas.openxmlformats.org/officeDocument/2006/relationships" ref="K66" r:id="rId196"/>
    <hyperlink xmlns:r="http://schemas.openxmlformats.org/officeDocument/2006/relationships" ref="A67" r:id="rId197"/>
    <hyperlink xmlns:r="http://schemas.openxmlformats.org/officeDocument/2006/relationships" ref="C67" r:id="rId198"/>
    <hyperlink xmlns:r="http://schemas.openxmlformats.org/officeDocument/2006/relationships" ref="K67" r:id="rId199"/>
    <hyperlink xmlns:r="http://schemas.openxmlformats.org/officeDocument/2006/relationships" ref="A68" r:id="rId200"/>
    <hyperlink xmlns:r="http://schemas.openxmlformats.org/officeDocument/2006/relationships" ref="C68" r:id="rId201"/>
    <hyperlink xmlns:r="http://schemas.openxmlformats.org/officeDocument/2006/relationships" ref="K68" r:id="rId202"/>
    <hyperlink xmlns:r="http://schemas.openxmlformats.org/officeDocument/2006/relationships" ref="A69" r:id="rId203"/>
    <hyperlink xmlns:r="http://schemas.openxmlformats.org/officeDocument/2006/relationships" ref="C69" r:id="rId204"/>
    <hyperlink xmlns:r="http://schemas.openxmlformats.org/officeDocument/2006/relationships" ref="K69" r:id="rId205"/>
    <hyperlink xmlns:r="http://schemas.openxmlformats.org/officeDocument/2006/relationships" ref="A70" r:id="rId206"/>
    <hyperlink xmlns:r="http://schemas.openxmlformats.org/officeDocument/2006/relationships" ref="C70" r:id="rId207"/>
    <hyperlink xmlns:r="http://schemas.openxmlformats.org/officeDocument/2006/relationships" ref="K70" r:id="rId208"/>
    <hyperlink xmlns:r="http://schemas.openxmlformats.org/officeDocument/2006/relationships" ref="A71" r:id="rId209"/>
    <hyperlink xmlns:r="http://schemas.openxmlformats.org/officeDocument/2006/relationships" ref="C71" r:id="rId210"/>
    <hyperlink xmlns:r="http://schemas.openxmlformats.org/officeDocument/2006/relationships" ref="K71" r:id="rId211"/>
    <hyperlink xmlns:r="http://schemas.openxmlformats.org/officeDocument/2006/relationships" ref="A72" r:id="rId212"/>
    <hyperlink xmlns:r="http://schemas.openxmlformats.org/officeDocument/2006/relationships" ref="C72" r:id="rId213"/>
    <hyperlink xmlns:r="http://schemas.openxmlformats.org/officeDocument/2006/relationships" ref="K72" r:id="rId214"/>
    <hyperlink xmlns:r="http://schemas.openxmlformats.org/officeDocument/2006/relationships" ref="A73" r:id="rId215"/>
    <hyperlink xmlns:r="http://schemas.openxmlformats.org/officeDocument/2006/relationships" ref="C73" r:id="rId216"/>
    <hyperlink xmlns:r="http://schemas.openxmlformats.org/officeDocument/2006/relationships" ref="K73" r:id="rId217"/>
    <hyperlink xmlns:r="http://schemas.openxmlformats.org/officeDocument/2006/relationships" ref="A74" r:id="rId218"/>
    <hyperlink xmlns:r="http://schemas.openxmlformats.org/officeDocument/2006/relationships" ref="C74" r:id="rId219"/>
    <hyperlink xmlns:r="http://schemas.openxmlformats.org/officeDocument/2006/relationships" ref="K74" r:id="rId220"/>
    <hyperlink xmlns:r="http://schemas.openxmlformats.org/officeDocument/2006/relationships" ref="A75" r:id="rId221"/>
    <hyperlink xmlns:r="http://schemas.openxmlformats.org/officeDocument/2006/relationships" ref="C75" r:id="rId222"/>
    <hyperlink xmlns:r="http://schemas.openxmlformats.org/officeDocument/2006/relationships" ref="K75" r:id="rId223"/>
    <hyperlink xmlns:r="http://schemas.openxmlformats.org/officeDocument/2006/relationships" ref="A76" r:id="rId224"/>
    <hyperlink xmlns:r="http://schemas.openxmlformats.org/officeDocument/2006/relationships" ref="C76" r:id="rId225"/>
    <hyperlink xmlns:r="http://schemas.openxmlformats.org/officeDocument/2006/relationships" ref="K76" r:id="rId226"/>
    <hyperlink xmlns:r="http://schemas.openxmlformats.org/officeDocument/2006/relationships" ref="A77" r:id="rId227"/>
    <hyperlink xmlns:r="http://schemas.openxmlformats.org/officeDocument/2006/relationships" ref="C77" r:id="rId228"/>
    <hyperlink xmlns:r="http://schemas.openxmlformats.org/officeDocument/2006/relationships" ref="K77" r:id="rId229"/>
    <hyperlink xmlns:r="http://schemas.openxmlformats.org/officeDocument/2006/relationships" ref="A78" r:id="rId230"/>
    <hyperlink xmlns:r="http://schemas.openxmlformats.org/officeDocument/2006/relationships" ref="C78" r:id="rId231"/>
    <hyperlink xmlns:r="http://schemas.openxmlformats.org/officeDocument/2006/relationships" ref="K78" r:id="rId232"/>
    <hyperlink xmlns:r="http://schemas.openxmlformats.org/officeDocument/2006/relationships" ref="A79" r:id="rId233"/>
    <hyperlink xmlns:r="http://schemas.openxmlformats.org/officeDocument/2006/relationships" ref="C79" r:id="rId234"/>
    <hyperlink xmlns:r="http://schemas.openxmlformats.org/officeDocument/2006/relationships" ref="K79" r:id="rId235"/>
    <hyperlink xmlns:r="http://schemas.openxmlformats.org/officeDocument/2006/relationships" ref="A80" r:id="rId236"/>
    <hyperlink xmlns:r="http://schemas.openxmlformats.org/officeDocument/2006/relationships" ref="C80" r:id="rId237"/>
    <hyperlink xmlns:r="http://schemas.openxmlformats.org/officeDocument/2006/relationships" ref="K80" r:id="rId238"/>
    <hyperlink xmlns:r="http://schemas.openxmlformats.org/officeDocument/2006/relationships" ref="A81" r:id="rId239"/>
    <hyperlink xmlns:r="http://schemas.openxmlformats.org/officeDocument/2006/relationships" ref="C81" r:id="rId240"/>
    <hyperlink xmlns:r="http://schemas.openxmlformats.org/officeDocument/2006/relationships" ref="K81" r:id="rId241"/>
    <hyperlink xmlns:r="http://schemas.openxmlformats.org/officeDocument/2006/relationships" ref="A82" r:id="rId242"/>
    <hyperlink xmlns:r="http://schemas.openxmlformats.org/officeDocument/2006/relationships" ref="C82" r:id="rId243"/>
    <hyperlink xmlns:r="http://schemas.openxmlformats.org/officeDocument/2006/relationships" ref="K82" r:id="rId244"/>
    <hyperlink xmlns:r="http://schemas.openxmlformats.org/officeDocument/2006/relationships" ref="A83" r:id="rId245"/>
    <hyperlink xmlns:r="http://schemas.openxmlformats.org/officeDocument/2006/relationships" ref="C83" r:id="rId246"/>
    <hyperlink xmlns:r="http://schemas.openxmlformats.org/officeDocument/2006/relationships" ref="K83" r:id="rId247"/>
    <hyperlink xmlns:r="http://schemas.openxmlformats.org/officeDocument/2006/relationships" ref="A84" r:id="rId248"/>
    <hyperlink xmlns:r="http://schemas.openxmlformats.org/officeDocument/2006/relationships" ref="C84" r:id="rId249"/>
    <hyperlink xmlns:r="http://schemas.openxmlformats.org/officeDocument/2006/relationships" ref="K84" r:id="rId250"/>
    <hyperlink xmlns:r="http://schemas.openxmlformats.org/officeDocument/2006/relationships" ref="A85" r:id="rId251"/>
    <hyperlink xmlns:r="http://schemas.openxmlformats.org/officeDocument/2006/relationships" ref="C85" r:id="rId252"/>
    <hyperlink xmlns:r="http://schemas.openxmlformats.org/officeDocument/2006/relationships" ref="K85" r:id="rId253"/>
    <hyperlink xmlns:r="http://schemas.openxmlformats.org/officeDocument/2006/relationships" ref="A86" r:id="rId254"/>
    <hyperlink xmlns:r="http://schemas.openxmlformats.org/officeDocument/2006/relationships" ref="C86" r:id="rId255"/>
    <hyperlink xmlns:r="http://schemas.openxmlformats.org/officeDocument/2006/relationships" ref="K86" r:id="rId256"/>
    <hyperlink xmlns:r="http://schemas.openxmlformats.org/officeDocument/2006/relationships" ref="A87" r:id="rId257"/>
    <hyperlink xmlns:r="http://schemas.openxmlformats.org/officeDocument/2006/relationships" ref="C87" r:id="rId258"/>
    <hyperlink xmlns:r="http://schemas.openxmlformats.org/officeDocument/2006/relationships" ref="K87" r:id="rId259"/>
    <hyperlink xmlns:r="http://schemas.openxmlformats.org/officeDocument/2006/relationships" ref="A88" r:id="rId260"/>
    <hyperlink xmlns:r="http://schemas.openxmlformats.org/officeDocument/2006/relationships" ref="C88" r:id="rId261"/>
    <hyperlink xmlns:r="http://schemas.openxmlformats.org/officeDocument/2006/relationships" ref="K88" r:id="rId262"/>
    <hyperlink xmlns:r="http://schemas.openxmlformats.org/officeDocument/2006/relationships" ref="A89" r:id="rId263"/>
    <hyperlink xmlns:r="http://schemas.openxmlformats.org/officeDocument/2006/relationships" ref="C89" r:id="rId264"/>
    <hyperlink xmlns:r="http://schemas.openxmlformats.org/officeDocument/2006/relationships" ref="K89" r:id="rId265"/>
    <hyperlink xmlns:r="http://schemas.openxmlformats.org/officeDocument/2006/relationships" ref="A90" r:id="rId266"/>
    <hyperlink xmlns:r="http://schemas.openxmlformats.org/officeDocument/2006/relationships" ref="C90" r:id="rId267"/>
    <hyperlink xmlns:r="http://schemas.openxmlformats.org/officeDocument/2006/relationships" ref="K90" r:id="rId268"/>
    <hyperlink xmlns:r="http://schemas.openxmlformats.org/officeDocument/2006/relationships" ref="A91" r:id="rId269"/>
    <hyperlink xmlns:r="http://schemas.openxmlformats.org/officeDocument/2006/relationships" ref="C91" r:id="rId270"/>
    <hyperlink xmlns:r="http://schemas.openxmlformats.org/officeDocument/2006/relationships" ref="K91" r:id="rId271"/>
    <hyperlink xmlns:r="http://schemas.openxmlformats.org/officeDocument/2006/relationships" ref="A92" r:id="rId272"/>
    <hyperlink xmlns:r="http://schemas.openxmlformats.org/officeDocument/2006/relationships" ref="C92" r:id="rId273"/>
    <hyperlink xmlns:r="http://schemas.openxmlformats.org/officeDocument/2006/relationships" ref="K92" r:id="rId274"/>
    <hyperlink xmlns:r="http://schemas.openxmlformats.org/officeDocument/2006/relationships" ref="A93" r:id="rId275"/>
    <hyperlink xmlns:r="http://schemas.openxmlformats.org/officeDocument/2006/relationships" ref="C93" r:id="rId276"/>
    <hyperlink xmlns:r="http://schemas.openxmlformats.org/officeDocument/2006/relationships" ref="K93" r:id="rId277"/>
    <hyperlink xmlns:r="http://schemas.openxmlformats.org/officeDocument/2006/relationships" ref="A94" r:id="rId278"/>
    <hyperlink xmlns:r="http://schemas.openxmlformats.org/officeDocument/2006/relationships" ref="C94" r:id="rId279"/>
    <hyperlink xmlns:r="http://schemas.openxmlformats.org/officeDocument/2006/relationships" ref="K94" r:id="rId280"/>
    <hyperlink xmlns:r="http://schemas.openxmlformats.org/officeDocument/2006/relationships" ref="A95" r:id="rId281"/>
    <hyperlink xmlns:r="http://schemas.openxmlformats.org/officeDocument/2006/relationships" ref="C95" r:id="rId282"/>
    <hyperlink xmlns:r="http://schemas.openxmlformats.org/officeDocument/2006/relationships" ref="K95" r:id="rId283"/>
    <hyperlink xmlns:r="http://schemas.openxmlformats.org/officeDocument/2006/relationships" ref="A96" r:id="rId284"/>
    <hyperlink xmlns:r="http://schemas.openxmlformats.org/officeDocument/2006/relationships" ref="C96" r:id="rId285"/>
    <hyperlink xmlns:r="http://schemas.openxmlformats.org/officeDocument/2006/relationships" ref="K96" r:id="rId28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 width="14" customWidth="1" min="12" max="12"/>
    <col width="19" customWidth="1" min="13" max="13"/>
  </cols>
  <sheetData>
    <row r="1">
      <c r="A1" s="21" t="inlineStr">
        <is>
          <t>URL</t>
        </is>
      </c>
      <c r="B1" s="21" t="inlineStr">
        <is>
          <t>Strict-Transport-Security</t>
        </is>
      </c>
      <c r="C1" s="21" t="inlineStr">
        <is>
          <t>Content-Security-Policy</t>
        </is>
      </c>
      <c r="D1" s="21" t="inlineStr">
        <is>
          <t>X-Content-Type-Options</t>
        </is>
      </c>
      <c r="E1" s="21" t="inlineStr">
        <is>
          <t>X-Frame-Options</t>
        </is>
      </c>
      <c r="F1" s="21" t="inlineStr">
        <is>
          <t>Referrer-Policy</t>
        </is>
      </c>
      <c r="G1" s="21" t="inlineStr">
        <is>
          <t>Permissions-Policy</t>
        </is>
      </c>
      <c r="H1" s="21" t="inlineStr">
        <is>
          <t>Robots.txt Accessible</t>
        </is>
      </c>
      <c r="I1" s="21" t="inlineStr">
        <is>
          <t>Sitemap in Robots.txt</t>
        </is>
      </c>
      <c r="J1" s="21" t="inlineStr">
        <is>
          <t>Robots.txt Crawl-Delay</t>
        </is>
      </c>
      <c r="K1" s="21" t="inlineStr">
        <is>
          <t>Robots.txt Disallow /</t>
        </is>
      </c>
      <c r="L1" s="21" t="inlineStr">
        <is>
          <t>Open in Main</t>
        </is>
      </c>
      <c r="M1" s="21" t="inlineStr">
        <is>
          <t>BACK TO DASHBOARD</t>
        </is>
      </c>
      <c r="N1" s="23" t="inlineStr">
        <is>
          <t>BACK TO DASHBOARD_1</t>
        </is>
      </c>
    </row>
    <row r="2" ht="30" customHeight="1">
      <c r="A2" s="40" t="inlineStr">
        <is>
          <t>https://africanmarketingconfederation.org/about-us</t>
        </is>
      </c>
      <c r="B2" s="22" t="inlineStr"/>
      <c r="C2" s="22" t="inlineStr"/>
      <c r="D2" s="22" t="inlineStr"/>
      <c r="E2" s="22" t="inlineStr"/>
      <c r="F2" s="22" t="inlineStr"/>
      <c r="G2" s="22" t="inlineStr"/>
      <c r="H2" s="22" t="inlineStr"/>
      <c r="I2" s="22" t="inlineStr"/>
      <c r="J2" s="22" t="inlineStr"/>
      <c r="K2" s="22" t="inlineStr"/>
      <c r="L2" s="22" t="inlineStr">
        <is>
          <t>Open</t>
        </is>
      </c>
      <c r="M2" s="22" t="inlineStr"/>
      <c r="N2" s="24" t="n"/>
    </row>
    <row r="3">
      <c r="A3" s="42" t="inlineStr">
        <is>
          <t>https://africanmarketingconfederation.org/</t>
        </is>
      </c>
      <c r="B3" s="4" t="inlineStr"/>
      <c r="C3" s="4" t="inlineStr"/>
      <c r="D3" s="4" t="inlineStr"/>
      <c r="E3" s="4" t="inlineStr"/>
      <c r="F3" s="4" t="inlineStr"/>
      <c r="G3" s="4" t="inlineStr"/>
      <c r="H3" s="4" t="inlineStr"/>
      <c r="I3" s="4" t="inlineStr"/>
      <c r="J3" s="4" t="inlineStr"/>
      <c r="K3" s="4" t="inlineStr"/>
      <c r="L3" s="4" t="inlineStr">
        <is>
          <t>Open</t>
        </is>
      </c>
      <c r="M3" s="4" t="inlineStr"/>
    </row>
    <row r="4" ht="30" customHeight="1">
      <c r="A4" s="40" t="inlineStr">
        <is>
          <t>https://africanmarketingconfederation.org/african-marketing-confederation-tourism-chapter</t>
        </is>
      </c>
      <c r="B4" s="22" t="inlineStr"/>
      <c r="C4" s="22" t="inlineStr"/>
      <c r="D4" s="22" t="inlineStr"/>
      <c r="E4" s="22" t="inlineStr"/>
      <c r="F4" s="22" t="inlineStr"/>
      <c r="G4" s="22" t="inlineStr"/>
      <c r="H4" s="22" t="inlineStr"/>
      <c r="I4" s="22" t="inlineStr"/>
      <c r="J4" s="22" t="inlineStr"/>
      <c r="K4" s="22" t="inlineStr"/>
      <c r="L4" s="22" t="inlineStr">
        <is>
          <t>Open</t>
        </is>
      </c>
      <c r="M4" s="22" t="inlineStr"/>
      <c r="N4" s="24" t="n"/>
    </row>
    <row r="5" ht="30" customHeight="1">
      <c r="A5" s="42" t="inlineStr">
        <is>
          <t>https://africanmarketingconfederation.org/amc-awards-2024</t>
        </is>
      </c>
      <c r="B5" s="4" t="inlineStr"/>
      <c r="C5" s="4" t="inlineStr"/>
      <c r="D5" s="4" t="inlineStr"/>
      <c r="E5" s="4" t="inlineStr"/>
      <c r="F5" s="4" t="inlineStr"/>
      <c r="G5" s="4" t="inlineStr"/>
      <c r="H5" s="4" t="inlineStr"/>
      <c r="I5" s="4" t="inlineStr"/>
      <c r="J5" s="4" t="inlineStr"/>
      <c r="K5" s="4" t="inlineStr"/>
      <c r="L5" s="4" t="inlineStr">
        <is>
          <t>Open</t>
        </is>
      </c>
      <c r="M5" s="4" t="inlineStr"/>
    </row>
    <row r="6" ht="30" customHeight="1">
      <c r="A6" s="40" t="inlineStr">
        <is>
          <t>https://africanmarketingconfederation.org/amc-conference-2022-prospectus</t>
        </is>
      </c>
      <c r="B6" s="22" t="inlineStr"/>
      <c r="C6" s="22" t="inlineStr"/>
      <c r="D6" s="22" t="inlineStr"/>
      <c r="E6" s="22" t="inlineStr"/>
      <c r="F6" s="22" t="inlineStr"/>
      <c r="G6" s="22" t="inlineStr"/>
      <c r="H6" s="22" t="inlineStr"/>
      <c r="I6" s="22" t="inlineStr"/>
      <c r="J6" s="22" t="inlineStr"/>
      <c r="K6" s="22" t="inlineStr"/>
      <c r="L6" s="22" t="inlineStr">
        <is>
          <t>Open</t>
        </is>
      </c>
      <c r="M6" s="22" t="inlineStr"/>
      <c r="N6" s="24" t="n"/>
    </row>
    <row r="7" ht="30" customHeight="1">
      <c r="A7" s="42" t="inlineStr">
        <is>
          <t>https://africanmarketingconfederation.org/amc-conference-2022-thank-you</t>
        </is>
      </c>
      <c r="B7" s="4" t="inlineStr"/>
      <c r="C7" s="4" t="inlineStr"/>
      <c r="D7" s="4" t="inlineStr"/>
      <c r="E7" s="4" t="inlineStr"/>
      <c r="F7" s="4" t="inlineStr"/>
      <c r="G7" s="4" t="inlineStr"/>
      <c r="H7" s="4" t="inlineStr"/>
      <c r="I7" s="4" t="inlineStr"/>
      <c r="J7" s="4" t="inlineStr"/>
      <c r="K7" s="4" t="inlineStr"/>
      <c r="L7" s="4" t="inlineStr">
        <is>
          <t>Open</t>
        </is>
      </c>
      <c r="M7" s="4" t="inlineStr"/>
    </row>
    <row r="8" ht="30" customHeight="1">
      <c r="A8" s="40" t="inlineStr">
        <is>
          <t>https://africanmarketingconfederation.org/amc-conference-2022</t>
        </is>
      </c>
      <c r="B8" s="22" t="inlineStr"/>
      <c r="C8" s="22" t="inlineStr"/>
      <c r="D8" s="22" t="inlineStr"/>
      <c r="E8" s="22" t="inlineStr"/>
      <c r="F8" s="22" t="inlineStr"/>
      <c r="G8" s="22" t="inlineStr"/>
      <c r="H8" s="22" t="inlineStr"/>
      <c r="I8" s="22" t="inlineStr"/>
      <c r="J8" s="22" t="inlineStr"/>
      <c r="K8" s="22" t="inlineStr"/>
      <c r="L8" s="22" t="inlineStr">
        <is>
          <t>Open</t>
        </is>
      </c>
      <c r="M8" s="22" t="inlineStr"/>
      <c r="N8" s="24" t="n"/>
    </row>
    <row r="9" ht="30" customHeight="1">
      <c r="A9" s="42" t="inlineStr">
        <is>
          <t>https://africanmarketingconfederation.org/amc-conference-2023</t>
        </is>
      </c>
      <c r="B9" s="4" t="inlineStr"/>
      <c r="C9" s="4" t="inlineStr"/>
      <c r="D9" s="4" t="inlineStr"/>
      <c r="E9" s="4" t="inlineStr"/>
      <c r="F9" s="4" t="inlineStr"/>
      <c r="G9" s="4" t="inlineStr"/>
      <c r="H9" s="4" t="inlineStr"/>
      <c r="I9" s="4" t="inlineStr"/>
      <c r="J9" s="4" t="inlineStr"/>
      <c r="K9" s="4" t="inlineStr"/>
      <c r="L9" s="4" t="inlineStr">
        <is>
          <t>Open</t>
        </is>
      </c>
      <c r="M9" s="4" t="inlineStr"/>
    </row>
    <row r="10" ht="30" customHeight="1">
      <c r="A10" s="40" t="inlineStr">
        <is>
          <t>https://africanmarketingconfederation.org/amc-conference-2023/amc-awards-book-now</t>
        </is>
      </c>
      <c r="B10" s="22" t="inlineStr"/>
      <c r="C10" s="22" t="inlineStr"/>
      <c r="D10" s="22" t="inlineStr"/>
      <c r="E10" s="22" t="inlineStr"/>
      <c r="F10" s="22" t="inlineStr"/>
      <c r="G10" s="22" t="inlineStr"/>
      <c r="H10" s="22" t="inlineStr"/>
      <c r="I10" s="22" t="inlineStr"/>
      <c r="J10" s="22" t="inlineStr"/>
      <c r="K10" s="22" t="inlineStr"/>
      <c r="L10" s="22" t="inlineStr">
        <is>
          <t>Open</t>
        </is>
      </c>
      <c r="M10" s="22" t="inlineStr"/>
      <c r="N10" s="24" t="n"/>
    </row>
    <row r="11" ht="30" customHeight="1">
      <c r="A11" s="42" t="inlineStr">
        <is>
          <t>https://africanmarketingconfederation.org/amc-conference-2023/amc-awards</t>
        </is>
      </c>
      <c r="B11" s="4" t="inlineStr"/>
      <c r="C11" s="4" t="inlineStr"/>
      <c r="D11" s="4" t="inlineStr"/>
      <c r="E11" s="4" t="inlineStr"/>
      <c r="F11" s="4" t="inlineStr"/>
      <c r="G11" s="4" t="inlineStr"/>
      <c r="H11" s="4" t="inlineStr"/>
      <c r="I11" s="4" t="inlineStr"/>
      <c r="J11" s="4" t="inlineStr"/>
      <c r="K11" s="4" t="inlineStr"/>
      <c r="L11" s="4" t="inlineStr">
        <is>
          <t>Open</t>
        </is>
      </c>
      <c r="M11" s="4" t="inlineStr"/>
    </row>
  </sheetData>
  <autoFilter ref="A1:N11"/>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2"/>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24" customWidth="1" min="1" max="1"/>
    <col width="13" customWidth="1" min="2" max="2"/>
    <col width="60" customWidth="1" min="3" max="3"/>
    <col width="20" customWidth="1" min="4" max="4"/>
    <col width="29" customWidth="1" min="5" max="5"/>
    <col width="60" customWidth="1" min="6" max="6"/>
    <col width="19" customWidth="1" min="7" max="7"/>
  </cols>
  <sheetData>
    <row r="1">
      <c r="A1" s="21" t="inlineStr">
        <is>
          <t>Section</t>
        </is>
      </c>
      <c r="B1" s="21" t="inlineStr">
        <is>
          <t>Severity</t>
        </is>
      </c>
      <c r="C1" s="21" t="inlineStr">
        <is>
          <t>Issue</t>
        </is>
      </c>
      <c r="D1" s="21" t="inlineStr">
        <is>
          <t>Affected URL Count</t>
        </is>
      </c>
      <c r="E1" s="21" t="inlineStr">
        <is>
          <t>Reference Tab</t>
        </is>
      </c>
      <c r="F1" s="21" t="inlineStr">
        <is>
          <t>Affected URLs (sample)</t>
        </is>
      </c>
      <c r="G1" s="21" t="inlineStr">
        <is>
          <t>BACK TO DASHBOARD</t>
        </is>
      </c>
      <c r="H1" s="23" t="inlineStr">
        <is>
          <t>BACK TO DASHBOARD_1</t>
        </is>
      </c>
    </row>
    <row r="2">
      <c r="A2" s="22" t="inlineStr">
        <is>
          <t>AEO Opportunities</t>
        </is>
      </c>
      <c r="B2" s="34" t="inlineStr">
        <is>
          <t>Warning</t>
        </is>
      </c>
      <c r="C2" s="51" t="inlineStr">
        <is>
          <t>Low AEO Readiness Score</t>
        </is>
      </c>
      <c r="D2" s="44" t="n">
        <v>10</v>
      </c>
      <c r="E2" s="49" t="inlineStr">
        <is>
          <t>AEO</t>
        </is>
      </c>
      <c r="F2"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2" s="22" t="inlineStr"/>
      <c r="H2" s="24" t="n"/>
    </row>
    <row r="3">
      <c r="A3" s="4" t="inlineStr">
        <is>
          <t>AEO Opportunities</t>
        </is>
      </c>
      <c r="B3" s="34" t="inlineStr">
        <is>
          <t>Warning</t>
        </is>
      </c>
      <c r="C3" s="52" t="inlineStr">
        <is>
          <t>Missing FAQ/QA Schema</t>
        </is>
      </c>
      <c r="D3" s="46" t="n">
        <v>0</v>
      </c>
      <c r="E3" s="50" t="inlineStr">
        <is>
          <t>AEO</t>
        </is>
      </c>
      <c r="F3" s="46" t="inlineStr">
        <is>
          <t xml:space="preserve"> || Full list: see AEO tab</t>
        </is>
      </c>
      <c r="G3" s="4" t="inlineStr"/>
    </row>
    <row r="4">
      <c r="A4" s="3" t="inlineStr">
        <is>
          <t>AEO Opportunities</t>
        </is>
      </c>
      <c r="B4" s="37" t="inlineStr">
        <is>
          <t>Observation</t>
        </is>
      </c>
      <c r="C4" s="51" t="inlineStr">
        <is>
          <t>No 40-60 Word Answer Paragraphs</t>
        </is>
      </c>
      <c r="D4" s="44" t="n">
        <v>10</v>
      </c>
      <c r="E4" s="49" t="inlineStr">
        <is>
          <t>AEO</t>
        </is>
      </c>
      <c r="F4"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4" s="22" t="inlineStr"/>
      <c r="H4" s="24" t="n"/>
    </row>
    <row r="5">
      <c r="A5" s="3" t="inlineStr">
        <is>
          <t>AEO Opportunities</t>
        </is>
      </c>
      <c r="B5" s="37" t="inlineStr">
        <is>
          <t>Observation</t>
        </is>
      </c>
      <c r="C5" s="52" t="inlineStr">
        <is>
          <t>No Answer-Friendly Structure</t>
        </is>
      </c>
      <c r="D5" s="46" t="n">
        <v>10</v>
      </c>
      <c r="E5" s="50" t="inlineStr">
        <is>
          <t>AEO</t>
        </is>
      </c>
      <c r="F5" s="46"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5" s="4" t="inlineStr"/>
    </row>
    <row r="6">
      <c r="A6" s="3" t="inlineStr">
        <is>
          <t>AEO Opportunities</t>
        </is>
      </c>
      <c r="B6" s="37" t="inlineStr">
        <is>
          <t>Observation</t>
        </is>
      </c>
      <c r="C6" s="51" t="inlineStr">
        <is>
          <t>No Question Headings</t>
        </is>
      </c>
      <c r="D6" s="44" t="n">
        <v>10</v>
      </c>
      <c r="E6" s="49" t="inlineStr">
        <is>
          <t>AEO</t>
        </is>
      </c>
      <c r="F6"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6" s="22" t="inlineStr"/>
      <c r="H6" s="24" t="n"/>
    </row>
    <row r="7">
      <c r="A7" s="3" t="inlineStr">
        <is>
          <t>AEO Opportunities</t>
        </is>
      </c>
      <c r="B7" s="4" t="inlineStr"/>
      <c r="C7" s="4" t="inlineStr"/>
      <c r="D7" s="46" t="inlineStr"/>
      <c r="E7" s="4" t="inlineStr"/>
      <c r="F7" s="46" t="inlineStr">
        <is>
          <t>Detailed rows: see AEO tab</t>
        </is>
      </c>
      <c r="G7" s="4" t="inlineStr"/>
    </row>
    <row r="8">
      <c r="A8" s="22" t="inlineStr">
        <is>
          <t>Issue Counts</t>
        </is>
      </c>
      <c r="B8" s="25" t="inlineStr">
        <is>
          <t>Critical</t>
        </is>
      </c>
      <c r="C8" s="51" t="inlineStr">
        <is>
          <t>Broken Internal Links</t>
        </is>
      </c>
      <c r="D8" s="44" t="n">
        <v>10</v>
      </c>
      <c r="E8" s="49" t="inlineStr">
        <is>
          <t>Links</t>
        </is>
      </c>
      <c r="F8"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8" s="22" t="inlineStr"/>
      <c r="H8" s="24" t="n"/>
    </row>
    <row r="9">
      <c r="A9" s="4" t="inlineStr">
        <is>
          <t>Issue Counts</t>
        </is>
      </c>
      <c r="B9" s="25" t="inlineStr">
        <is>
          <t>Critical</t>
        </is>
      </c>
      <c r="C9" s="52" t="inlineStr">
        <is>
          <t>CWV LCP Above 4.0s</t>
        </is>
      </c>
      <c r="D9" s="46" t="n">
        <v>0</v>
      </c>
      <c r="E9" s="50" t="inlineStr">
        <is>
          <t>Technical</t>
        </is>
      </c>
      <c r="F9" s="46" t="inlineStr">
        <is>
          <t xml:space="preserve"> || Full list: see Technical/Links/Indexability tabs</t>
        </is>
      </c>
      <c r="G9" s="4" t="inlineStr"/>
    </row>
    <row r="10">
      <c r="A10" s="22" t="inlineStr">
        <is>
          <t>Issue Counts</t>
        </is>
      </c>
      <c r="B10" s="25" t="inlineStr">
        <is>
          <t>Critical</t>
        </is>
      </c>
      <c r="C10" s="51" t="inlineStr">
        <is>
          <t>Canonical Points Elsewhere</t>
        </is>
      </c>
      <c r="D10" s="44" t="n">
        <v>0</v>
      </c>
      <c r="E10" s="49" t="inlineStr">
        <is>
          <t>Indexability</t>
        </is>
      </c>
      <c r="F10" s="44" t="inlineStr">
        <is>
          <t xml:space="preserve"> || Full list: see Technical/Links/Indexability tabs</t>
        </is>
      </c>
      <c r="G10" s="22" t="inlineStr"/>
      <c r="H10" s="24" t="n"/>
    </row>
    <row r="11">
      <c r="A11" s="4" t="inlineStr">
        <is>
          <t>Issue Counts</t>
        </is>
      </c>
      <c r="B11" s="25" t="inlineStr">
        <is>
          <t>Critical</t>
        </is>
      </c>
      <c r="C11" s="52" t="inlineStr">
        <is>
          <t>Missing Title</t>
        </is>
      </c>
      <c r="D11" s="46" t="n">
        <v>0</v>
      </c>
      <c r="E11" s="50" t="inlineStr">
        <is>
          <t>Technical</t>
        </is>
      </c>
      <c r="F11" s="46" t="inlineStr">
        <is>
          <t xml:space="preserve"> || Full list: see Technical/Links/Indexability tabs</t>
        </is>
      </c>
      <c r="G11" s="4" t="inlineStr"/>
    </row>
    <row r="12">
      <c r="A12" s="22" t="inlineStr">
        <is>
          <t>Issue Counts</t>
        </is>
      </c>
      <c r="B12" s="25" t="inlineStr">
        <is>
          <t>Critical</t>
        </is>
      </c>
      <c r="C12" s="51" t="inlineStr">
        <is>
          <t>Noindex Directive</t>
        </is>
      </c>
      <c r="D12" s="44" t="n">
        <v>0</v>
      </c>
      <c r="E12" s="49" t="inlineStr">
        <is>
          <t>Indexability</t>
        </is>
      </c>
      <c r="F12" s="44" t="inlineStr">
        <is>
          <t xml:space="preserve"> || Full list: see Technical/Links/Indexability tabs</t>
        </is>
      </c>
      <c r="G12" s="22" t="inlineStr"/>
      <c r="H12" s="24" t="n"/>
    </row>
    <row r="13">
      <c r="A13" s="4" t="inlineStr">
        <is>
          <t>Issue Counts</t>
        </is>
      </c>
      <c r="B13" s="25" t="inlineStr">
        <is>
          <t>Critical</t>
        </is>
      </c>
      <c r="C13" s="52" t="inlineStr">
        <is>
          <t>Non-200 Status</t>
        </is>
      </c>
      <c r="D13" s="46" t="n">
        <v>0</v>
      </c>
      <c r="E13" s="50" t="inlineStr">
        <is>
          <t>Technical</t>
        </is>
      </c>
      <c r="F13" s="46" t="inlineStr">
        <is>
          <t xml:space="preserve"> || Full list: see Technical/Links/Indexability tabs</t>
        </is>
      </c>
      <c r="G13" s="4" t="inlineStr"/>
    </row>
    <row r="14">
      <c r="A14" s="22" t="inlineStr">
        <is>
          <t>Issue Counts</t>
        </is>
      </c>
      <c r="B14" s="25" t="inlineStr">
        <is>
          <t>Critical</t>
        </is>
      </c>
      <c r="C14" s="51" t="inlineStr">
        <is>
          <t>Robots.txt Disallow Root</t>
        </is>
      </c>
      <c r="D14" s="44" t="n">
        <v>0</v>
      </c>
      <c r="E14" s="49" t="inlineStr">
        <is>
          <t>Technical</t>
        </is>
      </c>
      <c r="F14" s="44" t="inlineStr">
        <is>
          <t xml:space="preserve"> || Full list: see Technical/Links/Indexability tabs</t>
        </is>
      </c>
      <c r="G14" s="22" t="inlineStr"/>
      <c r="H14" s="24" t="n"/>
    </row>
    <row r="15">
      <c r="A15" s="4" t="inlineStr">
        <is>
          <t>Issue Counts</t>
        </is>
      </c>
      <c r="B15" s="34" t="inlineStr">
        <is>
          <t>Warning</t>
        </is>
      </c>
      <c r="C15" s="52" t="inlineStr">
        <is>
          <t>Low AEO Readiness Score</t>
        </is>
      </c>
      <c r="D15" s="46" t="n">
        <v>10</v>
      </c>
      <c r="E15" s="50" t="inlineStr">
        <is>
          <t>AEO</t>
        </is>
      </c>
      <c r="F15" s="46"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15" s="4" t="inlineStr"/>
    </row>
    <row r="16">
      <c r="A16" s="22" t="inlineStr">
        <is>
          <t>Issue Counts</t>
        </is>
      </c>
      <c r="B16" s="34" t="inlineStr">
        <is>
          <t>Warning</t>
        </is>
      </c>
      <c r="C16" s="51" t="inlineStr">
        <is>
          <t>Low Image Alt Coverage</t>
        </is>
      </c>
      <c r="D16" s="44" t="n">
        <v>9</v>
      </c>
      <c r="E16" s="49" t="inlineStr">
        <is>
          <t>Technical</t>
        </is>
      </c>
      <c r="F16" s="44" t="inlineStr">
        <is>
          <t>https://africanmarketingconfederation.org/about-us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16" s="22" t="inlineStr"/>
      <c r="H16" s="24" t="n"/>
    </row>
    <row r="17">
      <c r="A17" s="4" t="inlineStr">
        <is>
          <t>Issue Counts</t>
        </is>
      </c>
      <c r="B17" s="34" t="inlineStr">
        <is>
          <t>Warning</t>
        </is>
      </c>
      <c r="C17" s="52" t="inlineStr">
        <is>
          <t>Missing H1</t>
        </is>
      </c>
      <c r="D17" s="46" t="n">
        <v>4</v>
      </c>
      <c r="E17" s="50" t="inlineStr">
        <is>
          <t>Technical</t>
        </is>
      </c>
      <c r="F17" s="46" t="inlineStr">
        <is>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Technical/Links/Indexability tabs</t>
        </is>
      </c>
      <c r="G17" s="4" t="inlineStr"/>
    </row>
    <row r="18">
      <c r="A18" s="22" t="inlineStr">
        <is>
          <t>Issue Counts</t>
        </is>
      </c>
      <c r="B18" s="34" t="inlineStr">
        <is>
          <t>Warning</t>
        </is>
      </c>
      <c r="C18" s="51" t="inlineStr">
        <is>
          <t>Multiple H1</t>
        </is>
      </c>
      <c r="D18" s="44" t="n">
        <v>3</v>
      </c>
      <c r="E18" s="49" t="inlineStr">
        <is>
          <t>Technical</t>
        </is>
      </c>
      <c r="F18" s="44" t="inlineStr">
        <is>
          <t>https://africanmarketingconfederation.org/ | https://africanmarketingconfederation.org/african-marketing-confederation-tourism-chapter | https://africanmarketingconfederation.org/amc-awards-2024 || Full list: see Technical/Links/Indexability tabs</t>
        </is>
      </c>
      <c r="G18" s="22" t="inlineStr"/>
      <c r="H18" s="24" t="n"/>
    </row>
    <row r="19">
      <c r="A19" s="4" t="inlineStr">
        <is>
          <t>Issue Counts</t>
        </is>
      </c>
      <c r="B19" s="34" t="inlineStr">
        <is>
          <t>Warning</t>
        </is>
      </c>
      <c r="C19" s="52" t="inlineStr">
        <is>
          <t>Missing Meta Description</t>
        </is>
      </c>
      <c r="D19" s="46" t="n">
        <v>1</v>
      </c>
      <c r="E19" s="50" t="inlineStr">
        <is>
          <t>Technical</t>
        </is>
      </c>
      <c r="F19" s="46" t="inlineStr">
        <is>
          <t>https://africanmarketingconfederation.org/amc-conference-2023/amc-awards-book-now || Full list: see Technical/Links/Indexability tabs</t>
        </is>
      </c>
      <c r="G19" s="4" t="inlineStr"/>
    </row>
    <row r="20">
      <c r="A20" s="22" t="inlineStr">
        <is>
          <t>Issue Counts</t>
        </is>
      </c>
      <c r="B20" s="34" t="inlineStr">
        <is>
          <t>Warning</t>
        </is>
      </c>
      <c r="C20" s="51" t="inlineStr">
        <is>
          <t>CWV LCP Needs Improvement (2.5-4.0s)</t>
        </is>
      </c>
      <c r="D20" s="44" t="n">
        <v>0</v>
      </c>
      <c r="E20" s="49" t="inlineStr">
        <is>
          <t>Technical</t>
        </is>
      </c>
      <c r="F20" s="44" t="inlineStr">
        <is>
          <t xml:space="preserve"> || Full list: see Technical/Links/Indexability tabs</t>
        </is>
      </c>
      <c r="G20" s="22" t="inlineStr"/>
      <c r="H20" s="24" t="n"/>
    </row>
    <row r="21">
      <c r="A21" s="4" t="inlineStr">
        <is>
          <t>Issue Counts</t>
        </is>
      </c>
      <c r="B21" s="34" t="inlineStr">
        <is>
          <t>Warning</t>
        </is>
      </c>
      <c r="C21" s="52" t="inlineStr">
        <is>
          <t>Canonical Missing</t>
        </is>
      </c>
      <c r="D21" s="46" t="n">
        <v>0</v>
      </c>
      <c r="E21" s="50" t="inlineStr">
        <is>
          <t>Indexability</t>
        </is>
      </c>
      <c r="F21" s="46" t="inlineStr">
        <is>
          <t xml:space="preserve"> || Full list: see Technical/Links/Indexability tabs</t>
        </is>
      </c>
      <c r="G21" s="4" t="inlineStr"/>
    </row>
    <row r="22">
      <c r="A22" s="22" t="inlineStr">
        <is>
          <t>Issue Counts</t>
        </is>
      </c>
      <c r="B22" s="34" t="inlineStr">
        <is>
          <t>Warning</t>
        </is>
      </c>
      <c r="C22" s="51" t="inlineStr">
        <is>
          <t>Deep URL (&gt;3 clicks)</t>
        </is>
      </c>
      <c r="D22" s="44" t="n">
        <v>0</v>
      </c>
      <c r="E22" s="49" t="inlineStr">
        <is>
          <t>Technical</t>
        </is>
      </c>
      <c r="F22" s="44" t="inlineStr">
        <is>
          <t xml:space="preserve"> || Full list: see Technical/Links/Indexability tabs</t>
        </is>
      </c>
      <c r="G22" s="22" t="inlineStr"/>
      <c r="H22" s="24" t="n"/>
    </row>
    <row r="23">
      <c r="A23" s="4" t="inlineStr">
        <is>
          <t>Issue Counts</t>
        </is>
      </c>
      <c r="B23" s="34" t="inlineStr">
        <is>
          <t>Warning</t>
        </is>
      </c>
      <c r="C23" s="52" t="inlineStr">
        <is>
          <t>Hreflang Without Reciprocity</t>
        </is>
      </c>
      <c r="D23" s="46" t="n">
        <v>0</v>
      </c>
      <c r="E23" s="50" t="inlineStr">
        <is>
          <t>Technical</t>
        </is>
      </c>
      <c r="F23" s="46" t="inlineStr">
        <is>
          <t xml:space="preserve"> || Full list: see Technical/Links/Indexability tabs</t>
        </is>
      </c>
      <c r="G23" s="4" t="inlineStr"/>
    </row>
    <row r="24">
      <c r="A24" s="22" t="inlineStr">
        <is>
          <t>Issue Counts</t>
        </is>
      </c>
      <c r="B24" s="34" t="inlineStr">
        <is>
          <t>Warning</t>
        </is>
      </c>
      <c r="C24" s="51" t="inlineStr">
        <is>
          <t>Missing FAQ/QA Schema</t>
        </is>
      </c>
      <c r="D24" s="44" t="n">
        <v>0</v>
      </c>
      <c r="E24" s="49" t="inlineStr">
        <is>
          <t>AEO</t>
        </is>
      </c>
      <c r="F24" s="44" t="inlineStr">
        <is>
          <t xml:space="preserve"> || Full list: see Technical/Links/Indexability tabs</t>
        </is>
      </c>
      <c r="G24" s="22" t="inlineStr"/>
      <c r="H24" s="24" t="n"/>
    </row>
    <row r="25">
      <c r="A25" s="4" t="inlineStr">
        <is>
          <t>Issue Counts</t>
        </is>
      </c>
      <c r="B25" s="34" t="inlineStr">
        <is>
          <t>Warning</t>
        </is>
      </c>
      <c r="C25" s="52" t="inlineStr">
        <is>
          <t>Mixed Content</t>
        </is>
      </c>
      <c r="D25" s="46" t="n">
        <v>0</v>
      </c>
      <c r="E25" s="50" t="inlineStr">
        <is>
          <t>Technical</t>
        </is>
      </c>
      <c r="F25" s="46" t="inlineStr">
        <is>
          <t xml:space="preserve"> || Full list: see Technical/Links/Indexability tabs</t>
        </is>
      </c>
      <c r="G25" s="4" t="inlineStr"/>
    </row>
    <row r="26">
      <c r="A26" s="22" t="inlineStr">
        <is>
          <t>Issue Counts</t>
        </is>
      </c>
      <c r="B26" s="34" t="inlineStr">
        <is>
          <t>Warning</t>
        </is>
      </c>
      <c r="C26" s="51" t="inlineStr">
        <is>
          <t>Redirect Chains</t>
        </is>
      </c>
      <c r="D26" s="44" t="n">
        <v>0</v>
      </c>
      <c r="E26" s="49" t="inlineStr">
        <is>
          <t>Technical</t>
        </is>
      </c>
      <c r="F26" s="44" t="inlineStr">
        <is>
          <t xml:space="preserve"> || Full list: see Technical/Links/Indexability tabs</t>
        </is>
      </c>
      <c r="G26" s="22" t="inlineStr"/>
      <c r="H26" s="24" t="n"/>
    </row>
    <row r="27">
      <c r="A27" s="3" t="inlineStr">
        <is>
          <t>Issue Counts</t>
        </is>
      </c>
      <c r="B27" s="37" t="inlineStr">
        <is>
          <t>Observation</t>
        </is>
      </c>
      <c r="C27" s="52" t="inlineStr">
        <is>
          <t>AI Crawlers Not Explicitly Allowed</t>
        </is>
      </c>
      <c r="D27" s="46" t="n">
        <v>10</v>
      </c>
      <c r="E27" s="50" t="inlineStr">
        <is>
          <t>Technical</t>
        </is>
      </c>
      <c r="F27" s="46"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27" s="4" t="inlineStr"/>
    </row>
    <row r="28">
      <c r="A28" s="3" t="inlineStr">
        <is>
          <t>Issue Counts</t>
        </is>
      </c>
      <c r="B28" s="37" t="inlineStr">
        <is>
          <t>Observation</t>
        </is>
      </c>
      <c r="C28" s="51" t="inlineStr">
        <is>
          <t>No 40-60 Word Answer Paragraphs</t>
        </is>
      </c>
      <c r="D28" s="44" t="n">
        <v>10</v>
      </c>
      <c r="E28" s="49" t="inlineStr">
        <is>
          <t>Technical</t>
        </is>
      </c>
      <c r="F28"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28" s="22" t="inlineStr"/>
      <c r="H28" s="24" t="n"/>
    </row>
    <row r="29">
      <c r="A29" s="3" t="inlineStr">
        <is>
          <t>Issue Counts</t>
        </is>
      </c>
      <c r="B29" s="37" t="inlineStr">
        <is>
          <t>Observation</t>
        </is>
      </c>
      <c r="C29" s="52" t="inlineStr">
        <is>
          <t>No Answer-Friendly Structure</t>
        </is>
      </c>
      <c r="D29" s="46" t="n">
        <v>10</v>
      </c>
      <c r="E29" s="50" t="inlineStr">
        <is>
          <t>Technical</t>
        </is>
      </c>
      <c r="F29" s="46"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29" s="4" t="inlineStr"/>
    </row>
    <row r="30">
      <c r="A30" s="3" t="inlineStr">
        <is>
          <t>Issue Counts</t>
        </is>
      </c>
      <c r="B30" s="37" t="inlineStr">
        <is>
          <t>Observation</t>
        </is>
      </c>
      <c r="C30" s="51" t="inlineStr">
        <is>
          <t>No ETag Header</t>
        </is>
      </c>
      <c r="D30" s="44" t="n">
        <v>10</v>
      </c>
      <c r="E30" s="49" t="inlineStr">
        <is>
          <t>Technical</t>
        </is>
      </c>
      <c r="F30" s="44"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30" s="22" t="inlineStr"/>
      <c r="H30" s="24" t="n"/>
    </row>
    <row r="31">
      <c r="A31" s="3" t="inlineStr">
        <is>
          <t>Issue Counts</t>
        </is>
      </c>
      <c r="B31" s="37" t="inlineStr">
        <is>
          <t>Observation</t>
        </is>
      </c>
      <c r="C31" s="52" t="inlineStr">
        <is>
          <t>No Question Headings</t>
        </is>
      </c>
      <c r="D31" s="46" t="n">
        <v>10</v>
      </c>
      <c r="E31" s="50" t="inlineStr">
        <is>
          <t>AEO</t>
        </is>
      </c>
      <c r="F31" s="46" t="inlineStr">
        <is>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31" s="4" t="inlineStr"/>
    </row>
    <row r="32">
      <c r="A32" s="3" t="inlineStr">
        <is>
          <t>Issue Counts</t>
        </is>
      </c>
      <c r="B32" s="37" t="inlineStr">
        <is>
          <t>Observation</t>
        </is>
      </c>
      <c r="C32" s="51" t="inlineStr">
        <is>
          <t>Thin Content</t>
        </is>
      </c>
      <c r="D32" s="44" t="n">
        <v>5</v>
      </c>
      <c r="E32" s="49" t="inlineStr">
        <is>
          <t>Technical</t>
        </is>
      </c>
      <c r="F32" s="44" t="inlineStr">
        <is>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Technical/Links/Indexability tabs</t>
        </is>
      </c>
      <c r="G32" s="22" t="inlineStr"/>
      <c r="H32" s="24" t="n"/>
    </row>
    <row r="33">
      <c r="A33" s="3" t="inlineStr">
        <is>
          <t>Issue Counts</t>
        </is>
      </c>
      <c r="B33" s="37" t="inlineStr">
        <is>
          <t>Observation</t>
        </is>
      </c>
      <c r="C33" s="52" t="inlineStr">
        <is>
          <t>Generic Anchor Text Present</t>
        </is>
      </c>
      <c r="D33" s="46" t="n">
        <v>1</v>
      </c>
      <c r="E33" s="50" t="inlineStr">
        <is>
          <t>Technical</t>
        </is>
      </c>
      <c r="F33" s="46" t="inlineStr">
        <is>
          <t>https://africanmarketingconfederation.org/ || Full list: see Technical/Links/Indexability tabs</t>
        </is>
      </c>
      <c r="G33" s="4" t="inlineStr"/>
    </row>
    <row r="34">
      <c r="A34" s="3" t="inlineStr">
        <is>
          <t>Issue Counts</t>
        </is>
      </c>
      <c r="B34" s="37" t="inlineStr">
        <is>
          <t>Observation</t>
        </is>
      </c>
      <c r="C34" s="51" t="inlineStr">
        <is>
          <t>CLS Above 0.1</t>
        </is>
      </c>
      <c r="D34" s="44" t="n">
        <v>0</v>
      </c>
      <c r="E34" s="49" t="inlineStr">
        <is>
          <t>Technical</t>
        </is>
      </c>
      <c r="F34" s="44" t="inlineStr">
        <is>
          <t xml:space="preserve"> || Full list: see Technical/Links/Indexability tabs</t>
        </is>
      </c>
      <c r="G34" s="22" t="inlineStr"/>
      <c r="H34" s="24" t="n"/>
    </row>
    <row r="35">
      <c r="A35" s="3" t="inlineStr">
        <is>
          <t>Issue Counts</t>
        </is>
      </c>
      <c r="B35" s="37" t="inlineStr">
        <is>
          <t>Observation</t>
        </is>
      </c>
      <c r="C35" s="52" t="inlineStr">
        <is>
          <t>INP Above 100ms</t>
        </is>
      </c>
      <c r="D35" s="46" t="n">
        <v>0</v>
      </c>
      <c r="E35" s="50" t="inlineStr">
        <is>
          <t>Technical</t>
        </is>
      </c>
      <c r="F35" s="46" t="inlineStr">
        <is>
          <t xml:space="preserve"> || Full list: see Technical/Links/Indexability tabs</t>
        </is>
      </c>
      <c r="G35" s="4" t="inlineStr"/>
    </row>
    <row r="36">
      <c r="A36" s="3" t="inlineStr">
        <is>
          <t>Issue Counts</t>
        </is>
      </c>
      <c r="B36" s="37" t="inlineStr">
        <is>
          <t>Observation</t>
        </is>
      </c>
      <c r="C36" s="51" t="inlineStr">
        <is>
          <t>Image Filename Quality Issues</t>
        </is>
      </c>
      <c r="D36" s="44" t="n">
        <v>0</v>
      </c>
      <c r="E36" s="49" t="inlineStr">
        <is>
          <t>Technical</t>
        </is>
      </c>
      <c r="F36" s="44" t="inlineStr">
        <is>
          <t xml:space="preserve"> || Full list: see Technical/Links/Indexability tabs</t>
        </is>
      </c>
      <c r="G36" s="22" t="inlineStr"/>
      <c r="H36" s="24" t="n"/>
    </row>
    <row r="37">
      <c r="A37" s="3" t="inlineStr">
        <is>
          <t>Issue Counts</t>
        </is>
      </c>
      <c r="B37" s="37" t="inlineStr">
        <is>
          <t>Observation</t>
        </is>
      </c>
      <c r="C37" s="52" t="inlineStr">
        <is>
          <t>Low Regional Authority</t>
        </is>
      </c>
      <c r="D37" s="46" t="n">
        <v>0</v>
      </c>
      <c r="E37" s="50" t="inlineStr">
        <is>
          <t>Technical</t>
        </is>
      </c>
      <c r="F37" s="46" t="inlineStr">
        <is>
          <t xml:space="preserve"> || Full list: see Technical/Links/Indexability tabs</t>
        </is>
      </c>
      <c r="G37" s="4" t="inlineStr"/>
    </row>
    <row r="38">
      <c r="A38" s="3" t="inlineStr">
        <is>
          <t>Issue Counts</t>
        </is>
      </c>
      <c r="B38" s="37" t="inlineStr">
        <is>
          <t>Observation</t>
        </is>
      </c>
      <c r="C38" s="51" t="inlineStr">
        <is>
          <t>No Cache-Control Header</t>
        </is>
      </c>
      <c r="D38" s="44" t="n">
        <v>0</v>
      </c>
      <c r="E38" s="49" t="inlineStr">
        <is>
          <t>Technical</t>
        </is>
      </c>
      <c r="F38" s="44" t="inlineStr">
        <is>
          <t xml:space="preserve"> || Full list: see Technical/Links/Indexability tabs</t>
        </is>
      </c>
      <c r="G38" s="22" t="inlineStr"/>
      <c r="H38" s="24" t="n"/>
    </row>
    <row r="39">
      <c r="A39" s="3" t="inlineStr">
        <is>
          <t>Issue Counts</t>
        </is>
      </c>
      <c r="B39" s="37" t="inlineStr">
        <is>
          <t>Observation</t>
        </is>
      </c>
      <c r="C39" s="52" t="inlineStr">
        <is>
          <t>No Compression Header</t>
        </is>
      </c>
      <c r="D39" s="46" t="n">
        <v>0</v>
      </c>
      <c r="E39" s="50" t="inlineStr">
        <is>
          <t>Technical</t>
        </is>
      </c>
      <c r="F39" s="46" t="inlineStr">
        <is>
          <t xml:space="preserve"> || Full list: see Technical/Links/Indexability tabs</t>
        </is>
      </c>
      <c r="G39" s="4" t="inlineStr"/>
    </row>
    <row r="40">
      <c r="A40" s="3" t="inlineStr">
        <is>
          <t>Issue Counts</t>
        </is>
      </c>
      <c r="B40" s="37" t="inlineStr">
        <is>
          <t>Observation</t>
        </is>
      </c>
      <c r="C40" s="51" t="inlineStr">
        <is>
          <t>Uses URL Parameters</t>
        </is>
      </c>
      <c r="D40" s="44" t="n">
        <v>0</v>
      </c>
      <c r="E40" s="49" t="inlineStr">
        <is>
          <t>Technical</t>
        </is>
      </c>
      <c r="F40" s="44" t="inlineStr">
        <is>
          <t xml:space="preserve"> || Full list: see Technical/Links/Indexability tabs</t>
        </is>
      </c>
      <c r="G40" s="22" t="inlineStr"/>
      <c r="H40" s="24" t="n"/>
    </row>
    <row r="41">
      <c r="A41" s="3" t="inlineStr">
        <is>
          <t>Issue Counts</t>
        </is>
      </c>
      <c r="B41" s="37" t="inlineStr">
        <is>
          <t>Observation</t>
        </is>
      </c>
      <c r="C41" s="52" t="inlineStr">
        <is>
          <t>llms.txt Missing</t>
        </is>
      </c>
      <c r="D41" s="46" t="n">
        <v>0</v>
      </c>
      <c r="E41" s="50" t="inlineStr">
        <is>
          <t>Technical</t>
        </is>
      </c>
      <c r="F41" s="46" t="inlineStr">
        <is>
          <t xml:space="preserve"> || Full list: see Technical/Links/Indexability tabs</t>
        </is>
      </c>
      <c r="G41" s="4" t="inlineStr"/>
    </row>
    <row r="42">
      <c r="A42" s="3" t="inlineStr">
        <is>
          <t>Issue Counts</t>
        </is>
      </c>
      <c r="B42" s="22" t="inlineStr"/>
      <c r="C42" s="22" t="inlineStr"/>
      <c r="D42" s="44" t="inlineStr"/>
      <c r="E42" s="22" t="inlineStr"/>
      <c r="F42" s="44" t="inlineStr"/>
      <c r="G42" s="22" t="inlineStr"/>
      <c r="H42" s="24" t="n"/>
    </row>
    <row r="43">
      <c r="A43" s="3" t="inlineStr">
        <is>
          <t>Top 10 Critical URLs</t>
        </is>
      </c>
      <c r="B43" s="4" t="inlineStr"/>
      <c r="C43" s="4" t="inlineStr"/>
      <c r="D43" s="46" t="inlineStr"/>
      <c r="E43" s="4" t="inlineStr"/>
      <c r="F43" s="46" t="inlineStr"/>
      <c r="G43" s="4" t="inlineStr"/>
    </row>
    <row r="44">
      <c r="A44" s="3" t="inlineStr">
        <is>
          <t>Top Issues by Template</t>
        </is>
      </c>
      <c r="B44" s="22" t="inlineStr"/>
      <c r="C44" s="22" t="inlineStr"/>
      <c r="D44" s="44" t="inlineStr"/>
      <c r="E44" s="22" t="inlineStr"/>
      <c r="F44" s="44" t="inlineStr"/>
      <c r="G44" s="22" t="inlineStr"/>
      <c r="H44" s="24" t="n"/>
    </row>
    <row r="45">
      <c r="A45" s="3" t="inlineStr">
        <is>
          <t>Top Issues by Template</t>
        </is>
      </c>
      <c r="B45" s="37" t="inlineStr">
        <is>
          <t>Observation</t>
        </is>
      </c>
      <c r="C45" s="4" t="inlineStr">
        <is>
          <t>/amc-conference-2023/ -&gt; Unmeasured</t>
        </is>
      </c>
      <c r="D45" s="46" t="n">
        <v>3</v>
      </c>
      <c r="E45" s="50" t="inlineStr">
        <is>
          <t>Pattern and Template Issues</t>
        </is>
      </c>
      <c r="F45" s="46" t="inlineStr"/>
      <c r="G45" s="4" t="inlineStr"/>
    </row>
    <row r="46">
      <c r="A46" s="3" t="inlineStr">
        <is>
          <t>Top Issues by Template</t>
        </is>
      </c>
      <c r="B46" s="37" t="inlineStr">
        <is>
          <t>Observation</t>
        </is>
      </c>
      <c r="C46" s="22" t="inlineStr">
        <is>
          <t>/about-us/ -&gt; Unmeasured</t>
        </is>
      </c>
      <c r="D46" s="44" t="n">
        <v>1</v>
      </c>
      <c r="E46" s="49" t="inlineStr">
        <is>
          <t>Pattern and Template Issues</t>
        </is>
      </c>
      <c r="F46" s="44" t="inlineStr"/>
      <c r="G46" s="22" t="inlineStr"/>
      <c r="H46" s="24" t="n"/>
    </row>
    <row r="47">
      <c r="A47" s="3" t="inlineStr">
        <is>
          <t>Top Issues by Template</t>
        </is>
      </c>
      <c r="B47" s="37" t="inlineStr">
        <is>
          <t>Observation</t>
        </is>
      </c>
      <c r="C47" s="4" t="inlineStr">
        <is>
          <t>/ -&gt; Unmeasured</t>
        </is>
      </c>
      <c r="D47" s="46" t="n">
        <v>1</v>
      </c>
      <c r="E47" s="50" t="inlineStr">
        <is>
          <t>Pattern and Template Issues</t>
        </is>
      </c>
      <c r="F47" s="46" t="inlineStr"/>
      <c r="G47" s="4" t="inlineStr"/>
    </row>
    <row r="48">
      <c r="A48" s="3" t="inlineStr">
        <is>
          <t>Top Issues by Template</t>
        </is>
      </c>
      <c r="B48" s="37" t="inlineStr">
        <is>
          <t>Observation</t>
        </is>
      </c>
      <c r="C48" s="22" t="inlineStr">
        <is>
          <t>/african-marketing-confederation-tourism-chapter/ -&gt; Unmeasured</t>
        </is>
      </c>
      <c r="D48" s="44" t="n">
        <v>1</v>
      </c>
      <c r="E48" s="49" t="inlineStr">
        <is>
          <t>Pattern and Template Issues</t>
        </is>
      </c>
      <c r="F48" s="44" t="inlineStr"/>
      <c r="G48" s="22" t="inlineStr"/>
      <c r="H48" s="24" t="n"/>
    </row>
    <row r="49">
      <c r="A49" s="3" t="inlineStr">
        <is>
          <t>Top Issues by Template</t>
        </is>
      </c>
      <c r="B49" s="37" t="inlineStr">
        <is>
          <t>Observation</t>
        </is>
      </c>
      <c r="C49" s="4" t="inlineStr">
        <is>
          <t>/amc-awards-2024/ -&gt; Unmeasured</t>
        </is>
      </c>
      <c r="D49" s="46" t="n">
        <v>1</v>
      </c>
      <c r="E49" s="50" t="inlineStr">
        <is>
          <t>Pattern and Template Issues</t>
        </is>
      </c>
      <c r="F49" s="46" t="inlineStr"/>
      <c r="G49" s="4" t="inlineStr"/>
    </row>
    <row r="50">
      <c r="A50" s="3" t="inlineStr">
        <is>
          <t>Top Issues by Template</t>
        </is>
      </c>
      <c r="B50" s="37" t="inlineStr">
        <is>
          <t>Observation</t>
        </is>
      </c>
      <c r="C50" s="22" t="inlineStr">
        <is>
          <t>/amc-conference-2022-prospectus/ -&gt; Unmeasured</t>
        </is>
      </c>
      <c r="D50" s="44" t="n">
        <v>1</v>
      </c>
      <c r="E50" s="49" t="inlineStr">
        <is>
          <t>Pattern and Template Issues</t>
        </is>
      </c>
      <c r="F50" s="44" t="inlineStr"/>
      <c r="G50" s="22" t="inlineStr"/>
      <c r="H50" s="24" t="n"/>
    </row>
    <row r="51">
      <c r="A51" s="3" t="inlineStr">
        <is>
          <t>Top Issues by Template</t>
        </is>
      </c>
      <c r="B51" s="37" t="inlineStr">
        <is>
          <t>Observation</t>
        </is>
      </c>
      <c r="C51" s="4" t="inlineStr">
        <is>
          <t>/amc-conference-2022-thank-you/ -&gt; Unmeasured</t>
        </is>
      </c>
      <c r="D51" s="46" t="n">
        <v>1</v>
      </c>
      <c r="E51" s="50" t="inlineStr">
        <is>
          <t>Pattern and Template Issues</t>
        </is>
      </c>
      <c r="F51" s="46" t="inlineStr"/>
      <c r="G51" s="4" t="inlineStr"/>
    </row>
    <row r="52">
      <c r="A52" s="3" t="inlineStr">
        <is>
          <t>Top Issues by Template</t>
        </is>
      </c>
      <c r="B52" s="37" t="inlineStr">
        <is>
          <t>Observation</t>
        </is>
      </c>
      <c r="C52" s="22" t="inlineStr">
        <is>
          <t>/amc-conference-2022/ -&gt; Unmeasured</t>
        </is>
      </c>
      <c r="D52" s="44" t="n">
        <v>1</v>
      </c>
      <c r="E52" s="49" t="inlineStr">
        <is>
          <t>Pattern and Template Issues</t>
        </is>
      </c>
      <c r="F52" s="44" t="inlineStr"/>
      <c r="G52" s="22" t="inlineStr"/>
      <c r="H52" s="24" t="n"/>
    </row>
  </sheetData>
  <autoFilter ref="A1:H52"/>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H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C34" r:id="rId64"/>
    <hyperlink xmlns:r="http://schemas.openxmlformats.org/officeDocument/2006/relationships" ref="E34" r:id="rId65"/>
    <hyperlink xmlns:r="http://schemas.openxmlformats.org/officeDocument/2006/relationships" ref="C35" r:id="rId66"/>
    <hyperlink xmlns:r="http://schemas.openxmlformats.org/officeDocument/2006/relationships" ref="E35" r:id="rId67"/>
    <hyperlink xmlns:r="http://schemas.openxmlformats.org/officeDocument/2006/relationships" ref="C36" r:id="rId68"/>
    <hyperlink xmlns:r="http://schemas.openxmlformats.org/officeDocument/2006/relationships" ref="E36" r:id="rId69"/>
    <hyperlink xmlns:r="http://schemas.openxmlformats.org/officeDocument/2006/relationships" ref="C37" r:id="rId70"/>
    <hyperlink xmlns:r="http://schemas.openxmlformats.org/officeDocument/2006/relationships" ref="E37" r:id="rId71"/>
    <hyperlink xmlns:r="http://schemas.openxmlformats.org/officeDocument/2006/relationships" ref="C38" r:id="rId72"/>
    <hyperlink xmlns:r="http://schemas.openxmlformats.org/officeDocument/2006/relationships" ref="E38" r:id="rId73"/>
    <hyperlink xmlns:r="http://schemas.openxmlformats.org/officeDocument/2006/relationships" ref="C39" r:id="rId74"/>
    <hyperlink xmlns:r="http://schemas.openxmlformats.org/officeDocument/2006/relationships" ref="E39" r:id="rId75"/>
    <hyperlink xmlns:r="http://schemas.openxmlformats.org/officeDocument/2006/relationships" ref="C40" r:id="rId76"/>
    <hyperlink xmlns:r="http://schemas.openxmlformats.org/officeDocument/2006/relationships" ref="E40" r:id="rId77"/>
    <hyperlink xmlns:r="http://schemas.openxmlformats.org/officeDocument/2006/relationships" ref="C41" r:id="rId78"/>
    <hyperlink xmlns:r="http://schemas.openxmlformats.org/officeDocument/2006/relationships" ref="E41" r:id="rId79"/>
    <hyperlink xmlns:r="http://schemas.openxmlformats.org/officeDocument/2006/relationships" ref="E45" r:id="rId80"/>
    <hyperlink xmlns:r="http://schemas.openxmlformats.org/officeDocument/2006/relationships" ref="E46" r:id="rId81"/>
    <hyperlink xmlns:r="http://schemas.openxmlformats.org/officeDocument/2006/relationships" ref="E47" r:id="rId82"/>
    <hyperlink xmlns:r="http://schemas.openxmlformats.org/officeDocument/2006/relationships" ref="E48" r:id="rId83"/>
    <hyperlink xmlns:r="http://schemas.openxmlformats.org/officeDocument/2006/relationships" ref="E49" r:id="rId84"/>
    <hyperlink xmlns:r="http://schemas.openxmlformats.org/officeDocument/2006/relationships" ref="E50" r:id="rId85"/>
    <hyperlink xmlns:r="http://schemas.openxmlformats.org/officeDocument/2006/relationships" ref="E51" r:id="rId86"/>
    <hyperlink xmlns:r="http://schemas.openxmlformats.org/officeDocument/2006/relationships" ref="E52" r:id="rId8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5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60" customWidth="1" min="2" max="2"/>
    <col width="60" customWidth="1" min="3" max="3"/>
    <col width="5" customWidth="1" min="4" max="4"/>
    <col width="11" customWidth="1" min="5" max="5"/>
    <col width="10" customWidth="1" min="6" max="6"/>
    <col width="28" customWidth="1" min="7" max="7"/>
    <col width="11" customWidth="1" min="8" max="8"/>
    <col width="19" customWidth="1" min="9" max="9"/>
  </cols>
  <sheetData>
    <row r="1">
      <c r="A1" s="21" t="inlineStr">
        <is>
          <t>Source URL</t>
        </is>
      </c>
      <c r="B1" s="21" t="inlineStr">
        <is>
          <t>Target URL</t>
        </is>
      </c>
      <c r="C1" s="21" t="inlineStr">
        <is>
          <t>Anchor Text</t>
        </is>
      </c>
      <c r="D1" s="21" t="inlineStr">
        <is>
          <t>Rel</t>
        </is>
      </c>
      <c r="E1" s="21" t="inlineStr">
        <is>
          <t>Link Type</t>
        </is>
      </c>
      <c r="F1" s="21" t="inlineStr">
        <is>
          <t>Nofollow</t>
        </is>
      </c>
      <c r="G1" s="21" t="inlineStr">
        <is>
          <t>Target Status (if crawled)</t>
        </is>
      </c>
      <c r="H1" s="21" t="inlineStr">
        <is>
          <t>Crawlable</t>
        </is>
      </c>
      <c r="I1" s="21" t="inlineStr">
        <is>
          <t>BACK TO DASHBOARD</t>
        </is>
      </c>
      <c r="J1" s="23" t="inlineStr">
        <is>
          <t>BACK TO DASHBOARD_1</t>
        </is>
      </c>
    </row>
    <row r="2">
      <c r="A2" s="47" t="inlineStr">
        <is>
          <t>https://africanmarketingconfederation.org/about-us</t>
        </is>
      </c>
      <c r="B2" s="44" t="inlineStr">
        <is>
          <t>https://africanmarketingconfederation.org/</t>
        </is>
      </c>
      <c r="C2" s="22" t="inlineStr"/>
      <c r="D2" s="22" t="inlineStr"/>
      <c r="E2" s="22" t="inlineStr">
        <is>
          <t>Internal</t>
        </is>
      </c>
      <c r="F2" s="22" t="b">
        <v>0</v>
      </c>
      <c r="G2" s="22" t="n">
        <v>200</v>
      </c>
      <c r="H2" s="22" t="b">
        <v>1</v>
      </c>
      <c r="I2" s="22" t="inlineStr"/>
      <c r="J2" s="24" t="n"/>
    </row>
    <row r="3">
      <c r="A3" s="47" t="inlineStr">
        <is>
          <t>https://africanmarketingconfederation.org/about-us</t>
        </is>
      </c>
      <c r="B3" s="46" t="inlineStr">
        <is>
          <t>https://africanmarketingconfederation.org/</t>
        </is>
      </c>
      <c r="C3" s="4" t="inlineStr">
        <is>
          <t>HOME</t>
        </is>
      </c>
      <c r="D3" s="4" t="inlineStr"/>
      <c r="E3" s="4" t="inlineStr">
        <is>
          <t>Internal</t>
        </is>
      </c>
      <c r="F3" s="4" t="b">
        <v>0</v>
      </c>
      <c r="G3" s="4" t="n">
        <v>200</v>
      </c>
      <c r="H3" s="4" t="b">
        <v>1</v>
      </c>
      <c r="I3" s="4" t="inlineStr"/>
    </row>
    <row r="4">
      <c r="A4" s="47" t="inlineStr">
        <is>
          <t>https://africanmarketingconfederation.org/about-us</t>
        </is>
      </c>
      <c r="B4" s="44" t="inlineStr">
        <is>
          <t>https://africanmarketingconfederation.org/about-us</t>
        </is>
      </c>
      <c r="C4" s="22" t="inlineStr">
        <is>
          <t>ABOUT US</t>
        </is>
      </c>
      <c r="D4" s="22" t="inlineStr"/>
      <c r="E4" s="22" t="inlineStr">
        <is>
          <t>Internal</t>
        </is>
      </c>
      <c r="F4" s="22" t="b">
        <v>0</v>
      </c>
      <c r="G4" s="22" t="n">
        <v>200</v>
      </c>
      <c r="H4" s="22" t="b">
        <v>1</v>
      </c>
      <c r="I4" s="22" t="inlineStr"/>
      <c r="J4" s="24" t="n"/>
    </row>
    <row r="5">
      <c r="A5" s="47" t="inlineStr">
        <is>
          <t>https://africanmarketingconfederation.org/about-us</t>
        </is>
      </c>
      <c r="B5" s="46" t="inlineStr">
        <is>
          <t>https://africanmarketingconfederation.org/sub-committees</t>
        </is>
      </c>
      <c r="C5" s="4" t="inlineStr">
        <is>
          <t>AMC COMMITTEES</t>
        </is>
      </c>
      <c r="D5" s="4" t="inlineStr"/>
      <c r="E5" s="4" t="inlineStr">
        <is>
          <t>Internal</t>
        </is>
      </c>
      <c r="F5" s="4" t="b">
        <v>0</v>
      </c>
      <c r="G5" s="4" t="n">
        <v>200</v>
      </c>
      <c r="H5" s="4" t="b">
        <v>1</v>
      </c>
      <c r="I5" s="4" t="inlineStr"/>
    </row>
    <row r="6">
      <c r="A6" s="47" t="inlineStr">
        <is>
          <t>https://africanmarketingconfederation.org/about-us</t>
        </is>
      </c>
      <c r="B6" s="44" t="inlineStr">
        <is>
          <t>https://africanmarketingconfederation.org/members</t>
        </is>
      </c>
      <c r="C6" s="22" t="inlineStr">
        <is>
          <t>MEMBERS</t>
        </is>
      </c>
      <c r="D6" s="22" t="inlineStr"/>
      <c r="E6" s="22" t="inlineStr">
        <is>
          <t>Internal</t>
        </is>
      </c>
      <c r="F6" s="22" t="b">
        <v>0</v>
      </c>
      <c r="G6" s="22" t="n">
        <v>200</v>
      </c>
      <c r="H6" s="22" t="b">
        <v>1</v>
      </c>
      <c r="I6" s="22" t="inlineStr"/>
      <c r="J6" s="24" t="n"/>
    </row>
    <row r="7">
      <c r="A7" s="47" t="inlineStr">
        <is>
          <t>https://africanmarketingconfederation.org/about-us</t>
        </is>
      </c>
      <c r="B7" s="46" t="inlineStr">
        <is>
          <t>https://africanmarketingconfederation.org/african-marketing-confederation-tourism-chapter</t>
        </is>
      </c>
      <c r="C7" s="4" t="inlineStr">
        <is>
          <t>TOURISM CHAPTER</t>
        </is>
      </c>
      <c r="D7" s="4" t="inlineStr"/>
      <c r="E7" s="4" t="inlineStr">
        <is>
          <t>Internal</t>
        </is>
      </c>
      <c r="F7" s="4" t="b">
        <v>0</v>
      </c>
      <c r="G7" s="4" t="n">
        <v>200</v>
      </c>
      <c r="H7" s="4" t="b">
        <v>1</v>
      </c>
      <c r="I7" s="4" t="inlineStr"/>
    </row>
    <row r="8">
      <c r="A8" s="47" t="inlineStr">
        <is>
          <t>https://africanmarketingconfederation.org/about-us</t>
        </is>
      </c>
      <c r="B8" s="44" t="inlineStr">
        <is>
          <t>https://africanmarketingconfederation.org/education</t>
        </is>
      </c>
      <c r="C8" s="22" t="inlineStr">
        <is>
          <t>EDUCATION</t>
        </is>
      </c>
      <c r="D8" s="22" t="inlineStr"/>
      <c r="E8" s="22" t="inlineStr">
        <is>
          <t>Internal</t>
        </is>
      </c>
      <c r="F8" s="22" t="b">
        <v>0</v>
      </c>
      <c r="G8" s="22" t="n">
        <v>200</v>
      </c>
      <c r="H8" s="22" t="b">
        <v>1</v>
      </c>
      <c r="I8" s="22" t="inlineStr"/>
      <c r="J8" s="24" t="n"/>
    </row>
    <row r="9">
      <c r="A9" s="47" t="inlineStr">
        <is>
          <t>https://africanmarketingconfederation.org/about-us</t>
        </is>
      </c>
      <c r="B9" s="46" t="inlineStr">
        <is>
          <t>https://africanmarketingconfederation.org/chartered-marketer-africa</t>
        </is>
      </c>
      <c r="C9" s="4" t="inlineStr">
        <is>
          <t>CHARTERED MARKETER (AFRICA)</t>
        </is>
      </c>
      <c r="D9" s="4" t="inlineStr"/>
      <c r="E9" s="4" t="inlineStr">
        <is>
          <t>Internal</t>
        </is>
      </c>
      <c r="F9" s="4" t="b">
        <v>0</v>
      </c>
      <c r="G9" s="4" t="n">
        <v>200</v>
      </c>
      <c r="H9" s="4" t="b">
        <v>1</v>
      </c>
      <c r="I9" s="4" t="inlineStr"/>
    </row>
    <row r="10">
      <c r="A10" s="47" t="inlineStr">
        <is>
          <t>https://africanmarketingconfederation.org/about-us</t>
        </is>
      </c>
      <c r="B10" s="44" t="inlineStr">
        <is>
          <t>https://africanmarketingconfederation.org/certified-professional-marketer-africa</t>
        </is>
      </c>
      <c r="C10" s="22" t="inlineStr">
        <is>
          <t>CPM(A)</t>
        </is>
      </c>
      <c r="D10" s="22" t="inlineStr"/>
      <c r="E10" s="22" t="inlineStr">
        <is>
          <t>Internal</t>
        </is>
      </c>
      <c r="F10" s="22" t="b">
        <v>0</v>
      </c>
      <c r="G10" s="22" t="n">
        <v>200</v>
      </c>
      <c r="H10" s="22" t="b">
        <v>1</v>
      </c>
      <c r="I10" s="22" t="inlineStr"/>
      <c r="J10" s="24" t="n"/>
    </row>
    <row r="11">
      <c r="A11" s="47" t="inlineStr">
        <is>
          <t>https://africanmarketingconfederation.org/about-us</t>
        </is>
      </c>
      <c r="B11" s="46" t="inlineStr">
        <is>
          <t>https://africanmarketingconfederation.org/news-articles</t>
        </is>
      </c>
      <c r="C11" s="4" t="inlineStr">
        <is>
          <t>NEWS &amp; PUBLICATIONS</t>
        </is>
      </c>
      <c r="D11" s="4" t="inlineStr"/>
      <c r="E11" s="4" t="inlineStr">
        <is>
          <t>Internal</t>
        </is>
      </c>
      <c r="F11" s="4" t="b">
        <v>0</v>
      </c>
      <c r="G11" s="4" t="n">
        <v>200</v>
      </c>
      <c r="H11" s="4" t="b">
        <v>1</v>
      </c>
      <c r="I11" s="4" t="inlineStr"/>
    </row>
    <row r="12">
      <c r="A12" s="47" t="inlineStr">
        <is>
          <t>https://africanmarketingconfederation.org/about-us</t>
        </is>
      </c>
      <c r="B12" s="44" t="inlineStr">
        <is>
          <t>https://africanmarketingconfederation.org/news-articles</t>
        </is>
      </c>
      <c r="C12" s="22" t="inlineStr">
        <is>
          <t>NEWS ARTICLES</t>
        </is>
      </c>
      <c r="D12" s="22" t="inlineStr"/>
      <c r="E12" s="22" t="inlineStr">
        <is>
          <t>Internal</t>
        </is>
      </c>
      <c r="F12" s="22" t="b">
        <v>0</v>
      </c>
      <c r="G12" s="22" t="n">
        <v>200</v>
      </c>
      <c r="H12" s="22" t="b">
        <v>1</v>
      </c>
      <c r="I12" s="22" t="inlineStr"/>
      <c r="J12" s="24" t="n"/>
    </row>
    <row r="13">
      <c r="A13" s="47" t="inlineStr">
        <is>
          <t>https://africanmarketingconfederation.org/about-us</t>
        </is>
      </c>
      <c r="B13" s="46" t="inlineStr">
        <is>
          <t>https://africanmarketingconfederation.org/publications-2</t>
        </is>
      </c>
      <c r="C13" s="4" t="inlineStr">
        <is>
          <t>PUBLICATIONS</t>
        </is>
      </c>
      <c r="D13" s="4" t="inlineStr"/>
      <c r="E13" s="4" t="inlineStr">
        <is>
          <t>Internal</t>
        </is>
      </c>
      <c r="F13" s="4" t="b">
        <v>0</v>
      </c>
      <c r="G13" s="4" t="n">
        <v>200</v>
      </c>
      <c r="H13" s="4" t="b">
        <v>1</v>
      </c>
      <c r="I13" s="4" t="inlineStr"/>
    </row>
    <row r="14">
      <c r="A14" s="47" t="inlineStr">
        <is>
          <t>https://africanmarketingconfederation.org/about-us</t>
        </is>
      </c>
      <c r="B14" s="44" t="inlineStr">
        <is>
          <t>https://africanmarketingconfederation.org/amc-conference-2026</t>
        </is>
      </c>
      <c r="C14" s="22" t="inlineStr">
        <is>
          <t>AMC Conference</t>
        </is>
      </c>
      <c r="D14" s="22" t="inlineStr"/>
      <c r="E14" s="22" t="inlineStr">
        <is>
          <t>Internal</t>
        </is>
      </c>
      <c r="F14" s="22" t="b">
        <v>0</v>
      </c>
      <c r="G14" s="22" t="n">
        <v>200</v>
      </c>
      <c r="H14" s="22" t="b">
        <v>1</v>
      </c>
      <c r="I14" s="22" t="inlineStr"/>
      <c r="J14" s="24" t="n"/>
    </row>
    <row r="15">
      <c r="A15" s="47" t="inlineStr">
        <is>
          <t>https://africanmarketingconfederation.org/about-us</t>
        </is>
      </c>
      <c r="B15" s="46" t="inlineStr">
        <is>
          <t>https://africanmarketingconfederation.org/contact-us</t>
        </is>
      </c>
      <c r="C15" s="4" t="inlineStr">
        <is>
          <t>CONTACT US</t>
        </is>
      </c>
      <c r="D15" s="4" t="inlineStr"/>
      <c r="E15" s="4" t="inlineStr">
        <is>
          <t>Internal</t>
        </is>
      </c>
      <c r="F15" s="4" t="b">
        <v>0</v>
      </c>
      <c r="G15" s="4" t="n">
        <v>200</v>
      </c>
      <c r="H15" s="4" t="b">
        <v>1</v>
      </c>
      <c r="I15" s="4" t="inlineStr"/>
    </row>
    <row r="16">
      <c r="A16" s="47" t="inlineStr">
        <is>
          <t>https://africanmarketingconfederation.org/about-us</t>
        </is>
      </c>
      <c r="B16" s="44" t="inlineStr">
        <is>
          <t>https://africanmarketingconfederation.org/</t>
        </is>
      </c>
      <c r="C16" s="22" t="inlineStr">
        <is>
          <t>HOME</t>
        </is>
      </c>
      <c r="D16" s="22" t="inlineStr"/>
      <c r="E16" s="22" t="inlineStr">
        <is>
          <t>Internal</t>
        </is>
      </c>
      <c r="F16" s="22" t="b">
        <v>0</v>
      </c>
      <c r="G16" s="22" t="n">
        <v>200</v>
      </c>
      <c r="H16" s="22" t="b">
        <v>1</v>
      </c>
      <c r="I16" s="22" t="inlineStr"/>
      <c r="J16" s="24" t="n"/>
    </row>
    <row r="17">
      <c r="A17" s="47" t="inlineStr">
        <is>
          <t>https://africanmarketingconfederation.org/about-us</t>
        </is>
      </c>
      <c r="B17" s="46" t="inlineStr">
        <is>
          <t>https://africanmarketingconfederation.org/about-us</t>
        </is>
      </c>
      <c r="C17" s="4" t="inlineStr">
        <is>
          <t>ABOUT US</t>
        </is>
      </c>
      <c r="D17" s="4" t="inlineStr"/>
      <c r="E17" s="4" t="inlineStr">
        <is>
          <t>Internal</t>
        </is>
      </c>
      <c r="F17" s="4" t="b">
        <v>0</v>
      </c>
      <c r="G17" s="4" t="n">
        <v>200</v>
      </c>
      <c r="H17" s="4" t="b">
        <v>1</v>
      </c>
      <c r="I17" s="4" t="inlineStr"/>
    </row>
    <row r="18">
      <c r="A18" s="47" t="inlineStr">
        <is>
          <t>https://africanmarketingconfederation.org/about-us</t>
        </is>
      </c>
      <c r="B18" s="44" t="inlineStr">
        <is>
          <t>https://africanmarketingconfederation.org/sub-committees</t>
        </is>
      </c>
      <c r="C18" s="22" t="inlineStr">
        <is>
          <t>AMC COMMITTEES</t>
        </is>
      </c>
      <c r="D18" s="22" t="inlineStr"/>
      <c r="E18" s="22" t="inlineStr">
        <is>
          <t>Internal</t>
        </is>
      </c>
      <c r="F18" s="22" t="b">
        <v>0</v>
      </c>
      <c r="G18" s="22" t="n">
        <v>200</v>
      </c>
      <c r="H18" s="22" t="b">
        <v>1</v>
      </c>
      <c r="I18" s="22" t="inlineStr"/>
      <c r="J18" s="24" t="n"/>
    </row>
    <row r="19">
      <c r="A19" s="47" t="inlineStr">
        <is>
          <t>https://africanmarketingconfederation.org/about-us</t>
        </is>
      </c>
      <c r="B19" s="46" t="inlineStr">
        <is>
          <t>https://africanmarketingconfederation.org/members</t>
        </is>
      </c>
      <c r="C19" s="4" t="inlineStr">
        <is>
          <t>MEMBERS</t>
        </is>
      </c>
      <c r="D19" s="4" t="inlineStr"/>
      <c r="E19" s="4" t="inlineStr">
        <is>
          <t>Internal</t>
        </is>
      </c>
      <c r="F19" s="4" t="b">
        <v>0</v>
      </c>
      <c r="G19" s="4" t="n">
        <v>200</v>
      </c>
      <c r="H19" s="4" t="b">
        <v>1</v>
      </c>
      <c r="I19" s="4" t="inlineStr"/>
    </row>
    <row r="20">
      <c r="A20" s="47" t="inlineStr">
        <is>
          <t>https://africanmarketingconfederation.org/about-us</t>
        </is>
      </c>
      <c r="B20" s="44" t="inlineStr">
        <is>
          <t>https://africanmarketingconfederation.org/african-marketing-confederation-tourism-chapter</t>
        </is>
      </c>
      <c r="C20" s="22" t="inlineStr">
        <is>
          <t>TOURISM CHAPTER</t>
        </is>
      </c>
      <c r="D20" s="22" t="inlineStr"/>
      <c r="E20" s="22" t="inlineStr">
        <is>
          <t>Internal</t>
        </is>
      </c>
      <c r="F20" s="22" t="b">
        <v>0</v>
      </c>
      <c r="G20" s="22" t="n">
        <v>200</v>
      </c>
      <c r="H20" s="22" t="b">
        <v>1</v>
      </c>
      <c r="I20" s="22" t="inlineStr"/>
      <c r="J20" s="24" t="n"/>
    </row>
    <row r="21">
      <c r="A21" s="47" t="inlineStr">
        <is>
          <t>https://africanmarketingconfederation.org/about-us</t>
        </is>
      </c>
      <c r="B21" s="46" t="inlineStr">
        <is>
          <t>https://africanmarketingconfederation.org/education</t>
        </is>
      </c>
      <c r="C21" s="4" t="inlineStr">
        <is>
          <t>EDUCATION</t>
        </is>
      </c>
      <c r="D21" s="4" t="inlineStr"/>
      <c r="E21" s="4" t="inlineStr">
        <is>
          <t>Internal</t>
        </is>
      </c>
      <c r="F21" s="4" t="b">
        <v>0</v>
      </c>
      <c r="G21" s="4" t="n">
        <v>200</v>
      </c>
      <c r="H21" s="4" t="b">
        <v>1</v>
      </c>
      <c r="I21" s="4" t="inlineStr"/>
    </row>
    <row r="22">
      <c r="A22" s="47" t="inlineStr">
        <is>
          <t>https://africanmarketingconfederation.org/about-us</t>
        </is>
      </c>
      <c r="B22" s="44" t="inlineStr">
        <is>
          <t>https://africanmarketingconfederation.org/chartered-marketer-africa</t>
        </is>
      </c>
      <c r="C22" s="22" t="inlineStr">
        <is>
          <t>CHARTERED MARKETER (AFRICA)</t>
        </is>
      </c>
      <c r="D22" s="22" t="inlineStr"/>
      <c r="E22" s="22" t="inlineStr">
        <is>
          <t>Internal</t>
        </is>
      </c>
      <c r="F22" s="22" t="b">
        <v>0</v>
      </c>
      <c r="G22" s="22" t="n">
        <v>200</v>
      </c>
      <c r="H22" s="22" t="b">
        <v>1</v>
      </c>
      <c r="I22" s="22" t="inlineStr"/>
      <c r="J22" s="24" t="n"/>
    </row>
    <row r="23">
      <c r="A23" s="47" t="inlineStr">
        <is>
          <t>https://africanmarketingconfederation.org/about-us</t>
        </is>
      </c>
      <c r="B23" s="46" t="inlineStr">
        <is>
          <t>https://africanmarketingconfederation.org/certified-professional-marketer-africa</t>
        </is>
      </c>
      <c r="C23" s="4" t="inlineStr">
        <is>
          <t>CPM(A)</t>
        </is>
      </c>
      <c r="D23" s="4" t="inlineStr"/>
      <c r="E23" s="4" t="inlineStr">
        <is>
          <t>Internal</t>
        </is>
      </c>
      <c r="F23" s="4" t="b">
        <v>0</v>
      </c>
      <c r="G23" s="4" t="n">
        <v>200</v>
      </c>
      <c r="H23" s="4" t="b">
        <v>1</v>
      </c>
      <c r="I23" s="4" t="inlineStr"/>
    </row>
    <row r="24">
      <c r="A24" s="47" t="inlineStr">
        <is>
          <t>https://africanmarketingconfederation.org/about-us</t>
        </is>
      </c>
      <c r="B24" s="44" t="inlineStr">
        <is>
          <t>https://africanmarketingconfederation.org/news-articles</t>
        </is>
      </c>
      <c r="C24" s="22" t="inlineStr">
        <is>
          <t>NEWS &amp; PUBLICATIONS</t>
        </is>
      </c>
      <c r="D24" s="22" t="inlineStr"/>
      <c r="E24" s="22" t="inlineStr">
        <is>
          <t>Internal</t>
        </is>
      </c>
      <c r="F24" s="22" t="b">
        <v>0</v>
      </c>
      <c r="G24" s="22" t="n">
        <v>200</v>
      </c>
      <c r="H24" s="22" t="b">
        <v>1</v>
      </c>
      <c r="I24" s="22" t="inlineStr"/>
      <c r="J24" s="24" t="n"/>
    </row>
    <row r="25">
      <c r="A25" s="47" t="inlineStr">
        <is>
          <t>https://africanmarketingconfederation.org/about-us</t>
        </is>
      </c>
      <c r="B25" s="46" t="inlineStr">
        <is>
          <t>https://africanmarketingconfederation.org/news-articles</t>
        </is>
      </c>
      <c r="C25" s="4" t="inlineStr">
        <is>
          <t>NEWS ARTICLES</t>
        </is>
      </c>
      <c r="D25" s="4" t="inlineStr"/>
      <c r="E25" s="4" t="inlineStr">
        <is>
          <t>Internal</t>
        </is>
      </c>
      <c r="F25" s="4" t="b">
        <v>0</v>
      </c>
      <c r="G25" s="4" t="n">
        <v>200</v>
      </c>
      <c r="H25" s="4" t="b">
        <v>1</v>
      </c>
      <c r="I25" s="4" t="inlineStr"/>
    </row>
    <row r="26">
      <c r="A26" s="47" t="inlineStr">
        <is>
          <t>https://africanmarketingconfederation.org/about-us</t>
        </is>
      </c>
      <c r="B26" s="44" t="inlineStr">
        <is>
          <t>https://africanmarketingconfederation.org/publications-2</t>
        </is>
      </c>
      <c r="C26" s="22" t="inlineStr">
        <is>
          <t>PUBLICATIONS</t>
        </is>
      </c>
      <c r="D26" s="22" t="inlineStr"/>
      <c r="E26" s="22" t="inlineStr">
        <is>
          <t>Internal</t>
        </is>
      </c>
      <c r="F26" s="22" t="b">
        <v>0</v>
      </c>
      <c r="G26" s="22" t="n">
        <v>200</v>
      </c>
      <c r="H26" s="22" t="b">
        <v>1</v>
      </c>
      <c r="I26" s="22" t="inlineStr"/>
      <c r="J26" s="24" t="n"/>
    </row>
    <row r="27">
      <c r="A27" s="47" t="inlineStr">
        <is>
          <t>https://africanmarketingconfederation.org/about-us</t>
        </is>
      </c>
      <c r="B27" s="46" t="inlineStr">
        <is>
          <t>https://africanmarketingconfederation.org/amc-conference-2026</t>
        </is>
      </c>
      <c r="C27" s="4" t="inlineStr">
        <is>
          <t>AMC Conference</t>
        </is>
      </c>
      <c r="D27" s="4" t="inlineStr"/>
      <c r="E27" s="4" t="inlineStr">
        <is>
          <t>Internal</t>
        </is>
      </c>
      <c r="F27" s="4" t="b">
        <v>0</v>
      </c>
      <c r="G27" s="4" t="n">
        <v>200</v>
      </c>
      <c r="H27" s="4" t="b">
        <v>1</v>
      </c>
      <c r="I27" s="4" t="inlineStr"/>
    </row>
    <row r="28">
      <c r="A28" s="47" t="inlineStr">
        <is>
          <t>https://africanmarketingconfederation.org/about-us</t>
        </is>
      </c>
      <c r="B28" s="44" t="inlineStr">
        <is>
          <t>https://africanmarketingconfederation.org/contact-us</t>
        </is>
      </c>
      <c r="C28" s="22" t="inlineStr">
        <is>
          <t>CONTACT US</t>
        </is>
      </c>
      <c r="D28" s="22" t="inlineStr"/>
      <c r="E28" s="22" t="inlineStr">
        <is>
          <t>Internal</t>
        </is>
      </c>
      <c r="F28" s="22" t="b">
        <v>0</v>
      </c>
      <c r="G28" s="22" t="n">
        <v>200</v>
      </c>
      <c r="H28" s="22" t="b">
        <v>1</v>
      </c>
      <c r="I28" s="22" t="inlineStr"/>
      <c r="J28" s="24" t="n"/>
    </row>
    <row r="29">
      <c r="A29" s="47" t="inlineStr">
        <is>
          <t>https://africanmarketingconfederation.org/about-us</t>
        </is>
      </c>
      <c r="B29" s="46" t="inlineStr">
        <is>
          <t>https://www.linkedin.com/in/helen-mcintee-780347a</t>
        </is>
      </c>
      <c r="C29" s="4" t="inlineStr">
        <is>
          <t>Linkedin</t>
        </is>
      </c>
      <c r="D29" s="4" t="inlineStr"/>
      <c r="E29" s="4" t="inlineStr">
        <is>
          <t>External</t>
        </is>
      </c>
      <c r="F29" s="4" t="b">
        <v>0</v>
      </c>
      <c r="G29" s="4" t="inlineStr"/>
      <c r="H29" s="4" t="b">
        <v>1</v>
      </c>
      <c r="I29" s="4" t="inlineStr"/>
    </row>
    <row r="30">
      <c r="A30" s="47" t="inlineStr">
        <is>
          <t>https://africanmarketingconfederation.org/about-us</t>
        </is>
      </c>
      <c r="B30" s="44" t="inlineStr">
        <is>
          <t>https://www.linkedin.com/in/david-balikuddembe-chartered-marketer-99899525?originalSubdomain=ug</t>
        </is>
      </c>
      <c r="C30" s="22" t="inlineStr">
        <is>
          <t>Linkedin</t>
        </is>
      </c>
      <c r="D30" s="22" t="inlineStr"/>
      <c r="E30" s="22" t="inlineStr">
        <is>
          <t>External</t>
        </is>
      </c>
      <c r="F30" s="22" t="b">
        <v>0</v>
      </c>
      <c r="G30" s="22" t="inlineStr"/>
      <c r="H30" s="22" t="b">
        <v>1</v>
      </c>
      <c r="I30" s="22" t="inlineStr"/>
      <c r="J30" s="24" t="n"/>
    </row>
    <row r="31">
      <c r="A31" s="47" t="inlineStr">
        <is>
          <t>https://africanmarketingconfederation.org/about-us</t>
        </is>
      </c>
      <c r="B31" s="46" t="inlineStr">
        <is>
          <t>https://www.linkedin.com/in/nigel-tattersall-72a0771a8</t>
        </is>
      </c>
      <c r="C31" s="4" t="inlineStr">
        <is>
          <t>Linkedin</t>
        </is>
      </c>
      <c r="D31" s="4" t="inlineStr"/>
      <c r="E31" s="4" t="inlineStr">
        <is>
          <t>External</t>
        </is>
      </c>
      <c r="F31" s="4" t="b">
        <v>0</v>
      </c>
      <c r="G31" s="4" t="inlineStr"/>
      <c r="H31" s="4" t="b">
        <v>1</v>
      </c>
      <c r="I31" s="4" t="inlineStr"/>
    </row>
    <row r="32">
      <c r="A32" s="47" t="inlineStr">
        <is>
          <t>https://africanmarketingconfederation.org/about-us</t>
        </is>
      </c>
      <c r="B32" s="44" t="inlineStr">
        <is>
          <t>https://www.linkedin.com/in/irene-gregory-aa058811</t>
        </is>
      </c>
      <c r="C32" s="22" t="inlineStr">
        <is>
          <t>Linkedin</t>
        </is>
      </c>
      <c r="D32" s="22" t="inlineStr"/>
      <c r="E32" s="22" t="inlineStr">
        <is>
          <t>External</t>
        </is>
      </c>
      <c r="F32" s="22" t="b">
        <v>0</v>
      </c>
      <c r="G32" s="22" t="inlineStr"/>
      <c r="H32" s="22" t="b">
        <v>1</v>
      </c>
      <c r="I32" s="22" t="inlineStr"/>
      <c r="J32" s="24" t="n"/>
    </row>
    <row r="33">
      <c r="A33" s="47" t="inlineStr">
        <is>
          <t>https://africanmarketingconfederation.org/about-us</t>
        </is>
      </c>
      <c r="B33" s="46" t="inlineStr">
        <is>
          <t>https://www.linkedin.com/in/kwabena-agyekum-60150832</t>
        </is>
      </c>
      <c r="C33" s="4" t="inlineStr">
        <is>
          <t>Linkedin</t>
        </is>
      </c>
      <c r="D33" s="4" t="inlineStr"/>
      <c r="E33" s="4" t="inlineStr">
        <is>
          <t>External</t>
        </is>
      </c>
      <c r="F33" s="4" t="b">
        <v>0</v>
      </c>
      <c r="G33" s="4" t="inlineStr"/>
      <c r="H33" s="4" t="b">
        <v>1</v>
      </c>
      <c r="I33" s="4" t="inlineStr"/>
    </row>
    <row r="34">
      <c r="A34" s="47" t="inlineStr">
        <is>
          <t>https://africanmarketingconfederation.org/about-us</t>
        </is>
      </c>
      <c r="B34" s="44" t="inlineStr">
        <is>
          <t>https://africanmarketingconfederation.org/members</t>
        </is>
      </c>
      <c r="C34" s="22" t="inlineStr">
        <is>
          <t>Read More About Our Members</t>
        </is>
      </c>
      <c r="D34" s="22" t="inlineStr"/>
      <c r="E34" s="22" t="inlineStr">
        <is>
          <t>Internal</t>
        </is>
      </c>
      <c r="F34" s="22" t="b">
        <v>0</v>
      </c>
      <c r="G34" s="22" t="n">
        <v>200</v>
      </c>
      <c r="H34" s="22" t="b">
        <v>1</v>
      </c>
      <c r="I34" s="22" t="inlineStr"/>
      <c r="J34" s="24" t="n"/>
    </row>
    <row r="35">
      <c r="A35" s="47" t="inlineStr">
        <is>
          <t>https://africanmarketingconfederation.org/about-us</t>
        </is>
      </c>
      <c r="B35" s="46" t="inlineStr">
        <is>
          <t>https://africanmarketingconfederation.org/publications-2</t>
        </is>
      </c>
      <c r="C35" s="4" t="inlineStr">
        <is>
          <t>Strategic Marketing for AfricaMagazine</t>
        </is>
      </c>
      <c r="D35" s="4" t="inlineStr"/>
      <c r="E35" s="4" t="inlineStr">
        <is>
          <t>Internal</t>
        </is>
      </c>
      <c r="F35" s="4" t="b">
        <v>0</v>
      </c>
      <c r="G35" s="4" t="n">
        <v>200</v>
      </c>
      <c r="H35" s="4" t="b">
        <v>1</v>
      </c>
      <c r="I35" s="4" t="inlineStr"/>
    </row>
    <row r="36">
      <c r="A36" s="47" t="inlineStr">
        <is>
          <t>https://africanmarketingconfederation.org/about-us</t>
        </is>
      </c>
      <c r="B36" s="44" t="inlineStr">
        <is>
          <t>https://www.facebook.com/The-African-Marketing-Confederation-108980418182403</t>
        </is>
      </c>
      <c r="C36" s="22" t="inlineStr"/>
      <c r="D36" s="22" t="inlineStr"/>
      <c r="E36" s="22" t="inlineStr">
        <is>
          <t>External</t>
        </is>
      </c>
      <c r="F36" s="22" t="b">
        <v>0</v>
      </c>
      <c r="G36" s="22" t="inlineStr"/>
      <c r="H36" s="22" t="b">
        <v>1</v>
      </c>
      <c r="I36" s="22" t="inlineStr"/>
      <c r="J36" s="24" t="n"/>
    </row>
    <row r="37">
      <c r="A37" s="47" t="inlineStr">
        <is>
          <t>https://africanmarketingconfederation.org/about-us</t>
        </is>
      </c>
      <c r="B37" s="46" t="inlineStr">
        <is>
          <t>https://www.linkedin.com/company/african-marketing-confederation</t>
        </is>
      </c>
      <c r="C37" s="4" t="inlineStr"/>
      <c r="D37" s="4" t="inlineStr"/>
      <c r="E37" s="4" t="inlineStr">
        <is>
          <t>External</t>
        </is>
      </c>
      <c r="F37" s="4" t="b">
        <v>0</v>
      </c>
      <c r="G37" s="4" t="inlineStr"/>
      <c r="H37" s="4" t="b">
        <v>1</v>
      </c>
      <c r="I37" s="4" t="inlineStr"/>
    </row>
    <row r="38">
      <c r="A38" s="47" t="inlineStr">
        <is>
          <t>https://africanmarketingconfederation.org/about-us</t>
        </is>
      </c>
      <c r="B38" s="44" t="inlineStr">
        <is>
          <t>https://africanmarketingconfederation.org/privacy-policy</t>
        </is>
      </c>
      <c r="C38" s="22" t="inlineStr">
        <is>
          <t>© 2026 by African Marketing Confederation | Privacy Policy</t>
        </is>
      </c>
      <c r="D38" s="22" t="inlineStr"/>
      <c r="E38" s="22" t="inlineStr">
        <is>
          <t>Internal</t>
        </is>
      </c>
      <c r="F38" s="22" t="b">
        <v>0</v>
      </c>
      <c r="G38" s="22" t="n">
        <v>200</v>
      </c>
      <c r="H38" s="22" t="b">
        <v>1</v>
      </c>
      <c r="I38" s="22" t="inlineStr"/>
      <c r="J38" s="24" t="n"/>
    </row>
    <row r="39">
      <c r="A39" s="47" t="inlineStr">
        <is>
          <t>https://africanmarketingconfederation.org/about-us</t>
        </is>
      </c>
      <c r="B39" s="46" t="inlineStr">
        <is>
          <t>https://africanmarketingconfederation.org/amc-conference-2025-delegate-packages</t>
        </is>
      </c>
      <c r="C39" s="4" t="inlineStr">
        <is>
          <t>Return to Shop</t>
        </is>
      </c>
      <c r="D39" s="4" t="inlineStr"/>
      <c r="E39" s="4" t="inlineStr">
        <is>
          <t>Internal</t>
        </is>
      </c>
      <c r="F39" s="4" t="b">
        <v>0</v>
      </c>
      <c r="G39" s="4" t="n">
        <v>404</v>
      </c>
      <c r="H39" s="4" t="b">
        <v>0</v>
      </c>
      <c r="I39" s="4" t="inlineStr"/>
    </row>
    <row r="40">
      <c r="A40" s="47" t="inlineStr">
        <is>
          <t>https://africanmarketingconfederation.org/about-us</t>
        </is>
      </c>
      <c r="B40" s="44" t="inlineStr">
        <is>
          <t>https://africanmarketingconfederation.org/amc-conference-2025-delegate-packages</t>
        </is>
      </c>
      <c r="C40" s="22" t="inlineStr">
        <is>
          <t>Continue Shopping</t>
        </is>
      </c>
      <c r="D40" s="22" t="inlineStr"/>
      <c r="E40" s="22" t="inlineStr">
        <is>
          <t>Internal</t>
        </is>
      </c>
      <c r="F40" s="22" t="b">
        <v>0</v>
      </c>
      <c r="G40" s="22" t="n">
        <v>404</v>
      </c>
      <c r="H40" s="22" t="b">
        <v>0</v>
      </c>
      <c r="I40" s="22" t="inlineStr"/>
      <c r="J40" s="24" t="n"/>
    </row>
    <row r="41">
      <c r="A41" s="47" t="inlineStr">
        <is>
          <t>https://africanmarketingconfederation.org/</t>
        </is>
      </c>
      <c r="B41" s="46" t="inlineStr">
        <is>
          <t>https://africanmarketingconfederation.org/</t>
        </is>
      </c>
      <c r="C41" s="4" t="inlineStr"/>
      <c r="D41" s="4" t="inlineStr"/>
      <c r="E41" s="4" t="inlineStr">
        <is>
          <t>Internal</t>
        </is>
      </c>
      <c r="F41" s="4" t="b">
        <v>0</v>
      </c>
      <c r="G41" s="4" t="n">
        <v>200</v>
      </c>
      <c r="H41" s="4" t="b">
        <v>1</v>
      </c>
      <c r="I41" s="4" t="inlineStr"/>
    </row>
    <row r="42">
      <c r="A42" s="47" t="inlineStr">
        <is>
          <t>https://africanmarketingconfederation.org/</t>
        </is>
      </c>
      <c r="B42" s="44" t="inlineStr">
        <is>
          <t>https://africanmarketingconfederation.org/</t>
        </is>
      </c>
      <c r="C42" s="22" t="inlineStr">
        <is>
          <t>HOME</t>
        </is>
      </c>
      <c r="D42" s="22" t="inlineStr"/>
      <c r="E42" s="22" t="inlineStr">
        <is>
          <t>Internal</t>
        </is>
      </c>
      <c r="F42" s="22" t="b">
        <v>0</v>
      </c>
      <c r="G42" s="22" t="n">
        <v>200</v>
      </c>
      <c r="H42" s="22" t="b">
        <v>1</v>
      </c>
      <c r="I42" s="22" t="inlineStr"/>
      <c r="J42" s="24" t="n"/>
    </row>
    <row r="43">
      <c r="A43" s="47" t="inlineStr">
        <is>
          <t>https://africanmarketingconfederation.org/</t>
        </is>
      </c>
      <c r="B43" s="46" t="inlineStr">
        <is>
          <t>https://africanmarketingconfederation.org/about-us</t>
        </is>
      </c>
      <c r="C43" s="4" t="inlineStr">
        <is>
          <t>ABOUT US</t>
        </is>
      </c>
      <c r="D43" s="4" t="inlineStr"/>
      <c r="E43" s="4" t="inlineStr">
        <is>
          <t>Internal</t>
        </is>
      </c>
      <c r="F43" s="4" t="b">
        <v>0</v>
      </c>
      <c r="G43" s="4" t="n">
        <v>200</v>
      </c>
      <c r="H43" s="4" t="b">
        <v>1</v>
      </c>
      <c r="I43" s="4" t="inlineStr"/>
    </row>
    <row r="44">
      <c r="A44" s="47" t="inlineStr">
        <is>
          <t>https://africanmarketingconfederation.org/</t>
        </is>
      </c>
      <c r="B44" s="44" t="inlineStr">
        <is>
          <t>https://africanmarketingconfederation.org/sub-committees</t>
        </is>
      </c>
      <c r="C44" s="22" t="inlineStr">
        <is>
          <t>AMC COMMITTEES</t>
        </is>
      </c>
      <c r="D44" s="22" t="inlineStr"/>
      <c r="E44" s="22" t="inlineStr">
        <is>
          <t>Internal</t>
        </is>
      </c>
      <c r="F44" s="22" t="b">
        <v>0</v>
      </c>
      <c r="G44" s="22" t="n">
        <v>200</v>
      </c>
      <c r="H44" s="22" t="b">
        <v>1</v>
      </c>
      <c r="I44" s="22" t="inlineStr"/>
      <c r="J44" s="24" t="n"/>
    </row>
    <row r="45">
      <c r="A45" s="47" t="inlineStr">
        <is>
          <t>https://africanmarketingconfederation.org/</t>
        </is>
      </c>
      <c r="B45" s="46" t="inlineStr">
        <is>
          <t>https://africanmarketingconfederation.org/members</t>
        </is>
      </c>
      <c r="C45" s="4" t="inlineStr">
        <is>
          <t>MEMBERS</t>
        </is>
      </c>
      <c r="D45" s="4" t="inlineStr"/>
      <c r="E45" s="4" t="inlineStr">
        <is>
          <t>Internal</t>
        </is>
      </c>
      <c r="F45" s="4" t="b">
        <v>0</v>
      </c>
      <c r="G45" s="4" t="n">
        <v>200</v>
      </c>
      <c r="H45" s="4" t="b">
        <v>1</v>
      </c>
      <c r="I45" s="4" t="inlineStr"/>
    </row>
    <row r="46">
      <c r="A46" s="47" t="inlineStr">
        <is>
          <t>https://africanmarketingconfederation.org/</t>
        </is>
      </c>
      <c r="B46" s="44" t="inlineStr">
        <is>
          <t>https://africanmarketingconfederation.org/african-marketing-confederation-tourism-chapter</t>
        </is>
      </c>
      <c r="C46" s="22" t="inlineStr">
        <is>
          <t>TOURISM CHAPTER</t>
        </is>
      </c>
      <c r="D46" s="22" t="inlineStr"/>
      <c r="E46" s="22" t="inlineStr">
        <is>
          <t>Internal</t>
        </is>
      </c>
      <c r="F46" s="22" t="b">
        <v>0</v>
      </c>
      <c r="G46" s="22" t="n">
        <v>200</v>
      </c>
      <c r="H46" s="22" t="b">
        <v>1</v>
      </c>
      <c r="I46" s="22" t="inlineStr"/>
      <c r="J46" s="24" t="n"/>
    </row>
    <row r="47">
      <c r="A47" s="47" t="inlineStr">
        <is>
          <t>https://africanmarketingconfederation.org/</t>
        </is>
      </c>
      <c r="B47" s="46" t="inlineStr">
        <is>
          <t>https://africanmarketingconfederation.org/education</t>
        </is>
      </c>
      <c r="C47" s="4" t="inlineStr">
        <is>
          <t>EDUCATION</t>
        </is>
      </c>
      <c r="D47" s="4" t="inlineStr"/>
      <c r="E47" s="4" t="inlineStr">
        <is>
          <t>Internal</t>
        </is>
      </c>
      <c r="F47" s="4" t="b">
        <v>0</v>
      </c>
      <c r="G47" s="4" t="n">
        <v>200</v>
      </c>
      <c r="H47" s="4" t="b">
        <v>1</v>
      </c>
      <c r="I47" s="4" t="inlineStr"/>
    </row>
    <row r="48">
      <c r="A48" s="47" t="inlineStr">
        <is>
          <t>https://africanmarketingconfederation.org/</t>
        </is>
      </c>
      <c r="B48" s="44" t="inlineStr">
        <is>
          <t>https://africanmarketingconfederation.org/chartered-marketer-africa</t>
        </is>
      </c>
      <c r="C48" s="22" t="inlineStr">
        <is>
          <t>CHARTERED MARKETER (AFRICA)</t>
        </is>
      </c>
      <c r="D48" s="22" t="inlineStr"/>
      <c r="E48" s="22" t="inlineStr">
        <is>
          <t>Internal</t>
        </is>
      </c>
      <c r="F48" s="22" t="b">
        <v>0</v>
      </c>
      <c r="G48" s="22" t="n">
        <v>200</v>
      </c>
      <c r="H48" s="22" t="b">
        <v>1</v>
      </c>
      <c r="I48" s="22" t="inlineStr"/>
      <c r="J48" s="24" t="n"/>
    </row>
    <row r="49">
      <c r="A49" s="47" t="inlineStr">
        <is>
          <t>https://africanmarketingconfederation.org/</t>
        </is>
      </c>
      <c r="B49" s="46" t="inlineStr">
        <is>
          <t>https://africanmarketingconfederation.org/certified-professional-marketer-africa</t>
        </is>
      </c>
      <c r="C49" s="4" t="inlineStr">
        <is>
          <t>CPM(A)</t>
        </is>
      </c>
      <c r="D49" s="4" t="inlineStr"/>
      <c r="E49" s="4" t="inlineStr">
        <is>
          <t>Internal</t>
        </is>
      </c>
      <c r="F49" s="4" t="b">
        <v>0</v>
      </c>
      <c r="G49" s="4" t="n">
        <v>200</v>
      </c>
      <c r="H49" s="4" t="b">
        <v>1</v>
      </c>
      <c r="I49" s="4" t="inlineStr"/>
    </row>
    <row r="50">
      <c r="A50" s="47" t="inlineStr">
        <is>
          <t>https://africanmarketingconfederation.org/</t>
        </is>
      </c>
      <c r="B50" s="44" t="inlineStr">
        <is>
          <t>https://africanmarketingconfederation.org/news-articles</t>
        </is>
      </c>
      <c r="C50" s="22" t="inlineStr">
        <is>
          <t>NEWS &amp; PUBLICATIONS</t>
        </is>
      </c>
      <c r="D50" s="22" t="inlineStr"/>
      <c r="E50" s="22" t="inlineStr">
        <is>
          <t>Internal</t>
        </is>
      </c>
      <c r="F50" s="22" t="b">
        <v>0</v>
      </c>
      <c r="G50" s="22" t="n">
        <v>200</v>
      </c>
      <c r="H50" s="22" t="b">
        <v>1</v>
      </c>
      <c r="I50" s="22" t="inlineStr"/>
      <c r="J50" s="24" t="n"/>
    </row>
    <row r="51">
      <c r="A51" s="47" t="inlineStr">
        <is>
          <t>https://africanmarketingconfederation.org/</t>
        </is>
      </c>
      <c r="B51" s="46" t="inlineStr">
        <is>
          <t>https://africanmarketingconfederation.org/news-articles</t>
        </is>
      </c>
      <c r="C51" s="4" t="inlineStr">
        <is>
          <t>NEWS ARTICLES</t>
        </is>
      </c>
      <c r="D51" s="4" t="inlineStr"/>
      <c r="E51" s="4" t="inlineStr">
        <is>
          <t>Internal</t>
        </is>
      </c>
      <c r="F51" s="4" t="b">
        <v>0</v>
      </c>
      <c r="G51" s="4" t="n">
        <v>200</v>
      </c>
      <c r="H51" s="4" t="b">
        <v>1</v>
      </c>
      <c r="I51" s="4" t="inlineStr"/>
    </row>
    <row r="52">
      <c r="A52" s="47" t="inlineStr">
        <is>
          <t>https://africanmarketingconfederation.org/</t>
        </is>
      </c>
      <c r="B52" s="44" t="inlineStr">
        <is>
          <t>https://africanmarketingconfederation.org/publications-2</t>
        </is>
      </c>
      <c r="C52" s="22" t="inlineStr">
        <is>
          <t>PUBLICATIONS</t>
        </is>
      </c>
      <c r="D52" s="22" t="inlineStr"/>
      <c r="E52" s="22" t="inlineStr">
        <is>
          <t>Internal</t>
        </is>
      </c>
      <c r="F52" s="22" t="b">
        <v>0</v>
      </c>
      <c r="G52" s="22" t="n">
        <v>200</v>
      </c>
      <c r="H52" s="22" t="b">
        <v>1</v>
      </c>
      <c r="I52" s="22" t="inlineStr"/>
      <c r="J52" s="24" t="n"/>
    </row>
    <row r="53">
      <c r="A53" s="47" t="inlineStr">
        <is>
          <t>https://africanmarketingconfederation.org/</t>
        </is>
      </c>
      <c r="B53" s="46" t="inlineStr">
        <is>
          <t>https://africanmarketingconfederation.org/amc-conference-2026</t>
        </is>
      </c>
      <c r="C53" s="4" t="inlineStr">
        <is>
          <t>AMC Conference</t>
        </is>
      </c>
      <c r="D53" s="4" t="inlineStr"/>
      <c r="E53" s="4" t="inlineStr">
        <is>
          <t>Internal</t>
        </is>
      </c>
      <c r="F53" s="4" t="b">
        <v>0</v>
      </c>
      <c r="G53" s="4" t="n">
        <v>200</v>
      </c>
      <c r="H53" s="4" t="b">
        <v>1</v>
      </c>
      <c r="I53" s="4" t="inlineStr"/>
    </row>
    <row r="54">
      <c r="A54" s="47" t="inlineStr">
        <is>
          <t>https://africanmarketingconfederation.org/</t>
        </is>
      </c>
      <c r="B54" s="44" t="inlineStr">
        <is>
          <t>https://africanmarketingconfederation.org/contact-us</t>
        </is>
      </c>
      <c r="C54" s="22" t="inlineStr">
        <is>
          <t>CONTACT US</t>
        </is>
      </c>
      <c r="D54" s="22" t="inlineStr"/>
      <c r="E54" s="22" t="inlineStr">
        <is>
          <t>Internal</t>
        </is>
      </c>
      <c r="F54" s="22" t="b">
        <v>0</v>
      </c>
      <c r="G54" s="22" t="n">
        <v>200</v>
      </c>
      <c r="H54" s="22" t="b">
        <v>1</v>
      </c>
      <c r="I54" s="22" t="inlineStr"/>
      <c r="J54" s="24" t="n"/>
    </row>
    <row r="55">
      <c r="A55" s="47" t="inlineStr">
        <is>
          <t>https://africanmarketingconfederation.org/</t>
        </is>
      </c>
      <c r="B55" s="46" t="inlineStr">
        <is>
          <t>https://africanmarketingconfederation.org/</t>
        </is>
      </c>
      <c r="C55" s="4" t="inlineStr">
        <is>
          <t>HOME</t>
        </is>
      </c>
      <c r="D55" s="4" t="inlineStr"/>
      <c r="E55" s="4" t="inlineStr">
        <is>
          <t>Internal</t>
        </is>
      </c>
      <c r="F55" s="4" t="b">
        <v>0</v>
      </c>
      <c r="G55" s="4" t="n">
        <v>200</v>
      </c>
      <c r="H55" s="4" t="b">
        <v>1</v>
      </c>
      <c r="I55" s="4" t="inlineStr"/>
    </row>
    <row r="56">
      <c r="A56" s="47" t="inlineStr">
        <is>
          <t>https://africanmarketingconfederation.org/</t>
        </is>
      </c>
      <c r="B56" s="44" t="inlineStr">
        <is>
          <t>https://africanmarketingconfederation.org/about-us</t>
        </is>
      </c>
      <c r="C56" s="22" t="inlineStr">
        <is>
          <t>ABOUT US</t>
        </is>
      </c>
      <c r="D56" s="22" t="inlineStr"/>
      <c r="E56" s="22" t="inlineStr">
        <is>
          <t>Internal</t>
        </is>
      </c>
      <c r="F56" s="22" t="b">
        <v>0</v>
      </c>
      <c r="G56" s="22" t="n">
        <v>200</v>
      </c>
      <c r="H56" s="22" t="b">
        <v>1</v>
      </c>
      <c r="I56" s="22" t="inlineStr"/>
      <c r="J56" s="24" t="n"/>
    </row>
    <row r="57">
      <c r="A57" s="47" t="inlineStr">
        <is>
          <t>https://africanmarketingconfederation.org/</t>
        </is>
      </c>
      <c r="B57" s="46" t="inlineStr">
        <is>
          <t>https://africanmarketingconfederation.org/sub-committees</t>
        </is>
      </c>
      <c r="C57" s="4" t="inlineStr">
        <is>
          <t>AMC COMMITTEES</t>
        </is>
      </c>
      <c r="D57" s="4" t="inlineStr"/>
      <c r="E57" s="4" t="inlineStr">
        <is>
          <t>Internal</t>
        </is>
      </c>
      <c r="F57" s="4" t="b">
        <v>0</v>
      </c>
      <c r="G57" s="4" t="n">
        <v>200</v>
      </c>
      <c r="H57" s="4" t="b">
        <v>1</v>
      </c>
      <c r="I57" s="4" t="inlineStr"/>
    </row>
    <row r="58">
      <c r="A58" s="47" t="inlineStr">
        <is>
          <t>https://africanmarketingconfederation.org/</t>
        </is>
      </c>
      <c r="B58" s="44" t="inlineStr">
        <is>
          <t>https://africanmarketingconfederation.org/members</t>
        </is>
      </c>
      <c r="C58" s="22" t="inlineStr">
        <is>
          <t>MEMBERS</t>
        </is>
      </c>
      <c r="D58" s="22" t="inlineStr"/>
      <c r="E58" s="22" t="inlineStr">
        <is>
          <t>Internal</t>
        </is>
      </c>
      <c r="F58" s="22" t="b">
        <v>0</v>
      </c>
      <c r="G58" s="22" t="n">
        <v>200</v>
      </c>
      <c r="H58" s="22" t="b">
        <v>1</v>
      </c>
      <c r="I58" s="22" t="inlineStr"/>
      <c r="J58" s="24" t="n"/>
    </row>
    <row r="59">
      <c r="A59" s="47" t="inlineStr">
        <is>
          <t>https://africanmarketingconfederation.org/</t>
        </is>
      </c>
      <c r="B59" s="46" t="inlineStr">
        <is>
          <t>https://africanmarketingconfederation.org/african-marketing-confederation-tourism-chapter</t>
        </is>
      </c>
      <c r="C59" s="4" t="inlineStr">
        <is>
          <t>TOURISM CHAPTER</t>
        </is>
      </c>
      <c r="D59" s="4" t="inlineStr"/>
      <c r="E59" s="4" t="inlineStr">
        <is>
          <t>Internal</t>
        </is>
      </c>
      <c r="F59" s="4" t="b">
        <v>0</v>
      </c>
      <c r="G59" s="4" t="n">
        <v>200</v>
      </c>
      <c r="H59" s="4" t="b">
        <v>1</v>
      </c>
      <c r="I59" s="4" t="inlineStr"/>
    </row>
    <row r="60">
      <c r="A60" s="47" t="inlineStr">
        <is>
          <t>https://africanmarketingconfederation.org/</t>
        </is>
      </c>
      <c r="B60" s="44" t="inlineStr">
        <is>
          <t>https://africanmarketingconfederation.org/education</t>
        </is>
      </c>
      <c r="C60" s="22" t="inlineStr">
        <is>
          <t>EDUCATION</t>
        </is>
      </c>
      <c r="D60" s="22" t="inlineStr"/>
      <c r="E60" s="22" t="inlineStr">
        <is>
          <t>Internal</t>
        </is>
      </c>
      <c r="F60" s="22" t="b">
        <v>0</v>
      </c>
      <c r="G60" s="22" t="n">
        <v>200</v>
      </c>
      <c r="H60" s="22" t="b">
        <v>1</v>
      </c>
      <c r="I60" s="22" t="inlineStr"/>
      <c r="J60" s="24" t="n"/>
    </row>
    <row r="61">
      <c r="A61" s="47" t="inlineStr">
        <is>
          <t>https://africanmarketingconfederation.org/</t>
        </is>
      </c>
      <c r="B61" s="46" t="inlineStr">
        <is>
          <t>https://africanmarketingconfederation.org/chartered-marketer-africa</t>
        </is>
      </c>
      <c r="C61" s="4" t="inlineStr">
        <is>
          <t>CHARTERED MARKETER (AFRICA)</t>
        </is>
      </c>
      <c r="D61" s="4" t="inlineStr"/>
      <c r="E61" s="4" t="inlineStr">
        <is>
          <t>Internal</t>
        </is>
      </c>
      <c r="F61" s="4" t="b">
        <v>0</v>
      </c>
      <c r="G61" s="4" t="n">
        <v>200</v>
      </c>
      <c r="H61" s="4" t="b">
        <v>1</v>
      </c>
      <c r="I61" s="4" t="inlineStr"/>
    </row>
    <row r="62">
      <c r="A62" s="47" t="inlineStr">
        <is>
          <t>https://africanmarketingconfederation.org/</t>
        </is>
      </c>
      <c r="B62" s="44" t="inlineStr">
        <is>
          <t>https://africanmarketingconfederation.org/certified-professional-marketer-africa</t>
        </is>
      </c>
      <c r="C62" s="22" t="inlineStr">
        <is>
          <t>CPM(A)</t>
        </is>
      </c>
      <c r="D62" s="22" t="inlineStr"/>
      <c r="E62" s="22" t="inlineStr">
        <is>
          <t>Internal</t>
        </is>
      </c>
      <c r="F62" s="22" t="b">
        <v>0</v>
      </c>
      <c r="G62" s="22" t="n">
        <v>200</v>
      </c>
      <c r="H62" s="22" t="b">
        <v>1</v>
      </c>
      <c r="I62" s="22" t="inlineStr"/>
      <c r="J62" s="24" t="n"/>
    </row>
    <row r="63">
      <c r="A63" s="47" t="inlineStr">
        <is>
          <t>https://africanmarketingconfederation.org/</t>
        </is>
      </c>
      <c r="B63" s="46" t="inlineStr">
        <is>
          <t>https://africanmarketingconfederation.org/news-articles</t>
        </is>
      </c>
      <c r="C63" s="4" t="inlineStr">
        <is>
          <t>NEWS &amp; PUBLICATIONS</t>
        </is>
      </c>
      <c r="D63" s="4" t="inlineStr"/>
      <c r="E63" s="4" t="inlineStr">
        <is>
          <t>Internal</t>
        </is>
      </c>
      <c r="F63" s="4" t="b">
        <v>0</v>
      </c>
      <c r="G63" s="4" t="n">
        <v>200</v>
      </c>
      <c r="H63" s="4" t="b">
        <v>1</v>
      </c>
      <c r="I63" s="4" t="inlineStr"/>
    </row>
    <row r="64">
      <c r="A64" s="47" t="inlineStr">
        <is>
          <t>https://africanmarketingconfederation.org/</t>
        </is>
      </c>
      <c r="B64" s="44" t="inlineStr">
        <is>
          <t>https://africanmarketingconfederation.org/news-articles</t>
        </is>
      </c>
      <c r="C64" s="22" t="inlineStr">
        <is>
          <t>NEWS ARTICLES</t>
        </is>
      </c>
      <c r="D64" s="22" t="inlineStr"/>
      <c r="E64" s="22" t="inlineStr">
        <is>
          <t>Internal</t>
        </is>
      </c>
      <c r="F64" s="22" t="b">
        <v>0</v>
      </c>
      <c r="G64" s="22" t="n">
        <v>200</v>
      </c>
      <c r="H64" s="22" t="b">
        <v>1</v>
      </c>
      <c r="I64" s="22" t="inlineStr"/>
      <c r="J64" s="24" t="n"/>
    </row>
    <row r="65">
      <c r="A65" s="47" t="inlineStr">
        <is>
          <t>https://africanmarketingconfederation.org/</t>
        </is>
      </c>
      <c r="B65" s="46" t="inlineStr">
        <is>
          <t>https://africanmarketingconfederation.org/publications-2</t>
        </is>
      </c>
      <c r="C65" s="4" t="inlineStr">
        <is>
          <t>PUBLICATIONS</t>
        </is>
      </c>
      <c r="D65" s="4" t="inlineStr"/>
      <c r="E65" s="4" t="inlineStr">
        <is>
          <t>Internal</t>
        </is>
      </c>
      <c r="F65" s="4" t="b">
        <v>0</v>
      </c>
      <c r="G65" s="4" t="n">
        <v>200</v>
      </c>
      <c r="H65" s="4" t="b">
        <v>1</v>
      </c>
      <c r="I65" s="4" t="inlineStr"/>
    </row>
    <row r="66">
      <c r="A66" s="47" t="inlineStr">
        <is>
          <t>https://africanmarketingconfederation.org/</t>
        </is>
      </c>
      <c r="B66" s="44" t="inlineStr">
        <is>
          <t>https://africanmarketingconfederation.org/amc-conference-2026</t>
        </is>
      </c>
      <c r="C66" s="22" t="inlineStr">
        <is>
          <t>AMC Conference</t>
        </is>
      </c>
      <c r="D66" s="22" t="inlineStr"/>
      <c r="E66" s="22" t="inlineStr">
        <is>
          <t>Internal</t>
        </is>
      </c>
      <c r="F66" s="22" t="b">
        <v>0</v>
      </c>
      <c r="G66" s="22" t="n">
        <v>200</v>
      </c>
      <c r="H66" s="22" t="b">
        <v>1</v>
      </c>
      <c r="I66" s="22" t="inlineStr"/>
      <c r="J66" s="24" t="n"/>
    </row>
    <row r="67">
      <c r="A67" s="47" t="inlineStr">
        <is>
          <t>https://africanmarketingconfederation.org/</t>
        </is>
      </c>
      <c r="B67" s="46" t="inlineStr">
        <is>
          <t>https://africanmarketingconfederation.org/contact-us</t>
        </is>
      </c>
      <c r="C67" s="4" t="inlineStr">
        <is>
          <t>CONTACT US</t>
        </is>
      </c>
      <c r="D67" s="4" t="inlineStr"/>
      <c r="E67" s="4" t="inlineStr">
        <is>
          <t>Internal</t>
        </is>
      </c>
      <c r="F67" s="4" t="b">
        <v>0</v>
      </c>
      <c r="G67" s="4" t="n">
        <v>200</v>
      </c>
      <c r="H67" s="4" t="b">
        <v>1</v>
      </c>
      <c r="I67" s="4" t="inlineStr"/>
    </row>
    <row r="68">
      <c r="A68" s="47" t="inlineStr">
        <is>
          <t>https://africanmarketingconfederation.org/</t>
        </is>
      </c>
      <c r="B68" s="44" t="inlineStr">
        <is>
          <t>https://africanmarketingconfederation.org/amc-conference-2026</t>
        </is>
      </c>
      <c r="C68" s="22" t="inlineStr">
        <is>
          <t>Sign Up for Updates</t>
        </is>
      </c>
      <c r="D68" s="22" t="inlineStr"/>
      <c r="E68" s="22" t="inlineStr">
        <is>
          <t>Internal</t>
        </is>
      </c>
      <c r="F68" s="22" t="b">
        <v>0</v>
      </c>
      <c r="G68" s="22" t="n">
        <v>200</v>
      </c>
      <c r="H68" s="22" t="b">
        <v>1</v>
      </c>
      <c r="I68" s="22" t="inlineStr"/>
      <c r="J68" s="24" t="n"/>
    </row>
    <row r="69">
      <c r="A69" s="47" t="inlineStr">
        <is>
          <t>https://africanmarketingconfederation.org/</t>
        </is>
      </c>
      <c r="B69" s="46" t="inlineStr">
        <is>
          <t>https://africanmarketingconfederation.org/amc-conference-2026</t>
        </is>
      </c>
      <c r="C69" s="4" t="inlineStr">
        <is>
          <t>Sign Up for Updates</t>
        </is>
      </c>
      <c r="D69" s="4" t="inlineStr"/>
      <c r="E69" s="4" t="inlineStr">
        <is>
          <t>Internal</t>
        </is>
      </c>
      <c r="F69" s="4" t="b">
        <v>0</v>
      </c>
      <c r="G69" s="4" t="n">
        <v>200</v>
      </c>
      <c r="H69" s="4" t="b">
        <v>1</v>
      </c>
      <c r="I69" s="4" t="inlineStr"/>
    </row>
    <row r="70">
      <c r="A70" s="47" t="inlineStr">
        <is>
          <t>https://africanmarketingconfederation.org/</t>
        </is>
      </c>
      <c r="B70" s="44" t="inlineStr">
        <is>
          <t>https://africanmarketingconfederation.org/certified-professional-marketer-africa</t>
        </is>
      </c>
      <c r="C70" s="22" t="inlineStr">
        <is>
          <t>Learn More</t>
        </is>
      </c>
      <c r="D70" s="22" t="inlineStr"/>
      <c r="E70" s="22" t="inlineStr">
        <is>
          <t>Internal</t>
        </is>
      </c>
      <c r="F70" s="22" t="b">
        <v>0</v>
      </c>
      <c r="G70" s="22" t="n">
        <v>200</v>
      </c>
      <c r="H70" s="22" t="b">
        <v>1</v>
      </c>
      <c r="I70" s="22" t="inlineStr"/>
      <c r="J70" s="24" t="n"/>
    </row>
    <row r="71">
      <c r="A71" s="47" t="inlineStr">
        <is>
          <t>https://africanmarketingconfederation.org/</t>
        </is>
      </c>
      <c r="B71" s="46" t="inlineStr">
        <is>
          <t>https://africanmarketingconfederation.org/about-us</t>
        </is>
      </c>
      <c r="C71" s="4" t="inlineStr">
        <is>
          <t>Read Now</t>
        </is>
      </c>
      <c r="D71" s="4" t="inlineStr"/>
      <c r="E71" s="4" t="inlineStr">
        <is>
          <t>Internal</t>
        </is>
      </c>
      <c r="F71" s="4" t="b">
        <v>0</v>
      </c>
      <c r="G71" s="4" t="n">
        <v>200</v>
      </c>
      <c r="H71" s="4" t="b">
        <v>1</v>
      </c>
      <c r="I71" s="4" t="inlineStr"/>
    </row>
    <row r="72">
      <c r="A72" s="47" t="inlineStr">
        <is>
          <t>https://africanmarketingconfederation.org/</t>
        </is>
      </c>
      <c r="B72" s="44" t="inlineStr">
        <is>
          <t>https://africanmarketingconfederation.org/amc-conference-2026</t>
        </is>
      </c>
      <c r="C72" s="22" t="inlineStr">
        <is>
          <t>Sign Up for Updates Now</t>
        </is>
      </c>
      <c r="D72" s="22" t="inlineStr"/>
      <c r="E72" s="22" t="inlineStr">
        <is>
          <t>Internal</t>
        </is>
      </c>
      <c r="F72" s="22" t="b">
        <v>0</v>
      </c>
      <c r="G72" s="22" t="n">
        <v>200</v>
      </c>
      <c r="H72" s="22" t="b">
        <v>1</v>
      </c>
      <c r="I72" s="22" t="inlineStr"/>
      <c r="J72" s="24" t="n"/>
    </row>
    <row r="73">
      <c r="A73" s="47" t="inlineStr">
        <is>
          <t>https://africanmarketingconfederation.org/</t>
        </is>
      </c>
      <c r="B73" s="46" t="inlineStr">
        <is>
          <t>https://africanmarketingconfederation.org/amc-conference-2025</t>
        </is>
      </c>
      <c r="C73" s="4" t="inlineStr">
        <is>
          <t>See all Events</t>
        </is>
      </c>
      <c r="D73" s="4" t="inlineStr"/>
      <c r="E73" s="4" t="inlineStr">
        <is>
          <t>Internal</t>
        </is>
      </c>
      <c r="F73" s="4" t="b">
        <v>0</v>
      </c>
      <c r="G73" s="4" t="n">
        <v>200</v>
      </c>
      <c r="H73" s="4" t="b">
        <v>1</v>
      </c>
      <c r="I73" s="4" t="inlineStr"/>
    </row>
    <row r="74">
      <c r="A74" s="47" t="inlineStr">
        <is>
          <t>https://africanmarketingconfederation.org/</t>
        </is>
      </c>
      <c r="B74" s="44" t="inlineStr">
        <is>
          <t>https://africanmarketingconfederation.org/education</t>
        </is>
      </c>
      <c r="C74" s="22" t="inlineStr">
        <is>
          <t>See all</t>
        </is>
      </c>
      <c r="D74" s="22" t="inlineStr"/>
      <c r="E74" s="22" t="inlineStr">
        <is>
          <t>Internal</t>
        </is>
      </c>
      <c r="F74" s="22" t="b">
        <v>0</v>
      </c>
      <c r="G74" s="22" t="n">
        <v>200</v>
      </c>
      <c r="H74" s="22" t="b">
        <v>1</v>
      </c>
      <c r="I74" s="22" t="inlineStr"/>
      <c r="J74" s="24" t="n"/>
    </row>
    <row r="75">
      <c r="A75" s="47" t="inlineStr">
        <is>
          <t>https://africanmarketingconfederation.org/</t>
        </is>
      </c>
      <c r="B75" s="46" t="inlineStr">
        <is>
          <t>https://africanmarketingconfederation.org/publications-2</t>
        </is>
      </c>
      <c r="C75" s="4" t="inlineStr">
        <is>
          <t>Read More</t>
        </is>
      </c>
      <c r="D75" s="4" t="inlineStr"/>
      <c r="E75" s="4" t="inlineStr">
        <is>
          <t>Internal</t>
        </is>
      </c>
      <c r="F75" s="4" t="b">
        <v>0</v>
      </c>
      <c r="G75" s="4" t="n">
        <v>200</v>
      </c>
      <c r="H75" s="4" t="b">
        <v>1</v>
      </c>
      <c r="I75" s="4" t="inlineStr"/>
    </row>
    <row r="76">
      <c r="A76" s="47" t="inlineStr">
        <is>
          <t>https://africanmarketingconfederation.org/</t>
        </is>
      </c>
      <c r="B76" s="44" t="inlineStr">
        <is>
          <t>https://africanmarketingconfederation.org/news-articles</t>
        </is>
      </c>
      <c r="C76" s="22" t="inlineStr">
        <is>
          <t>Read More</t>
        </is>
      </c>
      <c r="D76" s="22" t="inlineStr"/>
      <c r="E76" s="22" t="inlineStr">
        <is>
          <t>Internal</t>
        </is>
      </c>
      <c r="F76" s="22" t="b">
        <v>0</v>
      </c>
      <c r="G76" s="22" t="n">
        <v>200</v>
      </c>
      <c r="H76" s="22" t="b">
        <v>1</v>
      </c>
      <c r="I76" s="22" t="inlineStr"/>
      <c r="J76" s="24" t="n"/>
    </row>
    <row r="77">
      <c r="A77" s="47" t="inlineStr">
        <is>
          <t>https://africanmarketingconfederation.org/</t>
        </is>
      </c>
      <c r="B77" s="46" t="inlineStr">
        <is>
          <t>https://africanmarketingconfederation.org/publications-2</t>
        </is>
      </c>
      <c r="C77" s="4" t="inlineStr">
        <is>
          <t>Read Now</t>
        </is>
      </c>
      <c r="D77" s="4" t="inlineStr"/>
      <c r="E77" s="4" t="inlineStr">
        <is>
          <t>Internal</t>
        </is>
      </c>
      <c r="F77" s="4" t="b">
        <v>0</v>
      </c>
      <c r="G77" s="4" t="n">
        <v>200</v>
      </c>
      <c r="H77" s="4" t="b">
        <v>1</v>
      </c>
      <c r="I77" s="4" t="inlineStr"/>
    </row>
    <row r="78">
      <c r="A78" s="47" t="inlineStr">
        <is>
          <t>https://africanmarketingconfederation.org/</t>
        </is>
      </c>
      <c r="B78" s="44" t="inlineStr">
        <is>
          <t>https://africanmarketingconfederation.org/publications-2</t>
        </is>
      </c>
      <c r="C78" s="22" t="inlineStr">
        <is>
          <t>Read Now</t>
        </is>
      </c>
      <c r="D78" s="22" t="inlineStr"/>
      <c r="E78" s="22" t="inlineStr">
        <is>
          <t>Internal</t>
        </is>
      </c>
      <c r="F78" s="22" t="b">
        <v>0</v>
      </c>
      <c r="G78" s="22" t="n">
        <v>200</v>
      </c>
      <c r="H78" s="22" t="b">
        <v>1</v>
      </c>
      <c r="I78" s="22" t="inlineStr"/>
      <c r="J78" s="24" t="n"/>
    </row>
    <row r="79">
      <c r="A79" s="47" t="inlineStr">
        <is>
          <t>https://africanmarketingconfederation.org/</t>
        </is>
      </c>
      <c r="B79" s="46" t="inlineStr">
        <is>
          <t>https://africanmarketingconfederation.org/publications-2</t>
        </is>
      </c>
      <c r="C79" s="4" t="inlineStr">
        <is>
          <t>Read Now</t>
        </is>
      </c>
      <c r="D79" s="4" t="inlineStr"/>
      <c r="E79" s="4" t="inlineStr">
        <is>
          <t>Internal</t>
        </is>
      </c>
      <c r="F79" s="4" t="b">
        <v>0</v>
      </c>
      <c r="G79" s="4" t="n">
        <v>200</v>
      </c>
      <c r="H79" s="4" t="b">
        <v>1</v>
      </c>
      <c r="I79" s="4" t="inlineStr"/>
    </row>
    <row r="80">
      <c r="A80" s="47" t="inlineStr">
        <is>
          <t>https://africanmarketingconfederation.org/</t>
        </is>
      </c>
      <c r="B80" s="44" t="inlineStr">
        <is>
          <t>https://africanmarketingconfederation.org/subscribe</t>
        </is>
      </c>
      <c r="C80" s="22" t="inlineStr">
        <is>
          <t>Subscribe</t>
        </is>
      </c>
      <c r="D80" s="22" t="inlineStr"/>
      <c r="E80" s="22" t="inlineStr">
        <is>
          <t>Internal</t>
        </is>
      </c>
      <c r="F80" s="22" t="b">
        <v>0</v>
      </c>
      <c r="G80" s="22" t="n">
        <v>200</v>
      </c>
      <c r="H80" s="22" t="b">
        <v>1</v>
      </c>
      <c r="I80" s="22" t="inlineStr"/>
      <c r="J80" s="24" t="n"/>
    </row>
    <row r="81">
      <c r="A81" s="47" t="inlineStr">
        <is>
          <t>https://africanmarketingconfederation.org/</t>
        </is>
      </c>
      <c r="B81" s="46" t="inlineStr">
        <is>
          <t>https://africanmarketingconfederation.org/european-marketers-gather-to-choose-their-top-achievers-for-2026</t>
        </is>
      </c>
      <c r="C81" s="4" t="inlineStr"/>
      <c r="D81" s="4" t="inlineStr"/>
      <c r="E81" s="4" t="inlineStr">
        <is>
          <t>Internal</t>
        </is>
      </c>
      <c r="F81" s="4" t="b">
        <v>0</v>
      </c>
      <c r="G81" s="4" t="n">
        <v>200</v>
      </c>
      <c r="H81" s="4" t="b">
        <v>1</v>
      </c>
      <c r="I81" s="4" t="inlineStr"/>
    </row>
    <row r="82">
      <c r="A82" s="47" t="inlineStr">
        <is>
          <t>https://africanmarketingconfederation.org/</t>
        </is>
      </c>
      <c r="B82" s="44" t="inlineStr">
        <is>
          <t>https://africanmarketingconfederation.org/european-marketers-gather-to-choose-their-top-achievers-for-2026</t>
        </is>
      </c>
      <c r="C82" s="22" t="inlineStr">
        <is>
          <t>European marketers gather to choose their top achievers for 2026</t>
        </is>
      </c>
      <c r="D82" s="22" t="inlineStr"/>
      <c r="E82" s="22" t="inlineStr">
        <is>
          <t>Internal</t>
        </is>
      </c>
      <c r="F82" s="22" t="b">
        <v>0</v>
      </c>
      <c r="G82" s="22" t="n">
        <v>200</v>
      </c>
      <c r="H82" s="22" t="b">
        <v>1</v>
      </c>
      <c r="I82" s="22" t="inlineStr"/>
      <c r="J82" s="24" t="n"/>
    </row>
    <row r="83">
      <c r="A83" s="47" t="inlineStr">
        <is>
          <t>https://africanmarketingconfederation.org/</t>
        </is>
      </c>
      <c r="B83" s="46" t="inlineStr">
        <is>
          <t>https://africanmarketingconfederation.org/european-marketers-gather-to-choose-their-top-achievers-for-2026</t>
        </is>
      </c>
      <c r="C83" s="4" t="inlineStr">
        <is>
          <t>Read More »</t>
        </is>
      </c>
      <c r="D83" s="4" t="inlineStr"/>
      <c r="E83" s="4" t="inlineStr">
        <is>
          <t>Internal</t>
        </is>
      </c>
      <c r="F83" s="4" t="b">
        <v>0</v>
      </c>
      <c r="G83" s="4" t="n">
        <v>200</v>
      </c>
      <c r="H83" s="4" t="b">
        <v>1</v>
      </c>
      <c r="I83" s="4" t="inlineStr"/>
    </row>
    <row r="84">
      <c r="A84" s="47" t="inlineStr">
        <is>
          <t>https://africanmarketingconfederation.org/</t>
        </is>
      </c>
      <c r="B84" s="44" t="inlineStr">
        <is>
          <t>https://africanmarketingconfederation.org/namibia-bets-on-walvis-bay-port-as-increasingly-viable-alternative</t>
        </is>
      </c>
      <c r="C84" s="22" t="inlineStr"/>
      <c r="D84" s="22" t="inlineStr"/>
      <c r="E84" s="22" t="inlineStr">
        <is>
          <t>Internal</t>
        </is>
      </c>
      <c r="F84" s="22" t="b">
        <v>0</v>
      </c>
      <c r="G84" s="22" t="n">
        <v>200</v>
      </c>
      <c r="H84" s="22" t="b">
        <v>1</v>
      </c>
      <c r="I84" s="22" t="inlineStr"/>
      <c r="J84" s="24" t="n"/>
    </row>
    <row r="85">
      <c r="A85" s="47" t="inlineStr">
        <is>
          <t>https://africanmarketingconfederation.org/</t>
        </is>
      </c>
      <c r="B85" s="46" t="inlineStr">
        <is>
          <t>https://africanmarketingconfederation.org/namibia-bets-on-walvis-bay-port-as-increasingly-viable-alternative</t>
        </is>
      </c>
      <c r="C85" s="4" t="inlineStr">
        <is>
          <t>Namibia bets on Walvis Bay port as increasingly viable alternative</t>
        </is>
      </c>
      <c r="D85" s="4" t="inlineStr"/>
      <c r="E85" s="4" t="inlineStr">
        <is>
          <t>Internal</t>
        </is>
      </c>
      <c r="F85" s="4" t="b">
        <v>0</v>
      </c>
      <c r="G85" s="4" t="n">
        <v>200</v>
      </c>
      <c r="H85" s="4" t="b">
        <v>1</v>
      </c>
      <c r="I85" s="4" t="inlineStr"/>
    </row>
    <row r="86">
      <c r="A86" s="47" t="inlineStr">
        <is>
          <t>https://africanmarketingconfederation.org/</t>
        </is>
      </c>
      <c r="B86" s="44" t="inlineStr">
        <is>
          <t>https://africanmarketingconfederation.org/namibia-bets-on-walvis-bay-port-as-increasingly-viable-alternative</t>
        </is>
      </c>
      <c r="C86" s="22" t="inlineStr">
        <is>
          <t>Read More »</t>
        </is>
      </c>
      <c r="D86" s="22" t="inlineStr"/>
      <c r="E86" s="22" t="inlineStr">
        <is>
          <t>Internal</t>
        </is>
      </c>
      <c r="F86" s="22" t="b">
        <v>0</v>
      </c>
      <c r="G86" s="22" t="n">
        <v>200</v>
      </c>
      <c r="H86" s="22" t="b">
        <v>1</v>
      </c>
      <c r="I86" s="22" t="inlineStr"/>
      <c r="J86" s="24" t="n"/>
    </row>
    <row r="87">
      <c r="A87" s="47" t="inlineStr">
        <is>
          <t>https://africanmarketingconfederation.org/</t>
        </is>
      </c>
      <c r="B87" s="46" t="inlineStr">
        <is>
          <t>https://africanmarketingconfederation.org/chatgpt-ads-in-africa-a-game-changer-or-a-trust-gamble</t>
        </is>
      </c>
      <c r="C87" s="4" t="inlineStr"/>
      <c r="D87" s="4" t="inlineStr"/>
      <c r="E87" s="4" t="inlineStr">
        <is>
          <t>Internal</t>
        </is>
      </c>
      <c r="F87" s="4" t="b">
        <v>0</v>
      </c>
      <c r="G87" s="4" t="n">
        <v>200</v>
      </c>
      <c r="H87" s="4" t="b">
        <v>1</v>
      </c>
      <c r="I87" s="4" t="inlineStr"/>
    </row>
    <row r="88">
      <c r="A88" s="47" t="inlineStr">
        <is>
          <t>https://africanmarketingconfederation.org/</t>
        </is>
      </c>
      <c r="B88" s="44" t="inlineStr">
        <is>
          <t>https://africanmarketingconfederation.org/chatgpt-ads-in-africa-a-game-changer-or-a-trust-gamble</t>
        </is>
      </c>
      <c r="C88" s="22" t="inlineStr">
        <is>
          <t>ChatGPT ads in Africa: A game changer or a trust gamble?</t>
        </is>
      </c>
      <c r="D88" s="22" t="inlineStr"/>
      <c r="E88" s="22" t="inlineStr">
        <is>
          <t>Internal</t>
        </is>
      </c>
      <c r="F88" s="22" t="b">
        <v>0</v>
      </c>
      <c r="G88" s="22" t="n">
        <v>200</v>
      </c>
      <c r="H88" s="22" t="b">
        <v>1</v>
      </c>
      <c r="I88" s="22" t="inlineStr"/>
      <c r="J88" s="24" t="n"/>
    </row>
    <row r="89">
      <c r="A89" s="47" t="inlineStr">
        <is>
          <t>https://africanmarketingconfederation.org/</t>
        </is>
      </c>
      <c r="B89" s="46" t="inlineStr">
        <is>
          <t>https://africanmarketingconfederation.org/chatgpt-ads-in-africa-a-game-changer-or-a-trust-gamble</t>
        </is>
      </c>
      <c r="C89" s="4" t="inlineStr">
        <is>
          <t>Read More »</t>
        </is>
      </c>
      <c r="D89" s="4" t="inlineStr"/>
      <c r="E89" s="4" t="inlineStr">
        <is>
          <t>Internal</t>
        </is>
      </c>
      <c r="F89" s="4" t="b">
        <v>0</v>
      </c>
      <c r="G89" s="4" t="n">
        <v>200</v>
      </c>
      <c r="H89" s="4" t="b">
        <v>1</v>
      </c>
      <c r="I89" s="4" t="inlineStr"/>
    </row>
    <row r="90">
      <c r="A90" s="47" t="inlineStr">
        <is>
          <t>https://africanmarketingconfederation.org/</t>
        </is>
      </c>
      <c r="B90" s="44" t="inlineStr">
        <is>
          <t>https://africanmarketingconfederation.org/report-identifies-five-forces-influencing-global-purchasing-decisions</t>
        </is>
      </c>
      <c r="C90" s="22" t="inlineStr"/>
      <c r="D90" s="22" t="inlineStr"/>
      <c r="E90" s="22" t="inlineStr">
        <is>
          <t>Internal</t>
        </is>
      </c>
      <c r="F90" s="22" t="b">
        <v>0</v>
      </c>
      <c r="G90" s="22" t="n">
        <v>200</v>
      </c>
      <c r="H90" s="22" t="b">
        <v>1</v>
      </c>
      <c r="I90" s="22" t="inlineStr"/>
      <c r="J90" s="24" t="n"/>
    </row>
    <row r="91">
      <c r="A91" s="47" t="inlineStr">
        <is>
          <t>https://africanmarketingconfederation.org/</t>
        </is>
      </c>
      <c r="B91" s="46" t="inlineStr">
        <is>
          <t>https://africanmarketingconfederation.org/report-identifies-five-forces-influencing-global-purchasing-decisions</t>
        </is>
      </c>
      <c r="C91" s="4" t="inlineStr">
        <is>
          <t>Report identifies five forces influencing global purchasing decisions</t>
        </is>
      </c>
      <c r="D91" s="4" t="inlineStr"/>
      <c r="E91" s="4" t="inlineStr">
        <is>
          <t>Internal</t>
        </is>
      </c>
      <c r="F91" s="4" t="b">
        <v>0</v>
      </c>
      <c r="G91" s="4" t="n">
        <v>200</v>
      </c>
      <c r="H91" s="4" t="b">
        <v>1</v>
      </c>
      <c r="I91" s="4" t="inlineStr"/>
    </row>
    <row r="92">
      <c r="A92" s="47" t="inlineStr">
        <is>
          <t>https://africanmarketingconfederation.org/</t>
        </is>
      </c>
      <c r="B92" s="44" t="inlineStr">
        <is>
          <t>https://africanmarketingconfederation.org/report-identifies-five-forces-influencing-global-purchasing-decisions</t>
        </is>
      </c>
      <c r="C92" s="22" t="inlineStr">
        <is>
          <t>Read More »</t>
        </is>
      </c>
      <c r="D92" s="22" t="inlineStr"/>
      <c r="E92" s="22" t="inlineStr">
        <is>
          <t>Internal</t>
        </is>
      </c>
      <c r="F92" s="22" t="b">
        <v>0</v>
      </c>
      <c r="G92" s="22" t="n">
        <v>200</v>
      </c>
      <c r="H92" s="22" t="b">
        <v>1</v>
      </c>
      <c r="I92" s="22" t="inlineStr"/>
      <c r="J92" s="24" t="n"/>
    </row>
    <row r="93">
      <c r="A93" s="47" t="inlineStr">
        <is>
          <t>https://africanmarketingconfederation.org/</t>
        </is>
      </c>
      <c r="B93" s="46" t="inlineStr">
        <is>
          <t>https://africanmarketingconfederation.org/out-now-new-issue-brings-latest-news-and-insights-for-africas-marketers</t>
        </is>
      </c>
      <c r="C93" s="4" t="inlineStr"/>
      <c r="D93" s="4" t="inlineStr"/>
      <c r="E93" s="4" t="inlineStr">
        <is>
          <t>Internal</t>
        </is>
      </c>
      <c r="F93" s="4" t="b">
        <v>0</v>
      </c>
      <c r="G93" s="4" t="n">
        <v>200</v>
      </c>
      <c r="H93" s="4" t="b">
        <v>1</v>
      </c>
      <c r="I93" s="4" t="inlineStr"/>
    </row>
    <row r="94">
      <c r="A94" s="47" t="inlineStr">
        <is>
          <t>https://africanmarketingconfederation.org/</t>
        </is>
      </c>
      <c r="B94" s="44" t="inlineStr">
        <is>
          <t>https://africanmarketingconfederation.org/out-now-new-issue-brings-latest-news-and-insights-for-africas-marketers</t>
        </is>
      </c>
      <c r="C94" s="22" t="inlineStr">
        <is>
          <t>Out now! New issue brings latest news and insights for Africa’s marketers</t>
        </is>
      </c>
      <c r="D94" s="22" t="inlineStr"/>
      <c r="E94" s="22" t="inlineStr">
        <is>
          <t>Internal</t>
        </is>
      </c>
      <c r="F94" s="22" t="b">
        <v>0</v>
      </c>
      <c r="G94" s="22" t="n">
        <v>200</v>
      </c>
      <c r="H94" s="22" t="b">
        <v>1</v>
      </c>
      <c r="I94" s="22" t="inlineStr"/>
      <c r="J94" s="24" t="n"/>
    </row>
    <row r="95">
      <c r="A95" s="47" t="inlineStr">
        <is>
          <t>https://africanmarketingconfederation.org/</t>
        </is>
      </c>
      <c r="B95" s="46" t="inlineStr">
        <is>
          <t>https://africanmarketingconfederation.org/out-now-new-issue-brings-latest-news-and-insights-for-africas-marketers</t>
        </is>
      </c>
      <c r="C95" s="4" t="inlineStr">
        <is>
          <t>Read More »</t>
        </is>
      </c>
      <c r="D95" s="4" t="inlineStr"/>
      <c r="E95" s="4" t="inlineStr">
        <is>
          <t>Internal</t>
        </is>
      </c>
      <c r="F95" s="4" t="b">
        <v>0</v>
      </c>
      <c r="G95" s="4" t="n">
        <v>200</v>
      </c>
      <c r="H95" s="4" t="b">
        <v>1</v>
      </c>
      <c r="I95" s="4" t="inlineStr"/>
    </row>
    <row r="96">
      <c r="A96" s="47" t="inlineStr">
        <is>
          <t>https://africanmarketingconfederation.org/</t>
        </is>
      </c>
      <c r="B96" s="44" t="inlineStr">
        <is>
          <t>https://africanmarketingconfederation.org/omnicom-media-study-warns-negative-reach-can-undermine-ad-campaigns</t>
        </is>
      </c>
      <c r="C96" s="22" t="inlineStr"/>
      <c r="D96" s="22" t="inlineStr"/>
      <c r="E96" s="22" t="inlineStr">
        <is>
          <t>Internal</t>
        </is>
      </c>
      <c r="F96" s="22" t="b">
        <v>0</v>
      </c>
      <c r="G96" s="22" t="n">
        <v>200</v>
      </c>
      <c r="H96" s="22" t="b">
        <v>1</v>
      </c>
      <c r="I96" s="22" t="inlineStr"/>
      <c r="J96" s="24" t="n"/>
    </row>
    <row r="97">
      <c r="A97" s="47" t="inlineStr">
        <is>
          <t>https://africanmarketingconfederation.org/</t>
        </is>
      </c>
      <c r="B97" s="46" t="inlineStr">
        <is>
          <t>https://africanmarketingconfederation.org/omnicom-media-study-warns-negative-reach-can-undermine-ad-campaigns</t>
        </is>
      </c>
      <c r="C97" s="4" t="inlineStr">
        <is>
          <t>Omnicom Media study warns ‘negative reach’ can   undermine ad campaigns</t>
        </is>
      </c>
      <c r="D97" s="4" t="inlineStr"/>
      <c r="E97" s="4" t="inlineStr">
        <is>
          <t>Internal</t>
        </is>
      </c>
      <c r="F97" s="4" t="b">
        <v>0</v>
      </c>
      <c r="G97" s="4" t="n">
        <v>200</v>
      </c>
      <c r="H97" s="4" t="b">
        <v>1</v>
      </c>
      <c r="I97" s="4" t="inlineStr"/>
    </row>
    <row r="98">
      <c r="A98" s="47" t="inlineStr">
        <is>
          <t>https://africanmarketingconfederation.org/</t>
        </is>
      </c>
      <c r="B98" s="44" t="inlineStr">
        <is>
          <t>https://africanmarketingconfederation.org/omnicom-media-study-warns-negative-reach-can-undermine-ad-campaigns</t>
        </is>
      </c>
      <c r="C98" s="22" t="inlineStr">
        <is>
          <t>Read More »</t>
        </is>
      </c>
      <c r="D98" s="22" t="inlineStr"/>
      <c r="E98" s="22" t="inlineStr">
        <is>
          <t>Internal</t>
        </is>
      </c>
      <c r="F98" s="22" t="b">
        <v>0</v>
      </c>
      <c r="G98" s="22" t="n">
        <v>200</v>
      </c>
      <c r="H98" s="22" t="b">
        <v>1</v>
      </c>
      <c r="I98" s="22" t="inlineStr"/>
      <c r="J98" s="24" t="n"/>
    </row>
    <row r="99">
      <c r="A99" s="47" t="inlineStr">
        <is>
          <t>https://africanmarketingconfederation.org/</t>
        </is>
      </c>
      <c r="B99" s="46" t="inlineStr">
        <is>
          <t>https://africanmarketingconfederation.org/news-articles</t>
        </is>
      </c>
      <c r="C99" s="4" t="inlineStr">
        <is>
          <t>View all articles »</t>
        </is>
      </c>
      <c r="D99" s="4" t="inlineStr"/>
      <c r="E99" s="4" t="inlineStr">
        <is>
          <t>Internal</t>
        </is>
      </c>
      <c r="F99" s="4" t="b">
        <v>0</v>
      </c>
      <c r="G99" s="4" t="n">
        <v>200</v>
      </c>
      <c r="H99" s="4" t="b">
        <v>1</v>
      </c>
      <c r="I99" s="4" t="inlineStr"/>
    </row>
    <row r="100">
      <c r="A100" s="47" t="inlineStr">
        <is>
          <t>https://africanmarketingconfederation.org/</t>
        </is>
      </c>
      <c r="B100" s="44" t="inlineStr">
        <is>
          <t>https://africanmarketingconfederation.org/publications-2</t>
        </is>
      </c>
      <c r="C100" s="22" t="inlineStr">
        <is>
          <t>Strategic Marketing for AfricaMagazine</t>
        </is>
      </c>
      <c r="D100" s="22" t="inlineStr"/>
      <c r="E100" s="22" t="inlineStr">
        <is>
          <t>Internal</t>
        </is>
      </c>
      <c r="F100" s="22" t="b">
        <v>0</v>
      </c>
      <c r="G100" s="22" t="n">
        <v>200</v>
      </c>
      <c r="H100" s="22" t="b">
        <v>1</v>
      </c>
      <c r="I100" s="22" t="inlineStr"/>
      <c r="J100" s="24" t="n"/>
    </row>
    <row r="101">
      <c r="A101" s="47" t="inlineStr">
        <is>
          <t>https://africanmarketingconfederation.org/</t>
        </is>
      </c>
      <c r="B101" s="46" t="inlineStr">
        <is>
          <t>https://www.facebook.com/The-African-Marketing-Confederation-108980418182403</t>
        </is>
      </c>
      <c r="C101" s="4" t="inlineStr"/>
      <c r="D101" s="4" t="inlineStr"/>
      <c r="E101" s="4" t="inlineStr">
        <is>
          <t>External</t>
        </is>
      </c>
      <c r="F101" s="4" t="b">
        <v>0</v>
      </c>
      <c r="G101" s="4" t="inlineStr"/>
      <c r="H101" s="4" t="b">
        <v>1</v>
      </c>
      <c r="I101" s="4" t="inlineStr"/>
    </row>
    <row r="102">
      <c r="A102" s="47" t="inlineStr">
        <is>
          <t>https://africanmarketingconfederation.org/</t>
        </is>
      </c>
      <c r="B102" s="44" t="inlineStr">
        <is>
          <t>https://www.linkedin.com/company/african-marketing-confederation</t>
        </is>
      </c>
      <c r="C102" s="22" t="inlineStr"/>
      <c r="D102" s="22" t="inlineStr"/>
      <c r="E102" s="22" t="inlineStr">
        <is>
          <t>External</t>
        </is>
      </c>
      <c r="F102" s="22" t="b">
        <v>0</v>
      </c>
      <c r="G102" s="22" t="inlineStr"/>
      <c r="H102" s="22" t="b">
        <v>1</v>
      </c>
      <c r="I102" s="22" t="inlineStr"/>
      <c r="J102" s="24" t="n"/>
    </row>
    <row r="103">
      <c r="A103" s="47" t="inlineStr">
        <is>
          <t>https://africanmarketingconfederation.org/</t>
        </is>
      </c>
      <c r="B103" s="46" t="inlineStr">
        <is>
          <t>https://africanmarketingconfederation.org/privacy-policy</t>
        </is>
      </c>
      <c r="C103" s="4" t="inlineStr">
        <is>
          <t>© 2026 by African Marketing Confederation | Privacy Policy</t>
        </is>
      </c>
      <c r="D103" s="4" t="inlineStr"/>
      <c r="E103" s="4" t="inlineStr">
        <is>
          <t>Internal</t>
        </is>
      </c>
      <c r="F103" s="4" t="b">
        <v>0</v>
      </c>
      <c r="G103" s="4" t="n">
        <v>200</v>
      </c>
      <c r="H103" s="4" t="b">
        <v>1</v>
      </c>
      <c r="I103" s="4" t="inlineStr"/>
    </row>
    <row r="104">
      <c r="A104" s="47" t="inlineStr">
        <is>
          <t>https://africanmarketingconfederation.org/</t>
        </is>
      </c>
      <c r="B104" s="44" t="inlineStr">
        <is>
          <t>https://africanmarketingconfederation.org/amc-conference-2025-delegate-packages</t>
        </is>
      </c>
      <c r="C104" s="22" t="inlineStr">
        <is>
          <t>Return to Shop</t>
        </is>
      </c>
      <c r="D104" s="22" t="inlineStr"/>
      <c r="E104" s="22" t="inlineStr">
        <is>
          <t>Internal</t>
        </is>
      </c>
      <c r="F104" s="22" t="b">
        <v>0</v>
      </c>
      <c r="G104" s="22" t="n">
        <v>404</v>
      </c>
      <c r="H104" s="22" t="b">
        <v>0</v>
      </c>
      <c r="I104" s="22" t="inlineStr"/>
      <c r="J104" s="24" t="n"/>
    </row>
    <row r="105">
      <c r="A105" s="47" t="inlineStr">
        <is>
          <t>https://africanmarketingconfederation.org/</t>
        </is>
      </c>
      <c r="B105" s="46" t="inlineStr">
        <is>
          <t>https://africanmarketingconfederation.org/amc-conference-2025-delegate-packages</t>
        </is>
      </c>
      <c r="C105" s="4" t="inlineStr">
        <is>
          <t>Continue Shopping</t>
        </is>
      </c>
      <c r="D105" s="4" t="inlineStr"/>
      <c r="E105" s="4" t="inlineStr">
        <is>
          <t>Internal</t>
        </is>
      </c>
      <c r="F105" s="4" t="b">
        <v>0</v>
      </c>
      <c r="G105" s="4" t="n">
        <v>404</v>
      </c>
      <c r="H105" s="4" t="b">
        <v>0</v>
      </c>
      <c r="I105" s="4" t="inlineStr"/>
    </row>
    <row r="106">
      <c r="A106" s="47" t="inlineStr">
        <is>
          <t>https://africanmarketingconfederation.org/african-marketing-confederation-tourism-chapter</t>
        </is>
      </c>
      <c r="B106" s="44" t="inlineStr">
        <is>
          <t>https://africanmarketingconfederation.org/</t>
        </is>
      </c>
      <c r="C106" s="22" t="inlineStr"/>
      <c r="D106" s="22" t="inlineStr"/>
      <c r="E106" s="22" t="inlineStr">
        <is>
          <t>Internal</t>
        </is>
      </c>
      <c r="F106" s="22" t="b">
        <v>0</v>
      </c>
      <c r="G106" s="22" t="n">
        <v>200</v>
      </c>
      <c r="H106" s="22" t="b">
        <v>1</v>
      </c>
      <c r="I106" s="22" t="inlineStr"/>
      <c r="J106" s="24" t="n"/>
    </row>
    <row r="107">
      <c r="A107" s="47" t="inlineStr">
        <is>
          <t>https://africanmarketingconfederation.org/african-marketing-confederation-tourism-chapter</t>
        </is>
      </c>
      <c r="B107" s="46" t="inlineStr">
        <is>
          <t>https://africanmarketingconfederation.org/</t>
        </is>
      </c>
      <c r="C107" s="4" t="inlineStr">
        <is>
          <t>HOME</t>
        </is>
      </c>
      <c r="D107" s="4" t="inlineStr"/>
      <c r="E107" s="4" t="inlineStr">
        <is>
          <t>Internal</t>
        </is>
      </c>
      <c r="F107" s="4" t="b">
        <v>0</v>
      </c>
      <c r="G107" s="4" t="n">
        <v>200</v>
      </c>
      <c r="H107" s="4" t="b">
        <v>1</v>
      </c>
      <c r="I107" s="4" t="inlineStr"/>
    </row>
    <row r="108">
      <c r="A108" s="47" t="inlineStr">
        <is>
          <t>https://africanmarketingconfederation.org/african-marketing-confederation-tourism-chapter</t>
        </is>
      </c>
      <c r="B108" s="44" t="inlineStr">
        <is>
          <t>https://africanmarketingconfederation.org/about-us</t>
        </is>
      </c>
      <c r="C108" s="22" t="inlineStr">
        <is>
          <t>ABOUT US</t>
        </is>
      </c>
      <c r="D108" s="22" t="inlineStr"/>
      <c r="E108" s="22" t="inlineStr">
        <is>
          <t>Internal</t>
        </is>
      </c>
      <c r="F108" s="22" t="b">
        <v>0</v>
      </c>
      <c r="G108" s="22" t="n">
        <v>200</v>
      </c>
      <c r="H108" s="22" t="b">
        <v>1</v>
      </c>
      <c r="I108" s="22" t="inlineStr"/>
      <c r="J108" s="24" t="n"/>
    </row>
    <row r="109">
      <c r="A109" s="47" t="inlineStr">
        <is>
          <t>https://africanmarketingconfederation.org/african-marketing-confederation-tourism-chapter</t>
        </is>
      </c>
      <c r="B109" s="46" t="inlineStr">
        <is>
          <t>https://africanmarketingconfederation.org/sub-committees</t>
        </is>
      </c>
      <c r="C109" s="4" t="inlineStr">
        <is>
          <t>AMC COMMITTEES</t>
        </is>
      </c>
      <c r="D109" s="4" t="inlineStr"/>
      <c r="E109" s="4" t="inlineStr">
        <is>
          <t>Internal</t>
        </is>
      </c>
      <c r="F109" s="4" t="b">
        <v>0</v>
      </c>
      <c r="G109" s="4" t="n">
        <v>200</v>
      </c>
      <c r="H109" s="4" t="b">
        <v>1</v>
      </c>
      <c r="I109" s="4" t="inlineStr"/>
    </row>
    <row r="110">
      <c r="A110" s="47" t="inlineStr">
        <is>
          <t>https://africanmarketingconfederation.org/african-marketing-confederation-tourism-chapter</t>
        </is>
      </c>
      <c r="B110" s="44" t="inlineStr">
        <is>
          <t>https://africanmarketingconfederation.org/members</t>
        </is>
      </c>
      <c r="C110" s="22" t="inlineStr">
        <is>
          <t>MEMBERS</t>
        </is>
      </c>
      <c r="D110" s="22" t="inlineStr"/>
      <c r="E110" s="22" t="inlineStr">
        <is>
          <t>Internal</t>
        </is>
      </c>
      <c r="F110" s="22" t="b">
        <v>0</v>
      </c>
      <c r="G110" s="22" t="n">
        <v>200</v>
      </c>
      <c r="H110" s="22" t="b">
        <v>1</v>
      </c>
      <c r="I110" s="22" t="inlineStr"/>
      <c r="J110" s="24" t="n"/>
    </row>
    <row r="111">
      <c r="A111" s="47" t="inlineStr">
        <is>
          <t>https://africanmarketingconfederation.org/african-marketing-confederation-tourism-chapter</t>
        </is>
      </c>
      <c r="B111" s="46" t="inlineStr">
        <is>
          <t>https://africanmarketingconfederation.org/african-marketing-confederation-tourism-chapter</t>
        </is>
      </c>
      <c r="C111" s="4" t="inlineStr">
        <is>
          <t>TOURISM CHAPTER</t>
        </is>
      </c>
      <c r="D111" s="4" t="inlineStr"/>
      <c r="E111" s="4" t="inlineStr">
        <is>
          <t>Internal</t>
        </is>
      </c>
      <c r="F111" s="4" t="b">
        <v>0</v>
      </c>
      <c r="G111" s="4" t="n">
        <v>200</v>
      </c>
      <c r="H111" s="4" t="b">
        <v>1</v>
      </c>
      <c r="I111" s="4" t="inlineStr"/>
    </row>
    <row r="112">
      <c r="A112" s="47" t="inlineStr">
        <is>
          <t>https://africanmarketingconfederation.org/african-marketing-confederation-tourism-chapter</t>
        </is>
      </c>
      <c r="B112" s="44" t="inlineStr">
        <is>
          <t>https://africanmarketingconfederation.org/education</t>
        </is>
      </c>
      <c r="C112" s="22" t="inlineStr">
        <is>
          <t>EDUCATION</t>
        </is>
      </c>
      <c r="D112" s="22" t="inlineStr"/>
      <c r="E112" s="22" t="inlineStr">
        <is>
          <t>Internal</t>
        </is>
      </c>
      <c r="F112" s="22" t="b">
        <v>0</v>
      </c>
      <c r="G112" s="22" t="n">
        <v>200</v>
      </c>
      <c r="H112" s="22" t="b">
        <v>1</v>
      </c>
      <c r="I112" s="22" t="inlineStr"/>
      <c r="J112" s="24" t="n"/>
    </row>
    <row r="113">
      <c r="A113" s="47" t="inlineStr">
        <is>
          <t>https://africanmarketingconfederation.org/african-marketing-confederation-tourism-chapter</t>
        </is>
      </c>
      <c r="B113" s="46" t="inlineStr">
        <is>
          <t>https://africanmarketingconfederation.org/chartered-marketer-africa</t>
        </is>
      </c>
      <c r="C113" s="4" t="inlineStr">
        <is>
          <t>CHARTERED MARKETER (AFRICA)</t>
        </is>
      </c>
      <c r="D113" s="4" t="inlineStr"/>
      <c r="E113" s="4" t="inlineStr">
        <is>
          <t>Internal</t>
        </is>
      </c>
      <c r="F113" s="4" t="b">
        <v>0</v>
      </c>
      <c r="G113" s="4" t="n">
        <v>200</v>
      </c>
      <c r="H113" s="4" t="b">
        <v>1</v>
      </c>
      <c r="I113" s="4" t="inlineStr"/>
    </row>
    <row r="114">
      <c r="A114" s="47" t="inlineStr">
        <is>
          <t>https://africanmarketingconfederation.org/african-marketing-confederation-tourism-chapter</t>
        </is>
      </c>
      <c r="B114" s="44" t="inlineStr">
        <is>
          <t>https://africanmarketingconfederation.org/certified-professional-marketer-africa</t>
        </is>
      </c>
      <c r="C114" s="22" t="inlineStr">
        <is>
          <t>CPM(A)</t>
        </is>
      </c>
      <c r="D114" s="22" t="inlineStr"/>
      <c r="E114" s="22" t="inlineStr">
        <is>
          <t>Internal</t>
        </is>
      </c>
      <c r="F114" s="22" t="b">
        <v>0</v>
      </c>
      <c r="G114" s="22" t="n">
        <v>200</v>
      </c>
      <c r="H114" s="22" t="b">
        <v>1</v>
      </c>
      <c r="I114" s="22" t="inlineStr"/>
      <c r="J114" s="24" t="n"/>
    </row>
    <row r="115">
      <c r="A115" s="47" t="inlineStr">
        <is>
          <t>https://africanmarketingconfederation.org/african-marketing-confederation-tourism-chapter</t>
        </is>
      </c>
      <c r="B115" s="46" t="inlineStr">
        <is>
          <t>https://africanmarketingconfederation.org/news-articles</t>
        </is>
      </c>
      <c r="C115" s="4" t="inlineStr">
        <is>
          <t>NEWS &amp; PUBLICATIONS</t>
        </is>
      </c>
      <c r="D115" s="4" t="inlineStr"/>
      <c r="E115" s="4" t="inlineStr">
        <is>
          <t>Internal</t>
        </is>
      </c>
      <c r="F115" s="4" t="b">
        <v>0</v>
      </c>
      <c r="G115" s="4" t="n">
        <v>200</v>
      </c>
      <c r="H115" s="4" t="b">
        <v>1</v>
      </c>
      <c r="I115" s="4" t="inlineStr"/>
    </row>
    <row r="116">
      <c r="A116" s="47" t="inlineStr">
        <is>
          <t>https://africanmarketingconfederation.org/african-marketing-confederation-tourism-chapter</t>
        </is>
      </c>
      <c r="B116" s="44" t="inlineStr">
        <is>
          <t>https://africanmarketingconfederation.org/news-articles</t>
        </is>
      </c>
      <c r="C116" s="22" t="inlineStr">
        <is>
          <t>NEWS ARTICLES</t>
        </is>
      </c>
      <c r="D116" s="22" t="inlineStr"/>
      <c r="E116" s="22" t="inlineStr">
        <is>
          <t>Internal</t>
        </is>
      </c>
      <c r="F116" s="22" t="b">
        <v>0</v>
      </c>
      <c r="G116" s="22" t="n">
        <v>200</v>
      </c>
      <c r="H116" s="22" t="b">
        <v>1</v>
      </c>
      <c r="I116" s="22" t="inlineStr"/>
      <c r="J116" s="24" t="n"/>
    </row>
    <row r="117">
      <c r="A117" s="47" t="inlineStr">
        <is>
          <t>https://africanmarketingconfederation.org/african-marketing-confederation-tourism-chapter</t>
        </is>
      </c>
      <c r="B117" s="46" t="inlineStr">
        <is>
          <t>https://africanmarketingconfederation.org/publications-2</t>
        </is>
      </c>
      <c r="C117" s="4" t="inlineStr">
        <is>
          <t>PUBLICATIONS</t>
        </is>
      </c>
      <c r="D117" s="4" t="inlineStr"/>
      <c r="E117" s="4" t="inlineStr">
        <is>
          <t>Internal</t>
        </is>
      </c>
      <c r="F117" s="4" t="b">
        <v>0</v>
      </c>
      <c r="G117" s="4" t="n">
        <v>200</v>
      </c>
      <c r="H117" s="4" t="b">
        <v>1</v>
      </c>
      <c r="I117" s="4" t="inlineStr"/>
    </row>
    <row r="118">
      <c r="A118" s="47" t="inlineStr">
        <is>
          <t>https://africanmarketingconfederation.org/african-marketing-confederation-tourism-chapter</t>
        </is>
      </c>
      <c r="B118" s="44" t="inlineStr">
        <is>
          <t>https://africanmarketingconfederation.org/amc-conference-2026</t>
        </is>
      </c>
      <c r="C118" s="22" t="inlineStr">
        <is>
          <t>AMC Conference</t>
        </is>
      </c>
      <c r="D118" s="22" t="inlineStr"/>
      <c r="E118" s="22" t="inlineStr">
        <is>
          <t>Internal</t>
        </is>
      </c>
      <c r="F118" s="22" t="b">
        <v>0</v>
      </c>
      <c r="G118" s="22" t="n">
        <v>200</v>
      </c>
      <c r="H118" s="22" t="b">
        <v>1</v>
      </c>
      <c r="I118" s="22" t="inlineStr"/>
      <c r="J118" s="24" t="n"/>
    </row>
    <row r="119">
      <c r="A119" s="47" t="inlineStr">
        <is>
          <t>https://africanmarketingconfederation.org/african-marketing-confederation-tourism-chapter</t>
        </is>
      </c>
      <c r="B119" s="46" t="inlineStr">
        <is>
          <t>https://africanmarketingconfederation.org/contact-us</t>
        </is>
      </c>
      <c r="C119" s="4" t="inlineStr">
        <is>
          <t>CONTACT US</t>
        </is>
      </c>
      <c r="D119" s="4" t="inlineStr"/>
      <c r="E119" s="4" t="inlineStr">
        <is>
          <t>Internal</t>
        </is>
      </c>
      <c r="F119" s="4" t="b">
        <v>0</v>
      </c>
      <c r="G119" s="4" t="n">
        <v>200</v>
      </c>
      <c r="H119" s="4" t="b">
        <v>1</v>
      </c>
      <c r="I119" s="4" t="inlineStr"/>
    </row>
    <row r="120">
      <c r="A120" s="47" t="inlineStr">
        <is>
          <t>https://africanmarketingconfederation.org/african-marketing-confederation-tourism-chapter</t>
        </is>
      </c>
      <c r="B120" s="44" t="inlineStr">
        <is>
          <t>https://africanmarketingconfederation.org/</t>
        </is>
      </c>
      <c r="C120" s="22" t="inlineStr">
        <is>
          <t>HOME</t>
        </is>
      </c>
      <c r="D120" s="22" t="inlineStr"/>
      <c r="E120" s="22" t="inlineStr">
        <is>
          <t>Internal</t>
        </is>
      </c>
      <c r="F120" s="22" t="b">
        <v>0</v>
      </c>
      <c r="G120" s="22" t="n">
        <v>200</v>
      </c>
      <c r="H120" s="22" t="b">
        <v>1</v>
      </c>
      <c r="I120" s="22" t="inlineStr"/>
      <c r="J120" s="24" t="n"/>
    </row>
    <row r="121">
      <c r="A121" s="47" t="inlineStr">
        <is>
          <t>https://africanmarketingconfederation.org/african-marketing-confederation-tourism-chapter</t>
        </is>
      </c>
      <c r="B121" s="46" t="inlineStr">
        <is>
          <t>https://africanmarketingconfederation.org/about-us</t>
        </is>
      </c>
      <c r="C121" s="4" t="inlineStr">
        <is>
          <t>ABOUT US</t>
        </is>
      </c>
      <c r="D121" s="4" t="inlineStr"/>
      <c r="E121" s="4" t="inlineStr">
        <is>
          <t>Internal</t>
        </is>
      </c>
      <c r="F121" s="4" t="b">
        <v>0</v>
      </c>
      <c r="G121" s="4" t="n">
        <v>200</v>
      </c>
      <c r="H121" s="4" t="b">
        <v>1</v>
      </c>
      <c r="I121" s="4" t="inlineStr"/>
    </row>
    <row r="122">
      <c r="A122" s="47" t="inlineStr">
        <is>
          <t>https://africanmarketingconfederation.org/african-marketing-confederation-tourism-chapter</t>
        </is>
      </c>
      <c r="B122" s="44" t="inlineStr">
        <is>
          <t>https://africanmarketingconfederation.org/sub-committees</t>
        </is>
      </c>
      <c r="C122" s="22" t="inlineStr">
        <is>
          <t>AMC COMMITTEES</t>
        </is>
      </c>
      <c r="D122" s="22" t="inlineStr"/>
      <c r="E122" s="22" t="inlineStr">
        <is>
          <t>Internal</t>
        </is>
      </c>
      <c r="F122" s="22" t="b">
        <v>0</v>
      </c>
      <c r="G122" s="22" t="n">
        <v>200</v>
      </c>
      <c r="H122" s="22" t="b">
        <v>1</v>
      </c>
      <c r="I122" s="22" t="inlineStr"/>
      <c r="J122" s="24" t="n"/>
    </row>
    <row r="123">
      <c r="A123" s="47" t="inlineStr">
        <is>
          <t>https://africanmarketingconfederation.org/african-marketing-confederation-tourism-chapter</t>
        </is>
      </c>
      <c r="B123" s="46" t="inlineStr">
        <is>
          <t>https://africanmarketingconfederation.org/members</t>
        </is>
      </c>
      <c r="C123" s="4" t="inlineStr">
        <is>
          <t>MEMBERS</t>
        </is>
      </c>
      <c r="D123" s="4" t="inlineStr"/>
      <c r="E123" s="4" t="inlineStr">
        <is>
          <t>Internal</t>
        </is>
      </c>
      <c r="F123" s="4" t="b">
        <v>0</v>
      </c>
      <c r="G123" s="4" t="n">
        <v>200</v>
      </c>
      <c r="H123" s="4" t="b">
        <v>1</v>
      </c>
      <c r="I123" s="4" t="inlineStr"/>
    </row>
    <row r="124">
      <c r="A124" s="47" t="inlineStr">
        <is>
          <t>https://africanmarketingconfederation.org/african-marketing-confederation-tourism-chapter</t>
        </is>
      </c>
      <c r="B124" s="44" t="inlineStr">
        <is>
          <t>https://africanmarketingconfederation.org/african-marketing-confederation-tourism-chapter</t>
        </is>
      </c>
      <c r="C124" s="22" t="inlineStr">
        <is>
          <t>TOURISM CHAPTER</t>
        </is>
      </c>
      <c r="D124" s="22" t="inlineStr"/>
      <c r="E124" s="22" t="inlineStr">
        <is>
          <t>Internal</t>
        </is>
      </c>
      <c r="F124" s="22" t="b">
        <v>0</v>
      </c>
      <c r="G124" s="22" t="n">
        <v>200</v>
      </c>
      <c r="H124" s="22" t="b">
        <v>1</v>
      </c>
      <c r="I124" s="22" t="inlineStr"/>
      <c r="J124" s="24" t="n"/>
    </row>
    <row r="125">
      <c r="A125" s="47" t="inlineStr">
        <is>
          <t>https://africanmarketingconfederation.org/african-marketing-confederation-tourism-chapter</t>
        </is>
      </c>
      <c r="B125" s="46" t="inlineStr">
        <is>
          <t>https://africanmarketingconfederation.org/education</t>
        </is>
      </c>
      <c r="C125" s="4" t="inlineStr">
        <is>
          <t>EDUCATION</t>
        </is>
      </c>
      <c r="D125" s="4" t="inlineStr"/>
      <c r="E125" s="4" t="inlineStr">
        <is>
          <t>Internal</t>
        </is>
      </c>
      <c r="F125" s="4" t="b">
        <v>0</v>
      </c>
      <c r="G125" s="4" t="n">
        <v>200</v>
      </c>
      <c r="H125" s="4" t="b">
        <v>1</v>
      </c>
      <c r="I125" s="4" t="inlineStr"/>
    </row>
    <row r="126">
      <c r="A126" s="47" t="inlineStr">
        <is>
          <t>https://africanmarketingconfederation.org/african-marketing-confederation-tourism-chapter</t>
        </is>
      </c>
      <c r="B126" s="44" t="inlineStr">
        <is>
          <t>https://africanmarketingconfederation.org/chartered-marketer-africa</t>
        </is>
      </c>
      <c r="C126" s="22" t="inlineStr">
        <is>
          <t>CHARTERED MARKETER (AFRICA)</t>
        </is>
      </c>
      <c r="D126" s="22" t="inlineStr"/>
      <c r="E126" s="22" t="inlineStr">
        <is>
          <t>Internal</t>
        </is>
      </c>
      <c r="F126" s="22" t="b">
        <v>0</v>
      </c>
      <c r="G126" s="22" t="n">
        <v>200</v>
      </c>
      <c r="H126" s="22" t="b">
        <v>1</v>
      </c>
      <c r="I126" s="22" t="inlineStr"/>
      <c r="J126" s="24" t="n"/>
    </row>
    <row r="127">
      <c r="A127" s="47" t="inlineStr">
        <is>
          <t>https://africanmarketingconfederation.org/african-marketing-confederation-tourism-chapter</t>
        </is>
      </c>
      <c r="B127" s="46" t="inlineStr">
        <is>
          <t>https://africanmarketingconfederation.org/certified-professional-marketer-africa</t>
        </is>
      </c>
      <c r="C127" s="4" t="inlineStr">
        <is>
          <t>CPM(A)</t>
        </is>
      </c>
      <c r="D127" s="4" t="inlineStr"/>
      <c r="E127" s="4" t="inlineStr">
        <is>
          <t>Internal</t>
        </is>
      </c>
      <c r="F127" s="4" t="b">
        <v>0</v>
      </c>
      <c r="G127" s="4" t="n">
        <v>200</v>
      </c>
      <c r="H127" s="4" t="b">
        <v>1</v>
      </c>
      <c r="I127" s="4" t="inlineStr"/>
    </row>
    <row r="128">
      <c r="A128" s="47" t="inlineStr">
        <is>
          <t>https://africanmarketingconfederation.org/african-marketing-confederation-tourism-chapter</t>
        </is>
      </c>
      <c r="B128" s="44" t="inlineStr">
        <is>
          <t>https://africanmarketingconfederation.org/news-articles</t>
        </is>
      </c>
      <c r="C128" s="22" t="inlineStr">
        <is>
          <t>NEWS &amp; PUBLICATIONS</t>
        </is>
      </c>
      <c r="D128" s="22" t="inlineStr"/>
      <c r="E128" s="22" t="inlineStr">
        <is>
          <t>Internal</t>
        </is>
      </c>
      <c r="F128" s="22" t="b">
        <v>0</v>
      </c>
      <c r="G128" s="22" t="n">
        <v>200</v>
      </c>
      <c r="H128" s="22" t="b">
        <v>1</v>
      </c>
      <c r="I128" s="22" t="inlineStr"/>
      <c r="J128" s="24" t="n"/>
    </row>
    <row r="129">
      <c r="A129" s="47" t="inlineStr">
        <is>
          <t>https://africanmarketingconfederation.org/african-marketing-confederation-tourism-chapter</t>
        </is>
      </c>
      <c r="B129" s="46" t="inlineStr">
        <is>
          <t>https://africanmarketingconfederation.org/news-articles</t>
        </is>
      </c>
      <c r="C129" s="4" t="inlineStr">
        <is>
          <t>NEWS ARTICLES</t>
        </is>
      </c>
      <c r="D129" s="4" t="inlineStr"/>
      <c r="E129" s="4" t="inlineStr">
        <is>
          <t>Internal</t>
        </is>
      </c>
      <c r="F129" s="4" t="b">
        <v>0</v>
      </c>
      <c r="G129" s="4" t="n">
        <v>200</v>
      </c>
      <c r="H129" s="4" t="b">
        <v>1</v>
      </c>
      <c r="I129" s="4" t="inlineStr"/>
    </row>
    <row r="130">
      <c r="A130" s="47" t="inlineStr">
        <is>
          <t>https://africanmarketingconfederation.org/african-marketing-confederation-tourism-chapter</t>
        </is>
      </c>
      <c r="B130" s="44" t="inlineStr">
        <is>
          <t>https://africanmarketingconfederation.org/publications-2</t>
        </is>
      </c>
      <c r="C130" s="22" t="inlineStr">
        <is>
          <t>PUBLICATIONS</t>
        </is>
      </c>
      <c r="D130" s="22" t="inlineStr"/>
      <c r="E130" s="22" t="inlineStr">
        <is>
          <t>Internal</t>
        </is>
      </c>
      <c r="F130" s="22" t="b">
        <v>0</v>
      </c>
      <c r="G130" s="22" t="n">
        <v>200</v>
      </c>
      <c r="H130" s="22" t="b">
        <v>1</v>
      </c>
      <c r="I130" s="22" t="inlineStr"/>
      <c r="J130" s="24" t="n"/>
    </row>
    <row r="131">
      <c r="A131" s="47" t="inlineStr">
        <is>
          <t>https://africanmarketingconfederation.org/african-marketing-confederation-tourism-chapter</t>
        </is>
      </c>
      <c r="B131" s="46" t="inlineStr">
        <is>
          <t>https://africanmarketingconfederation.org/amc-conference-2026</t>
        </is>
      </c>
      <c r="C131" s="4" t="inlineStr">
        <is>
          <t>AMC Conference</t>
        </is>
      </c>
      <c r="D131" s="4" t="inlineStr"/>
      <c r="E131" s="4" t="inlineStr">
        <is>
          <t>Internal</t>
        </is>
      </c>
      <c r="F131" s="4" t="b">
        <v>0</v>
      </c>
      <c r="G131" s="4" t="n">
        <v>200</v>
      </c>
      <c r="H131" s="4" t="b">
        <v>1</v>
      </c>
      <c r="I131" s="4" t="inlineStr"/>
    </row>
    <row r="132">
      <c r="A132" s="47" t="inlineStr">
        <is>
          <t>https://africanmarketingconfederation.org/african-marketing-confederation-tourism-chapter</t>
        </is>
      </c>
      <c r="B132" s="44" t="inlineStr">
        <is>
          <t>https://africanmarketingconfederation.org/contact-us</t>
        </is>
      </c>
      <c r="C132" s="22" t="inlineStr">
        <is>
          <t>CONTACT US</t>
        </is>
      </c>
      <c r="D132" s="22" t="inlineStr"/>
      <c r="E132" s="22" t="inlineStr">
        <is>
          <t>Internal</t>
        </is>
      </c>
      <c r="F132" s="22" t="b">
        <v>0</v>
      </c>
      <c r="G132" s="22" t="n">
        <v>200</v>
      </c>
      <c r="H132" s="22" t="b">
        <v>1</v>
      </c>
      <c r="I132" s="22" t="inlineStr"/>
      <c r="J132" s="24" t="n"/>
    </row>
    <row r="133">
      <c r="A133" s="47" t="inlineStr">
        <is>
          <t>https://africanmarketingconfederation.org/african-marketing-confederation-tourism-chapter</t>
        </is>
      </c>
      <c r="B133" s="46" t="inlineStr">
        <is>
          <t>http://www.africanmarketingconfederation.org/</t>
        </is>
      </c>
      <c r="C133" s="4" t="inlineStr"/>
      <c r="D133" s="4" t="inlineStr"/>
      <c r="E133" s="4" t="inlineStr">
        <is>
          <t>External</t>
        </is>
      </c>
      <c r="F133" s="4" t="b">
        <v>0</v>
      </c>
      <c r="G133" s="4" t="inlineStr"/>
      <c r="H133" s="4" t="b">
        <v>1</v>
      </c>
      <c r="I133" s="4" t="inlineStr"/>
    </row>
    <row r="134">
      <c r="A134" s="47" t="inlineStr">
        <is>
          <t>https://africanmarketingconfederation.org/african-marketing-confederation-tourism-chapter</t>
        </is>
      </c>
      <c r="B134" s="44" t="inlineStr">
        <is>
          <t>https://africanmarketingconfederation.org/</t>
        </is>
      </c>
      <c r="C134" s="22" t="inlineStr">
        <is>
          <t>HOME</t>
        </is>
      </c>
      <c r="D134" s="22" t="inlineStr"/>
      <c r="E134" s="22" t="inlineStr">
        <is>
          <t>Internal</t>
        </is>
      </c>
      <c r="F134" s="22" t="b">
        <v>0</v>
      </c>
      <c r="G134" s="22" t="n">
        <v>200</v>
      </c>
      <c r="H134" s="22" t="b">
        <v>1</v>
      </c>
      <c r="I134" s="22" t="inlineStr"/>
      <c r="J134" s="24" t="n"/>
    </row>
    <row r="135">
      <c r="A135" s="47" t="inlineStr">
        <is>
          <t>https://africanmarketingconfederation.org/african-marketing-confederation-tourism-chapter</t>
        </is>
      </c>
      <c r="B135" s="46" t="inlineStr">
        <is>
          <t>https://africanmarketingconfederation.org/about-us</t>
        </is>
      </c>
      <c r="C135" s="4" t="inlineStr">
        <is>
          <t>ABOUT US</t>
        </is>
      </c>
      <c r="D135" s="4" t="inlineStr"/>
      <c r="E135" s="4" t="inlineStr">
        <is>
          <t>Internal</t>
        </is>
      </c>
      <c r="F135" s="4" t="b">
        <v>0</v>
      </c>
      <c r="G135" s="4" t="n">
        <v>200</v>
      </c>
      <c r="H135" s="4" t="b">
        <v>1</v>
      </c>
      <c r="I135" s="4" t="inlineStr"/>
    </row>
    <row r="136">
      <c r="A136" s="47" t="inlineStr">
        <is>
          <t>https://africanmarketingconfederation.org/african-marketing-confederation-tourism-chapter</t>
        </is>
      </c>
      <c r="B136" s="44" t="inlineStr">
        <is>
          <t>https://africanmarketingconfederation.org/sub-committees</t>
        </is>
      </c>
      <c r="C136" s="22" t="inlineStr">
        <is>
          <t>AMC COMMITTEES</t>
        </is>
      </c>
      <c r="D136" s="22" t="inlineStr"/>
      <c r="E136" s="22" t="inlineStr">
        <is>
          <t>Internal</t>
        </is>
      </c>
      <c r="F136" s="22" t="b">
        <v>0</v>
      </c>
      <c r="G136" s="22" t="n">
        <v>200</v>
      </c>
      <c r="H136" s="22" t="b">
        <v>1</v>
      </c>
      <c r="I136" s="22" t="inlineStr"/>
      <c r="J136" s="24" t="n"/>
    </row>
    <row r="137">
      <c r="A137" s="47" t="inlineStr">
        <is>
          <t>https://africanmarketingconfederation.org/african-marketing-confederation-tourism-chapter</t>
        </is>
      </c>
      <c r="B137" s="46" t="inlineStr">
        <is>
          <t>https://africanmarketingconfederation.org/members</t>
        </is>
      </c>
      <c r="C137" s="4" t="inlineStr">
        <is>
          <t>MEMBERS</t>
        </is>
      </c>
      <c r="D137" s="4" t="inlineStr"/>
      <c r="E137" s="4" t="inlineStr">
        <is>
          <t>Internal</t>
        </is>
      </c>
      <c r="F137" s="4" t="b">
        <v>0</v>
      </c>
      <c r="G137" s="4" t="n">
        <v>200</v>
      </c>
      <c r="H137" s="4" t="b">
        <v>1</v>
      </c>
      <c r="I137" s="4" t="inlineStr"/>
    </row>
    <row r="138">
      <c r="A138" s="47" t="inlineStr">
        <is>
          <t>https://africanmarketingconfederation.org/african-marketing-confederation-tourism-chapter</t>
        </is>
      </c>
      <c r="B138" s="44" t="inlineStr">
        <is>
          <t>https://africanmarketingconfederation.org/african-marketing-confederation-tourism-chapter</t>
        </is>
      </c>
      <c r="C138" s="22" t="inlineStr">
        <is>
          <t>TOURISM CHAPTER</t>
        </is>
      </c>
      <c r="D138" s="22" t="inlineStr"/>
      <c r="E138" s="22" t="inlineStr">
        <is>
          <t>Internal</t>
        </is>
      </c>
      <c r="F138" s="22" t="b">
        <v>0</v>
      </c>
      <c r="G138" s="22" t="n">
        <v>200</v>
      </c>
      <c r="H138" s="22" t="b">
        <v>1</v>
      </c>
      <c r="I138" s="22" t="inlineStr"/>
      <c r="J138" s="24" t="n"/>
    </row>
    <row r="139">
      <c r="A139" s="47" t="inlineStr">
        <is>
          <t>https://africanmarketingconfederation.org/african-marketing-confederation-tourism-chapter</t>
        </is>
      </c>
      <c r="B139" s="46" t="inlineStr">
        <is>
          <t>https://africanmarketingconfederation.org/education</t>
        </is>
      </c>
      <c r="C139" s="4" t="inlineStr">
        <is>
          <t>EDUCATION</t>
        </is>
      </c>
      <c r="D139" s="4" t="inlineStr"/>
      <c r="E139" s="4" t="inlineStr">
        <is>
          <t>Internal</t>
        </is>
      </c>
      <c r="F139" s="4" t="b">
        <v>0</v>
      </c>
      <c r="G139" s="4" t="n">
        <v>200</v>
      </c>
      <c r="H139" s="4" t="b">
        <v>1</v>
      </c>
      <c r="I139" s="4" t="inlineStr"/>
    </row>
    <row r="140">
      <c r="A140" s="47" t="inlineStr">
        <is>
          <t>https://africanmarketingconfederation.org/african-marketing-confederation-tourism-chapter</t>
        </is>
      </c>
      <c r="B140" s="44" t="inlineStr">
        <is>
          <t>https://africanmarketingconfederation.org/chartered-marketer-africa</t>
        </is>
      </c>
      <c r="C140" s="22" t="inlineStr">
        <is>
          <t>CHARTERED MARKETER (AFRICA)</t>
        </is>
      </c>
      <c r="D140" s="22" t="inlineStr"/>
      <c r="E140" s="22" t="inlineStr">
        <is>
          <t>Internal</t>
        </is>
      </c>
      <c r="F140" s="22" t="b">
        <v>0</v>
      </c>
      <c r="G140" s="22" t="n">
        <v>200</v>
      </c>
      <c r="H140" s="22" t="b">
        <v>1</v>
      </c>
      <c r="I140" s="22" t="inlineStr"/>
      <c r="J140" s="24" t="n"/>
    </row>
    <row r="141">
      <c r="A141" s="47" t="inlineStr">
        <is>
          <t>https://africanmarketingconfederation.org/african-marketing-confederation-tourism-chapter</t>
        </is>
      </c>
      <c r="B141" s="46" t="inlineStr">
        <is>
          <t>https://africanmarketingconfederation.org/certified-professional-marketer-africa</t>
        </is>
      </c>
      <c r="C141" s="4" t="inlineStr">
        <is>
          <t>CPM(A)</t>
        </is>
      </c>
      <c r="D141" s="4" t="inlineStr"/>
      <c r="E141" s="4" t="inlineStr">
        <is>
          <t>Internal</t>
        </is>
      </c>
      <c r="F141" s="4" t="b">
        <v>0</v>
      </c>
      <c r="G141" s="4" t="n">
        <v>200</v>
      </c>
      <c r="H141" s="4" t="b">
        <v>1</v>
      </c>
      <c r="I141" s="4" t="inlineStr"/>
    </row>
    <row r="142">
      <c r="A142" s="47" t="inlineStr">
        <is>
          <t>https://africanmarketingconfederation.org/african-marketing-confederation-tourism-chapter</t>
        </is>
      </c>
      <c r="B142" s="44" t="inlineStr">
        <is>
          <t>https://africanmarketingconfederation.org/news-articles</t>
        </is>
      </c>
      <c r="C142" s="22" t="inlineStr">
        <is>
          <t>NEWS &amp; PUBLICATIONS</t>
        </is>
      </c>
      <c r="D142" s="22" t="inlineStr"/>
      <c r="E142" s="22" t="inlineStr">
        <is>
          <t>Internal</t>
        </is>
      </c>
      <c r="F142" s="22" t="b">
        <v>0</v>
      </c>
      <c r="G142" s="22" t="n">
        <v>200</v>
      </c>
      <c r="H142" s="22" t="b">
        <v>1</v>
      </c>
      <c r="I142" s="22" t="inlineStr"/>
      <c r="J142" s="24" t="n"/>
    </row>
    <row r="143">
      <c r="A143" s="47" t="inlineStr">
        <is>
          <t>https://africanmarketingconfederation.org/african-marketing-confederation-tourism-chapter</t>
        </is>
      </c>
      <c r="B143" s="46" t="inlineStr">
        <is>
          <t>https://africanmarketingconfederation.org/news-articles</t>
        </is>
      </c>
      <c r="C143" s="4" t="inlineStr">
        <is>
          <t>NEWS ARTICLES</t>
        </is>
      </c>
      <c r="D143" s="4" t="inlineStr"/>
      <c r="E143" s="4" t="inlineStr">
        <is>
          <t>Internal</t>
        </is>
      </c>
      <c r="F143" s="4" t="b">
        <v>0</v>
      </c>
      <c r="G143" s="4" t="n">
        <v>200</v>
      </c>
      <c r="H143" s="4" t="b">
        <v>1</v>
      </c>
      <c r="I143" s="4" t="inlineStr"/>
    </row>
    <row r="144">
      <c r="A144" s="47" t="inlineStr">
        <is>
          <t>https://africanmarketingconfederation.org/african-marketing-confederation-tourism-chapter</t>
        </is>
      </c>
      <c r="B144" s="44" t="inlineStr">
        <is>
          <t>https://africanmarketingconfederation.org/publications-2</t>
        </is>
      </c>
      <c r="C144" s="22" t="inlineStr">
        <is>
          <t>PUBLICATIONS</t>
        </is>
      </c>
      <c r="D144" s="22" t="inlineStr"/>
      <c r="E144" s="22" t="inlineStr">
        <is>
          <t>Internal</t>
        </is>
      </c>
      <c r="F144" s="22" t="b">
        <v>0</v>
      </c>
      <c r="G144" s="22" t="n">
        <v>200</v>
      </c>
      <c r="H144" s="22" t="b">
        <v>1</v>
      </c>
      <c r="I144" s="22" t="inlineStr"/>
      <c r="J144" s="24" t="n"/>
    </row>
    <row r="145">
      <c r="A145" s="47" t="inlineStr">
        <is>
          <t>https://africanmarketingconfederation.org/african-marketing-confederation-tourism-chapter</t>
        </is>
      </c>
      <c r="B145" s="46" t="inlineStr">
        <is>
          <t>https://africanmarketingconfederation.org/amc-conference-2026</t>
        </is>
      </c>
      <c r="C145" s="4" t="inlineStr">
        <is>
          <t>AMC Conference</t>
        </is>
      </c>
      <c r="D145" s="4" t="inlineStr"/>
      <c r="E145" s="4" t="inlineStr">
        <is>
          <t>Internal</t>
        </is>
      </c>
      <c r="F145" s="4" t="b">
        <v>0</v>
      </c>
      <c r="G145" s="4" t="n">
        <v>200</v>
      </c>
      <c r="H145" s="4" t="b">
        <v>1</v>
      </c>
      <c r="I145" s="4" t="inlineStr"/>
    </row>
    <row r="146">
      <c r="A146" s="47" t="inlineStr">
        <is>
          <t>https://africanmarketingconfederation.org/african-marketing-confederation-tourism-chapter</t>
        </is>
      </c>
      <c r="B146" s="44" t="inlineStr">
        <is>
          <t>https://africanmarketingconfederation.org/contact-us</t>
        </is>
      </c>
      <c r="C146" s="22" t="inlineStr">
        <is>
          <t>CONTACT US</t>
        </is>
      </c>
      <c r="D146" s="22" t="inlineStr"/>
      <c r="E146" s="22" t="inlineStr">
        <is>
          <t>Internal</t>
        </is>
      </c>
      <c r="F146" s="22" t="b">
        <v>0</v>
      </c>
      <c r="G146" s="22" t="n">
        <v>200</v>
      </c>
      <c r="H146" s="22" t="b">
        <v>1</v>
      </c>
      <c r="I146" s="22" t="inlineStr"/>
      <c r="J146" s="24" t="n"/>
    </row>
    <row r="147">
      <c r="A147" s="47" t="inlineStr">
        <is>
          <t>https://africanmarketingconfederation.org/african-marketing-confederation-tourism-chapter</t>
        </is>
      </c>
      <c r="B147" s="46" t="inlineStr">
        <is>
          <t>https://africanmarketingconfederation.org/</t>
        </is>
      </c>
      <c r="C147" s="4" t="inlineStr">
        <is>
          <t>HOME</t>
        </is>
      </c>
      <c r="D147" s="4" t="inlineStr"/>
      <c r="E147" s="4" t="inlineStr">
        <is>
          <t>Internal</t>
        </is>
      </c>
      <c r="F147" s="4" t="b">
        <v>0</v>
      </c>
      <c r="G147" s="4" t="n">
        <v>200</v>
      </c>
      <c r="H147" s="4" t="b">
        <v>1</v>
      </c>
      <c r="I147" s="4" t="inlineStr"/>
    </row>
    <row r="148">
      <c r="A148" s="47" t="inlineStr">
        <is>
          <t>https://africanmarketingconfederation.org/african-marketing-confederation-tourism-chapter</t>
        </is>
      </c>
      <c r="B148" s="44" t="inlineStr">
        <is>
          <t>https://africanmarketingconfederation.org/about-us</t>
        </is>
      </c>
      <c r="C148" s="22" t="inlineStr">
        <is>
          <t>ABOUT US</t>
        </is>
      </c>
      <c r="D148" s="22" t="inlineStr"/>
      <c r="E148" s="22" t="inlineStr">
        <is>
          <t>Internal</t>
        </is>
      </c>
      <c r="F148" s="22" t="b">
        <v>0</v>
      </c>
      <c r="G148" s="22" t="n">
        <v>200</v>
      </c>
      <c r="H148" s="22" t="b">
        <v>1</v>
      </c>
      <c r="I148" s="22" t="inlineStr"/>
      <c r="J148" s="24" t="n"/>
    </row>
    <row r="149">
      <c r="A149" s="47" t="inlineStr">
        <is>
          <t>https://africanmarketingconfederation.org/african-marketing-confederation-tourism-chapter</t>
        </is>
      </c>
      <c r="B149" s="46" t="inlineStr">
        <is>
          <t>https://africanmarketingconfederation.org/sub-committees</t>
        </is>
      </c>
      <c r="C149" s="4" t="inlineStr">
        <is>
          <t>AMC COMMITTEES</t>
        </is>
      </c>
      <c r="D149" s="4" t="inlineStr"/>
      <c r="E149" s="4" t="inlineStr">
        <is>
          <t>Internal</t>
        </is>
      </c>
      <c r="F149" s="4" t="b">
        <v>0</v>
      </c>
      <c r="G149" s="4" t="n">
        <v>200</v>
      </c>
      <c r="H149" s="4" t="b">
        <v>1</v>
      </c>
      <c r="I149" s="4" t="inlineStr"/>
    </row>
    <row r="150">
      <c r="A150" s="47" t="inlineStr">
        <is>
          <t>https://africanmarketingconfederation.org/african-marketing-confederation-tourism-chapter</t>
        </is>
      </c>
      <c r="B150" s="44" t="inlineStr">
        <is>
          <t>https://africanmarketingconfederation.org/members</t>
        </is>
      </c>
      <c r="C150" s="22" t="inlineStr">
        <is>
          <t>MEMBERS</t>
        </is>
      </c>
      <c r="D150" s="22" t="inlineStr"/>
      <c r="E150" s="22" t="inlineStr">
        <is>
          <t>Internal</t>
        </is>
      </c>
      <c r="F150" s="22" t="b">
        <v>0</v>
      </c>
      <c r="G150" s="22" t="n">
        <v>200</v>
      </c>
      <c r="H150" s="22" t="b">
        <v>1</v>
      </c>
      <c r="I150" s="22" t="inlineStr"/>
      <c r="J150" s="24" t="n"/>
    </row>
    <row r="151">
      <c r="A151" s="47" t="inlineStr">
        <is>
          <t>https://africanmarketingconfederation.org/african-marketing-confederation-tourism-chapter</t>
        </is>
      </c>
      <c r="B151" s="46" t="inlineStr">
        <is>
          <t>https://africanmarketingconfederation.org/african-marketing-confederation-tourism-chapter</t>
        </is>
      </c>
      <c r="C151" s="4" t="inlineStr">
        <is>
          <t>TOURISM CHAPTER</t>
        </is>
      </c>
      <c r="D151" s="4" t="inlineStr"/>
      <c r="E151" s="4" t="inlineStr">
        <is>
          <t>Internal</t>
        </is>
      </c>
      <c r="F151" s="4" t="b">
        <v>0</v>
      </c>
      <c r="G151" s="4" t="n">
        <v>200</v>
      </c>
      <c r="H151" s="4" t="b">
        <v>1</v>
      </c>
      <c r="I151" s="4" t="inlineStr"/>
    </row>
    <row r="152">
      <c r="A152" s="47" t="inlineStr">
        <is>
          <t>https://africanmarketingconfederation.org/african-marketing-confederation-tourism-chapter</t>
        </is>
      </c>
      <c r="B152" s="44" t="inlineStr">
        <is>
          <t>https://africanmarketingconfederation.org/education</t>
        </is>
      </c>
      <c r="C152" s="22" t="inlineStr">
        <is>
          <t>EDUCATION</t>
        </is>
      </c>
      <c r="D152" s="22" t="inlineStr"/>
      <c r="E152" s="22" t="inlineStr">
        <is>
          <t>Internal</t>
        </is>
      </c>
      <c r="F152" s="22" t="b">
        <v>0</v>
      </c>
      <c r="G152" s="22" t="n">
        <v>200</v>
      </c>
      <c r="H152" s="22" t="b">
        <v>1</v>
      </c>
      <c r="I152" s="22" t="inlineStr"/>
      <c r="J152" s="24" t="n"/>
    </row>
    <row r="153">
      <c r="A153" s="47" t="inlineStr">
        <is>
          <t>https://africanmarketingconfederation.org/african-marketing-confederation-tourism-chapter</t>
        </is>
      </c>
      <c r="B153" s="46" t="inlineStr">
        <is>
          <t>https://africanmarketingconfederation.org/chartered-marketer-africa</t>
        </is>
      </c>
      <c r="C153" s="4" t="inlineStr">
        <is>
          <t>CHARTERED MARKETER (AFRICA)</t>
        </is>
      </c>
      <c r="D153" s="4" t="inlineStr"/>
      <c r="E153" s="4" t="inlineStr">
        <is>
          <t>Internal</t>
        </is>
      </c>
      <c r="F153" s="4" t="b">
        <v>0</v>
      </c>
      <c r="G153" s="4" t="n">
        <v>200</v>
      </c>
      <c r="H153" s="4" t="b">
        <v>1</v>
      </c>
      <c r="I153" s="4" t="inlineStr"/>
    </row>
    <row r="154">
      <c r="A154" s="47" t="inlineStr">
        <is>
          <t>https://africanmarketingconfederation.org/african-marketing-confederation-tourism-chapter</t>
        </is>
      </c>
      <c r="B154" s="44" t="inlineStr">
        <is>
          <t>https://africanmarketingconfederation.org/certified-professional-marketer-africa</t>
        </is>
      </c>
      <c r="C154" s="22" t="inlineStr">
        <is>
          <t>CPM(A)</t>
        </is>
      </c>
      <c r="D154" s="22" t="inlineStr"/>
      <c r="E154" s="22" t="inlineStr">
        <is>
          <t>Internal</t>
        </is>
      </c>
      <c r="F154" s="22" t="b">
        <v>0</v>
      </c>
      <c r="G154" s="22" t="n">
        <v>200</v>
      </c>
      <c r="H154" s="22" t="b">
        <v>1</v>
      </c>
      <c r="I154" s="22" t="inlineStr"/>
      <c r="J154" s="24" t="n"/>
    </row>
    <row r="155">
      <c r="A155" s="47" t="inlineStr">
        <is>
          <t>https://africanmarketingconfederation.org/african-marketing-confederation-tourism-chapter</t>
        </is>
      </c>
      <c r="B155" s="46" t="inlineStr">
        <is>
          <t>https://africanmarketingconfederation.org/news-articles</t>
        </is>
      </c>
      <c r="C155" s="4" t="inlineStr">
        <is>
          <t>NEWS &amp; PUBLICATIONS</t>
        </is>
      </c>
      <c r="D155" s="4" t="inlineStr"/>
      <c r="E155" s="4" t="inlineStr">
        <is>
          <t>Internal</t>
        </is>
      </c>
      <c r="F155" s="4" t="b">
        <v>0</v>
      </c>
      <c r="G155" s="4" t="n">
        <v>200</v>
      </c>
      <c r="H155" s="4" t="b">
        <v>1</v>
      </c>
      <c r="I155" s="4" t="inlineStr"/>
    </row>
    <row r="156">
      <c r="A156" s="47" t="inlineStr">
        <is>
          <t>https://africanmarketingconfederation.org/african-marketing-confederation-tourism-chapter</t>
        </is>
      </c>
      <c r="B156" s="44" t="inlineStr">
        <is>
          <t>https://africanmarketingconfederation.org/news-articles</t>
        </is>
      </c>
      <c r="C156" s="22" t="inlineStr">
        <is>
          <t>NEWS ARTICLES</t>
        </is>
      </c>
      <c r="D156" s="22" t="inlineStr"/>
      <c r="E156" s="22" t="inlineStr">
        <is>
          <t>Internal</t>
        </is>
      </c>
      <c r="F156" s="22" t="b">
        <v>0</v>
      </c>
      <c r="G156" s="22" t="n">
        <v>200</v>
      </c>
      <c r="H156" s="22" t="b">
        <v>1</v>
      </c>
      <c r="I156" s="22" t="inlineStr"/>
      <c r="J156" s="24" t="n"/>
    </row>
    <row r="157">
      <c r="A157" s="47" t="inlineStr">
        <is>
          <t>https://africanmarketingconfederation.org/african-marketing-confederation-tourism-chapter</t>
        </is>
      </c>
      <c r="B157" s="46" t="inlineStr">
        <is>
          <t>https://africanmarketingconfederation.org/publications-2</t>
        </is>
      </c>
      <c r="C157" s="4" t="inlineStr">
        <is>
          <t>PUBLICATIONS</t>
        </is>
      </c>
      <c r="D157" s="4" t="inlineStr"/>
      <c r="E157" s="4" t="inlineStr">
        <is>
          <t>Internal</t>
        </is>
      </c>
      <c r="F157" s="4" t="b">
        <v>0</v>
      </c>
      <c r="G157" s="4" t="n">
        <v>200</v>
      </c>
      <c r="H157" s="4" t="b">
        <v>1</v>
      </c>
      <c r="I157" s="4" t="inlineStr"/>
    </row>
    <row r="158">
      <c r="A158" s="47" t="inlineStr">
        <is>
          <t>https://africanmarketingconfederation.org/african-marketing-confederation-tourism-chapter</t>
        </is>
      </c>
      <c r="B158" s="44" t="inlineStr">
        <is>
          <t>https://africanmarketingconfederation.org/amc-conference-2026</t>
        </is>
      </c>
      <c r="C158" s="22" t="inlineStr">
        <is>
          <t>AMC Conference</t>
        </is>
      </c>
      <c r="D158" s="22" t="inlineStr"/>
      <c r="E158" s="22" t="inlineStr">
        <is>
          <t>Internal</t>
        </is>
      </c>
      <c r="F158" s="22" t="b">
        <v>0</v>
      </c>
      <c r="G158" s="22" t="n">
        <v>200</v>
      </c>
      <c r="H158" s="22" t="b">
        <v>1</v>
      </c>
      <c r="I158" s="22" t="inlineStr"/>
      <c r="J158" s="24" t="n"/>
    </row>
    <row r="159">
      <c r="A159" s="47" t="inlineStr">
        <is>
          <t>https://africanmarketingconfederation.org/african-marketing-confederation-tourism-chapter</t>
        </is>
      </c>
      <c r="B159" s="46" t="inlineStr">
        <is>
          <t>https://africanmarketingconfederation.org/contact-us</t>
        </is>
      </c>
      <c r="C159" s="4" t="inlineStr">
        <is>
          <t>CONTACT US</t>
        </is>
      </c>
      <c r="D159" s="4" t="inlineStr"/>
      <c r="E159" s="4" t="inlineStr">
        <is>
          <t>Internal</t>
        </is>
      </c>
      <c r="F159" s="4" t="b">
        <v>0</v>
      </c>
      <c r="G159" s="4" t="n">
        <v>200</v>
      </c>
      <c r="H159" s="4" t="b">
        <v>1</v>
      </c>
      <c r="I159" s="4" t="inlineStr"/>
    </row>
    <row r="160">
      <c r="A160" s="47" t="inlineStr">
        <is>
          <t>https://africanmarketingconfederation.org/african-marketing-confederation-tourism-chapter</t>
        </is>
      </c>
      <c r="B160" s="44" t="inlineStr">
        <is>
          <t>https://africanmarketingconfederation.org/amc-conference-2025-highlights</t>
        </is>
      </c>
      <c r="C160" s="22" t="inlineStr">
        <is>
          <t>2025 Conference Highlights</t>
        </is>
      </c>
      <c r="D160" s="22" t="inlineStr"/>
      <c r="E160" s="22" t="inlineStr">
        <is>
          <t>Internal</t>
        </is>
      </c>
      <c r="F160" s="22" t="b">
        <v>0</v>
      </c>
      <c r="G160" s="22" t="n">
        <v>200</v>
      </c>
      <c r="H160" s="22" t="b">
        <v>1</v>
      </c>
      <c r="I160" s="22" t="inlineStr"/>
      <c r="J160" s="24" t="n"/>
    </row>
    <row r="161">
      <c r="A161" s="47" t="inlineStr">
        <is>
          <t>https://africanmarketingconfederation.org/african-marketing-confederation-tourism-chapter</t>
        </is>
      </c>
      <c r="B161" s="46" t="inlineStr">
        <is>
          <t>https://africanmarketingconfederation.org/publications-2</t>
        </is>
      </c>
      <c r="C161" s="4" t="inlineStr">
        <is>
          <t>Strategic Marketing for AfricaMagazine</t>
        </is>
      </c>
      <c r="D161" s="4" t="inlineStr"/>
      <c r="E161" s="4" t="inlineStr">
        <is>
          <t>Internal</t>
        </is>
      </c>
      <c r="F161" s="4" t="b">
        <v>0</v>
      </c>
      <c r="G161" s="4" t="n">
        <v>200</v>
      </c>
      <c r="H161" s="4" t="b">
        <v>1</v>
      </c>
      <c r="I161" s="4" t="inlineStr"/>
    </row>
    <row r="162">
      <c r="A162" s="47" t="inlineStr">
        <is>
          <t>https://africanmarketingconfederation.org/african-marketing-confederation-tourism-chapter</t>
        </is>
      </c>
      <c r="B162" s="44" t="inlineStr">
        <is>
          <t>https://www.facebook.com/The-African-Marketing-Confederation-108980418182403</t>
        </is>
      </c>
      <c r="C162" s="22" t="inlineStr"/>
      <c r="D162" s="22" t="inlineStr"/>
      <c r="E162" s="22" t="inlineStr">
        <is>
          <t>External</t>
        </is>
      </c>
      <c r="F162" s="22" t="b">
        <v>0</v>
      </c>
      <c r="G162" s="22" t="inlineStr"/>
      <c r="H162" s="22" t="b">
        <v>1</v>
      </c>
      <c r="I162" s="22" t="inlineStr"/>
      <c r="J162" s="24" t="n"/>
    </row>
    <row r="163">
      <c r="A163" s="47" t="inlineStr">
        <is>
          <t>https://africanmarketingconfederation.org/african-marketing-confederation-tourism-chapter</t>
        </is>
      </c>
      <c r="B163" s="46" t="inlineStr">
        <is>
          <t>https://www.linkedin.com/company/african-marketing-confederation</t>
        </is>
      </c>
      <c r="C163" s="4" t="inlineStr"/>
      <c r="D163" s="4" t="inlineStr"/>
      <c r="E163" s="4" t="inlineStr">
        <is>
          <t>External</t>
        </is>
      </c>
      <c r="F163" s="4" t="b">
        <v>0</v>
      </c>
      <c r="G163" s="4" t="inlineStr"/>
      <c r="H163" s="4" t="b">
        <v>1</v>
      </c>
      <c r="I163" s="4" t="inlineStr"/>
    </row>
    <row r="164">
      <c r="A164" s="47" t="inlineStr">
        <is>
          <t>https://africanmarketingconfederation.org/african-marketing-confederation-tourism-chapter</t>
        </is>
      </c>
      <c r="B164" s="44" t="inlineStr">
        <is>
          <t>https://africanmarketingconfederation.org/privacy-policy</t>
        </is>
      </c>
      <c r="C164" s="22" t="inlineStr">
        <is>
          <t>© 2026 by African Marketing Confederation | Privacy Policy</t>
        </is>
      </c>
      <c r="D164" s="22" t="inlineStr"/>
      <c r="E164" s="22" t="inlineStr">
        <is>
          <t>Internal</t>
        </is>
      </c>
      <c r="F164" s="22" t="b">
        <v>0</v>
      </c>
      <c r="G164" s="22" t="n">
        <v>200</v>
      </c>
      <c r="H164" s="22" t="b">
        <v>1</v>
      </c>
      <c r="I164" s="22" t="inlineStr"/>
      <c r="J164" s="24" t="n"/>
    </row>
    <row r="165">
      <c r="A165" s="47" t="inlineStr">
        <is>
          <t>https://africanmarketingconfederation.org/african-marketing-confederation-tourism-chapter</t>
        </is>
      </c>
      <c r="B165" s="46" t="inlineStr">
        <is>
          <t>https://africanmarketingconfederation.org/amc-conference-2025-delegate-packages</t>
        </is>
      </c>
      <c r="C165" s="4" t="inlineStr">
        <is>
          <t>Return to Shop</t>
        </is>
      </c>
      <c r="D165" s="4" t="inlineStr"/>
      <c r="E165" s="4" t="inlineStr">
        <is>
          <t>Internal</t>
        </is>
      </c>
      <c r="F165" s="4" t="b">
        <v>0</v>
      </c>
      <c r="G165" s="4" t="n">
        <v>404</v>
      </c>
      <c r="H165" s="4" t="b">
        <v>0</v>
      </c>
      <c r="I165" s="4" t="inlineStr"/>
    </row>
    <row r="166">
      <c r="A166" s="47" t="inlineStr">
        <is>
          <t>https://africanmarketingconfederation.org/african-marketing-confederation-tourism-chapter</t>
        </is>
      </c>
      <c r="B166" s="44" t="inlineStr">
        <is>
          <t>https://africanmarketingconfederation.org/amc-conference-2025-delegate-packages</t>
        </is>
      </c>
      <c r="C166" s="22" t="inlineStr">
        <is>
          <t>Continue Shopping</t>
        </is>
      </c>
      <c r="D166" s="22" t="inlineStr"/>
      <c r="E166" s="22" t="inlineStr">
        <is>
          <t>Internal</t>
        </is>
      </c>
      <c r="F166" s="22" t="b">
        <v>0</v>
      </c>
      <c r="G166" s="22" t="n">
        <v>404</v>
      </c>
      <c r="H166" s="22" t="b">
        <v>0</v>
      </c>
      <c r="I166" s="22" t="inlineStr"/>
      <c r="J166" s="24" t="n"/>
    </row>
    <row r="167">
      <c r="A167" s="47" t="inlineStr">
        <is>
          <t>https://africanmarketingconfederation.org/amc-awards-2024</t>
        </is>
      </c>
      <c r="B167" s="46" t="inlineStr">
        <is>
          <t>http://www.africanmarketingconfederation.org/</t>
        </is>
      </c>
      <c r="C167" s="4" t="inlineStr"/>
      <c r="D167" s="4" t="inlineStr"/>
      <c r="E167" s="4" t="inlineStr">
        <is>
          <t>External</t>
        </is>
      </c>
      <c r="F167" s="4" t="b">
        <v>0</v>
      </c>
      <c r="G167" s="4" t="inlineStr"/>
      <c r="H167" s="4" t="b">
        <v>1</v>
      </c>
      <c r="I167" s="4" t="inlineStr"/>
    </row>
    <row r="168">
      <c r="A168" s="47" t="inlineStr">
        <is>
          <t>https://africanmarketingconfederation.org/amc-awards-2024</t>
        </is>
      </c>
      <c r="B168" s="44" t="inlineStr">
        <is>
          <t>https://africanmarketingconfederation.org/amc-conference-2025</t>
        </is>
      </c>
      <c r="C168" s="22" t="inlineStr">
        <is>
          <t>GHANA 2025</t>
        </is>
      </c>
      <c r="D168" s="22" t="inlineStr"/>
      <c r="E168" s="22" t="inlineStr">
        <is>
          <t>Internal</t>
        </is>
      </c>
      <c r="F168" s="22" t="b">
        <v>0</v>
      </c>
      <c r="G168" s="22" t="n">
        <v>200</v>
      </c>
      <c r="H168" s="22" t="b">
        <v>1</v>
      </c>
      <c r="I168" s="22" t="inlineStr"/>
      <c r="J168" s="24" t="n"/>
    </row>
    <row r="169">
      <c r="A169" s="47" t="inlineStr">
        <is>
          <t>https://africanmarketingconfederation.org/amc-awards-2024</t>
        </is>
      </c>
      <c r="B169" s="46" t="inlineStr">
        <is>
          <t>https://africanmarketingconfederation.org/speakers-2025</t>
        </is>
      </c>
      <c r="C169" s="4" t="inlineStr">
        <is>
          <t>SPEAKERS 2025</t>
        </is>
      </c>
      <c r="D169" s="4" t="inlineStr"/>
      <c r="E169" s="4" t="inlineStr">
        <is>
          <t>Internal</t>
        </is>
      </c>
      <c r="F169" s="4" t="b">
        <v>0</v>
      </c>
      <c r="G169" s="4" t="n">
        <v>200</v>
      </c>
      <c r="H169" s="4" t="b">
        <v>1</v>
      </c>
      <c r="I169" s="4" t="inlineStr"/>
    </row>
    <row r="170">
      <c r="A170" s="47" t="inlineStr">
        <is>
          <t>https://africanmarketingconfederation.org/amc-awards-2024</t>
        </is>
      </c>
      <c r="B170" s="44" t="inlineStr">
        <is>
          <t>https://africanmarketingconfederation.org/amc-marketing-conference-2024/amc-programme-2025</t>
        </is>
      </c>
      <c r="C170" s="22" t="inlineStr">
        <is>
          <t>AMC PROGRAMME 2025</t>
        </is>
      </c>
      <c r="D170" s="22" t="inlineStr"/>
      <c r="E170" s="22" t="inlineStr">
        <is>
          <t>Internal</t>
        </is>
      </c>
      <c r="F170" s="22" t="b">
        <v>0</v>
      </c>
      <c r="G170" s="22" t="n">
        <v>200</v>
      </c>
      <c r="H170" s="22" t="b">
        <v>1</v>
      </c>
      <c r="I170" s="22" t="inlineStr"/>
      <c r="J170" s="24" t="n"/>
    </row>
    <row r="171">
      <c r="A171" s="47" t="inlineStr">
        <is>
          <t>https://africanmarketingconfederation.org/amc-awards-2024</t>
        </is>
      </c>
      <c r="B171" s="46" t="inlineStr">
        <is>
          <t>https://africanmarketingconfederation.org/amc-marketing-conference-2024/awards-2025</t>
        </is>
      </c>
      <c r="C171" s="4" t="inlineStr">
        <is>
          <t>AWARDS 2025</t>
        </is>
      </c>
      <c r="D171" s="4" t="inlineStr"/>
      <c r="E171" s="4" t="inlineStr">
        <is>
          <t>Internal</t>
        </is>
      </c>
      <c r="F171" s="4" t="b">
        <v>0</v>
      </c>
      <c r="G171" s="4" t="n">
        <v>200</v>
      </c>
      <c r="H171" s="4" t="b">
        <v>1</v>
      </c>
      <c r="I171" s="4" t="inlineStr"/>
    </row>
    <row r="172">
      <c r="A172" s="47" t="inlineStr">
        <is>
          <t>https://africanmarketingconfederation.org/amc-awards-2024</t>
        </is>
      </c>
      <c r="B172" s="44" t="inlineStr">
        <is>
          <t>https://africanmarketingconfederation.org/amc-sponsors-2025</t>
        </is>
      </c>
      <c r="C172" s="22" t="inlineStr">
        <is>
          <t>SPONSORS 2025</t>
        </is>
      </c>
      <c r="D172" s="22" t="inlineStr"/>
      <c r="E172" s="22" t="inlineStr">
        <is>
          <t>Internal</t>
        </is>
      </c>
      <c r="F172" s="22" t="b">
        <v>0</v>
      </c>
      <c r="G172" s="22" t="n">
        <v>200</v>
      </c>
      <c r="H172" s="22" t="b">
        <v>1</v>
      </c>
      <c r="I172" s="22" t="inlineStr"/>
      <c r="J172" s="24" t="n"/>
    </row>
    <row r="173">
      <c r="A173" s="47" t="inlineStr">
        <is>
          <t>https://africanmarketingconfederation.org/amc-awards-2024</t>
        </is>
      </c>
      <c r="B173" s="46" t="inlineStr">
        <is>
          <t>https://africanmarketingconfederation.org/conference-faq-2025</t>
        </is>
      </c>
      <c r="C173" s="4" t="inlineStr">
        <is>
          <t>FAQ 2025</t>
        </is>
      </c>
      <c r="D173" s="4" t="inlineStr"/>
      <c r="E173" s="4" t="inlineStr">
        <is>
          <t>Internal</t>
        </is>
      </c>
      <c r="F173" s="4" t="b">
        <v>0</v>
      </c>
      <c r="G173" s="4" t="n">
        <v>200</v>
      </c>
      <c r="H173" s="4" t="b">
        <v>1</v>
      </c>
      <c r="I173" s="4" t="inlineStr"/>
    </row>
    <row r="174">
      <c r="A174" s="47" t="inlineStr">
        <is>
          <t>https://africanmarketingconfederation.org/amc-awards-2024</t>
        </is>
      </c>
      <c r="B174" s="44" t="inlineStr">
        <is>
          <t>https://africanmarketingconfederation.org/amc-conference-2025</t>
        </is>
      </c>
      <c r="C174" s="22" t="inlineStr">
        <is>
          <t>GHANA 2025</t>
        </is>
      </c>
      <c r="D174" s="22" t="inlineStr"/>
      <c r="E174" s="22" t="inlineStr">
        <is>
          <t>Internal</t>
        </is>
      </c>
      <c r="F174" s="22" t="b">
        <v>0</v>
      </c>
      <c r="G174" s="22" t="n">
        <v>200</v>
      </c>
      <c r="H174" s="22" t="b">
        <v>1</v>
      </c>
      <c r="I174" s="22" t="inlineStr"/>
      <c r="J174" s="24" t="n"/>
    </row>
    <row r="175">
      <c r="A175" s="47" t="inlineStr">
        <is>
          <t>https://africanmarketingconfederation.org/amc-awards-2024</t>
        </is>
      </c>
      <c r="B175" s="46" t="inlineStr">
        <is>
          <t>https://africanmarketingconfederation.org/speakers-2025</t>
        </is>
      </c>
      <c r="C175" s="4" t="inlineStr">
        <is>
          <t>SPEAKERS 2025</t>
        </is>
      </c>
      <c r="D175" s="4" t="inlineStr"/>
      <c r="E175" s="4" t="inlineStr">
        <is>
          <t>Internal</t>
        </is>
      </c>
      <c r="F175" s="4" t="b">
        <v>0</v>
      </c>
      <c r="G175" s="4" t="n">
        <v>200</v>
      </c>
      <c r="H175" s="4" t="b">
        <v>1</v>
      </c>
      <c r="I175" s="4" t="inlineStr"/>
    </row>
    <row r="176">
      <c r="A176" s="47" t="inlineStr">
        <is>
          <t>https://africanmarketingconfederation.org/amc-awards-2024</t>
        </is>
      </c>
      <c r="B176" s="44" t="inlineStr">
        <is>
          <t>https://africanmarketingconfederation.org/amc-marketing-conference-2024/amc-programme-2025</t>
        </is>
      </c>
      <c r="C176" s="22" t="inlineStr">
        <is>
          <t>AMC PROGRAMME 2025</t>
        </is>
      </c>
      <c r="D176" s="22" t="inlineStr"/>
      <c r="E176" s="22" t="inlineStr">
        <is>
          <t>Internal</t>
        </is>
      </c>
      <c r="F176" s="22" t="b">
        <v>0</v>
      </c>
      <c r="G176" s="22" t="n">
        <v>200</v>
      </c>
      <c r="H176" s="22" t="b">
        <v>1</v>
      </c>
      <c r="I176" s="22" t="inlineStr"/>
      <c r="J176" s="24" t="n"/>
    </row>
    <row r="177">
      <c r="A177" s="47" t="inlineStr">
        <is>
          <t>https://africanmarketingconfederation.org/amc-awards-2024</t>
        </is>
      </c>
      <c r="B177" s="46" t="inlineStr">
        <is>
          <t>https://africanmarketingconfederation.org/amc-marketing-conference-2024/awards-2025</t>
        </is>
      </c>
      <c r="C177" s="4" t="inlineStr">
        <is>
          <t>AWARDS 2025</t>
        </is>
      </c>
      <c r="D177" s="4" t="inlineStr"/>
      <c r="E177" s="4" t="inlineStr">
        <is>
          <t>Internal</t>
        </is>
      </c>
      <c r="F177" s="4" t="b">
        <v>0</v>
      </c>
      <c r="G177" s="4" t="n">
        <v>200</v>
      </c>
      <c r="H177" s="4" t="b">
        <v>1</v>
      </c>
      <c r="I177" s="4" t="inlineStr"/>
    </row>
    <row r="178">
      <c r="A178" s="47" t="inlineStr">
        <is>
          <t>https://africanmarketingconfederation.org/amc-awards-2024</t>
        </is>
      </c>
      <c r="B178" s="44" t="inlineStr">
        <is>
          <t>https://africanmarketingconfederation.org/amc-sponsors-2025</t>
        </is>
      </c>
      <c r="C178" s="22" t="inlineStr">
        <is>
          <t>SPONSORS 2025</t>
        </is>
      </c>
      <c r="D178" s="22" t="inlineStr"/>
      <c r="E178" s="22" t="inlineStr">
        <is>
          <t>Internal</t>
        </is>
      </c>
      <c r="F178" s="22" t="b">
        <v>0</v>
      </c>
      <c r="G178" s="22" t="n">
        <v>200</v>
      </c>
      <c r="H178" s="22" t="b">
        <v>1</v>
      </c>
      <c r="I178" s="22" t="inlineStr"/>
      <c r="J178" s="24" t="n"/>
    </row>
    <row r="179">
      <c r="A179" s="47" t="inlineStr">
        <is>
          <t>https://africanmarketingconfederation.org/amc-awards-2024</t>
        </is>
      </c>
      <c r="B179" s="46" t="inlineStr">
        <is>
          <t>https://africanmarketingconfederation.org/conference-faq-2025</t>
        </is>
      </c>
      <c r="C179" s="4" t="inlineStr">
        <is>
          <t>FAQ 2025</t>
        </is>
      </c>
      <c r="D179" s="4" t="inlineStr"/>
      <c r="E179" s="4" t="inlineStr">
        <is>
          <t>Internal</t>
        </is>
      </c>
      <c r="F179" s="4" t="b">
        <v>0</v>
      </c>
      <c r="G179" s="4" t="n">
        <v>200</v>
      </c>
      <c r="H179" s="4" t="b">
        <v>1</v>
      </c>
      <c r="I179" s="4" t="inlineStr"/>
    </row>
    <row r="180">
      <c r="A180" s="47" t="inlineStr">
        <is>
          <t>https://africanmarketingconfederation.org/amc-awards-2024</t>
        </is>
      </c>
      <c r="B180" s="44" t="inlineStr">
        <is>
          <t>https://africanmarketingconfederation.org/publications-2</t>
        </is>
      </c>
      <c r="C180" s="22" t="inlineStr">
        <is>
          <t>Strategic Marketing for AfricaMagazine</t>
        </is>
      </c>
      <c r="D180" s="22" t="inlineStr"/>
      <c r="E180" s="22" t="inlineStr">
        <is>
          <t>Internal</t>
        </is>
      </c>
      <c r="F180" s="22" t="b">
        <v>0</v>
      </c>
      <c r="G180" s="22" t="n">
        <v>200</v>
      </c>
      <c r="H180" s="22" t="b">
        <v>1</v>
      </c>
      <c r="I180" s="22" t="inlineStr"/>
      <c r="J180" s="24" t="n"/>
    </row>
    <row r="181">
      <c r="A181" s="47" t="inlineStr">
        <is>
          <t>https://africanmarketingconfederation.org/amc-awards-2024</t>
        </is>
      </c>
      <c r="B181" s="46" t="inlineStr">
        <is>
          <t>https://www.facebook.com/The-African-Marketing-Confederation-108980418182403</t>
        </is>
      </c>
      <c r="C181" s="4" t="inlineStr"/>
      <c r="D181" s="4" t="inlineStr"/>
      <c r="E181" s="4" t="inlineStr">
        <is>
          <t>External</t>
        </is>
      </c>
      <c r="F181" s="4" t="b">
        <v>0</v>
      </c>
      <c r="G181" s="4" t="inlineStr"/>
      <c r="H181" s="4" t="b">
        <v>1</v>
      </c>
      <c r="I181" s="4" t="inlineStr"/>
    </row>
    <row r="182">
      <c r="A182" s="47" t="inlineStr">
        <is>
          <t>https://africanmarketingconfederation.org/amc-awards-2024</t>
        </is>
      </c>
      <c r="B182" s="44" t="inlineStr">
        <is>
          <t>https://www.linkedin.com/company/african-marketing-confederation</t>
        </is>
      </c>
      <c r="C182" s="22" t="inlineStr"/>
      <c r="D182" s="22" t="inlineStr"/>
      <c r="E182" s="22" t="inlineStr">
        <is>
          <t>External</t>
        </is>
      </c>
      <c r="F182" s="22" t="b">
        <v>0</v>
      </c>
      <c r="G182" s="22" t="inlineStr"/>
      <c r="H182" s="22" t="b">
        <v>1</v>
      </c>
      <c r="I182" s="22" t="inlineStr"/>
      <c r="J182" s="24" t="n"/>
    </row>
    <row r="183">
      <c r="A183" s="47" t="inlineStr">
        <is>
          <t>https://africanmarketingconfederation.org/amc-awards-2024</t>
        </is>
      </c>
      <c r="B183" s="46" t="inlineStr">
        <is>
          <t>https://twitter.com/connect_amc</t>
        </is>
      </c>
      <c r="C183" s="4" t="inlineStr"/>
      <c r="D183" s="4" t="inlineStr"/>
      <c r="E183" s="4" t="inlineStr">
        <is>
          <t>External</t>
        </is>
      </c>
      <c r="F183" s="4" t="b">
        <v>0</v>
      </c>
      <c r="G183" s="4" t="inlineStr"/>
      <c r="H183" s="4" t="b">
        <v>1</v>
      </c>
      <c r="I183" s="4" t="inlineStr"/>
    </row>
    <row r="184">
      <c r="A184" s="47" t="inlineStr">
        <is>
          <t>https://africanmarketingconfederation.org/amc-awards-2024</t>
        </is>
      </c>
      <c r="B184" s="44" t="inlineStr">
        <is>
          <t>https://africanmarketingconfederation.org/privacy-policy</t>
        </is>
      </c>
      <c r="C184" s="22" t="inlineStr">
        <is>
          <t>© 2021 by African Marketing Confederation | Privacy Policy</t>
        </is>
      </c>
      <c r="D184" s="22" t="inlineStr"/>
      <c r="E184" s="22" t="inlineStr">
        <is>
          <t>Internal</t>
        </is>
      </c>
      <c r="F184" s="22" t="b">
        <v>0</v>
      </c>
      <c r="G184" s="22" t="n">
        <v>200</v>
      </c>
      <c r="H184" s="22" t="b">
        <v>1</v>
      </c>
      <c r="I184" s="22" t="inlineStr"/>
      <c r="J184" s="24" t="n"/>
    </row>
    <row r="185">
      <c r="A185" s="47" t="inlineStr">
        <is>
          <t>https://africanmarketingconfederation.org/amc-awards-2024</t>
        </is>
      </c>
      <c r="B185" s="46" t="inlineStr">
        <is>
          <t>https://africanmarketingconfederation.org/amc-conference-2025-delegate-packages</t>
        </is>
      </c>
      <c r="C185" s="4" t="inlineStr">
        <is>
          <t>Return to Shop</t>
        </is>
      </c>
      <c r="D185" s="4" t="inlineStr"/>
      <c r="E185" s="4" t="inlineStr">
        <is>
          <t>Internal</t>
        </is>
      </c>
      <c r="F185" s="4" t="b">
        <v>0</v>
      </c>
      <c r="G185" s="4" t="n">
        <v>404</v>
      </c>
      <c r="H185" s="4" t="b">
        <v>0</v>
      </c>
      <c r="I185" s="4" t="inlineStr"/>
    </row>
    <row r="186">
      <c r="A186" s="47" t="inlineStr">
        <is>
          <t>https://africanmarketingconfederation.org/amc-awards-2024</t>
        </is>
      </c>
      <c r="B186" s="44" t="inlineStr">
        <is>
          <t>https://africanmarketingconfederation.org/amc-conference-2025-delegate-packages</t>
        </is>
      </c>
      <c r="C186" s="22" t="inlineStr">
        <is>
          <t>Continue Shopping</t>
        </is>
      </c>
      <c r="D186" s="22" t="inlineStr"/>
      <c r="E186" s="22" t="inlineStr">
        <is>
          <t>Internal</t>
        </is>
      </c>
      <c r="F186" s="22" t="b">
        <v>0</v>
      </c>
      <c r="G186" s="22" t="n">
        <v>404</v>
      </c>
      <c r="H186" s="22" t="b">
        <v>0</v>
      </c>
      <c r="I186" s="22" t="inlineStr"/>
      <c r="J186" s="24" t="n"/>
    </row>
    <row r="187">
      <c r="A187" s="47" t="inlineStr">
        <is>
          <t>https://africanmarketingconfederation.org/amc-conference-2022-prospectus</t>
        </is>
      </c>
      <c r="B187" s="46" t="inlineStr">
        <is>
          <t>https://africanmarketingconfederation.org/</t>
        </is>
      </c>
      <c r="C187" s="4" t="inlineStr"/>
      <c r="D187" s="4" t="inlineStr"/>
      <c r="E187" s="4" t="inlineStr">
        <is>
          <t>Internal</t>
        </is>
      </c>
      <c r="F187" s="4" t="b">
        <v>0</v>
      </c>
      <c r="G187" s="4" t="n">
        <v>200</v>
      </c>
      <c r="H187" s="4" t="b">
        <v>1</v>
      </c>
      <c r="I187" s="4" t="inlineStr"/>
    </row>
    <row r="188">
      <c r="A188" s="47" t="inlineStr">
        <is>
          <t>https://africanmarketingconfederation.org/amc-conference-2022-prospectus</t>
        </is>
      </c>
      <c r="B188" s="44" t="inlineStr">
        <is>
          <t>https://africanmarketingconfederation.org/</t>
        </is>
      </c>
      <c r="C188" s="22" t="inlineStr">
        <is>
          <t>HOME</t>
        </is>
      </c>
      <c r="D188" s="22" t="inlineStr"/>
      <c r="E188" s="22" t="inlineStr">
        <is>
          <t>Internal</t>
        </is>
      </c>
      <c r="F188" s="22" t="b">
        <v>0</v>
      </c>
      <c r="G188" s="22" t="n">
        <v>200</v>
      </c>
      <c r="H188" s="22" t="b">
        <v>1</v>
      </c>
      <c r="I188" s="22" t="inlineStr"/>
      <c r="J188" s="24" t="n"/>
    </row>
    <row r="189">
      <c r="A189" s="47" t="inlineStr">
        <is>
          <t>https://africanmarketingconfederation.org/amc-conference-2022-prospectus</t>
        </is>
      </c>
      <c r="B189" s="46" t="inlineStr">
        <is>
          <t>https://africanmarketingconfederation.org/about-us</t>
        </is>
      </c>
      <c r="C189" s="4" t="inlineStr">
        <is>
          <t>ABOUT US</t>
        </is>
      </c>
      <c r="D189" s="4" t="inlineStr"/>
      <c r="E189" s="4" t="inlineStr">
        <is>
          <t>Internal</t>
        </is>
      </c>
      <c r="F189" s="4" t="b">
        <v>0</v>
      </c>
      <c r="G189" s="4" t="n">
        <v>200</v>
      </c>
      <c r="H189" s="4" t="b">
        <v>1</v>
      </c>
      <c r="I189" s="4" t="inlineStr"/>
    </row>
    <row r="190">
      <c r="A190" s="47" t="inlineStr">
        <is>
          <t>https://africanmarketingconfederation.org/amc-conference-2022-prospectus</t>
        </is>
      </c>
      <c r="B190" s="44" t="inlineStr">
        <is>
          <t>https://africanmarketingconfederation.org/sub-committees</t>
        </is>
      </c>
      <c r="C190" s="22" t="inlineStr">
        <is>
          <t>AMC COMMITTEES</t>
        </is>
      </c>
      <c r="D190" s="22" t="inlineStr"/>
      <c r="E190" s="22" t="inlineStr">
        <is>
          <t>Internal</t>
        </is>
      </c>
      <c r="F190" s="22" t="b">
        <v>0</v>
      </c>
      <c r="G190" s="22" t="n">
        <v>200</v>
      </c>
      <c r="H190" s="22" t="b">
        <v>1</v>
      </c>
      <c r="I190" s="22" t="inlineStr"/>
      <c r="J190" s="24" t="n"/>
    </row>
    <row r="191">
      <c r="A191" s="47" t="inlineStr">
        <is>
          <t>https://africanmarketingconfederation.org/amc-conference-2022-prospectus</t>
        </is>
      </c>
      <c r="B191" s="46" t="inlineStr">
        <is>
          <t>https://africanmarketingconfederation.org/members</t>
        </is>
      </c>
      <c r="C191" s="4" t="inlineStr">
        <is>
          <t>MEMBERS</t>
        </is>
      </c>
      <c r="D191" s="4" t="inlineStr"/>
      <c r="E191" s="4" t="inlineStr">
        <is>
          <t>Internal</t>
        </is>
      </c>
      <c r="F191" s="4" t="b">
        <v>0</v>
      </c>
      <c r="G191" s="4" t="n">
        <v>200</v>
      </c>
      <c r="H191" s="4" t="b">
        <v>1</v>
      </c>
      <c r="I191" s="4" t="inlineStr"/>
    </row>
    <row r="192">
      <c r="A192" s="47" t="inlineStr">
        <is>
          <t>https://africanmarketingconfederation.org/amc-conference-2022-prospectus</t>
        </is>
      </c>
      <c r="B192" s="44" t="inlineStr">
        <is>
          <t>https://africanmarketingconfederation.org/african-marketing-confederation-tourism-chapter</t>
        </is>
      </c>
      <c r="C192" s="22" t="inlineStr">
        <is>
          <t>TOURISM CHAPTER</t>
        </is>
      </c>
      <c r="D192" s="22" t="inlineStr"/>
      <c r="E192" s="22" t="inlineStr">
        <is>
          <t>Internal</t>
        </is>
      </c>
      <c r="F192" s="22" t="b">
        <v>0</v>
      </c>
      <c r="G192" s="22" t="n">
        <v>200</v>
      </c>
      <c r="H192" s="22" t="b">
        <v>1</v>
      </c>
      <c r="I192" s="22" t="inlineStr"/>
      <c r="J192" s="24" t="n"/>
    </row>
    <row r="193">
      <c r="A193" s="47" t="inlineStr">
        <is>
          <t>https://africanmarketingconfederation.org/amc-conference-2022-prospectus</t>
        </is>
      </c>
      <c r="B193" s="46" t="inlineStr">
        <is>
          <t>https://africanmarketingconfederation.org/education</t>
        </is>
      </c>
      <c r="C193" s="4" t="inlineStr">
        <is>
          <t>EDUCATION</t>
        </is>
      </c>
      <c r="D193" s="4" t="inlineStr"/>
      <c r="E193" s="4" t="inlineStr">
        <is>
          <t>Internal</t>
        </is>
      </c>
      <c r="F193" s="4" t="b">
        <v>0</v>
      </c>
      <c r="G193" s="4" t="n">
        <v>200</v>
      </c>
      <c r="H193" s="4" t="b">
        <v>1</v>
      </c>
      <c r="I193" s="4" t="inlineStr"/>
    </row>
    <row r="194">
      <c r="A194" s="47" t="inlineStr">
        <is>
          <t>https://africanmarketingconfederation.org/amc-conference-2022-prospectus</t>
        </is>
      </c>
      <c r="B194" s="44" t="inlineStr">
        <is>
          <t>https://africanmarketingconfederation.org/chartered-marketer-africa</t>
        </is>
      </c>
      <c r="C194" s="22" t="inlineStr">
        <is>
          <t>CHARTERED MARKETER (AFRICA)</t>
        </is>
      </c>
      <c r="D194" s="22" t="inlineStr"/>
      <c r="E194" s="22" t="inlineStr">
        <is>
          <t>Internal</t>
        </is>
      </c>
      <c r="F194" s="22" t="b">
        <v>0</v>
      </c>
      <c r="G194" s="22" t="n">
        <v>200</v>
      </c>
      <c r="H194" s="22" t="b">
        <v>1</v>
      </c>
      <c r="I194" s="22" t="inlineStr"/>
      <c r="J194" s="24" t="n"/>
    </row>
    <row r="195">
      <c r="A195" s="47" t="inlineStr">
        <is>
          <t>https://africanmarketingconfederation.org/amc-conference-2022-prospectus</t>
        </is>
      </c>
      <c r="B195" s="46" t="inlineStr">
        <is>
          <t>https://africanmarketingconfederation.org/certified-professional-marketer-africa</t>
        </is>
      </c>
      <c r="C195" s="4" t="inlineStr">
        <is>
          <t>CPM(A)</t>
        </is>
      </c>
      <c r="D195" s="4" t="inlineStr"/>
      <c r="E195" s="4" t="inlineStr">
        <is>
          <t>Internal</t>
        </is>
      </c>
      <c r="F195" s="4" t="b">
        <v>0</v>
      </c>
      <c r="G195" s="4" t="n">
        <v>200</v>
      </c>
      <c r="H195" s="4" t="b">
        <v>1</v>
      </c>
      <c r="I195" s="4" t="inlineStr"/>
    </row>
    <row r="196">
      <c r="A196" s="47" t="inlineStr">
        <is>
          <t>https://africanmarketingconfederation.org/amc-conference-2022-prospectus</t>
        </is>
      </c>
      <c r="B196" s="44" t="inlineStr">
        <is>
          <t>https://africanmarketingconfederation.org/news-articles</t>
        </is>
      </c>
      <c r="C196" s="22" t="inlineStr">
        <is>
          <t>NEWS &amp; PUBLICATIONS</t>
        </is>
      </c>
      <c r="D196" s="22" t="inlineStr"/>
      <c r="E196" s="22" t="inlineStr">
        <is>
          <t>Internal</t>
        </is>
      </c>
      <c r="F196" s="22" t="b">
        <v>0</v>
      </c>
      <c r="G196" s="22" t="n">
        <v>200</v>
      </c>
      <c r="H196" s="22" t="b">
        <v>1</v>
      </c>
      <c r="I196" s="22" t="inlineStr"/>
      <c r="J196" s="24" t="n"/>
    </row>
    <row r="197">
      <c r="A197" s="47" t="inlineStr">
        <is>
          <t>https://africanmarketingconfederation.org/amc-conference-2022-prospectus</t>
        </is>
      </c>
      <c r="B197" s="46" t="inlineStr">
        <is>
          <t>https://africanmarketingconfederation.org/news-articles</t>
        </is>
      </c>
      <c r="C197" s="4" t="inlineStr">
        <is>
          <t>NEWS ARTICLES</t>
        </is>
      </c>
      <c r="D197" s="4" t="inlineStr"/>
      <c r="E197" s="4" t="inlineStr">
        <is>
          <t>Internal</t>
        </is>
      </c>
      <c r="F197" s="4" t="b">
        <v>0</v>
      </c>
      <c r="G197" s="4" t="n">
        <v>200</v>
      </c>
      <c r="H197" s="4" t="b">
        <v>1</v>
      </c>
      <c r="I197" s="4" t="inlineStr"/>
    </row>
    <row r="198">
      <c r="A198" s="47" t="inlineStr">
        <is>
          <t>https://africanmarketingconfederation.org/amc-conference-2022-prospectus</t>
        </is>
      </c>
      <c r="B198" s="44" t="inlineStr">
        <is>
          <t>https://africanmarketingconfederation.org/publications-2</t>
        </is>
      </c>
      <c r="C198" s="22" t="inlineStr">
        <is>
          <t>PUBLICATIONS</t>
        </is>
      </c>
      <c r="D198" s="22" t="inlineStr"/>
      <c r="E198" s="22" t="inlineStr">
        <is>
          <t>Internal</t>
        </is>
      </c>
      <c r="F198" s="22" t="b">
        <v>0</v>
      </c>
      <c r="G198" s="22" t="n">
        <v>200</v>
      </c>
      <c r="H198" s="22" t="b">
        <v>1</v>
      </c>
      <c r="I198" s="22" t="inlineStr"/>
      <c r="J198" s="24" t="n"/>
    </row>
    <row r="199">
      <c r="A199" s="47" t="inlineStr">
        <is>
          <t>https://africanmarketingconfederation.org/amc-conference-2022-prospectus</t>
        </is>
      </c>
      <c r="B199" s="46" t="inlineStr">
        <is>
          <t>https://africanmarketingconfederation.org/amc-conference-2026</t>
        </is>
      </c>
      <c r="C199" s="4" t="inlineStr">
        <is>
          <t>AMC Conference</t>
        </is>
      </c>
      <c r="D199" s="4" t="inlineStr"/>
      <c r="E199" s="4" t="inlineStr">
        <is>
          <t>Internal</t>
        </is>
      </c>
      <c r="F199" s="4" t="b">
        <v>0</v>
      </c>
      <c r="G199" s="4" t="n">
        <v>200</v>
      </c>
      <c r="H199" s="4" t="b">
        <v>1</v>
      </c>
      <c r="I199" s="4" t="inlineStr"/>
    </row>
    <row r="200">
      <c r="A200" s="47" t="inlineStr">
        <is>
          <t>https://africanmarketingconfederation.org/amc-conference-2022-prospectus</t>
        </is>
      </c>
      <c r="B200" s="44" t="inlineStr">
        <is>
          <t>https://africanmarketingconfederation.org/contact-us</t>
        </is>
      </c>
      <c r="C200" s="22" t="inlineStr">
        <is>
          <t>CONTACT US</t>
        </is>
      </c>
      <c r="D200" s="22" t="inlineStr"/>
      <c r="E200" s="22" t="inlineStr">
        <is>
          <t>Internal</t>
        </is>
      </c>
      <c r="F200" s="22" t="b">
        <v>0</v>
      </c>
      <c r="G200" s="22" t="n">
        <v>200</v>
      </c>
      <c r="H200" s="22" t="b">
        <v>1</v>
      </c>
      <c r="I200" s="22" t="inlineStr"/>
      <c r="J200" s="24" t="n"/>
    </row>
    <row r="201">
      <c r="A201" s="47" t="inlineStr">
        <is>
          <t>https://africanmarketingconfederation.org/amc-conference-2022-prospectus</t>
        </is>
      </c>
      <c r="B201" s="46" t="inlineStr">
        <is>
          <t>https://africanmarketingconfederation.org/</t>
        </is>
      </c>
      <c r="C201" s="4" t="inlineStr">
        <is>
          <t>HOME</t>
        </is>
      </c>
      <c r="D201" s="4" t="inlineStr"/>
      <c r="E201" s="4" t="inlineStr">
        <is>
          <t>Internal</t>
        </is>
      </c>
      <c r="F201" s="4" t="b">
        <v>0</v>
      </c>
      <c r="G201" s="4" t="n">
        <v>200</v>
      </c>
      <c r="H201" s="4" t="b">
        <v>1</v>
      </c>
      <c r="I201" s="4" t="inlineStr"/>
    </row>
    <row r="202">
      <c r="A202" s="47" t="inlineStr">
        <is>
          <t>https://africanmarketingconfederation.org/amc-conference-2022-prospectus</t>
        </is>
      </c>
      <c r="B202" s="44" t="inlineStr">
        <is>
          <t>https://africanmarketingconfederation.org/about-us</t>
        </is>
      </c>
      <c r="C202" s="22" t="inlineStr">
        <is>
          <t>ABOUT US</t>
        </is>
      </c>
      <c r="D202" s="22" t="inlineStr"/>
      <c r="E202" s="22" t="inlineStr">
        <is>
          <t>Internal</t>
        </is>
      </c>
      <c r="F202" s="22" t="b">
        <v>0</v>
      </c>
      <c r="G202" s="22" t="n">
        <v>200</v>
      </c>
      <c r="H202" s="22" t="b">
        <v>1</v>
      </c>
      <c r="I202" s="22" t="inlineStr"/>
      <c r="J202" s="24" t="n"/>
    </row>
    <row r="203">
      <c r="A203" s="47" t="inlineStr">
        <is>
          <t>https://africanmarketingconfederation.org/amc-conference-2022-prospectus</t>
        </is>
      </c>
      <c r="B203" s="46" t="inlineStr">
        <is>
          <t>https://africanmarketingconfederation.org/sub-committees</t>
        </is>
      </c>
      <c r="C203" s="4" t="inlineStr">
        <is>
          <t>AMC COMMITTEES</t>
        </is>
      </c>
      <c r="D203" s="4" t="inlineStr"/>
      <c r="E203" s="4" t="inlineStr">
        <is>
          <t>Internal</t>
        </is>
      </c>
      <c r="F203" s="4" t="b">
        <v>0</v>
      </c>
      <c r="G203" s="4" t="n">
        <v>200</v>
      </c>
      <c r="H203" s="4" t="b">
        <v>1</v>
      </c>
      <c r="I203" s="4" t="inlineStr"/>
    </row>
    <row r="204">
      <c r="A204" s="47" t="inlineStr">
        <is>
          <t>https://africanmarketingconfederation.org/amc-conference-2022-prospectus</t>
        </is>
      </c>
      <c r="B204" s="44" t="inlineStr">
        <is>
          <t>https://africanmarketingconfederation.org/members</t>
        </is>
      </c>
      <c r="C204" s="22" t="inlineStr">
        <is>
          <t>MEMBERS</t>
        </is>
      </c>
      <c r="D204" s="22" t="inlineStr"/>
      <c r="E204" s="22" t="inlineStr">
        <is>
          <t>Internal</t>
        </is>
      </c>
      <c r="F204" s="22" t="b">
        <v>0</v>
      </c>
      <c r="G204" s="22" t="n">
        <v>200</v>
      </c>
      <c r="H204" s="22" t="b">
        <v>1</v>
      </c>
      <c r="I204" s="22" t="inlineStr"/>
      <c r="J204" s="24" t="n"/>
    </row>
    <row r="205">
      <c r="A205" s="47" t="inlineStr">
        <is>
          <t>https://africanmarketingconfederation.org/amc-conference-2022-prospectus</t>
        </is>
      </c>
      <c r="B205" s="46" t="inlineStr">
        <is>
          <t>https://africanmarketingconfederation.org/african-marketing-confederation-tourism-chapter</t>
        </is>
      </c>
      <c r="C205" s="4" t="inlineStr">
        <is>
          <t>TOURISM CHAPTER</t>
        </is>
      </c>
      <c r="D205" s="4" t="inlineStr"/>
      <c r="E205" s="4" t="inlineStr">
        <is>
          <t>Internal</t>
        </is>
      </c>
      <c r="F205" s="4" t="b">
        <v>0</v>
      </c>
      <c r="G205" s="4" t="n">
        <v>200</v>
      </c>
      <c r="H205" s="4" t="b">
        <v>1</v>
      </c>
      <c r="I205" s="4" t="inlineStr"/>
    </row>
    <row r="206">
      <c r="A206" s="47" t="inlineStr">
        <is>
          <t>https://africanmarketingconfederation.org/amc-conference-2022-prospectus</t>
        </is>
      </c>
      <c r="B206" s="44" t="inlineStr">
        <is>
          <t>https://africanmarketingconfederation.org/education</t>
        </is>
      </c>
      <c r="C206" s="22" t="inlineStr">
        <is>
          <t>EDUCATION</t>
        </is>
      </c>
      <c r="D206" s="22" t="inlineStr"/>
      <c r="E206" s="22" t="inlineStr">
        <is>
          <t>Internal</t>
        </is>
      </c>
      <c r="F206" s="22" t="b">
        <v>0</v>
      </c>
      <c r="G206" s="22" t="n">
        <v>200</v>
      </c>
      <c r="H206" s="22" t="b">
        <v>1</v>
      </c>
      <c r="I206" s="22" t="inlineStr"/>
      <c r="J206" s="24" t="n"/>
    </row>
    <row r="207">
      <c r="A207" s="47" t="inlineStr">
        <is>
          <t>https://africanmarketingconfederation.org/amc-conference-2022-prospectus</t>
        </is>
      </c>
      <c r="B207" s="46" t="inlineStr">
        <is>
          <t>https://africanmarketingconfederation.org/chartered-marketer-africa</t>
        </is>
      </c>
      <c r="C207" s="4" t="inlineStr">
        <is>
          <t>CHARTERED MARKETER (AFRICA)</t>
        </is>
      </c>
      <c r="D207" s="4" t="inlineStr"/>
      <c r="E207" s="4" t="inlineStr">
        <is>
          <t>Internal</t>
        </is>
      </c>
      <c r="F207" s="4" t="b">
        <v>0</v>
      </c>
      <c r="G207" s="4" t="n">
        <v>200</v>
      </c>
      <c r="H207" s="4" t="b">
        <v>1</v>
      </c>
      <c r="I207" s="4" t="inlineStr"/>
    </row>
    <row r="208">
      <c r="A208" s="47" t="inlineStr">
        <is>
          <t>https://africanmarketingconfederation.org/amc-conference-2022-prospectus</t>
        </is>
      </c>
      <c r="B208" s="44" t="inlineStr">
        <is>
          <t>https://africanmarketingconfederation.org/certified-professional-marketer-africa</t>
        </is>
      </c>
      <c r="C208" s="22" t="inlineStr">
        <is>
          <t>CPM(A)</t>
        </is>
      </c>
      <c r="D208" s="22" t="inlineStr"/>
      <c r="E208" s="22" t="inlineStr">
        <is>
          <t>Internal</t>
        </is>
      </c>
      <c r="F208" s="22" t="b">
        <v>0</v>
      </c>
      <c r="G208" s="22" t="n">
        <v>200</v>
      </c>
      <c r="H208" s="22" t="b">
        <v>1</v>
      </c>
      <c r="I208" s="22" t="inlineStr"/>
      <c r="J208" s="24" t="n"/>
    </row>
    <row r="209">
      <c r="A209" s="47" t="inlineStr">
        <is>
          <t>https://africanmarketingconfederation.org/amc-conference-2022-prospectus</t>
        </is>
      </c>
      <c r="B209" s="46" t="inlineStr">
        <is>
          <t>https://africanmarketingconfederation.org/news-articles</t>
        </is>
      </c>
      <c r="C209" s="4" t="inlineStr">
        <is>
          <t>NEWS &amp; PUBLICATIONS</t>
        </is>
      </c>
      <c r="D209" s="4" t="inlineStr"/>
      <c r="E209" s="4" t="inlineStr">
        <is>
          <t>Internal</t>
        </is>
      </c>
      <c r="F209" s="4" t="b">
        <v>0</v>
      </c>
      <c r="G209" s="4" t="n">
        <v>200</v>
      </c>
      <c r="H209" s="4" t="b">
        <v>1</v>
      </c>
      <c r="I209" s="4" t="inlineStr"/>
    </row>
    <row r="210">
      <c r="A210" s="47" t="inlineStr">
        <is>
          <t>https://africanmarketingconfederation.org/amc-conference-2022-prospectus</t>
        </is>
      </c>
      <c r="B210" s="44" t="inlineStr">
        <is>
          <t>https://africanmarketingconfederation.org/news-articles</t>
        </is>
      </c>
      <c r="C210" s="22" t="inlineStr">
        <is>
          <t>NEWS ARTICLES</t>
        </is>
      </c>
      <c r="D210" s="22" t="inlineStr"/>
      <c r="E210" s="22" t="inlineStr">
        <is>
          <t>Internal</t>
        </is>
      </c>
      <c r="F210" s="22" t="b">
        <v>0</v>
      </c>
      <c r="G210" s="22" t="n">
        <v>200</v>
      </c>
      <c r="H210" s="22" t="b">
        <v>1</v>
      </c>
      <c r="I210" s="22" t="inlineStr"/>
      <c r="J210" s="24" t="n"/>
    </row>
    <row r="211">
      <c r="A211" s="47" t="inlineStr">
        <is>
          <t>https://africanmarketingconfederation.org/amc-conference-2022-prospectus</t>
        </is>
      </c>
      <c r="B211" s="46" t="inlineStr">
        <is>
          <t>https://africanmarketingconfederation.org/publications-2</t>
        </is>
      </c>
      <c r="C211" s="4" t="inlineStr">
        <is>
          <t>PUBLICATIONS</t>
        </is>
      </c>
      <c r="D211" s="4" t="inlineStr"/>
      <c r="E211" s="4" t="inlineStr">
        <is>
          <t>Internal</t>
        </is>
      </c>
      <c r="F211" s="4" t="b">
        <v>0</v>
      </c>
      <c r="G211" s="4" t="n">
        <v>200</v>
      </c>
      <c r="H211" s="4" t="b">
        <v>1</v>
      </c>
      <c r="I211" s="4" t="inlineStr"/>
    </row>
    <row r="212">
      <c r="A212" s="47" t="inlineStr">
        <is>
          <t>https://africanmarketingconfederation.org/amc-conference-2022-prospectus</t>
        </is>
      </c>
      <c r="B212" s="44" t="inlineStr">
        <is>
          <t>https://africanmarketingconfederation.org/amc-conference-2026</t>
        </is>
      </c>
      <c r="C212" s="22" t="inlineStr">
        <is>
          <t>AMC Conference</t>
        </is>
      </c>
      <c r="D212" s="22" t="inlineStr"/>
      <c r="E212" s="22" t="inlineStr">
        <is>
          <t>Internal</t>
        </is>
      </c>
      <c r="F212" s="22" t="b">
        <v>0</v>
      </c>
      <c r="G212" s="22" t="n">
        <v>200</v>
      </c>
      <c r="H212" s="22" t="b">
        <v>1</v>
      </c>
      <c r="I212" s="22" t="inlineStr"/>
      <c r="J212" s="24" t="n"/>
    </row>
    <row r="213">
      <c r="A213" s="47" t="inlineStr">
        <is>
          <t>https://africanmarketingconfederation.org/amc-conference-2022-prospectus</t>
        </is>
      </c>
      <c r="B213" s="46" t="inlineStr">
        <is>
          <t>https://africanmarketingconfederation.org/contact-us</t>
        </is>
      </c>
      <c r="C213" s="4" t="inlineStr">
        <is>
          <t>CONTACT US</t>
        </is>
      </c>
      <c r="D213" s="4" t="inlineStr"/>
      <c r="E213" s="4" t="inlineStr">
        <is>
          <t>Internal</t>
        </is>
      </c>
      <c r="F213" s="4" t="b">
        <v>0</v>
      </c>
      <c r="G213" s="4" t="n">
        <v>200</v>
      </c>
      <c r="H213" s="4" t="b">
        <v>1</v>
      </c>
      <c r="I213" s="4" t="inlineStr"/>
    </row>
    <row r="214">
      <c r="A214" s="47" t="inlineStr">
        <is>
          <t>https://africanmarketingconfederation.org/amc-conference-2022-prospectus</t>
        </is>
      </c>
      <c r="B214" s="44" t="inlineStr">
        <is>
          <t>https://www.formpl.us/form/2082446005</t>
        </is>
      </c>
      <c r="C214" s="22" t="inlineStr">
        <is>
          <t>BOOK NOW</t>
        </is>
      </c>
      <c r="D214" s="22" t="inlineStr"/>
      <c r="E214" s="22" t="inlineStr">
        <is>
          <t>External</t>
        </is>
      </c>
      <c r="F214" s="22" t="b">
        <v>0</v>
      </c>
      <c r="G214" s="22" t="inlineStr"/>
      <c r="H214" s="22" t="b">
        <v>1</v>
      </c>
      <c r="I214" s="22" t="inlineStr"/>
      <c r="J214" s="24" t="n"/>
    </row>
    <row r="215">
      <c r="A215" s="47" t="inlineStr">
        <is>
          <t>https://africanmarketingconfederation.org/amc-conference-2022-prospectus</t>
        </is>
      </c>
      <c r="B215" s="46" t="inlineStr">
        <is>
          <t>https://africanmarketingconfederation.org/privacy-policy</t>
        </is>
      </c>
      <c r="C215" s="4" t="inlineStr">
        <is>
          <t>Privacy Policy</t>
        </is>
      </c>
      <c r="D215" s="4" t="inlineStr"/>
      <c r="E215" s="4" t="inlineStr">
        <is>
          <t>Internal</t>
        </is>
      </c>
      <c r="F215" s="4" t="b">
        <v>0</v>
      </c>
      <c r="G215" s="4" t="n">
        <v>200</v>
      </c>
      <c r="H215" s="4" t="b">
        <v>1</v>
      </c>
      <c r="I215" s="4" t="inlineStr"/>
    </row>
    <row r="216">
      <c r="A216" s="47" t="inlineStr">
        <is>
          <t>https://africanmarketingconfederation.org/amc-conference-2022-prospectus</t>
        </is>
      </c>
      <c r="B216" s="44" t="inlineStr">
        <is>
          <t>https://www.formpl.us/form/2082446005</t>
        </is>
      </c>
      <c r="C216" s="22" t="inlineStr">
        <is>
          <t>BOOK NOW</t>
        </is>
      </c>
      <c r="D216" s="22" t="inlineStr"/>
      <c r="E216" s="22" t="inlineStr">
        <is>
          <t>External</t>
        </is>
      </c>
      <c r="F216" s="22" t="b">
        <v>0</v>
      </c>
      <c r="G216" s="22" t="inlineStr"/>
      <c r="H216" s="22" t="b">
        <v>1</v>
      </c>
      <c r="I216" s="22" t="inlineStr"/>
      <c r="J216" s="24" t="n"/>
    </row>
    <row r="217">
      <c r="A217" s="47" t="inlineStr">
        <is>
          <t>https://africanmarketingconfederation.org/amc-conference-2022-prospectus</t>
        </is>
      </c>
      <c r="B217" s="46" t="inlineStr">
        <is>
          <t>https://africanmarketingconfederation.org/publications-2</t>
        </is>
      </c>
      <c r="C217" s="4" t="inlineStr">
        <is>
          <t>Strategic Marketing for AfricaMagazine</t>
        </is>
      </c>
      <c r="D217" s="4" t="inlineStr"/>
      <c r="E217" s="4" t="inlineStr">
        <is>
          <t>Internal</t>
        </is>
      </c>
      <c r="F217" s="4" t="b">
        <v>0</v>
      </c>
      <c r="G217" s="4" t="n">
        <v>200</v>
      </c>
      <c r="H217" s="4" t="b">
        <v>1</v>
      </c>
      <c r="I217" s="4" t="inlineStr"/>
    </row>
    <row r="218">
      <c r="A218" s="47" t="inlineStr">
        <is>
          <t>https://africanmarketingconfederation.org/amc-conference-2022-prospectus</t>
        </is>
      </c>
      <c r="B218" s="44" t="inlineStr">
        <is>
          <t>https://www.facebook.com/The-African-Marketing-Confederation-108980418182403</t>
        </is>
      </c>
      <c r="C218" s="22" t="inlineStr"/>
      <c r="D218" s="22" t="inlineStr"/>
      <c r="E218" s="22" t="inlineStr">
        <is>
          <t>External</t>
        </is>
      </c>
      <c r="F218" s="22" t="b">
        <v>0</v>
      </c>
      <c r="G218" s="22" t="inlineStr"/>
      <c r="H218" s="22" t="b">
        <v>1</v>
      </c>
      <c r="I218" s="22" t="inlineStr"/>
      <c r="J218" s="24" t="n"/>
    </row>
    <row r="219">
      <c r="A219" s="47" t="inlineStr">
        <is>
          <t>https://africanmarketingconfederation.org/amc-conference-2022-prospectus</t>
        </is>
      </c>
      <c r="B219" s="46" t="inlineStr">
        <is>
          <t>https://www.linkedin.com/company/african-marketing-confederation</t>
        </is>
      </c>
      <c r="C219" s="4" t="inlineStr"/>
      <c r="D219" s="4" t="inlineStr"/>
      <c r="E219" s="4" t="inlineStr">
        <is>
          <t>External</t>
        </is>
      </c>
      <c r="F219" s="4" t="b">
        <v>0</v>
      </c>
      <c r="G219" s="4" t="inlineStr"/>
      <c r="H219" s="4" t="b">
        <v>1</v>
      </c>
      <c r="I219" s="4" t="inlineStr"/>
    </row>
    <row r="220">
      <c r="A220" s="47" t="inlineStr">
        <is>
          <t>https://africanmarketingconfederation.org/amc-conference-2022-prospectus</t>
        </is>
      </c>
      <c r="B220" s="44" t="inlineStr">
        <is>
          <t>https://africanmarketingconfederation.org/privacy-policy</t>
        </is>
      </c>
      <c r="C220" s="22" t="inlineStr">
        <is>
          <t>© 2026 by African Marketing Confederation | Privacy Policy</t>
        </is>
      </c>
      <c r="D220" s="22" t="inlineStr"/>
      <c r="E220" s="22" t="inlineStr">
        <is>
          <t>Internal</t>
        </is>
      </c>
      <c r="F220" s="22" t="b">
        <v>0</v>
      </c>
      <c r="G220" s="22" t="n">
        <v>200</v>
      </c>
      <c r="H220" s="22" t="b">
        <v>1</v>
      </c>
      <c r="I220" s="22" t="inlineStr"/>
      <c r="J220" s="24" t="n"/>
    </row>
    <row r="221">
      <c r="A221" s="47" t="inlineStr">
        <is>
          <t>https://africanmarketingconfederation.org/amc-conference-2022-prospectus</t>
        </is>
      </c>
      <c r="B221" s="46" t="inlineStr">
        <is>
          <t>https://africanmarketingconfederation.org/amc-conference-2025-delegate-packages</t>
        </is>
      </c>
      <c r="C221" s="4" t="inlineStr">
        <is>
          <t>Return to Shop</t>
        </is>
      </c>
      <c r="D221" s="4" t="inlineStr"/>
      <c r="E221" s="4" t="inlineStr">
        <is>
          <t>Internal</t>
        </is>
      </c>
      <c r="F221" s="4" t="b">
        <v>0</v>
      </c>
      <c r="G221" s="4" t="n">
        <v>404</v>
      </c>
      <c r="H221" s="4" t="b">
        <v>0</v>
      </c>
      <c r="I221" s="4" t="inlineStr"/>
    </row>
    <row r="222">
      <c r="A222" s="47" t="inlineStr">
        <is>
          <t>https://africanmarketingconfederation.org/amc-conference-2022-prospectus</t>
        </is>
      </c>
      <c r="B222" s="44" t="inlineStr">
        <is>
          <t>https://africanmarketingconfederation.org/amc-conference-2025-delegate-packages</t>
        </is>
      </c>
      <c r="C222" s="22" t="inlineStr">
        <is>
          <t>Continue Shopping</t>
        </is>
      </c>
      <c r="D222" s="22" t="inlineStr"/>
      <c r="E222" s="22" t="inlineStr">
        <is>
          <t>Internal</t>
        </is>
      </c>
      <c r="F222" s="22" t="b">
        <v>0</v>
      </c>
      <c r="G222" s="22" t="n">
        <v>404</v>
      </c>
      <c r="H222" s="22" t="b">
        <v>0</v>
      </c>
      <c r="I222" s="22" t="inlineStr"/>
      <c r="J222" s="24" t="n"/>
    </row>
    <row r="223">
      <c r="A223" s="47" t="inlineStr">
        <is>
          <t>https://africanmarketingconfederation.org/amc-conference-2022-thank-you</t>
        </is>
      </c>
      <c r="B223" s="46" t="inlineStr">
        <is>
          <t>https://africanmarketingconfederation.org/</t>
        </is>
      </c>
      <c r="C223" s="4" t="inlineStr"/>
      <c r="D223" s="4" t="inlineStr"/>
      <c r="E223" s="4" t="inlineStr">
        <is>
          <t>Internal</t>
        </is>
      </c>
      <c r="F223" s="4" t="b">
        <v>0</v>
      </c>
      <c r="G223" s="4" t="n">
        <v>200</v>
      </c>
      <c r="H223" s="4" t="b">
        <v>1</v>
      </c>
      <c r="I223" s="4" t="inlineStr"/>
    </row>
    <row r="224">
      <c r="A224" s="47" t="inlineStr">
        <is>
          <t>https://africanmarketingconfederation.org/amc-conference-2022-thank-you</t>
        </is>
      </c>
      <c r="B224" s="44" t="inlineStr">
        <is>
          <t>https://africanmarketingconfederation.org/</t>
        </is>
      </c>
      <c r="C224" s="22" t="inlineStr">
        <is>
          <t>HOME</t>
        </is>
      </c>
      <c r="D224" s="22" t="inlineStr"/>
      <c r="E224" s="22" t="inlineStr">
        <is>
          <t>Internal</t>
        </is>
      </c>
      <c r="F224" s="22" t="b">
        <v>0</v>
      </c>
      <c r="G224" s="22" t="n">
        <v>200</v>
      </c>
      <c r="H224" s="22" t="b">
        <v>1</v>
      </c>
      <c r="I224" s="22" t="inlineStr"/>
      <c r="J224" s="24" t="n"/>
    </row>
    <row r="225">
      <c r="A225" s="47" t="inlineStr">
        <is>
          <t>https://africanmarketingconfederation.org/amc-conference-2022-thank-you</t>
        </is>
      </c>
      <c r="B225" s="46" t="inlineStr">
        <is>
          <t>https://africanmarketingconfederation.org/about-us</t>
        </is>
      </c>
      <c r="C225" s="4" t="inlineStr">
        <is>
          <t>ABOUT US</t>
        </is>
      </c>
      <c r="D225" s="4" t="inlineStr"/>
      <c r="E225" s="4" t="inlineStr">
        <is>
          <t>Internal</t>
        </is>
      </c>
      <c r="F225" s="4" t="b">
        <v>0</v>
      </c>
      <c r="G225" s="4" t="n">
        <v>200</v>
      </c>
      <c r="H225" s="4" t="b">
        <v>1</v>
      </c>
      <c r="I225" s="4" t="inlineStr"/>
    </row>
    <row r="226">
      <c r="A226" s="47" t="inlineStr">
        <is>
          <t>https://africanmarketingconfederation.org/amc-conference-2022-thank-you</t>
        </is>
      </c>
      <c r="B226" s="44" t="inlineStr">
        <is>
          <t>https://africanmarketingconfederation.org/sub-committees</t>
        </is>
      </c>
      <c r="C226" s="22" t="inlineStr">
        <is>
          <t>AMC COMMITTEES</t>
        </is>
      </c>
      <c r="D226" s="22" t="inlineStr"/>
      <c r="E226" s="22" t="inlineStr">
        <is>
          <t>Internal</t>
        </is>
      </c>
      <c r="F226" s="22" t="b">
        <v>0</v>
      </c>
      <c r="G226" s="22" t="n">
        <v>200</v>
      </c>
      <c r="H226" s="22" t="b">
        <v>1</v>
      </c>
      <c r="I226" s="22" t="inlineStr"/>
      <c r="J226" s="24" t="n"/>
    </row>
    <row r="227">
      <c r="A227" s="47" t="inlineStr">
        <is>
          <t>https://africanmarketingconfederation.org/amc-conference-2022-thank-you</t>
        </is>
      </c>
      <c r="B227" s="46" t="inlineStr">
        <is>
          <t>https://africanmarketingconfederation.org/members</t>
        </is>
      </c>
      <c r="C227" s="4" t="inlineStr">
        <is>
          <t>MEMBERS</t>
        </is>
      </c>
      <c r="D227" s="4" t="inlineStr"/>
      <c r="E227" s="4" t="inlineStr">
        <is>
          <t>Internal</t>
        </is>
      </c>
      <c r="F227" s="4" t="b">
        <v>0</v>
      </c>
      <c r="G227" s="4" t="n">
        <v>200</v>
      </c>
      <c r="H227" s="4" t="b">
        <v>1</v>
      </c>
      <c r="I227" s="4" t="inlineStr"/>
    </row>
    <row r="228">
      <c r="A228" s="47" t="inlineStr">
        <is>
          <t>https://africanmarketingconfederation.org/amc-conference-2022-thank-you</t>
        </is>
      </c>
      <c r="B228" s="44" t="inlineStr">
        <is>
          <t>https://africanmarketingconfederation.org/african-marketing-confederation-tourism-chapter</t>
        </is>
      </c>
      <c r="C228" s="22" t="inlineStr">
        <is>
          <t>TOURISM CHAPTER</t>
        </is>
      </c>
      <c r="D228" s="22" t="inlineStr"/>
      <c r="E228" s="22" t="inlineStr">
        <is>
          <t>Internal</t>
        </is>
      </c>
      <c r="F228" s="22" t="b">
        <v>0</v>
      </c>
      <c r="G228" s="22" t="n">
        <v>200</v>
      </c>
      <c r="H228" s="22" t="b">
        <v>1</v>
      </c>
      <c r="I228" s="22" t="inlineStr"/>
      <c r="J228" s="24" t="n"/>
    </row>
    <row r="229">
      <c r="A229" s="47" t="inlineStr">
        <is>
          <t>https://africanmarketingconfederation.org/amc-conference-2022-thank-you</t>
        </is>
      </c>
      <c r="B229" s="46" t="inlineStr">
        <is>
          <t>https://africanmarketingconfederation.org/education</t>
        </is>
      </c>
      <c r="C229" s="4" t="inlineStr">
        <is>
          <t>EDUCATION</t>
        </is>
      </c>
      <c r="D229" s="4" t="inlineStr"/>
      <c r="E229" s="4" t="inlineStr">
        <is>
          <t>Internal</t>
        </is>
      </c>
      <c r="F229" s="4" t="b">
        <v>0</v>
      </c>
      <c r="G229" s="4" t="n">
        <v>200</v>
      </c>
      <c r="H229" s="4" t="b">
        <v>1</v>
      </c>
      <c r="I229" s="4" t="inlineStr"/>
    </row>
    <row r="230">
      <c r="A230" s="47" t="inlineStr">
        <is>
          <t>https://africanmarketingconfederation.org/amc-conference-2022-thank-you</t>
        </is>
      </c>
      <c r="B230" s="44" t="inlineStr">
        <is>
          <t>https://africanmarketingconfederation.org/chartered-marketer-africa</t>
        </is>
      </c>
      <c r="C230" s="22" t="inlineStr">
        <is>
          <t>CHARTERED MARKETER (AFRICA)</t>
        </is>
      </c>
      <c r="D230" s="22" t="inlineStr"/>
      <c r="E230" s="22" t="inlineStr">
        <is>
          <t>Internal</t>
        </is>
      </c>
      <c r="F230" s="22" t="b">
        <v>0</v>
      </c>
      <c r="G230" s="22" t="n">
        <v>200</v>
      </c>
      <c r="H230" s="22" t="b">
        <v>1</v>
      </c>
      <c r="I230" s="22" t="inlineStr"/>
      <c r="J230" s="24" t="n"/>
    </row>
    <row r="231">
      <c r="A231" s="47" t="inlineStr">
        <is>
          <t>https://africanmarketingconfederation.org/amc-conference-2022-thank-you</t>
        </is>
      </c>
      <c r="B231" s="46" t="inlineStr">
        <is>
          <t>https://africanmarketingconfederation.org/certified-professional-marketer-africa</t>
        </is>
      </c>
      <c r="C231" s="4" t="inlineStr">
        <is>
          <t>CPM(A)</t>
        </is>
      </c>
      <c r="D231" s="4" t="inlineStr"/>
      <c r="E231" s="4" t="inlineStr">
        <is>
          <t>Internal</t>
        </is>
      </c>
      <c r="F231" s="4" t="b">
        <v>0</v>
      </c>
      <c r="G231" s="4" t="n">
        <v>200</v>
      </c>
      <c r="H231" s="4" t="b">
        <v>1</v>
      </c>
      <c r="I231" s="4" t="inlineStr"/>
    </row>
    <row r="232">
      <c r="A232" s="47" t="inlineStr">
        <is>
          <t>https://africanmarketingconfederation.org/amc-conference-2022-thank-you</t>
        </is>
      </c>
      <c r="B232" s="44" t="inlineStr">
        <is>
          <t>https://africanmarketingconfederation.org/news-articles</t>
        </is>
      </c>
      <c r="C232" s="22" t="inlineStr">
        <is>
          <t>NEWS &amp; PUBLICATIONS</t>
        </is>
      </c>
      <c r="D232" s="22" t="inlineStr"/>
      <c r="E232" s="22" t="inlineStr">
        <is>
          <t>Internal</t>
        </is>
      </c>
      <c r="F232" s="22" t="b">
        <v>0</v>
      </c>
      <c r="G232" s="22" t="n">
        <v>200</v>
      </c>
      <c r="H232" s="22" t="b">
        <v>1</v>
      </c>
      <c r="I232" s="22" t="inlineStr"/>
      <c r="J232" s="24" t="n"/>
    </row>
    <row r="233">
      <c r="A233" s="47" t="inlineStr">
        <is>
          <t>https://africanmarketingconfederation.org/amc-conference-2022-thank-you</t>
        </is>
      </c>
      <c r="B233" s="46" t="inlineStr">
        <is>
          <t>https://africanmarketingconfederation.org/news-articles</t>
        </is>
      </c>
      <c r="C233" s="4" t="inlineStr">
        <is>
          <t>NEWS ARTICLES</t>
        </is>
      </c>
      <c r="D233" s="4" t="inlineStr"/>
      <c r="E233" s="4" t="inlineStr">
        <is>
          <t>Internal</t>
        </is>
      </c>
      <c r="F233" s="4" t="b">
        <v>0</v>
      </c>
      <c r="G233" s="4" t="n">
        <v>200</v>
      </c>
      <c r="H233" s="4" t="b">
        <v>1</v>
      </c>
      <c r="I233" s="4" t="inlineStr"/>
    </row>
    <row r="234">
      <c r="A234" s="47" t="inlineStr">
        <is>
          <t>https://africanmarketingconfederation.org/amc-conference-2022-thank-you</t>
        </is>
      </c>
      <c r="B234" s="44" t="inlineStr">
        <is>
          <t>https://africanmarketingconfederation.org/publications-2</t>
        </is>
      </c>
      <c r="C234" s="22" t="inlineStr">
        <is>
          <t>PUBLICATIONS</t>
        </is>
      </c>
      <c r="D234" s="22" t="inlineStr"/>
      <c r="E234" s="22" t="inlineStr">
        <is>
          <t>Internal</t>
        </is>
      </c>
      <c r="F234" s="22" t="b">
        <v>0</v>
      </c>
      <c r="G234" s="22" t="n">
        <v>200</v>
      </c>
      <c r="H234" s="22" t="b">
        <v>1</v>
      </c>
      <c r="I234" s="22" t="inlineStr"/>
      <c r="J234" s="24" t="n"/>
    </row>
    <row r="235">
      <c r="A235" s="47" t="inlineStr">
        <is>
          <t>https://africanmarketingconfederation.org/amc-conference-2022-thank-you</t>
        </is>
      </c>
      <c r="B235" s="46" t="inlineStr">
        <is>
          <t>https://africanmarketingconfederation.org/amc-conference-2026</t>
        </is>
      </c>
      <c r="C235" s="4" t="inlineStr">
        <is>
          <t>AMC Conference</t>
        </is>
      </c>
      <c r="D235" s="4" t="inlineStr"/>
      <c r="E235" s="4" t="inlineStr">
        <is>
          <t>Internal</t>
        </is>
      </c>
      <c r="F235" s="4" t="b">
        <v>0</v>
      </c>
      <c r="G235" s="4" t="n">
        <v>200</v>
      </c>
      <c r="H235" s="4" t="b">
        <v>1</v>
      </c>
      <c r="I235" s="4" t="inlineStr"/>
    </row>
    <row r="236">
      <c r="A236" s="47" t="inlineStr">
        <is>
          <t>https://africanmarketingconfederation.org/amc-conference-2022-thank-you</t>
        </is>
      </c>
      <c r="B236" s="44" t="inlineStr">
        <is>
          <t>https://africanmarketingconfederation.org/contact-us</t>
        </is>
      </c>
      <c r="C236" s="22" t="inlineStr">
        <is>
          <t>CONTACT US</t>
        </is>
      </c>
      <c r="D236" s="22" t="inlineStr"/>
      <c r="E236" s="22" t="inlineStr">
        <is>
          <t>Internal</t>
        </is>
      </c>
      <c r="F236" s="22" t="b">
        <v>0</v>
      </c>
      <c r="G236" s="22" t="n">
        <v>200</v>
      </c>
      <c r="H236" s="22" t="b">
        <v>1</v>
      </c>
      <c r="I236" s="22" t="inlineStr"/>
      <c r="J236" s="24" t="n"/>
    </row>
    <row r="237">
      <c r="A237" s="47" t="inlineStr">
        <is>
          <t>https://africanmarketingconfederation.org/amc-conference-2022-thank-you</t>
        </is>
      </c>
      <c r="B237" s="46" t="inlineStr">
        <is>
          <t>https://africanmarketingconfederation.org/</t>
        </is>
      </c>
      <c r="C237" s="4" t="inlineStr">
        <is>
          <t>HOME</t>
        </is>
      </c>
      <c r="D237" s="4" t="inlineStr"/>
      <c r="E237" s="4" t="inlineStr">
        <is>
          <t>Internal</t>
        </is>
      </c>
      <c r="F237" s="4" t="b">
        <v>0</v>
      </c>
      <c r="G237" s="4" t="n">
        <v>200</v>
      </c>
      <c r="H237" s="4" t="b">
        <v>1</v>
      </c>
      <c r="I237" s="4" t="inlineStr"/>
    </row>
    <row r="238">
      <c r="A238" s="47" t="inlineStr">
        <is>
          <t>https://africanmarketingconfederation.org/amc-conference-2022-thank-you</t>
        </is>
      </c>
      <c r="B238" s="44" t="inlineStr">
        <is>
          <t>https://africanmarketingconfederation.org/about-us</t>
        </is>
      </c>
      <c r="C238" s="22" t="inlineStr">
        <is>
          <t>ABOUT US</t>
        </is>
      </c>
      <c r="D238" s="22" t="inlineStr"/>
      <c r="E238" s="22" t="inlineStr">
        <is>
          <t>Internal</t>
        </is>
      </c>
      <c r="F238" s="22" t="b">
        <v>0</v>
      </c>
      <c r="G238" s="22" t="n">
        <v>200</v>
      </c>
      <c r="H238" s="22" t="b">
        <v>1</v>
      </c>
      <c r="I238" s="22" t="inlineStr"/>
      <c r="J238" s="24" t="n"/>
    </row>
    <row r="239">
      <c r="A239" s="47" t="inlineStr">
        <is>
          <t>https://africanmarketingconfederation.org/amc-conference-2022-thank-you</t>
        </is>
      </c>
      <c r="B239" s="46" t="inlineStr">
        <is>
          <t>https://africanmarketingconfederation.org/sub-committees</t>
        </is>
      </c>
      <c r="C239" s="4" t="inlineStr">
        <is>
          <t>AMC COMMITTEES</t>
        </is>
      </c>
      <c r="D239" s="4" t="inlineStr"/>
      <c r="E239" s="4" t="inlineStr">
        <is>
          <t>Internal</t>
        </is>
      </c>
      <c r="F239" s="4" t="b">
        <v>0</v>
      </c>
      <c r="G239" s="4" t="n">
        <v>200</v>
      </c>
      <c r="H239" s="4" t="b">
        <v>1</v>
      </c>
      <c r="I239" s="4" t="inlineStr"/>
    </row>
    <row r="240">
      <c r="A240" s="47" t="inlineStr">
        <is>
          <t>https://africanmarketingconfederation.org/amc-conference-2022-thank-you</t>
        </is>
      </c>
      <c r="B240" s="44" t="inlineStr">
        <is>
          <t>https://africanmarketingconfederation.org/members</t>
        </is>
      </c>
      <c r="C240" s="22" t="inlineStr">
        <is>
          <t>MEMBERS</t>
        </is>
      </c>
      <c r="D240" s="22" t="inlineStr"/>
      <c r="E240" s="22" t="inlineStr">
        <is>
          <t>Internal</t>
        </is>
      </c>
      <c r="F240" s="22" t="b">
        <v>0</v>
      </c>
      <c r="G240" s="22" t="n">
        <v>200</v>
      </c>
      <c r="H240" s="22" t="b">
        <v>1</v>
      </c>
      <c r="I240" s="22" t="inlineStr"/>
      <c r="J240" s="24" t="n"/>
    </row>
    <row r="241">
      <c r="A241" s="47" t="inlineStr">
        <is>
          <t>https://africanmarketingconfederation.org/amc-conference-2022-thank-you</t>
        </is>
      </c>
      <c r="B241" s="46" t="inlineStr">
        <is>
          <t>https://africanmarketingconfederation.org/african-marketing-confederation-tourism-chapter</t>
        </is>
      </c>
      <c r="C241" s="4" t="inlineStr">
        <is>
          <t>TOURISM CHAPTER</t>
        </is>
      </c>
      <c r="D241" s="4" t="inlineStr"/>
      <c r="E241" s="4" t="inlineStr">
        <is>
          <t>Internal</t>
        </is>
      </c>
      <c r="F241" s="4" t="b">
        <v>0</v>
      </c>
      <c r="G241" s="4" t="n">
        <v>200</v>
      </c>
      <c r="H241" s="4" t="b">
        <v>1</v>
      </c>
      <c r="I241" s="4" t="inlineStr"/>
    </row>
    <row r="242">
      <c r="A242" s="47" t="inlineStr">
        <is>
          <t>https://africanmarketingconfederation.org/amc-conference-2022-thank-you</t>
        </is>
      </c>
      <c r="B242" s="44" t="inlineStr">
        <is>
          <t>https://africanmarketingconfederation.org/education</t>
        </is>
      </c>
      <c r="C242" s="22" t="inlineStr">
        <is>
          <t>EDUCATION</t>
        </is>
      </c>
      <c r="D242" s="22" t="inlineStr"/>
      <c r="E242" s="22" t="inlineStr">
        <is>
          <t>Internal</t>
        </is>
      </c>
      <c r="F242" s="22" t="b">
        <v>0</v>
      </c>
      <c r="G242" s="22" t="n">
        <v>200</v>
      </c>
      <c r="H242" s="22" t="b">
        <v>1</v>
      </c>
      <c r="I242" s="22" t="inlineStr"/>
      <c r="J242" s="24" t="n"/>
    </row>
    <row r="243">
      <c r="A243" s="47" t="inlineStr">
        <is>
          <t>https://africanmarketingconfederation.org/amc-conference-2022-thank-you</t>
        </is>
      </c>
      <c r="B243" s="46" t="inlineStr">
        <is>
          <t>https://africanmarketingconfederation.org/chartered-marketer-africa</t>
        </is>
      </c>
      <c r="C243" s="4" t="inlineStr">
        <is>
          <t>CHARTERED MARKETER (AFRICA)</t>
        </is>
      </c>
      <c r="D243" s="4" t="inlineStr"/>
      <c r="E243" s="4" t="inlineStr">
        <is>
          <t>Internal</t>
        </is>
      </c>
      <c r="F243" s="4" t="b">
        <v>0</v>
      </c>
      <c r="G243" s="4" t="n">
        <v>200</v>
      </c>
      <c r="H243" s="4" t="b">
        <v>1</v>
      </c>
      <c r="I243" s="4" t="inlineStr"/>
    </row>
    <row r="244">
      <c r="A244" s="47" t="inlineStr">
        <is>
          <t>https://africanmarketingconfederation.org/amc-conference-2022-thank-you</t>
        </is>
      </c>
      <c r="B244" s="44" t="inlineStr">
        <is>
          <t>https://africanmarketingconfederation.org/certified-professional-marketer-africa</t>
        </is>
      </c>
      <c r="C244" s="22" t="inlineStr">
        <is>
          <t>CPM(A)</t>
        </is>
      </c>
      <c r="D244" s="22" t="inlineStr"/>
      <c r="E244" s="22" t="inlineStr">
        <is>
          <t>Internal</t>
        </is>
      </c>
      <c r="F244" s="22" t="b">
        <v>0</v>
      </c>
      <c r="G244" s="22" t="n">
        <v>200</v>
      </c>
      <c r="H244" s="22" t="b">
        <v>1</v>
      </c>
      <c r="I244" s="22" t="inlineStr"/>
      <c r="J244" s="24" t="n"/>
    </row>
    <row r="245">
      <c r="A245" s="47" t="inlineStr">
        <is>
          <t>https://africanmarketingconfederation.org/amc-conference-2022-thank-you</t>
        </is>
      </c>
      <c r="B245" s="46" t="inlineStr">
        <is>
          <t>https://africanmarketingconfederation.org/news-articles</t>
        </is>
      </c>
      <c r="C245" s="4" t="inlineStr">
        <is>
          <t>NEWS &amp; PUBLICATIONS</t>
        </is>
      </c>
      <c r="D245" s="4" t="inlineStr"/>
      <c r="E245" s="4" t="inlineStr">
        <is>
          <t>Internal</t>
        </is>
      </c>
      <c r="F245" s="4" t="b">
        <v>0</v>
      </c>
      <c r="G245" s="4" t="n">
        <v>200</v>
      </c>
      <c r="H245" s="4" t="b">
        <v>1</v>
      </c>
      <c r="I245" s="4" t="inlineStr"/>
    </row>
    <row r="246">
      <c r="A246" s="47" t="inlineStr">
        <is>
          <t>https://africanmarketingconfederation.org/amc-conference-2022-thank-you</t>
        </is>
      </c>
      <c r="B246" s="44" t="inlineStr">
        <is>
          <t>https://africanmarketingconfederation.org/news-articles</t>
        </is>
      </c>
      <c r="C246" s="22" t="inlineStr">
        <is>
          <t>NEWS ARTICLES</t>
        </is>
      </c>
      <c r="D246" s="22" t="inlineStr"/>
      <c r="E246" s="22" t="inlineStr">
        <is>
          <t>Internal</t>
        </is>
      </c>
      <c r="F246" s="22" t="b">
        <v>0</v>
      </c>
      <c r="G246" s="22" t="n">
        <v>200</v>
      </c>
      <c r="H246" s="22" t="b">
        <v>1</v>
      </c>
      <c r="I246" s="22" t="inlineStr"/>
      <c r="J246" s="24" t="n"/>
    </row>
    <row r="247">
      <c r="A247" s="47" t="inlineStr">
        <is>
          <t>https://africanmarketingconfederation.org/amc-conference-2022-thank-you</t>
        </is>
      </c>
      <c r="B247" s="46" t="inlineStr">
        <is>
          <t>https://africanmarketingconfederation.org/publications-2</t>
        </is>
      </c>
      <c r="C247" s="4" t="inlineStr">
        <is>
          <t>PUBLICATIONS</t>
        </is>
      </c>
      <c r="D247" s="4" t="inlineStr"/>
      <c r="E247" s="4" t="inlineStr">
        <is>
          <t>Internal</t>
        </is>
      </c>
      <c r="F247" s="4" t="b">
        <v>0</v>
      </c>
      <c r="G247" s="4" t="n">
        <v>200</v>
      </c>
      <c r="H247" s="4" t="b">
        <v>1</v>
      </c>
      <c r="I247" s="4" t="inlineStr"/>
    </row>
    <row r="248">
      <c r="A248" s="47" t="inlineStr">
        <is>
          <t>https://africanmarketingconfederation.org/amc-conference-2022-thank-you</t>
        </is>
      </c>
      <c r="B248" s="44" t="inlineStr">
        <is>
          <t>https://africanmarketingconfederation.org/amc-conference-2026</t>
        </is>
      </c>
      <c r="C248" s="22" t="inlineStr">
        <is>
          <t>AMC Conference</t>
        </is>
      </c>
      <c r="D248" s="22" t="inlineStr"/>
      <c r="E248" s="22" t="inlineStr">
        <is>
          <t>Internal</t>
        </is>
      </c>
      <c r="F248" s="22" t="b">
        <v>0</v>
      </c>
      <c r="G248" s="22" t="n">
        <v>200</v>
      </c>
      <c r="H248" s="22" t="b">
        <v>1</v>
      </c>
      <c r="I248" s="22" t="inlineStr"/>
      <c r="J248" s="24" t="n"/>
    </row>
    <row r="249">
      <c r="A249" s="47" t="inlineStr">
        <is>
          <t>https://africanmarketingconfederation.org/amc-conference-2022-thank-you</t>
        </is>
      </c>
      <c r="B249" s="46" t="inlineStr">
        <is>
          <t>https://africanmarketingconfederation.org/contact-us</t>
        </is>
      </c>
      <c r="C249" s="4" t="inlineStr">
        <is>
          <t>CONTACT US</t>
        </is>
      </c>
      <c r="D249" s="4" t="inlineStr"/>
      <c r="E249" s="4" t="inlineStr">
        <is>
          <t>Internal</t>
        </is>
      </c>
      <c r="F249" s="4" t="b">
        <v>0</v>
      </c>
      <c r="G249" s="4" t="n">
        <v>200</v>
      </c>
      <c r="H249" s="4" t="b">
        <v>1</v>
      </c>
      <c r="I249" s="4" t="inlineStr"/>
    </row>
    <row r="250">
      <c r="A250" s="47" t="inlineStr">
        <is>
          <t>https://africanmarketingconfederation.org/amc-conference-2022-thank-you</t>
        </is>
      </c>
      <c r="B250" s="44" t="inlineStr">
        <is>
          <t>https://africanmarketingconfederation.org/wp-content/uploads/2021/11/AMC-2022_Prospectus-low-res.pdf</t>
        </is>
      </c>
      <c r="C250" s="22" t="inlineStr">
        <is>
          <t>Download the Partnership Prospectus</t>
        </is>
      </c>
      <c r="D250" s="22" t="inlineStr"/>
      <c r="E250" s="22" t="inlineStr">
        <is>
          <t>Internal</t>
        </is>
      </c>
      <c r="F250" s="22" t="b">
        <v>0</v>
      </c>
      <c r="G250" s="22" t="n">
        <v>404</v>
      </c>
      <c r="H250" s="22" t="b">
        <v>0</v>
      </c>
      <c r="I250" s="22" t="inlineStr"/>
      <c r="J250" s="24" t="n"/>
    </row>
    <row r="251">
      <c r="A251" s="47" t="inlineStr">
        <is>
          <t>https://africanmarketingconfederation.org/amc-conference-2022-thank-you</t>
        </is>
      </c>
      <c r="B251" s="46" t="inlineStr">
        <is>
          <t>https://africanmarketingconfederation.org/publications-2</t>
        </is>
      </c>
      <c r="C251" s="4" t="inlineStr">
        <is>
          <t>Strategic Marketing for AfricaMagazine</t>
        </is>
      </c>
      <c r="D251" s="4" t="inlineStr"/>
      <c r="E251" s="4" t="inlineStr">
        <is>
          <t>Internal</t>
        </is>
      </c>
      <c r="F251" s="4" t="b">
        <v>0</v>
      </c>
      <c r="G251" s="4" t="n">
        <v>200</v>
      </c>
      <c r="H251" s="4" t="b">
        <v>1</v>
      </c>
      <c r="I251" s="4" t="inlineStr"/>
    </row>
    <row r="252">
      <c r="A252" s="47" t="inlineStr">
        <is>
          <t>https://africanmarketingconfederation.org/amc-conference-2022-thank-you</t>
        </is>
      </c>
      <c r="B252" s="44" t="inlineStr">
        <is>
          <t>https://www.facebook.com/The-African-Marketing-Confederation-108980418182403</t>
        </is>
      </c>
      <c r="C252" s="22" t="inlineStr"/>
      <c r="D252" s="22" t="inlineStr"/>
      <c r="E252" s="22" t="inlineStr">
        <is>
          <t>External</t>
        </is>
      </c>
      <c r="F252" s="22" t="b">
        <v>0</v>
      </c>
      <c r="G252" s="22" t="inlineStr"/>
      <c r="H252" s="22" t="b">
        <v>1</v>
      </c>
      <c r="I252" s="22" t="inlineStr"/>
      <c r="J252" s="24" t="n"/>
    </row>
    <row r="253">
      <c r="A253" s="47" t="inlineStr">
        <is>
          <t>https://africanmarketingconfederation.org/amc-conference-2022-thank-you</t>
        </is>
      </c>
      <c r="B253" s="46" t="inlineStr">
        <is>
          <t>https://www.linkedin.com/company/african-marketing-confederation</t>
        </is>
      </c>
      <c r="C253" s="4" t="inlineStr"/>
      <c r="D253" s="4" t="inlineStr"/>
      <c r="E253" s="4" t="inlineStr">
        <is>
          <t>External</t>
        </is>
      </c>
      <c r="F253" s="4" t="b">
        <v>0</v>
      </c>
      <c r="G253" s="4" t="inlineStr"/>
      <c r="H253" s="4" t="b">
        <v>1</v>
      </c>
      <c r="I253" s="4" t="inlineStr"/>
    </row>
    <row r="254">
      <c r="A254" s="47" t="inlineStr">
        <is>
          <t>https://africanmarketingconfederation.org/amc-conference-2022-thank-you</t>
        </is>
      </c>
      <c r="B254" s="44" t="inlineStr">
        <is>
          <t>https://africanmarketingconfederation.org/privacy-policy</t>
        </is>
      </c>
      <c r="C254" s="22" t="inlineStr">
        <is>
          <t>© 2026 by African Marketing Confederation | Privacy Policy</t>
        </is>
      </c>
      <c r="D254" s="22" t="inlineStr"/>
      <c r="E254" s="22" t="inlineStr">
        <is>
          <t>Internal</t>
        </is>
      </c>
      <c r="F254" s="22" t="b">
        <v>0</v>
      </c>
      <c r="G254" s="22" t="n">
        <v>200</v>
      </c>
      <c r="H254" s="22" t="b">
        <v>1</v>
      </c>
      <c r="I254" s="22" t="inlineStr"/>
      <c r="J254" s="24" t="n"/>
    </row>
    <row r="255">
      <c r="A255" s="47" t="inlineStr">
        <is>
          <t>https://africanmarketingconfederation.org/amc-conference-2022-thank-you</t>
        </is>
      </c>
      <c r="B255" s="46" t="inlineStr">
        <is>
          <t>https://africanmarketingconfederation.org/amc-conference-2025-delegate-packages</t>
        </is>
      </c>
      <c r="C255" s="4" t="inlineStr">
        <is>
          <t>Return to Shop</t>
        </is>
      </c>
      <c r="D255" s="4" t="inlineStr"/>
      <c r="E255" s="4" t="inlineStr">
        <is>
          <t>Internal</t>
        </is>
      </c>
      <c r="F255" s="4" t="b">
        <v>0</v>
      </c>
      <c r="G255" s="4" t="n">
        <v>404</v>
      </c>
      <c r="H255" s="4" t="b">
        <v>0</v>
      </c>
      <c r="I255" s="4" t="inlineStr"/>
    </row>
    <row r="256">
      <c r="A256" s="47" t="inlineStr">
        <is>
          <t>https://africanmarketingconfederation.org/amc-conference-2022-thank-you</t>
        </is>
      </c>
      <c r="B256" s="44" t="inlineStr">
        <is>
          <t>https://africanmarketingconfederation.org/amc-conference-2025-delegate-packages</t>
        </is>
      </c>
      <c r="C256" s="22" t="inlineStr">
        <is>
          <t>Continue Shopping</t>
        </is>
      </c>
      <c r="D256" s="22" t="inlineStr"/>
      <c r="E256" s="22" t="inlineStr">
        <is>
          <t>Internal</t>
        </is>
      </c>
      <c r="F256" s="22" t="b">
        <v>0</v>
      </c>
      <c r="G256" s="22" t="n">
        <v>404</v>
      </c>
      <c r="H256" s="22" t="b">
        <v>0</v>
      </c>
      <c r="I256" s="22" t="inlineStr"/>
      <c r="J256" s="24" t="n"/>
    </row>
    <row r="257">
      <c r="A257" s="47" t="inlineStr">
        <is>
          <t>https://africanmarketingconfederation.org/amc-conference-2022</t>
        </is>
      </c>
      <c r="B257" s="46" t="inlineStr">
        <is>
          <t>https://africanmarketingconfederation.org/</t>
        </is>
      </c>
      <c r="C257" s="4" t="inlineStr"/>
      <c r="D257" s="4" t="inlineStr"/>
      <c r="E257" s="4" t="inlineStr">
        <is>
          <t>Internal</t>
        </is>
      </c>
      <c r="F257" s="4" t="b">
        <v>0</v>
      </c>
      <c r="G257" s="4" t="n">
        <v>200</v>
      </c>
      <c r="H257" s="4" t="b">
        <v>1</v>
      </c>
      <c r="I257" s="4" t="inlineStr"/>
    </row>
    <row r="258">
      <c r="A258" s="47" t="inlineStr">
        <is>
          <t>https://africanmarketingconfederation.org/amc-conference-2022</t>
        </is>
      </c>
      <c r="B258" s="44" t="inlineStr">
        <is>
          <t>https://africanmarketingconfederation.org/</t>
        </is>
      </c>
      <c r="C258" s="22" t="inlineStr">
        <is>
          <t>HOME</t>
        </is>
      </c>
      <c r="D258" s="22" t="inlineStr"/>
      <c r="E258" s="22" t="inlineStr">
        <is>
          <t>Internal</t>
        </is>
      </c>
      <c r="F258" s="22" t="b">
        <v>0</v>
      </c>
      <c r="G258" s="22" t="n">
        <v>200</v>
      </c>
      <c r="H258" s="22" t="b">
        <v>1</v>
      </c>
      <c r="I258" s="22" t="inlineStr"/>
      <c r="J258" s="24" t="n"/>
    </row>
    <row r="259">
      <c r="A259" s="47" t="inlineStr">
        <is>
          <t>https://africanmarketingconfederation.org/amc-conference-2022</t>
        </is>
      </c>
      <c r="B259" s="46" t="inlineStr">
        <is>
          <t>https://africanmarketingconfederation.org/about-us</t>
        </is>
      </c>
      <c r="C259" s="4" t="inlineStr">
        <is>
          <t>ABOUT US</t>
        </is>
      </c>
      <c r="D259" s="4" t="inlineStr"/>
      <c r="E259" s="4" t="inlineStr">
        <is>
          <t>Internal</t>
        </is>
      </c>
      <c r="F259" s="4" t="b">
        <v>0</v>
      </c>
      <c r="G259" s="4" t="n">
        <v>200</v>
      </c>
      <c r="H259" s="4" t="b">
        <v>1</v>
      </c>
      <c r="I259" s="4" t="inlineStr"/>
    </row>
    <row r="260">
      <c r="A260" s="47" t="inlineStr">
        <is>
          <t>https://africanmarketingconfederation.org/amc-conference-2022</t>
        </is>
      </c>
      <c r="B260" s="44" t="inlineStr">
        <is>
          <t>https://africanmarketingconfederation.org/sub-committees</t>
        </is>
      </c>
      <c r="C260" s="22" t="inlineStr">
        <is>
          <t>AMC COMMITTEES</t>
        </is>
      </c>
      <c r="D260" s="22" t="inlineStr"/>
      <c r="E260" s="22" t="inlineStr">
        <is>
          <t>Internal</t>
        </is>
      </c>
      <c r="F260" s="22" t="b">
        <v>0</v>
      </c>
      <c r="G260" s="22" t="n">
        <v>200</v>
      </c>
      <c r="H260" s="22" t="b">
        <v>1</v>
      </c>
      <c r="I260" s="22" t="inlineStr"/>
      <c r="J260" s="24" t="n"/>
    </row>
    <row r="261">
      <c r="A261" s="47" t="inlineStr">
        <is>
          <t>https://africanmarketingconfederation.org/amc-conference-2022</t>
        </is>
      </c>
      <c r="B261" s="46" t="inlineStr">
        <is>
          <t>https://africanmarketingconfederation.org/members</t>
        </is>
      </c>
      <c r="C261" s="4" t="inlineStr">
        <is>
          <t>MEMBERS</t>
        </is>
      </c>
      <c r="D261" s="4" t="inlineStr"/>
      <c r="E261" s="4" t="inlineStr">
        <is>
          <t>Internal</t>
        </is>
      </c>
      <c r="F261" s="4" t="b">
        <v>0</v>
      </c>
      <c r="G261" s="4" t="n">
        <v>200</v>
      </c>
      <c r="H261" s="4" t="b">
        <v>1</v>
      </c>
      <c r="I261" s="4" t="inlineStr"/>
    </row>
    <row r="262">
      <c r="A262" s="47" t="inlineStr">
        <is>
          <t>https://africanmarketingconfederation.org/amc-conference-2022</t>
        </is>
      </c>
      <c r="B262" s="44" t="inlineStr">
        <is>
          <t>https://africanmarketingconfederation.org/african-marketing-confederation-tourism-chapter</t>
        </is>
      </c>
      <c r="C262" s="22" t="inlineStr">
        <is>
          <t>TOURISM CHAPTER</t>
        </is>
      </c>
      <c r="D262" s="22" t="inlineStr"/>
      <c r="E262" s="22" t="inlineStr">
        <is>
          <t>Internal</t>
        </is>
      </c>
      <c r="F262" s="22" t="b">
        <v>0</v>
      </c>
      <c r="G262" s="22" t="n">
        <v>200</v>
      </c>
      <c r="H262" s="22" t="b">
        <v>1</v>
      </c>
      <c r="I262" s="22" t="inlineStr"/>
      <c r="J262" s="24" t="n"/>
    </row>
    <row r="263">
      <c r="A263" s="47" t="inlineStr">
        <is>
          <t>https://africanmarketingconfederation.org/amc-conference-2022</t>
        </is>
      </c>
      <c r="B263" s="46" t="inlineStr">
        <is>
          <t>https://africanmarketingconfederation.org/education</t>
        </is>
      </c>
      <c r="C263" s="4" t="inlineStr">
        <is>
          <t>EDUCATION</t>
        </is>
      </c>
      <c r="D263" s="4" t="inlineStr"/>
      <c r="E263" s="4" t="inlineStr">
        <is>
          <t>Internal</t>
        </is>
      </c>
      <c r="F263" s="4" t="b">
        <v>0</v>
      </c>
      <c r="G263" s="4" t="n">
        <v>200</v>
      </c>
      <c r="H263" s="4" t="b">
        <v>1</v>
      </c>
      <c r="I263" s="4" t="inlineStr"/>
    </row>
    <row r="264">
      <c r="A264" s="47" t="inlineStr">
        <is>
          <t>https://africanmarketingconfederation.org/amc-conference-2022</t>
        </is>
      </c>
      <c r="B264" s="44" t="inlineStr">
        <is>
          <t>https://africanmarketingconfederation.org/chartered-marketer-africa</t>
        </is>
      </c>
      <c r="C264" s="22" t="inlineStr">
        <is>
          <t>CHARTERED MARKETER (AFRICA)</t>
        </is>
      </c>
      <c r="D264" s="22" t="inlineStr"/>
      <c r="E264" s="22" t="inlineStr">
        <is>
          <t>Internal</t>
        </is>
      </c>
      <c r="F264" s="22" t="b">
        <v>0</v>
      </c>
      <c r="G264" s="22" t="n">
        <v>200</v>
      </c>
      <c r="H264" s="22" t="b">
        <v>1</v>
      </c>
      <c r="I264" s="22" t="inlineStr"/>
      <c r="J264" s="24" t="n"/>
    </row>
    <row r="265">
      <c r="A265" s="47" t="inlineStr">
        <is>
          <t>https://africanmarketingconfederation.org/amc-conference-2022</t>
        </is>
      </c>
      <c r="B265" s="46" t="inlineStr">
        <is>
          <t>https://africanmarketingconfederation.org/certified-professional-marketer-africa</t>
        </is>
      </c>
      <c r="C265" s="4" t="inlineStr">
        <is>
          <t>CPM(A)</t>
        </is>
      </c>
      <c r="D265" s="4" t="inlineStr"/>
      <c r="E265" s="4" t="inlineStr">
        <is>
          <t>Internal</t>
        </is>
      </c>
      <c r="F265" s="4" t="b">
        <v>0</v>
      </c>
      <c r="G265" s="4" t="n">
        <v>200</v>
      </c>
      <c r="H265" s="4" t="b">
        <v>1</v>
      </c>
      <c r="I265" s="4" t="inlineStr"/>
    </row>
    <row r="266">
      <c r="A266" s="47" t="inlineStr">
        <is>
          <t>https://africanmarketingconfederation.org/amc-conference-2022</t>
        </is>
      </c>
      <c r="B266" s="44" t="inlineStr">
        <is>
          <t>https://africanmarketingconfederation.org/news-articles</t>
        </is>
      </c>
      <c r="C266" s="22" t="inlineStr">
        <is>
          <t>NEWS &amp; PUBLICATIONS</t>
        </is>
      </c>
      <c r="D266" s="22" t="inlineStr"/>
      <c r="E266" s="22" t="inlineStr">
        <is>
          <t>Internal</t>
        </is>
      </c>
      <c r="F266" s="22" t="b">
        <v>0</v>
      </c>
      <c r="G266" s="22" t="n">
        <v>200</v>
      </c>
      <c r="H266" s="22" t="b">
        <v>1</v>
      </c>
      <c r="I266" s="22" t="inlineStr"/>
      <c r="J266" s="24" t="n"/>
    </row>
    <row r="267">
      <c r="A267" s="47" t="inlineStr">
        <is>
          <t>https://africanmarketingconfederation.org/amc-conference-2022</t>
        </is>
      </c>
      <c r="B267" s="46" t="inlineStr">
        <is>
          <t>https://africanmarketingconfederation.org/news-articles</t>
        </is>
      </c>
      <c r="C267" s="4" t="inlineStr">
        <is>
          <t>NEWS ARTICLES</t>
        </is>
      </c>
      <c r="D267" s="4" t="inlineStr"/>
      <c r="E267" s="4" t="inlineStr">
        <is>
          <t>Internal</t>
        </is>
      </c>
      <c r="F267" s="4" t="b">
        <v>0</v>
      </c>
      <c r="G267" s="4" t="n">
        <v>200</v>
      </c>
      <c r="H267" s="4" t="b">
        <v>1</v>
      </c>
      <c r="I267" s="4" t="inlineStr"/>
    </row>
    <row r="268">
      <c r="A268" s="47" t="inlineStr">
        <is>
          <t>https://africanmarketingconfederation.org/amc-conference-2022</t>
        </is>
      </c>
      <c r="B268" s="44" t="inlineStr">
        <is>
          <t>https://africanmarketingconfederation.org/publications-2</t>
        </is>
      </c>
      <c r="C268" s="22" t="inlineStr">
        <is>
          <t>PUBLICATIONS</t>
        </is>
      </c>
      <c r="D268" s="22" t="inlineStr"/>
      <c r="E268" s="22" t="inlineStr">
        <is>
          <t>Internal</t>
        </is>
      </c>
      <c r="F268" s="22" t="b">
        <v>0</v>
      </c>
      <c r="G268" s="22" t="n">
        <v>200</v>
      </c>
      <c r="H268" s="22" t="b">
        <v>1</v>
      </c>
      <c r="I268" s="22" t="inlineStr"/>
      <c r="J268" s="24" t="n"/>
    </row>
    <row r="269">
      <c r="A269" s="47" t="inlineStr">
        <is>
          <t>https://africanmarketingconfederation.org/amc-conference-2022</t>
        </is>
      </c>
      <c r="B269" s="46" t="inlineStr">
        <is>
          <t>https://africanmarketingconfederation.org/amc-conference-2026</t>
        </is>
      </c>
      <c r="C269" s="4" t="inlineStr">
        <is>
          <t>AMC Conference</t>
        </is>
      </c>
      <c r="D269" s="4" t="inlineStr"/>
      <c r="E269" s="4" t="inlineStr">
        <is>
          <t>Internal</t>
        </is>
      </c>
      <c r="F269" s="4" t="b">
        <v>0</v>
      </c>
      <c r="G269" s="4" t="n">
        <v>200</v>
      </c>
      <c r="H269" s="4" t="b">
        <v>1</v>
      </c>
      <c r="I269" s="4" t="inlineStr"/>
    </row>
    <row r="270">
      <c r="A270" s="47" t="inlineStr">
        <is>
          <t>https://africanmarketingconfederation.org/amc-conference-2022</t>
        </is>
      </c>
      <c r="B270" s="44" t="inlineStr">
        <is>
          <t>https://africanmarketingconfederation.org/contact-us</t>
        </is>
      </c>
      <c r="C270" s="22" t="inlineStr">
        <is>
          <t>CONTACT US</t>
        </is>
      </c>
      <c r="D270" s="22" t="inlineStr"/>
      <c r="E270" s="22" t="inlineStr">
        <is>
          <t>Internal</t>
        </is>
      </c>
      <c r="F270" s="22" t="b">
        <v>0</v>
      </c>
      <c r="G270" s="22" t="n">
        <v>200</v>
      </c>
      <c r="H270" s="22" t="b">
        <v>1</v>
      </c>
      <c r="I270" s="22" t="inlineStr"/>
      <c r="J270" s="24" t="n"/>
    </row>
    <row r="271">
      <c r="A271" s="47" t="inlineStr">
        <is>
          <t>https://africanmarketingconfederation.org/amc-conference-2022</t>
        </is>
      </c>
      <c r="B271" s="46" t="inlineStr">
        <is>
          <t>https://africanmarketingconfederation.org/</t>
        </is>
      </c>
      <c r="C271" s="4" t="inlineStr">
        <is>
          <t>HOME</t>
        </is>
      </c>
      <c r="D271" s="4" t="inlineStr"/>
      <c r="E271" s="4" t="inlineStr">
        <is>
          <t>Internal</t>
        </is>
      </c>
      <c r="F271" s="4" t="b">
        <v>0</v>
      </c>
      <c r="G271" s="4" t="n">
        <v>200</v>
      </c>
      <c r="H271" s="4" t="b">
        <v>1</v>
      </c>
      <c r="I271" s="4" t="inlineStr"/>
    </row>
    <row r="272">
      <c r="A272" s="47" t="inlineStr">
        <is>
          <t>https://africanmarketingconfederation.org/amc-conference-2022</t>
        </is>
      </c>
      <c r="B272" s="44" t="inlineStr">
        <is>
          <t>https://africanmarketingconfederation.org/about-us</t>
        </is>
      </c>
      <c r="C272" s="22" t="inlineStr">
        <is>
          <t>ABOUT US</t>
        </is>
      </c>
      <c r="D272" s="22" t="inlineStr"/>
      <c r="E272" s="22" t="inlineStr">
        <is>
          <t>Internal</t>
        </is>
      </c>
      <c r="F272" s="22" t="b">
        <v>0</v>
      </c>
      <c r="G272" s="22" t="n">
        <v>200</v>
      </c>
      <c r="H272" s="22" t="b">
        <v>1</v>
      </c>
      <c r="I272" s="22" t="inlineStr"/>
      <c r="J272" s="24" t="n"/>
    </row>
    <row r="273">
      <c r="A273" s="47" t="inlineStr">
        <is>
          <t>https://africanmarketingconfederation.org/amc-conference-2022</t>
        </is>
      </c>
      <c r="B273" s="46" t="inlineStr">
        <is>
          <t>https://africanmarketingconfederation.org/sub-committees</t>
        </is>
      </c>
      <c r="C273" s="4" t="inlineStr">
        <is>
          <t>AMC COMMITTEES</t>
        </is>
      </c>
      <c r="D273" s="4" t="inlineStr"/>
      <c r="E273" s="4" t="inlineStr">
        <is>
          <t>Internal</t>
        </is>
      </c>
      <c r="F273" s="4" t="b">
        <v>0</v>
      </c>
      <c r="G273" s="4" t="n">
        <v>200</v>
      </c>
      <c r="H273" s="4" t="b">
        <v>1</v>
      </c>
      <c r="I273" s="4" t="inlineStr"/>
    </row>
    <row r="274">
      <c r="A274" s="47" t="inlineStr">
        <is>
          <t>https://africanmarketingconfederation.org/amc-conference-2022</t>
        </is>
      </c>
      <c r="B274" s="44" t="inlineStr">
        <is>
          <t>https://africanmarketingconfederation.org/members</t>
        </is>
      </c>
      <c r="C274" s="22" t="inlineStr">
        <is>
          <t>MEMBERS</t>
        </is>
      </c>
      <c r="D274" s="22" t="inlineStr"/>
      <c r="E274" s="22" t="inlineStr">
        <is>
          <t>Internal</t>
        </is>
      </c>
      <c r="F274" s="22" t="b">
        <v>0</v>
      </c>
      <c r="G274" s="22" t="n">
        <v>200</v>
      </c>
      <c r="H274" s="22" t="b">
        <v>1</v>
      </c>
      <c r="I274" s="22" t="inlineStr"/>
      <c r="J274" s="24" t="n"/>
    </row>
    <row r="275">
      <c r="A275" s="47" t="inlineStr">
        <is>
          <t>https://africanmarketingconfederation.org/amc-conference-2022</t>
        </is>
      </c>
      <c r="B275" s="46" t="inlineStr">
        <is>
          <t>https://africanmarketingconfederation.org/african-marketing-confederation-tourism-chapter</t>
        </is>
      </c>
      <c r="C275" s="4" t="inlineStr">
        <is>
          <t>TOURISM CHAPTER</t>
        </is>
      </c>
      <c r="D275" s="4" t="inlineStr"/>
      <c r="E275" s="4" t="inlineStr">
        <is>
          <t>Internal</t>
        </is>
      </c>
      <c r="F275" s="4" t="b">
        <v>0</v>
      </c>
      <c r="G275" s="4" t="n">
        <v>200</v>
      </c>
      <c r="H275" s="4" t="b">
        <v>1</v>
      </c>
      <c r="I275" s="4" t="inlineStr"/>
    </row>
    <row r="276">
      <c r="A276" s="47" t="inlineStr">
        <is>
          <t>https://africanmarketingconfederation.org/amc-conference-2022</t>
        </is>
      </c>
      <c r="B276" s="44" t="inlineStr">
        <is>
          <t>https://africanmarketingconfederation.org/education</t>
        </is>
      </c>
      <c r="C276" s="22" t="inlineStr">
        <is>
          <t>EDUCATION</t>
        </is>
      </c>
      <c r="D276" s="22" t="inlineStr"/>
      <c r="E276" s="22" t="inlineStr">
        <is>
          <t>Internal</t>
        </is>
      </c>
      <c r="F276" s="22" t="b">
        <v>0</v>
      </c>
      <c r="G276" s="22" t="n">
        <v>200</v>
      </c>
      <c r="H276" s="22" t="b">
        <v>1</v>
      </c>
      <c r="I276" s="22" t="inlineStr"/>
      <c r="J276" s="24" t="n"/>
    </row>
    <row r="277">
      <c r="A277" s="47" t="inlineStr">
        <is>
          <t>https://africanmarketingconfederation.org/amc-conference-2022</t>
        </is>
      </c>
      <c r="B277" s="46" t="inlineStr">
        <is>
          <t>https://africanmarketingconfederation.org/chartered-marketer-africa</t>
        </is>
      </c>
      <c r="C277" s="4" t="inlineStr">
        <is>
          <t>CHARTERED MARKETER (AFRICA)</t>
        </is>
      </c>
      <c r="D277" s="4" t="inlineStr"/>
      <c r="E277" s="4" t="inlineStr">
        <is>
          <t>Internal</t>
        </is>
      </c>
      <c r="F277" s="4" t="b">
        <v>0</v>
      </c>
      <c r="G277" s="4" t="n">
        <v>200</v>
      </c>
      <c r="H277" s="4" t="b">
        <v>1</v>
      </c>
      <c r="I277" s="4" t="inlineStr"/>
    </row>
    <row r="278">
      <c r="A278" s="47" t="inlineStr">
        <is>
          <t>https://africanmarketingconfederation.org/amc-conference-2022</t>
        </is>
      </c>
      <c r="B278" s="44" t="inlineStr">
        <is>
          <t>https://africanmarketingconfederation.org/certified-professional-marketer-africa</t>
        </is>
      </c>
      <c r="C278" s="22" t="inlineStr">
        <is>
          <t>CPM(A)</t>
        </is>
      </c>
      <c r="D278" s="22" t="inlineStr"/>
      <c r="E278" s="22" t="inlineStr">
        <is>
          <t>Internal</t>
        </is>
      </c>
      <c r="F278" s="22" t="b">
        <v>0</v>
      </c>
      <c r="G278" s="22" t="n">
        <v>200</v>
      </c>
      <c r="H278" s="22" t="b">
        <v>1</v>
      </c>
      <c r="I278" s="22" t="inlineStr"/>
      <c r="J278" s="24" t="n"/>
    </row>
    <row r="279">
      <c r="A279" s="47" t="inlineStr">
        <is>
          <t>https://africanmarketingconfederation.org/amc-conference-2022</t>
        </is>
      </c>
      <c r="B279" s="46" t="inlineStr">
        <is>
          <t>https://africanmarketingconfederation.org/news-articles</t>
        </is>
      </c>
      <c r="C279" s="4" t="inlineStr">
        <is>
          <t>NEWS &amp; PUBLICATIONS</t>
        </is>
      </c>
      <c r="D279" s="4" t="inlineStr"/>
      <c r="E279" s="4" t="inlineStr">
        <is>
          <t>Internal</t>
        </is>
      </c>
      <c r="F279" s="4" t="b">
        <v>0</v>
      </c>
      <c r="G279" s="4" t="n">
        <v>200</v>
      </c>
      <c r="H279" s="4" t="b">
        <v>1</v>
      </c>
      <c r="I279" s="4" t="inlineStr"/>
    </row>
    <row r="280">
      <c r="A280" s="47" t="inlineStr">
        <is>
          <t>https://africanmarketingconfederation.org/amc-conference-2022</t>
        </is>
      </c>
      <c r="B280" s="44" t="inlineStr">
        <is>
          <t>https://africanmarketingconfederation.org/news-articles</t>
        </is>
      </c>
      <c r="C280" s="22" t="inlineStr">
        <is>
          <t>NEWS ARTICLES</t>
        </is>
      </c>
      <c r="D280" s="22" t="inlineStr"/>
      <c r="E280" s="22" t="inlineStr">
        <is>
          <t>Internal</t>
        </is>
      </c>
      <c r="F280" s="22" t="b">
        <v>0</v>
      </c>
      <c r="G280" s="22" t="n">
        <v>200</v>
      </c>
      <c r="H280" s="22" t="b">
        <v>1</v>
      </c>
      <c r="I280" s="22" t="inlineStr"/>
      <c r="J280" s="24" t="n"/>
    </row>
    <row r="281">
      <c r="A281" s="47" t="inlineStr">
        <is>
          <t>https://africanmarketingconfederation.org/amc-conference-2022</t>
        </is>
      </c>
      <c r="B281" s="46" t="inlineStr">
        <is>
          <t>https://africanmarketingconfederation.org/publications-2</t>
        </is>
      </c>
      <c r="C281" s="4" t="inlineStr">
        <is>
          <t>PUBLICATIONS</t>
        </is>
      </c>
      <c r="D281" s="4" t="inlineStr"/>
      <c r="E281" s="4" t="inlineStr">
        <is>
          <t>Internal</t>
        </is>
      </c>
      <c r="F281" s="4" t="b">
        <v>0</v>
      </c>
      <c r="G281" s="4" t="n">
        <v>200</v>
      </c>
      <c r="H281" s="4" t="b">
        <v>1</v>
      </c>
      <c r="I281" s="4" t="inlineStr"/>
    </row>
    <row r="282">
      <c r="A282" s="47" t="inlineStr">
        <is>
          <t>https://africanmarketingconfederation.org/amc-conference-2022</t>
        </is>
      </c>
      <c r="B282" s="44" t="inlineStr">
        <is>
          <t>https://africanmarketingconfederation.org/amc-conference-2026</t>
        </is>
      </c>
      <c r="C282" s="22" t="inlineStr">
        <is>
          <t>AMC Conference</t>
        </is>
      </c>
      <c r="D282" s="22" t="inlineStr"/>
      <c r="E282" s="22" t="inlineStr">
        <is>
          <t>Internal</t>
        </is>
      </c>
      <c r="F282" s="22" t="b">
        <v>0</v>
      </c>
      <c r="G282" s="22" t="n">
        <v>200</v>
      </c>
      <c r="H282" s="22" t="b">
        <v>1</v>
      </c>
      <c r="I282" s="22" t="inlineStr"/>
      <c r="J282" s="24" t="n"/>
    </row>
    <row r="283">
      <c r="A283" s="47" t="inlineStr">
        <is>
          <t>https://africanmarketingconfederation.org/amc-conference-2022</t>
        </is>
      </c>
      <c r="B283" s="46" t="inlineStr">
        <is>
          <t>https://africanmarketingconfederation.org/contact-us</t>
        </is>
      </c>
      <c r="C283" s="4" t="inlineStr">
        <is>
          <t>CONTACT US</t>
        </is>
      </c>
      <c r="D283" s="4" t="inlineStr"/>
      <c r="E283" s="4" t="inlineStr">
        <is>
          <t>Internal</t>
        </is>
      </c>
      <c r="F283" s="4" t="b">
        <v>0</v>
      </c>
      <c r="G283" s="4" t="n">
        <v>200</v>
      </c>
      <c r="H283" s="4" t="b">
        <v>1</v>
      </c>
      <c r="I283" s="4" t="inlineStr"/>
    </row>
    <row r="284">
      <c r="A284" s="47" t="inlineStr">
        <is>
          <t>https://africanmarketingconfederation.org/amc-conference-2022</t>
        </is>
      </c>
      <c r="B284" s="44" t="inlineStr">
        <is>
          <t>http://www.africanmarketingconfederation.org/</t>
        </is>
      </c>
      <c r="C284" s="22" t="inlineStr"/>
      <c r="D284" s="22" t="inlineStr"/>
      <c r="E284" s="22" t="inlineStr">
        <is>
          <t>External</t>
        </is>
      </c>
      <c r="F284" s="22" t="b">
        <v>0</v>
      </c>
      <c r="G284" s="22" t="inlineStr"/>
      <c r="H284" s="22" t="b">
        <v>1</v>
      </c>
      <c r="I284" s="22" t="inlineStr"/>
      <c r="J284" s="24" t="n"/>
    </row>
    <row r="285">
      <c r="A285" s="47" t="inlineStr">
        <is>
          <t>https://africanmarketingconfederation.org/amc-conference-2022</t>
        </is>
      </c>
      <c r="B285" s="46" t="inlineStr">
        <is>
          <t>https://africanmarketingconfederation.org/amc-conference-2025</t>
        </is>
      </c>
      <c r="C285" s="4" t="inlineStr">
        <is>
          <t>GHANA 2025</t>
        </is>
      </c>
      <c r="D285" s="4" t="inlineStr"/>
      <c r="E285" s="4" t="inlineStr">
        <is>
          <t>Internal</t>
        </is>
      </c>
      <c r="F285" s="4" t="b">
        <v>0</v>
      </c>
      <c r="G285" s="4" t="n">
        <v>200</v>
      </c>
      <c r="H285" s="4" t="b">
        <v>1</v>
      </c>
      <c r="I285" s="4" t="inlineStr"/>
    </row>
    <row r="286">
      <c r="A286" s="47" t="inlineStr">
        <is>
          <t>https://africanmarketingconfederation.org/amc-conference-2022</t>
        </is>
      </c>
      <c r="B286" s="44" t="inlineStr">
        <is>
          <t>https://africanmarketingconfederation.org/speakers-2025</t>
        </is>
      </c>
      <c r="C286" s="22" t="inlineStr">
        <is>
          <t>SPEAKERS 2025</t>
        </is>
      </c>
      <c r="D286" s="22" t="inlineStr"/>
      <c r="E286" s="22" t="inlineStr">
        <is>
          <t>Internal</t>
        </is>
      </c>
      <c r="F286" s="22" t="b">
        <v>0</v>
      </c>
      <c r="G286" s="22" t="n">
        <v>200</v>
      </c>
      <c r="H286" s="22" t="b">
        <v>1</v>
      </c>
      <c r="I286" s="22" t="inlineStr"/>
      <c r="J286" s="24" t="n"/>
    </row>
    <row r="287">
      <c r="A287" s="47" t="inlineStr">
        <is>
          <t>https://africanmarketingconfederation.org/amc-conference-2022</t>
        </is>
      </c>
      <c r="B287" s="46" t="inlineStr">
        <is>
          <t>https://africanmarketingconfederation.org/amc-marketing-conference-2024/amc-programme-2025</t>
        </is>
      </c>
      <c r="C287" s="4" t="inlineStr">
        <is>
          <t>AMC PROGRAMME 2025</t>
        </is>
      </c>
      <c r="D287" s="4" t="inlineStr"/>
      <c r="E287" s="4" t="inlineStr">
        <is>
          <t>Internal</t>
        </is>
      </c>
      <c r="F287" s="4" t="b">
        <v>0</v>
      </c>
      <c r="G287" s="4" t="n">
        <v>200</v>
      </c>
      <c r="H287" s="4" t="b">
        <v>1</v>
      </c>
      <c r="I287" s="4" t="inlineStr"/>
    </row>
    <row r="288">
      <c r="A288" s="47" t="inlineStr">
        <is>
          <t>https://africanmarketingconfederation.org/amc-conference-2022</t>
        </is>
      </c>
      <c r="B288" s="44" t="inlineStr">
        <is>
          <t>https://africanmarketingconfederation.org/amc-marketing-conference-2024/awards-2025</t>
        </is>
      </c>
      <c r="C288" s="22" t="inlineStr">
        <is>
          <t>AWARDS 2025</t>
        </is>
      </c>
      <c r="D288" s="22" t="inlineStr"/>
      <c r="E288" s="22" t="inlineStr">
        <is>
          <t>Internal</t>
        </is>
      </c>
      <c r="F288" s="22" t="b">
        <v>0</v>
      </c>
      <c r="G288" s="22" t="n">
        <v>200</v>
      </c>
      <c r="H288" s="22" t="b">
        <v>1</v>
      </c>
      <c r="I288" s="22" t="inlineStr"/>
      <c r="J288" s="24" t="n"/>
    </row>
    <row r="289">
      <c r="A289" s="47" t="inlineStr">
        <is>
          <t>https://africanmarketingconfederation.org/amc-conference-2022</t>
        </is>
      </c>
      <c r="B289" s="46" t="inlineStr">
        <is>
          <t>https://africanmarketingconfederation.org/amc-sponsors-2025</t>
        </is>
      </c>
      <c r="C289" s="4" t="inlineStr">
        <is>
          <t>SPONSORS 2025</t>
        </is>
      </c>
      <c r="D289" s="4" t="inlineStr"/>
      <c r="E289" s="4" t="inlineStr">
        <is>
          <t>Internal</t>
        </is>
      </c>
      <c r="F289" s="4" t="b">
        <v>0</v>
      </c>
      <c r="G289" s="4" t="n">
        <v>200</v>
      </c>
      <c r="H289" s="4" t="b">
        <v>1</v>
      </c>
      <c r="I289" s="4" t="inlineStr"/>
    </row>
    <row r="290">
      <c r="A290" s="47" t="inlineStr">
        <is>
          <t>https://africanmarketingconfederation.org/amc-conference-2022</t>
        </is>
      </c>
      <c r="B290" s="44" t="inlineStr">
        <is>
          <t>https://africanmarketingconfederation.org/conference-faq-2025</t>
        </is>
      </c>
      <c r="C290" s="22" t="inlineStr">
        <is>
          <t>FAQ 2025</t>
        </is>
      </c>
      <c r="D290" s="22" t="inlineStr"/>
      <c r="E290" s="22" t="inlineStr">
        <is>
          <t>Internal</t>
        </is>
      </c>
      <c r="F290" s="22" t="b">
        <v>0</v>
      </c>
      <c r="G290" s="22" t="n">
        <v>200</v>
      </c>
      <c r="H290" s="22" t="b">
        <v>1</v>
      </c>
      <c r="I290" s="22" t="inlineStr"/>
      <c r="J290" s="24" t="n"/>
    </row>
    <row r="291">
      <c r="A291" s="47" t="inlineStr">
        <is>
          <t>https://africanmarketingconfederation.org/amc-conference-2022</t>
        </is>
      </c>
      <c r="B291" s="46" t="inlineStr">
        <is>
          <t>https://africanmarketingconfederation.org/amc-conference-2025</t>
        </is>
      </c>
      <c r="C291" s="4" t="inlineStr">
        <is>
          <t>GHANA 2025</t>
        </is>
      </c>
      <c r="D291" s="4" t="inlineStr"/>
      <c r="E291" s="4" t="inlineStr">
        <is>
          <t>Internal</t>
        </is>
      </c>
      <c r="F291" s="4" t="b">
        <v>0</v>
      </c>
      <c r="G291" s="4" t="n">
        <v>200</v>
      </c>
      <c r="H291" s="4" t="b">
        <v>1</v>
      </c>
      <c r="I291" s="4" t="inlineStr"/>
    </row>
    <row r="292">
      <c r="A292" s="47" t="inlineStr">
        <is>
          <t>https://africanmarketingconfederation.org/amc-conference-2022</t>
        </is>
      </c>
      <c r="B292" s="44" t="inlineStr">
        <is>
          <t>https://africanmarketingconfederation.org/speakers-2025</t>
        </is>
      </c>
      <c r="C292" s="22" t="inlineStr">
        <is>
          <t>SPEAKERS 2025</t>
        </is>
      </c>
      <c r="D292" s="22" t="inlineStr"/>
      <c r="E292" s="22" t="inlineStr">
        <is>
          <t>Internal</t>
        </is>
      </c>
      <c r="F292" s="22" t="b">
        <v>0</v>
      </c>
      <c r="G292" s="22" t="n">
        <v>200</v>
      </c>
      <c r="H292" s="22" t="b">
        <v>1</v>
      </c>
      <c r="I292" s="22" t="inlineStr"/>
      <c r="J292" s="24" t="n"/>
    </row>
    <row r="293">
      <c r="A293" s="47" t="inlineStr">
        <is>
          <t>https://africanmarketingconfederation.org/amc-conference-2022</t>
        </is>
      </c>
      <c r="B293" s="46" t="inlineStr">
        <is>
          <t>https://africanmarketingconfederation.org/amc-marketing-conference-2024/amc-programme-2025</t>
        </is>
      </c>
      <c r="C293" s="4" t="inlineStr">
        <is>
          <t>AMC PROGRAMME 2025</t>
        </is>
      </c>
      <c r="D293" s="4" t="inlineStr"/>
      <c r="E293" s="4" t="inlineStr">
        <is>
          <t>Internal</t>
        </is>
      </c>
      <c r="F293" s="4" t="b">
        <v>0</v>
      </c>
      <c r="G293" s="4" t="n">
        <v>200</v>
      </c>
      <c r="H293" s="4" t="b">
        <v>1</v>
      </c>
      <c r="I293" s="4" t="inlineStr"/>
    </row>
    <row r="294">
      <c r="A294" s="47" t="inlineStr">
        <is>
          <t>https://africanmarketingconfederation.org/amc-conference-2022</t>
        </is>
      </c>
      <c r="B294" s="44" t="inlineStr">
        <is>
          <t>https://africanmarketingconfederation.org/amc-marketing-conference-2024/awards-2025</t>
        </is>
      </c>
      <c r="C294" s="22" t="inlineStr">
        <is>
          <t>AWARDS 2025</t>
        </is>
      </c>
      <c r="D294" s="22" t="inlineStr"/>
      <c r="E294" s="22" t="inlineStr">
        <is>
          <t>Internal</t>
        </is>
      </c>
      <c r="F294" s="22" t="b">
        <v>0</v>
      </c>
      <c r="G294" s="22" t="n">
        <v>200</v>
      </c>
      <c r="H294" s="22" t="b">
        <v>1</v>
      </c>
      <c r="I294" s="22" t="inlineStr"/>
      <c r="J294" s="24" t="n"/>
    </row>
    <row r="295">
      <c r="A295" s="47" t="inlineStr">
        <is>
          <t>https://africanmarketingconfederation.org/amc-conference-2022</t>
        </is>
      </c>
      <c r="B295" s="46" t="inlineStr">
        <is>
          <t>https://africanmarketingconfederation.org/amc-sponsors-2025</t>
        </is>
      </c>
      <c r="C295" s="4" t="inlineStr">
        <is>
          <t>SPONSORS 2025</t>
        </is>
      </c>
      <c r="D295" s="4" t="inlineStr"/>
      <c r="E295" s="4" t="inlineStr">
        <is>
          <t>Internal</t>
        </is>
      </c>
      <c r="F295" s="4" t="b">
        <v>0</v>
      </c>
      <c r="G295" s="4" t="n">
        <v>200</v>
      </c>
      <c r="H295" s="4" t="b">
        <v>1</v>
      </c>
      <c r="I295" s="4" t="inlineStr"/>
    </row>
    <row r="296">
      <c r="A296" s="47" t="inlineStr">
        <is>
          <t>https://africanmarketingconfederation.org/amc-conference-2022</t>
        </is>
      </c>
      <c r="B296" s="44" t="inlineStr">
        <is>
          <t>https://africanmarketingconfederation.org/conference-faq-2025</t>
        </is>
      </c>
      <c r="C296" s="22" t="inlineStr">
        <is>
          <t>FAQ 2025</t>
        </is>
      </c>
      <c r="D296" s="22" t="inlineStr"/>
      <c r="E296" s="22" t="inlineStr">
        <is>
          <t>Internal</t>
        </is>
      </c>
      <c r="F296" s="22" t="b">
        <v>0</v>
      </c>
      <c r="G296" s="22" t="n">
        <v>200</v>
      </c>
      <c r="H296" s="22" t="b">
        <v>1</v>
      </c>
      <c r="I296" s="22" t="inlineStr"/>
      <c r="J296" s="24" t="n"/>
    </row>
    <row r="297">
      <c r="A297" s="47" t="inlineStr">
        <is>
          <t>https://africanmarketingconfederation.org/amc-conference-2022</t>
        </is>
      </c>
      <c r="B297" s="46" t="inlineStr">
        <is>
          <t>https://africanmarketingconfederation.org/amc-officially-welcomes-new-member-associations-into-the-fold</t>
        </is>
      </c>
      <c r="C297" s="4" t="inlineStr"/>
      <c r="D297" s="4" t="inlineStr"/>
      <c r="E297" s="4" t="inlineStr">
        <is>
          <t>Internal</t>
        </is>
      </c>
      <c r="F297" s="4" t="b">
        <v>0</v>
      </c>
      <c r="G297" s="4" t="n">
        <v>200</v>
      </c>
      <c r="H297" s="4" t="b">
        <v>1</v>
      </c>
      <c r="I297" s="4" t="inlineStr"/>
    </row>
    <row r="298">
      <c r="A298" s="47" t="inlineStr">
        <is>
          <t>https://africanmarketingconfederation.org/amc-conference-2022</t>
        </is>
      </c>
      <c r="B298" s="44" t="inlineStr">
        <is>
          <t>https://africanmarketingconfederation.org/amc-officially-welcomes-new-member-associations-into-the-fold</t>
        </is>
      </c>
      <c r="C298" s="22" t="inlineStr">
        <is>
          <t>AMC officially welcomes new member associations into the fold</t>
        </is>
      </c>
      <c r="D298" s="22" t="inlineStr"/>
      <c r="E298" s="22" t="inlineStr">
        <is>
          <t>Internal</t>
        </is>
      </c>
      <c r="F298" s="22" t="b">
        <v>0</v>
      </c>
      <c r="G298" s="22" t="n">
        <v>200</v>
      </c>
      <c r="H298" s="22" t="b">
        <v>1</v>
      </c>
      <c r="I298" s="22" t="inlineStr"/>
      <c r="J298" s="24" t="n"/>
    </row>
    <row r="299">
      <c r="A299" s="47" t="inlineStr">
        <is>
          <t>https://africanmarketingconfederation.org/amc-conference-2022</t>
        </is>
      </c>
      <c r="B299" s="46" t="inlineStr">
        <is>
          <t>https://africanmarketingconfederation.org/amc-officially-welcomes-new-member-associations-into-the-fold</t>
        </is>
      </c>
      <c r="C299" s="4" t="inlineStr">
        <is>
          <t>Read More »</t>
        </is>
      </c>
      <c r="D299" s="4" t="inlineStr"/>
      <c r="E299" s="4" t="inlineStr">
        <is>
          <t>Internal</t>
        </is>
      </c>
      <c r="F299" s="4" t="b">
        <v>0</v>
      </c>
      <c r="G299" s="4" t="n">
        <v>200</v>
      </c>
      <c r="H299" s="4" t="b">
        <v>1</v>
      </c>
      <c r="I299" s="4" t="inlineStr"/>
    </row>
    <row r="300">
      <c r="A300" s="47" t="inlineStr">
        <is>
          <t>https://africanmarketingconfederation.org/amc-conference-2022</t>
        </is>
      </c>
      <c r="B300" s="44" t="inlineStr">
        <is>
          <t>https://africanmarketingconfederation.org/marketers-are-placing-the-ads-where-consumers-dont-want-to-see-them</t>
        </is>
      </c>
      <c r="C300" s="22" t="inlineStr"/>
      <c r="D300" s="22" t="inlineStr"/>
      <c r="E300" s="22" t="inlineStr">
        <is>
          <t>Internal</t>
        </is>
      </c>
      <c r="F300" s="22" t="b">
        <v>0</v>
      </c>
      <c r="G300" s="22" t="n">
        <v>200</v>
      </c>
      <c r="H300" s="22" t="b">
        <v>1</v>
      </c>
      <c r="I300" s="22" t="inlineStr"/>
      <c r="J300" s="24" t="n"/>
    </row>
    <row r="301">
      <c r="A301" s="47" t="inlineStr">
        <is>
          <t>https://africanmarketingconfederation.org/amc-conference-2022</t>
        </is>
      </c>
      <c r="B301" s="46" t="inlineStr">
        <is>
          <t>https://africanmarketingconfederation.org/marketers-are-placing-the-ads-where-consumers-dont-want-to-see-them</t>
        </is>
      </c>
      <c r="C301" s="4" t="inlineStr">
        <is>
          <t>Marketers are placing the ads where consumers don’t want to see them</t>
        </is>
      </c>
      <c r="D301" s="4" t="inlineStr"/>
      <c r="E301" s="4" t="inlineStr">
        <is>
          <t>Internal</t>
        </is>
      </c>
      <c r="F301" s="4" t="b">
        <v>0</v>
      </c>
      <c r="G301" s="4" t="n">
        <v>200</v>
      </c>
      <c r="H301" s="4" t="b">
        <v>1</v>
      </c>
      <c r="I301" s="4" t="inlineStr"/>
    </row>
    <row r="302">
      <c r="A302" s="47" t="inlineStr">
        <is>
          <t>https://africanmarketingconfederation.org/amc-conference-2022</t>
        </is>
      </c>
      <c r="B302" s="44" t="inlineStr">
        <is>
          <t>https://africanmarketingconfederation.org/marketers-are-placing-the-ads-where-consumers-dont-want-to-see-them</t>
        </is>
      </c>
      <c r="C302" s="22" t="inlineStr">
        <is>
          <t>Read More »</t>
        </is>
      </c>
      <c r="D302" s="22" t="inlineStr"/>
      <c r="E302" s="22" t="inlineStr">
        <is>
          <t>Internal</t>
        </is>
      </c>
      <c r="F302" s="22" t="b">
        <v>0</v>
      </c>
      <c r="G302" s="22" t="n">
        <v>200</v>
      </c>
      <c r="H302" s="22" t="b">
        <v>1</v>
      </c>
      <c r="I302" s="22" t="inlineStr"/>
      <c r="J302" s="24" t="n"/>
    </row>
    <row r="303">
      <c r="A303" s="47" t="inlineStr">
        <is>
          <t>https://africanmarketingconfederation.org/amc-conference-2022</t>
        </is>
      </c>
      <c r="B303" s="46" t="inlineStr">
        <is>
          <t>https://africanmarketingconfederation.org/time-for-africa-to-control-its-own-narrative-and-image-delegates-told</t>
        </is>
      </c>
      <c r="C303" s="4" t="inlineStr"/>
      <c r="D303" s="4" t="inlineStr"/>
      <c r="E303" s="4" t="inlineStr">
        <is>
          <t>Internal</t>
        </is>
      </c>
      <c r="F303" s="4" t="b">
        <v>0</v>
      </c>
      <c r="G303" s="4" t="n">
        <v>200</v>
      </c>
      <c r="H303" s="4" t="b">
        <v>1</v>
      </c>
      <c r="I303" s="4" t="inlineStr"/>
    </row>
    <row r="304">
      <c r="A304" s="47" t="inlineStr">
        <is>
          <t>https://africanmarketingconfederation.org/amc-conference-2022</t>
        </is>
      </c>
      <c r="B304" s="44" t="inlineStr">
        <is>
          <t>https://africanmarketingconfederation.org/time-for-africa-to-control-its-own-narrative-and-image-delegates-told</t>
        </is>
      </c>
      <c r="C304" s="22" t="inlineStr">
        <is>
          <t>Time for Africa to control its own narrative and image, delegates told</t>
        </is>
      </c>
      <c r="D304" s="22" t="inlineStr"/>
      <c r="E304" s="22" t="inlineStr">
        <is>
          <t>Internal</t>
        </is>
      </c>
      <c r="F304" s="22" t="b">
        <v>0</v>
      </c>
      <c r="G304" s="22" t="n">
        <v>200</v>
      </c>
      <c r="H304" s="22" t="b">
        <v>1</v>
      </c>
      <c r="I304" s="22" t="inlineStr"/>
      <c r="J304" s="24" t="n"/>
    </row>
    <row r="305">
      <c r="A305" s="47" t="inlineStr">
        <is>
          <t>https://africanmarketingconfederation.org/amc-conference-2022</t>
        </is>
      </c>
      <c r="B305" s="46" t="inlineStr">
        <is>
          <t>https://africanmarketingconfederation.org/time-for-africa-to-control-its-own-narrative-and-image-delegates-told</t>
        </is>
      </c>
      <c r="C305" s="4" t="inlineStr">
        <is>
          <t>Read More »</t>
        </is>
      </c>
      <c r="D305" s="4" t="inlineStr"/>
      <c r="E305" s="4" t="inlineStr">
        <is>
          <t>Internal</t>
        </is>
      </c>
      <c r="F305" s="4" t="b">
        <v>0</v>
      </c>
      <c r="G305" s="4" t="n">
        <v>200</v>
      </c>
      <c r="H305" s="4" t="b">
        <v>1</v>
      </c>
      <c r="I305" s="4" t="inlineStr"/>
    </row>
    <row r="306">
      <c r="A306" s="47" t="inlineStr">
        <is>
          <t>https://africanmarketingconfederation.org/amc-conference-2022</t>
        </is>
      </c>
      <c r="B306" s="44" t="inlineStr">
        <is>
          <t>https://africanmarketingconfederation.org/excitement-as-ghana-announced-as-host-of-2025-amc-marketing-conference</t>
        </is>
      </c>
      <c r="C306" s="22" t="inlineStr"/>
      <c r="D306" s="22" t="inlineStr"/>
      <c r="E306" s="22" t="inlineStr">
        <is>
          <t>Internal</t>
        </is>
      </c>
      <c r="F306" s="22" t="b">
        <v>0</v>
      </c>
      <c r="G306" s="22" t="n">
        <v>200</v>
      </c>
      <c r="H306" s="22" t="b">
        <v>1</v>
      </c>
      <c r="I306" s="22" t="inlineStr"/>
      <c r="J306" s="24" t="n"/>
    </row>
    <row r="307">
      <c r="A307" s="47" t="inlineStr">
        <is>
          <t>https://africanmarketingconfederation.org/amc-conference-2022</t>
        </is>
      </c>
      <c r="B307" s="46" t="inlineStr">
        <is>
          <t>https://africanmarketingconfederation.org/excitement-as-ghana-announced-as-host-of-2025-amc-marketing-conference</t>
        </is>
      </c>
      <c r="C307" s="4" t="inlineStr">
        <is>
          <t>Excitement as Ghana announced as host of 2025 AMC marketing conference</t>
        </is>
      </c>
      <c r="D307" s="4" t="inlineStr"/>
      <c r="E307" s="4" t="inlineStr">
        <is>
          <t>Internal</t>
        </is>
      </c>
      <c r="F307" s="4" t="b">
        <v>0</v>
      </c>
      <c r="G307" s="4" t="n">
        <v>200</v>
      </c>
      <c r="H307" s="4" t="b">
        <v>1</v>
      </c>
      <c r="I307" s="4" t="inlineStr"/>
    </row>
    <row r="308">
      <c r="A308" s="47" t="inlineStr">
        <is>
          <t>https://africanmarketingconfederation.org/amc-conference-2022</t>
        </is>
      </c>
      <c r="B308" s="44" t="inlineStr">
        <is>
          <t>https://africanmarketingconfederation.org/excitement-as-ghana-announced-as-host-of-2025-amc-marketing-conference</t>
        </is>
      </c>
      <c r="C308" s="22" t="inlineStr">
        <is>
          <t>Read More »</t>
        </is>
      </c>
      <c r="D308" s="22" t="inlineStr"/>
      <c r="E308" s="22" t="inlineStr">
        <is>
          <t>Internal</t>
        </is>
      </c>
      <c r="F308" s="22" t="b">
        <v>0</v>
      </c>
      <c r="G308" s="22" t="n">
        <v>200</v>
      </c>
      <c r="H308" s="22" t="b">
        <v>1</v>
      </c>
      <c r="I308" s="22" t="inlineStr"/>
      <c r="J308" s="24" t="n"/>
    </row>
    <row r="309">
      <c r="A309" s="47" t="inlineStr">
        <is>
          <t>https://africanmarketingconfederation.org/amc-conference-2022</t>
        </is>
      </c>
      <c r="B309" s="46" t="inlineStr">
        <is>
          <t>https://africanmarketingconfederation.org/2024-amc-awards-recognise-marketing-excellence-from-the-continent</t>
        </is>
      </c>
      <c r="C309" s="4" t="inlineStr"/>
      <c r="D309" s="4" t="inlineStr"/>
      <c r="E309" s="4" t="inlineStr">
        <is>
          <t>Internal</t>
        </is>
      </c>
      <c r="F309" s="4" t="b">
        <v>0</v>
      </c>
      <c r="G309" s="4" t="n">
        <v>200</v>
      </c>
      <c r="H309" s="4" t="b">
        <v>1</v>
      </c>
      <c r="I309" s="4" t="inlineStr"/>
    </row>
    <row r="310">
      <c r="A310" s="47" t="inlineStr">
        <is>
          <t>https://africanmarketingconfederation.org/amc-conference-2022</t>
        </is>
      </c>
      <c r="B310" s="44" t="inlineStr">
        <is>
          <t>https://africanmarketingconfederation.org/2024-amc-awards-recognise-marketing-excellence-from-the-continent</t>
        </is>
      </c>
      <c r="C310" s="22" t="inlineStr">
        <is>
          <t>2024 AMC Awards recognise marketing excellence from the continent</t>
        </is>
      </c>
      <c r="D310" s="22" t="inlineStr"/>
      <c r="E310" s="22" t="inlineStr">
        <is>
          <t>Internal</t>
        </is>
      </c>
      <c r="F310" s="22" t="b">
        <v>0</v>
      </c>
      <c r="G310" s="22" t="n">
        <v>200</v>
      </c>
      <c r="H310" s="22" t="b">
        <v>1</v>
      </c>
      <c r="I310" s="22" t="inlineStr"/>
      <c r="J310" s="24" t="n"/>
    </row>
    <row r="311">
      <c r="A311" s="47" t="inlineStr">
        <is>
          <t>https://africanmarketingconfederation.org/amc-conference-2022</t>
        </is>
      </c>
      <c r="B311" s="46" t="inlineStr">
        <is>
          <t>https://africanmarketingconfederation.org/2024-amc-awards-recognise-marketing-excellence-from-the-continent</t>
        </is>
      </c>
      <c r="C311" s="4" t="inlineStr">
        <is>
          <t>Read More »</t>
        </is>
      </c>
      <c r="D311" s="4" t="inlineStr"/>
      <c r="E311" s="4" t="inlineStr">
        <is>
          <t>Internal</t>
        </is>
      </c>
      <c r="F311" s="4" t="b">
        <v>0</v>
      </c>
      <c r="G311" s="4" t="n">
        <v>200</v>
      </c>
      <c r="H311" s="4" t="b">
        <v>1</v>
      </c>
      <c r="I311" s="4" t="inlineStr"/>
    </row>
    <row r="312">
      <c r="A312" s="47" t="inlineStr">
        <is>
          <t>https://africanmarketingconfederation.org/amc-conference-2022</t>
        </is>
      </c>
      <c r="B312" s="44" t="inlineStr">
        <is>
          <t>https://africanmarketingconfederation.org/how-a-bold-strategy-saved-kiwi-marketing-association-from-extinction</t>
        </is>
      </c>
      <c r="C312" s="22" t="inlineStr"/>
      <c r="D312" s="22" t="inlineStr"/>
      <c r="E312" s="22" t="inlineStr">
        <is>
          <t>Internal</t>
        </is>
      </c>
      <c r="F312" s="22" t="b">
        <v>0</v>
      </c>
      <c r="G312" s="22" t="n">
        <v>200</v>
      </c>
      <c r="H312" s="22" t="b">
        <v>1</v>
      </c>
      <c r="I312" s="22" t="inlineStr"/>
      <c r="J312" s="24" t="n"/>
    </row>
    <row r="313">
      <c r="A313" s="47" t="inlineStr">
        <is>
          <t>https://africanmarketingconfederation.org/amc-conference-2022</t>
        </is>
      </c>
      <c r="B313" s="46" t="inlineStr">
        <is>
          <t>https://africanmarketingconfederation.org/how-a-bold-strategy-saved-kiwi-marketing-association-from-extinction</t>
        </is>
      </c>
      <c r="C313" s="4" t="inlineStr">
        <is>
          <t>How a bold strategy saved Kiwi marketing association from extinction</t>
        </is>
      </c>
      <c r="D313" s="4" t="inlineStr"/>
      <c r="E313" s="4" t="inlineStr">
        <is>
          <t>Internal</t>
        </is>
      </c>
      <c r="F313" s="4" t="b">
        <v>0</v>
      </c>
      <c r="G313" s="4" t="n">
        <v>200</v>
      </c>
      <c r="H313" s="4" t="b">
        <v>1</v>
      </c>
      <c r="I313" s="4" t="inlineStr"/>
    </row>
    <row r="314">
      <c r="A314" s="47" t="inlineStr">
        <is>
          <t>https://africanmarketingconfederation.org/amc-conference-2022</t>
        </is>
      </c>
      <c r="B314" s="44" t="inlineStr">
        <is>
          <t>https://africanmarketingconfederation.org/how-a-bold-strategy-saved-kiwi-marketing-association-from-extinction</t>
        </is>
      </c>
      <c r="C314" s="22" t="inlineStr">
        <is>
          <t>Read More »</t>
        </is>
      </c>
      <c r="D314" s="22" t="inlineStr"/>
      <c r="E314" s="22" t="inlineStr">
        <is>
          <t>Internal</t>
        </is>
      </c>
      <c r="F314" s="22" t="b">
        <v>0</v>
      </c>
      <c r="G314" s="22" t="n">
        <v>200</v>
      </c>
      <c r="H314" s="22" t="b">
        <v>1</v>
      </c>
      <c r="I314" s="22" t="inlineStr"/>
      <c r="J314" s="24" t="n"/>
    </row>
    <row r="315">
      <c r="A315" s="47" t="inlineStr">
        <is>
          <t>https://africanmarketingconfederation.org/amc-conference-2022</t>
        </is>
      </c>
      <c r="B315" s="46" t="inlineStr">
        <is>
          <t>https://africanmarketingconfederation.org/wp-content/uploads/2022/10/EA2A4027-scaled.jpg</t>
        </is>
      </c>
      <c r="C315" s="4" t="inlineStr"/>
      <c r="D315" s="4" t="inlineStr"/>
      <c r="E315" s="4" t="inlineStr">
        <is>
          <t>Internal</t>
        </is>
      </c>
      <c r="F315" s="4" t="b">
        <v>0</v>
      </c>
      <c r="G315" s="4" t="n">
        <v>200</v>
      </c>
      <c r="H315" s="4" t="b">
        <v>1</v>
      </c>
      <c r="I315" s="4" t="inlineStr"/>
    </row>
    <row r="316">
      <c r="A316" s="47" t="inlineStr">
        <is>
          <t>https://africanmarketingconfederation.org/amc-conference-2022</t>
        </is>
      </c>
      <c r="B316" s="44" t="inlineStr">
        <is>
          <t>https://africanmarketingconfederation.org/wp-content/uploads/2022/10/EA2A4067-scaled.jpg</t>
        </is>
      </c>
      <c r="C316" s="22" t="inlineStr"/>
      <c r="D316" s="22" t="inlineStr"/>
      <c r="E316" s="22" t="inlineStr">
        <is>
          <t>Internal</t>
        </is>
      </c>
      <c r="F316" s="22" t="b">
        <v>0</v>
      </c>
      <c r="G316" s="22" t="n">
        <v>200</v>
      </c>
      <c r="H316" s="22" t="b">
        <v>1</v>
      </c>
      <c r="I316" s="22" t="inlineStr"/>
      <c r="J316" s="24" t="n"/>
    </row>
    <row r="317">
      <c r="A317" s="47" t="inlineStr">
        <is>
          <t>https://africanmarketingconfederation.org/amc-conference-2022</t>
        </is>
      </c>
      <c r="B317" s="46" t="inlineStr">
        <is>
          <t>https://africanmarketingconfederation.org/wp-content/uploads/2022/10/EA2A4121-scaled.jpg</t>
        </is>
      </c>
      <c r="C317" s="4" t="inlineStr"/>
      <c r="D317" s="4" t="inlineStr"/>
      <c r="E317" s="4" t="inlineStr">
        <is>
          <t>Internal</t>
        </is>
      </c>
      <c r="F317" s="4" t="b">
        <v>0</v>
      </c>
      <c r="G317" s="4" t="n">
        <v>200</v>
      </c>
      <c r="H317" s="4" t="b">
        <v>1</v>
      </c>
      <c r="I317" s="4" t="inlineStr"/>
    </row>
    <row r="318">
      <c r="A318" s="47" t="inlineStr">
        <is>
          <t>https://africanmarketingconfederation.org/amc-conference-2022</t>
        </is>
      </c>
      <c r="B318" s="44" t="inlineStr">
        <is>
          <t>https://africanmarketingconfederation.org/wp-content/uploads/2022/10/EA2A4137-scaled.jpg</t>
        </is>
      </c>
      <c r="C318" s="22" t="inlineStr"/>
      <c r="D318" s="22" t="inlineStr"/>
      <c r="E318" s="22" t="inlineStr">
        <is>
          <t>Internal</t>
        </is>
      </c>
      <c r="F318" s="22" t="b">
        <v>0</v>
      </c>
      <c r="G318" s="22" t="n">
        <v>200</v>
      </c>
      <c r="H318" s="22" t="b">
        <v>1</v>
      </c>
      <c r="I318" s="22" t="inlineStr"/>
      <c r="J318" s="24" t="n"/>
    </row>
    <row r="319">
      <c r="A319" s="47" t="inlineStr">
        <is>
          <t>https://africanmarketingconfederation.org/amc-conference-2022</t>
        </is>
      </c>
      <c r="B319" s="46" t="inlineStr">
        <is>
          <t>https://africanmarketingconfederation.org/wp-content/uploads/2022/10/IMG_0031-scaled.jpg</t>
        </is>
      </c>
      <c r="C319" s="4" t="inlineStr"/>
      <c r="D319" s="4" t="inlineStr"/>
      <c r="E319" s="4" t="inlineStr">
        <is>
          <t>Internal</t>
        </is>
      </c>
      <c r="F319" s="4" t="b">
        <v>0</v>
      </c>
      <c r="G319" s="4" t="n">
        <v>200</v>
      </c>
      <c r="H319" s="4" t="b">
        <v>1</v>
      </c>
      <c r="I319" s="4" t="inlineStr"/>
    </row>
    <row r="320">
      <c r="A320" s="47" t="inlineStr">
        <is>
          <t>https://africanmarketingconfederation.org/amc-conference-2022</t>
        </is>
      </c>
      <c r="B320" s="44" t="inlineStr">
        <is>
          <t>https://africanmarketingconfederation.org/wp-content/uploads/2022/10/IMG_9698-scaled.jpg</t>
        </is>
      </c>
      <c r="C320" s="22" t="inlineStr"/>
      <c r="D320" s="22" t="inlineStr"/>
      <c r="E320" s="22" t="inlineStr">
        <is>
          <t>Internal</t>
        </is>
      </c>
      <c r="F320" s="22" t="b">
        <v>0</v>
      </c>
      <c r="G320" s="22" t="n">
        <v>200</v>
      </c>
      <c r="H320" s="22" t="b">
        <v>1</v>
      </c>
      <c r="I320" s="22" t="inlineStr"/>
      <c r="J320" s="24" t="n"/>
    </row>
    <row r="321">
      <c r="A321" s="47" t="inlineStr">
        <is>
          <t>https://africanmarketingconfederation.org/amc-conference-2022</t>
        </is>
      </c>
      <c r="B321" s="46" t="inlineStr">
        <is>
          <t>https://africanmarketingconfederation.org/wp-content/uploads/2022/10/IMG_9719-scaled.jpg</t>
        </is>
      </c>
      <c r="C321" s="4" t="inlineStr"/>
      <c r="D321" s="4" t="inlineStr"/>
      <c r="E321" s="4" t="inlineStr">
        <is>
          <t>Internal</t>
        </is>
      </c>
      <c r="F321" s="4" t="b">
        <v>0</v>
      </c>
      <c r="G321" s="4" t="n">
        <v>200</v>
      </c>
      <c r="H321" s="4" t="b">
        <v>1</v>
      </c>
      <c r="I321" s="4" t="inlineStr"/>
    </row>
    <row r="322">
      <c r="A322" s="47" t="inlineStr">
        <is>
          <t>https://africanmarketingconfederation.org/amc-conference-2022</t>
        </is>
      </c>
      <c r="B322" s="44" t="inlineStr">
        <is>
          <t>https://africanmarketingconfederation.org/wp-content/uploads/2022/10/IMG_9758-scaled.jpg</t>
        </is>
      </c>
      <c r="C322" s="22" t="inlineStr"/>
      <c r="D322" s="22" t="inlineStr"/>
      <c r="E322" s="22" t="inlineStr">
        <is>
          <t>Internal</t>
        </is>
      </c>
      <c r="F322" s="22" t="b">
        <v>0</v>
      </c>
      <c r="G322" s="22" t="n">
        <v>200</v>
      </c>
      <c r="H322" s="22" t="b">
        <v>1</v>
      </c>
      <c r="I322" s="22" t="inlineStr"/>
      <c r="J322" s="24" t="n"/>
    </row>
    <row r="323">
      <c r="A323" s="47" t="inlineStr">
        <is>
          <t>https://africanmarketingconfederation.org/amc-conference-2022</t>
        </is>
      </c>
      <c r="B323" s="46" t="inlineStr">
        <is>
          <t>https://africanmarketingconfederation.org/wp-content/uploads/2022/10/IMG_9953-scaled.jpg</t>
        </is>
      </c>
      <c r="C323" s="4" t="inlineStr"/>
      <c r="D323" s="4" t="inlineStr"/>
      <c r="E323" s="4" t="inlineStr">
        <is>
          <t>Internal</t>
        </is>
      </c>
      <c r="F323" s="4" t="b">
        <v>0</v>
      </c>
      <c r="G323" s="4" t="n">
        <v>200</v>
      </c>
      <c r="H323" s="4" t="b">
        <v>1</v>
      </c>
      <c r="I323" s="4" t="inlineStr"/>
    </row>
    <row r="324">
      <c r="A324" s="47" t="inlineStr">
        <is>
          <t>https://africanmarketingconfederation.org/amc-conference-2022</t>
        </is>
      </c>
      <c r="B324" s="44" t="inlineStr">
        <is>
          <t>https://africanmarketingconfederation.org/wp-content/uploads/2022/10/IMG_9964-scaled.jpg</t>
        </is>
      </c>
      <c r="C324" s="22" t="inlineStr"/>
      <c r="D324" s="22" t="inlineStr"/>
      <c r="E324" s="22" t="inlineStr">
        <is>
          <t>Internal</t>
        </is>
      </c>
      <c r="F324" s="22" t="b">
        <v>0</v>
      </c>
      <c r="G324" s="22" t="n">
        <v>200</v>
      </c>
      <c r="H324" s="22" t="b">
        <v>1</v>
      </c>
      <c r="I324" s="22" t="inlineStr"/>
      <c r="J324" s="24" t="n"/>
    </row>
    <row r="325">
      <c r="A325" s="47" t="inlineStr">
        <is>
          <t>https://africanmarketingconfederation.org/amc-conference-2022</t>
        </is>
      </c>
      <c r="B325" s="46" t="inlineStr">
        <is>
          <t>https://africanmarketingconfederation.org/wp-content/uploads/2022/10/IMG_9985-scaled.jpg</t>
        </is>
      </c>
      <c r="C325" s="4" t="inlineStr"/>
      <c r="D325" s="4" t="inlineStr"/>
      <c r="E325" s="4" t="inlineStr">
        <is>
          <t>Internal</t>
        </is>
      </c>
      <c r="F325" s="4" t="b">
        <v>0</v>
      </c>
      <c r="G325" s="4" t="n">
        <v>200</v>
      </c>
      <c r="H325" s="4" t="b">
        <v>1</v>
      </c>
      <c r="I325" s="4" t="inlineStr"/>
    </row>
    <row r="326">
      <c r="A326" s="47" t="inlineStr">
        <is>
          <t>https://africanmarketingconfederation.org/amc-conference-2022</t>
        </is>
      </c>
      <c r="B326" s="44" t="inlineStr">
        <is>
          <t>https://africanmarketingconfederation.org/wp-content/uploads/2022/10/EA2A2394-scaled.jpg</t>
        </is>
      </c>
      <c r="C326" s="22" t="inlineStr"/>
      <c r="D326" s="22" t="inlineStr"/>
      <c r="E326" s="22" t="inlineStr">
        <is>
          <t>Internal</t>
        </is>
      </c>
      <c r="F326" s="22" t="b">
        <v>0</v>
      </c>
      <c r="G326" s="22" t="n">
        <v>200</v>
      </c>
      <c r="H326" s="22" t="b">
        <v>1</v>
      </c>
      <c r="I326" s="22" t="inlineStr"/>
      <c r="J326" s="24" t="n"/>
    </row>
    <row r="327">
      <c r="A327" s="47" t="inlineStr">
        <is>
          <t>https://africanmarketingconfederation.org/amc-conference-2022</t>
        </is>
      </c>
      <c r="B327" s="46" t="inlineStr">
        <is>
          <t>https://africanmarketingconfederation.org/wp-content/uploads/2022/10/EA2A2427-scaled.jpg</t>
        </is>
      </c>
      <c r="C327" s="4" t="inlineStr"/>
      <c r="D327" s="4" t="inlineStr"/>
      <c r="E327" s="4" t="inlineStr">
        <is>
          <t>Internal</t>
        </is>
      </c>
      <c r="F327" s="4" t="b">
        <v>0</v>
      </c>
      <c r="G327" s="4" t="n">
        <v>200</v>
      </c>
      <c r="H327" s="4" t="b">
        <v>1</v>
      </c>
      <c r="I327" s="4" t="inlineStr"/>
    </row>
    <row r="328">
      <c r="A328" s="47" t="inlineStr">
        <is>
          <t>https://africanmarketingconfederation.org/amc-conference-2022</t>
        </is>
      </c>
      <c r="B328" s="44" t="inlineStr">
        <is>
          <t>https://africanmarketingconfederation.org/wp-content/uploads/2022/10/EA2A2487-scaled.jpg</t>
        </is>
      </c>
      <c r="C328" s="22" t="inlineStr"/>
      <c r="D328" s="22" t="inlineStr"/>
      <c r="E328" s="22" t="inlineStr">
        <is>
          <t>Internal</t>
        </is>
      </c>
      <c r="F328" s="22" t="b">
        <v>0</v>
      </c>
      <c r="G328" s="22" t="n">
        <v>200</v>
      </c>
      <c r="H328" s="22" t="b">
        <v>1</v>
      </c>
      <c r="I328" s="22" t="inlineStr"/>
      <c r="J328" s="24" t="n"/>
    </row>
    <row r="329">
      <c r="A329" s="47" t="inlineStr">
        <is>
          <t>https://africanmarketingconfederation.org/amc-conference-2022</t>
        </is>
      </c>
      <c r="B329" s="46" t="inlineStr">
        <is>
          <t>https://africanmarketingconfederation.org/wp-content/uploads/2022/10/EA2A2512-scaled.jpg</t>
        </is>
      </c>
      <c r="C329" s="4" t="inlineStr"/>
      <c r="D329" s="4" t="inlineStr"/>
      <c r="E329" s="4" t="inlineStr">
        <is>
          <t>Internal</t>
        </is>
      </c>
      <c r="F329" s="4" t="b">
        <v>0</v>
      </c>
      <c r="G329" s="4" t="n">
        <v>200</v>
      </c>
      <c r="H329" s="4" t="b">
        <v>1</v>
      </c>
      <c r="I329" s="4" t="inlineStr"/>
    </row>
    <row r="330">
      <c r="A330" s="47" t="inlineStr">
        <is>
          <t>https://africanmarketingconfederation.org/amc-conference-2022</t>
        </is>
      </c>
      <c r="B330" s="44" t="inlineStr">
        <is>
          <t>https://africanmarketingconfederation.org/wp-content/uploads/2022/10/EA2A2525-scaled.jpg</t>
        </is>
      </c>
      <c r="C330" s="22" t="inlineStr"/>
      <c r="D330" s="22" t="inlineStr"/>
      <c r="E330" s="22" t="inlineStr">
        <is>
          <t>Internal</t>
        </is>
      </c>
      <c r="F330" s="22" t="b">
        <v>0</v>
      </c>
      <c r="G330" s="22" t="n">
        <v>200</v>
      </c>
      <c r="H330" s="22" t="b">
        <v>1</v>
      </c>
      <c r="I330" s="22" t="inlineStr"/>
      <c r="J330" s="24" t="n"/>
    </row>
    <row r="331">
      <c r="A331" s="47" t="inlineStr">
        <is>
          <t>https://africanmarketingconfederation.org/amc-conference-2022</t>
        </is>
      </c>
      <c r="B331" s="46" t="inlineStr">
        <is>
          <t>https://africanmarketingconfederation.org/wp-content/uploads/2022/10/EA2A2527-scaled.jpg</t>
        </is>
      </c>
      <c r="C331" s="4" t="inlineStr"/>
      <c r="D331" s="4" t="inlineStr"/>
      <c r="E331" s="4" t="inlineStr">
        <is>
          <t>Internal</t>
        </is>
      </c>
      <c r="F331" s="4" t="b">
        <v>0</v>
      </c>
      <c r="G331" s="4" t="n">
        <v>200</v>
      </c>
      <c r="H331" s="4" t="b">
        <v>1</v>
      </c>
      <c r="I331" s="4" t="inlineStr"/>
    </row>
    <row r="332">
      <c r="A332" s="47" t="inlineStr">
        <is>
          <t>https://africanmarketingconfederation.org/amc-conference-2022</t>
        </is>
      </c>
      <c r="B332" s="44" t="inlineStr">
        <is>
          <t>https://africanmarketingconfederation.org/wp-content/uploads/2022/10/EA2A2536-scaled.jpg</t>
        </is>
      </c>
      <c r="C332" s="22" t="inlineStr"/>
      <c r="D332" s="22" t="inlineStr"/>
      <c r="E332" s="22" t="inlineStr">
        <is>
          <t>Internal</t>
        </is>
      </c>
      <c r="F332" s="22" t="b">
        <v>0</v>
      </c>
      <c r="G332" s="22" t="n">
        <v>200</v>
      </c>
      <c r="H332" s="22" t="b">
        <v>1</v>
      </c>
      <c r="I332" s="22" t="inlineStr"/>
      <c r="J332" s="24" t="n"/>
    </row>
    <row r="333">
      <c r="A333" s="47" t="inlineStr">
        <is>
          <t>https://africanmarketingconfederation.org/amc-conference-2022</t>
        </is>
      </c>
      <c r="B333" s="46" t="inlineStr">
        <is>
          <t>https://africanmarketingconfederation.org/wp-content/uploads/2022/10/EA2A2999-scaled.jpg</t>
        </is>
      </c>
      <c r="C333" s="4" t="inlineStr"/>
      <c r="D333" s="4" t="inlineStr"/>
      <c r="E333" s="4" t="inlineStr">
        <is>
          <t>Internal</t>
        </is>
      </c>
      <c r="F333" s="4" t="b">
        <v>0</v>
      </c>
      <c r="G333" s="4" t="n">
        <v>200</v>
      </c>
      <c r="H333" s="4" t="b">
        <v>1</v>
      </c>
      <c r="I333" s="4" t="inlineStr"/>
    </row>
    <row r="334">
      <c r="A334" s="47" t="inlineStr">
        <is>
          <t>https://africanmarketingconfederation.org/amc-conference-2022</t>
        </is>
      </c>
      <c r="B334" s="44" t="inlineStr">
        <is>
          <t>https://africanmarketingconfederation.org/wp-content/uploads/2022/10/EA2A3057-scaled.jpg</t>
        </is>
      </c>
      <c r="C334" s="22" t="inlineStr"/>
      <c r="D334" s="22" t="inlineStr"/>
      <c r="E334" s="22" t="inlineStr">
        <is>
          <t>Internal</t>
        </is>
      </c>
      <c r="F334" s="22" t="b">
        <v>0</v>
      </c>
      <c r="G334" s="22" t="n">
        <v>200</v>
      </c>
      <c r="H334" s="22" t="b">
        <v>1</v>
      </c>
      <c r="I334" s="22" t="inlineStr"/>
      <c r="J334" s="24" t="n"/>
    </row>
    <row r="335">
      <c r="A335" s="47" t="inlineStr">
        <is>
          <t>https://africanmarketingconfederation.org/amc-conference-2022</t>
        </is>
      </c>
      <c r="B335" s="46" t="inlineStr">
        <is>
          <t>https://africanmarketingconfederation.org/wp-content/uploads/2022/10/EA2A3111-scaled.jpg</t>
        </is>
      </c>
      <c r="C335" s="4" t="inlineStr"/>
      <c r="D335" s="4" t="inlineStr"/>
      <c r="E335" s="4" t="inlineStr">
        <is>
          <t>Internal</t>
        </is>
      </c>
      <c r="F335" s="4" t="b">
        <v>0</v>
      </c>
      <c r="G335" s="4" t="n">
        <v>200</v>
      </c>
      <c r="H335" s="4" t="b">
        <v>1</v>
      </c>
      <c r="I335" s="4" t="inlineStr"/>
    </row>
    <row r="336">
      <c r="A336" s="47" t="inlineStr">
        <is>
          <t>https://africanmarketingconfederation.org/amc-conference-2022</t>
        </is>
      </c>
      <c r="B336" s="44" t="inlineStr">
        <is>
          <t>https://africanmarketingconfederation.org/wp-content/uploads/2022/10/EA2A3195-scaled.jpg</t>
        </is>
      </c>
      <c r="C336" s="22" t="inlineStr"/>
      <c r="D336" s="22" t="inlineStr"/>
      <c r="E336" s="22" t="inlineStr">
        <is>
          <t>Internal</t>
        </is>
      </c>
      <c r="F336" s="22" t="b">
        <v>0</v>
      </c>
      <c r="G336" s="22" t="n">
        <v>200</v>
      </c>
      <c r="H336" s="22" t="b">
        <v>1</v>
      </c>
      <c r="I336" s="22" t="inlineStr"/>
      <c r="J336" s="24" t="n"/>
    </row>
    <row r="337">
      <c r="A337" s="47" t="inlineStr">
        <is>
          <t>https://africanmarketingconfederation.org/amc-conference-2022</t>
        </is>
      </c>
      <c r="B337" s="46" t="inlineStr">
        <is>
          <t>https://africanmarketingconfederation.org/wp-content/uploads/2022/10/EA2A3198-scaled.jpg</t>
        </is>
      </c>
      <c r="C337" s="4" t="inlineStr"/>
      <c r="D337" s="4" t="inlineStr"/>
      <c r="E337" s="4" t="inlineStr">
        <is>
          <t>Internal</t>
        </is>
      </c>
      <c r="F337" s="4" t="b">
        <v>0</v>
      </c>
      <c r="G337" s="4" t="n">
        <v>200</v>
      </c>
      <c r="H337" s="4" t="b">
        <v>1</v>
      </c>
      <c r="I337" s="4" t="inlineStr"/>
    </row>
    <row r="338">
      <c r="A338" s="47" t="inlineStr">
        <is>
          <t>https://africanmarketingconfederation.org/amc-conference-2022</t>
        </is>
      </c>
      <c r="B338" s="44" t="inlineStr">
        <is>
          <t>https://africanmarketingconfederation.org/wp-content/uploads/2022/10/EA2A3217-scaled.jpg</t>
        </is>
      </c>
      <c r="C338" s="22" t="inlineStr"/>
      <c r="D338" s="22" t="inlineStr"/>
      <c r="E338" s="22" t="inlineStr">
        <is>
          <t>Internal</t>
        </is>
      </c>
      <c r="F338" s="22" t="b">
        <v>0</v>
      </c>
      <c r="G338" s="22" t="n">
        <v>200</v>
      </c>
      <c r="H338" s="22" t="b">
        <v>1</v>
      </c>
      <c r="I338" s="22" t="inlineStr"/>
      <c r="J338" s="24" t="n"/>
    </row>
    <row r="339">
      <c r="A339" s="47" t="inlineStr">
        <is>
          <t>https://africanmarketingconfederation.org/amc-conference-2022</t>
        </is>
      </c>
      <c r="B339" s="46" t="inlineStr">
        <is>
          <t>https://africanmarketingconfederation.org/wp-content/uploads/2022/10/EA2A3254-scaled.jpg</t>
        </is>
      </c>
      <c r="C339" s="4" t="inlineStr"/>
      <c r="D339" s="4" t="inlineStr"/>
      <c r="E339" s="4" t="inlineStr">
        <is>
          <t>Internal</t>
        </is>
      </c>
      <c r="F339" s="4" t="b">
        <v>0</v>
      </c>
      <c r="G339" s="4" t="n">
        <v>200</v>
      </c>
      <c r="H339" s="4" t="b">
        <v>1</v>
      </c>
      <c r="I339" s="4" t="inlineStr"/>
    </row>
    <row r="340">
      <c r="A340" s="47" t="inlineStr">
        <is>
          <t>https://africanmarketingconfederation.org/amc-conference-2022</t>
        </is>
      </c>
      <c r="B340" s="44" t="inlineStr">
        <is>
          <t>https://africanmarketingconfederation.org/wp-content/uploads/2022/10/EA2A3268-scaled.jpg</t>
        </is>
      </c>
      <c r="C340" s="22" t="inlineStr"/>
      <c r="D340" s="22" t="inlineStr"/>
      <c r="E340" s="22" t="inlineStr">
        <is>
          <t>Internal</t>
        </is>
      </c>
      <c r="F340" s="22" t="b">
        <v>0</v>
      </c>
      <c r="G340" s="22" t="n">
        <v>200</v>
      </c>
      <c r="H340" s="22" t="b">
        <v>1</v>
      </c>
      <c r="I340" s="22" t="inlineStr"/>
      <c r="J340" s="24" t="n"/>
    </row>
    <row r="341">
      <c r="A341" s="47" t="inlineStr">
        <is>
          <t>https://africanmarketingconfederation.org/amc-conference-2022</t>
        </is>
      </c>
      <c r="B341" s="46" t="inlineStr">
        <is>
          <t>https://africanmarketingconfederation.org/wp-content/uploads/2022/10/EA2A3293-scaled.jpg</t>
        </is>
      </c>
      <c r="C341" s="4" t="inlineStr"/>
      <c r="D341" s="4" t="inlineStr"/>
      <c r="E341" s="4" t="inlineStr">
        <is>
          <t>Internal</t>
        </is>
      </c>
      <c r="F341" s="4" t="b">
        <v>0</v>
      </c>
      <c r="G341" s="4" t="n">
        <v>200</v>
      </c>
      <c r="H341" s="4" t="b">
        <v>1</v>
      </c>
      <c r="I341" s="4" t="inlineStr"/>
    </row>
    <row r="342">
      <c r="A342" s="47" t="inlineStr">
        <is>
          <t>https://africanmarketingconfederation.org/amc-conference-2022</t>
        </is>
      </c>
      <c r="B342" s="44" t="inlineStr">
        <is>
          <t>https://africanmarketingconfederation.org/wp-content/uploads/2022/10/EA2A3369-scaled.jpg</t>
        </is>
      </c>
      <c r="C342" s="22" t="inlineStr"/>
      <c r="D342" s="22" t="inlineStr"/>
      <c r="E342" s="22" t="inlineStr">
        <is>
          <t>Internal</t>
        </is>
      </c>
      <c r="F342" s="22" t="b">
        <v>0</v>
      </c>
      <c r="G342" s="22" t="n">
        <v>200</v>
      </c>
      <c r="H342" s="22" t="b">
        <v>1</v>
      </c>
      <c r="I342" s="22" t="inlineStr"/>
      <c r="J342" s="24" t="n"/>
    </row>
    <row r="343">
      <c r="A343" s="47" t="inlineStr">
        <is>
          <t>https://africanmarketingconfederation.org/amc-conference-2022</t>
        </is>
      </c>
      <c r="B343" s="46" t="inlineStr">
        <is>
          <t>https://africanmarketingconfederation.org/wp-content/uploads/2022/10/EA2A3396-scaled.jpg</t>
        </is>
      </c>
      <c r="C343" s="4" t="inlineStr"/>
      <c r="D343" s="4" t="inlineStr"/>
      <c r="E343" s="4" t="inlineStr">
        <is>
          <t>Internal</t>
        </is>
      </c>
      <c r="F343" s="4" t="b">
        <v>0</v>
      </c>
      <c r="G343" s="4" t="n">
        <v>200</v>
      </c>
      <c r="H343" s="4" t="b">
        <v>1</v>
      </c>
      <c r="I343" s="4" t="inlineStr"/>
    </row>
    <row r="344">
      <c r="A344" s="47" t="inlineStr">
        <is>
          <t>https://africanmarketingconfederation.org/amc-conference-2022</t>
        </is>
      </c>
      <c r="B344" s="44" t="inlineStr">
        <is>
          <t>https://africanmarketingconfederation.org/wp-content/uploads/2022/10/EA2A3485-scaled.jpg</t>
        </is>
      </c>
      <c r="C344" s="22" t="inlineStr"/>
      <c r="D344" s="22" t="inlineStr"/>
      <c r="E344" s="22" t="inlineStr">
        <is>
          <t>Internal</t>
        </is>
      </c>
      <c r="F344" s="22" t="b">
        <v>0</v>
      </c>
      <c r="G344" s="22" t="n">
        <v>200</v>
      </c>
      <c r="H344" s="22" t="b">
        <v>1</v>
      </c>
      <c r="I344" s="22" t="inlineStr"/>
      <c r="J344" s="24" t="n"/>
    </row>
    <row r="345">
      <c r="A345" s="47" t="inlineStr">
        <is>
          <t>https://africanmarketingconfederation.org/amc-conference-2022</t>
        </is>
      </c>
      <c r="B345" s="46" t="inlineStr">
        <is>
          <t>https://africanmarketingconfederation.org/wp-content/uploads/2022/10/EA2A3505-scaled.jpg</t>
        </is>
      </c>
      <c r="C345" s="4" t="inlineStr"/>
      <c r="D345" s="4" t="inlineStr"/>
      <c r="E345" s="4" t="inlineStr">
        <is>
          <t>Internal</t>
        </is>
      </c>
      <c r="F345" s="4" t="b">
        <v>0</v>
      </c>
      <c r="G345" s="4" t="n">
        <v>200</v>
      </c>
      <c r="H345" s="4" t="b">
        <v>1</v>
      </c>
      <c r="I345" s="4" t="inlineStr"/>
    </row>
    <row r="346">
      <c r="A346" s="47" t="inlineStr">
        <is>
          <t>https://africanmarketingconfederation.org/amc-conference-2022</t>
        </is>
      </c>
      <c r="B346" s="44" t="inlineStr">
        <is>
          <t>https://africanmarketingconfederation.org/wp-content/uploads/2022/10/EA2A3816-scaled.jpg</t>
        </is>
      </c>
      <c r="C346" s="22" t="inlineStr"/>
      <c r="D346" s="22" t="inlineStr"/>
      <c r="E346" s="22" t="inlineStr">
        <is>
          <t>Internal</t>
        </is>
      </c>
      <c r="F346" s="22" t="b">
        <v>0</v>
      </c>
      <c r="G346" s="22" t="n">
        <v>200</v>
      </c>
      <c r="H346" s="22" t="b">
        <v>1</v>
      </c>
      <c r="I346" s="22" t="inlineStr"/>
      <c r="J346" s="24" t="n"/>
    </row>
    <row r="347">
      <c r="A347" s="47" t="inlineStr">
        <is>
          <t>https://africanmarketingconfederation.org/amc-conference-2022</t>
        </is>
      </c>
      <c r="B347" s="46" t="inlineStr">
        <is>
          <t>https://africanmarketingconfederation.org/wp-content/uploads/2022/10/EA2A3869-scaled.jpg</t>
        </is>
      </c>
      <c r="C347" s="4" t="inlineStr"/>
      <c r="D347" s="4" t="inlineStr"/>
      <c r="E347" s="4" t="inlineStr">
        <is>
          <t>Internal</t>
        </is>
      </c>
      <c r="F347" s="4" t="b">
        <v>0</v>
      </c>
      <c r="G347" s="4" t="n">
        <v>200</v>
      </c>
      <c r="H347" s="4" t="b">
        <v>1</v>
      </c>
      <c r="I347" s="4" t="inlineStr"/>
    </row>
    <row r="348">
      <c r="A348" s="47" t="inlineStr">
        <is>
          <t>https://africanmarketingconfederation.org/amc-conference-2022</t>
        </is>
      </c>
      <c r="B348" s="44" t="inlineStr">
        <is>
          <t>https://africanmarketingconfederation.org/wp-content/uploads/2022/10/EA2A3879-scaled.jpg</t>
        </is>
      </c>
      <c r="C348" s="22" t="inlineStr"/>
      <c r="D348" s="22" t="inlineStr"/>
      <c r="E348" s="22" t="inlineStr">
        <is>
          <t>Internal</t>
        </is>
      </c>
      <c r="F348" s="22" t="b">
        <v>0</v>
      </c>
      <c r="G348" s="22" t="n">
        <v>200</v>
      </c>
      <c r="H348" s="22" t="b">
        <v>1</v>
      </c>
      <c r="I348" s="22" t="inlineStr"/>
      <c r="J348" s="24" t="n"/>
    </row>
    <row r="349">
      <c r="A349" s="47" t="inlineStr">
        <is>
          <t>https://africanmarketingconfederation.org/amc-conference-2022</t>
        </is>
      </c>
      <c r="B349" s="46" t="inlineStr">
        <is>
          <t>https://africanmarketingconfederation.org/wp-content/uploads/2022/10/EA2A3892-scaled.jpg</t>
        </is>
      </c>
      <c r="C349" s="4" t="inlineStr"/>
      <c r="D349" s="4" t="inlineStr"/>
      <c r="E349" s="4" t="inlineStr">
        <is>
          <t>Internal</t>
        </is>
      </c>
      <c r="F349" s="4" t="b">
        <v>0</v>
      </c>
      <c r="G349" s="4" t="n">
        <v>200</v>
      </c>
      <c r="H349" s="4" t="b">
        <v>1</v>
      </c>
      <c r="I349" s="4" t="inlineStr"/>
    </row>
    <row r="350">
      <c r="A350" s="47" t="inlineStr">
        <is>
          <t>https://africanmarketingconfederation.org/amc-conference-2022</t>
        </is>
      </c>
      <c r="B350" s="44" t="inlineStr">
        <is>
          <t>https://africanmarketingconfederation.org/wp-content/uploads/2022/10/EA2A3922-scaled.jpg</t>
        </is>
      </c>
      <c r="C350" s="22" t="inlineStr"/>
      <c r="D350" s="22" t="inlineStr"/>
      <c r="E350" s="22" t="inlineStr">
        <is>
          <t>Internal</t>
        </is>
      </c>
      <c r="F350" s="22" t="b">
        <v>0</v>
      </c>
      <c r="G350" s="22" t="n">
        <v>200</v>
      </c>
      <c r="H350" s="22" t="b">
        <v>1</v>
      </c>
      <c r="I350" s="22" t="inlineStr"/>
      <c r="J350" s="24" t="n"/>
    </row>
    <row r="351">
      <c r="A351" s="47" t="inlineStr">
        <is>
          <t>https://africanmarketingconfederation.org/amc-conference-2022</t>
        </is>
      </c>
      <c r="B351" s="46" t="inlineStr">
        <is>
          <t>https://africanmarketingconfederation.org/wp-content/uploads/2022/10/EA2A3930-scaled.jpg</t>
        </is>
      </c>
      <c r="C351" s="4" t="inlineStr"/>
      <c r="D351" s="4" t="inlineStr"/>
      <c r="E351" s="4" t="inlineStr">
        <is>
          <t>Internal</t>
        </is>
      </c>
      <c r="F351" s="4" t="b">
        <v>0</v>
      </c>
      <c r="G351" s="4" t="n">
        <v>200</v>
      </c>
      <c r="H351" s="4" t="b">
        <v>1</v>
      </c>
      <c r="I351" s="4" t="inlineStr"/>
    </row>
    <row r="352">
      <c r="A352" s="47" t="inlineStr">
        <is>
          <t>https://africanmarketingconfederation.org/amc-conference-2022</t>
        </is>
      </c>
      <c r="B352" s="44" t="inlineStr">
        <is>
          <t>https://africanmarketingconfederation.org/wp-content/uploads/2022/10/EA2A3936-scaled.jpg</t>
        </is>
      </c>
      <c r="C352" s="22" t="inlineStr"/>
      <c r="D352" s="22" t="inlineStr"/>
      <c r="E352" s="22" t="inlineStr">
        <is>
          <t>Internal</t>
        </is>
      </c>
      <c r="F352" s="22" t="b">
        <v>0</v>
      </c>
      <c r="G352" s="22" t="n">
        <v>200</v>
      </c>
      <c r="H352" s="22" t="b">
        <v>1</v>
      </c>
      <c r="I352" s="22" t="inlineStr"/>
      <c r="J352" s="24" t="n"/>
    </row>
    <row r="353">
      <c r="A353" s="47" t="inlineStr">
        <is>
          <t>https://africanmarketingconfederation.org/amc-conference-2022</t>
        </is>
      </c>
      <c r="B353" s="46" t="inlineStr">
        <is>
          <t>https://africanmarketingconfederation.org/publications-2</t>
        </is>
      </c>
      <c r="C353" s="4" t="inlineStr">
        <is>
          <t>Strategic Marketing for AfricaMagazine</t>
        </is>
      </c>
      <c r="D353" s="4" t="inlineStr"/>
      <c r="E353" s="4" t="inlineStr">
        <is>
          <t>Internal</t>
        </is>
      </c>
      <c r="F353" s="4" t="b">
        <v>0</v>
      </c>
      <c r="G353" s="4" t="n">
        <v>200</v>
      </c>
      <c r="H353" s="4" t="b">
        <v>1</v>
      </c>
      <c r="I353" s="4" t="inlineStr"/>
    </row>
    <row r="354">
      <c r="A354" s="47" t="inlineStr">
        <is>
          <t>https://africanmarketingconfederation.org/amc-conference-2022</t>
        </is>
      </c>
      <c r="B354" s="44" t="inlineStr">
        <is>
          <t>https://www.facebook.com/The-African-Marketing-Confederation-108980418182403</t>
        </is>
      </c>
      <c r="C354" s="22" t="inlineStr"/>
      <c r="D354" s="22" t="inlineStr"/>
      <c r="E354" s="22" t="inlineStr">
        <is>
          <t>External</t>
        </is>
      </c>
      <c r="F354" s="22" t="b">
        <v>0</v>
      </c>
      <c r="G354" s="22" t="inlineStr"/>
      <c r="H354" s="22" t="b">
        <v>1</v>
      </c>
      <c r="I354" s="22" t="inlineStr"/>
      <c r="J354" s="24" t="n"/>
    </row>
    <row r="355">
      <c r="A355" s="47" t="inlineStr">
        <is>
          <t>https://africanmarketingconfederation.org/amc-conference-2022</t>
        </is>
      </c>
      <c r="B355" s="46" t="inlineStr">
        <is>
          <t>https://www.linkedin.com/company/african-marketing-confederation</t>
        </is>
      </c>
      <c r="C355" s="4" t="inlineStr"/>
      <c r="D355" s="4" t="inlineStr"/>
      <c r="E355" s="4" t="inlineStr">
        <is>
          <t>External</t>
        </is>
      </c>
      <c r="F355" s="4" t="b">
        <v>0</v>
      </c>
      <c r="G355" s="4" t="inlineStr"/>
      <c r="H355" s="4" t="b">
        <v>1</v>
      </c>
      <c r="I355" s="4" t="inlineStr"/>
    </row>
    <row r="356">
      <c r="A356" s="47" t="inlineStr">
        <is>
          <t>https://africanmarketingconfederation.org/amc-conference-2022</t>
        </is>
      </c>
      <c r="B356" s="44" t="inlineStr">
        <is>
          <t>https://africanmarketingconfederation.org/privacy-policy</t>
        </is>
      </c>
      <c r="C356" s="22" t="inlineStr">
        <is>
          <t>© 2026 by African Marketing Confederation | Privacy Policy</t>
        </is>
      </c>
      <c r="D356" s="22" t="inlineStr"/>
      <c r="E356" s="22" t="inlineStr">
        <is>
          <t>Internal</t>
        </is>
      </c>
      <c r="F356" s="22" t="b">
        <v>0</v>
      </c>
      <c r="G356" s="22" t="n">
        <v>200</v>
      </c>
      <c r="H356" s="22" t="b">
        <v>1</v>
      </c>
      <c r="I356" s="22" t="inlineStr"/>
      <c r="J356" s="24" t="n"/>
    </row>
    <row r="357">
      <c r="A357" s="47" t="inlineStr">
        <is>
          <t>https://africanmarketingconfederation.org/amc-conference-2022</t>
        </is>
      </c>
      <c r="B357" s="46" t="inlineStr">
        <is>
          <t>https://africanmarketingconfederation.org/amc-conference-2025-delegate-packages</t>
        </is>
      </c>
      <c r="C357" s="4" t="inlineStr">
        <is>
          <t>Return to Shop</t>
        </is>
      </c>
      <c r="D357" s="4" t="inlineStr"/>
      <c r="E357" s="4" t="inlineStr">
        <is>
          <t>Internal</t>
        </is>
      </c>
      <c r="F357" s="4" t="b">
        <v>0</v>
      </c>
      <c r="G357" s="4" t="n">
        <v>404</v>
      </c>
      <c r="H357" s="4" t="b">
        <v>0</v>
      </c>
      <c r="I357" s="4" t="inlineStr"/>
    </row>
    <row r="358">
      <c r="A358" s="47" t="inlineStr">
        <is>
          <t>https://africanmarketingconfederation.org/amc-conference-2022</t>
        </is>
      </c>
      <c r="B358" s="44" t="inlineStr">
        <is>
          <t>https://africanmarketingconfederation.org/amc-conference-2025-delegate-packages</t>
        </is>
      </c>
      <c r="C358" s="22" t="inlineStr">
        <is>
          <t>Continue Shopping</t>
        </is>
      </c>
      <c r="D358" s="22" t="inlineStr"/>
      <c r="E358" s="22" t="inlineStr">
        <is>
          <t>Internal</t>
        </is>
      </c>
      <c r="F358" s="22" t="b">
        <v>0</v>
      </c>
      <c r="G358" s="22" t="n">
        <v>404</v>
      </c>
      <c r="H358" s="22" t="b">
        <v>0</v>
      </c>
      <c r="I358" s="22" t="inlineStr"/>
      <c r="J358" s="24" t="n"/>
    </row>
    <row r="359">
      <c r="A359" s="47" t="inlineStr">
        <is>
          <t>https://africanmarketingconfederation.org/amc-conference-2023</t>
        </is>
      </c>
      <c r="B359" s="46" t="inlineStr">
        <is>
          <t>https://africanmarketingconfederation.org/amc-conference-2025</t>
        </is>
      </c>
      <c r="C359" s="4" t="inlineStr">
        <is>
          <t>GHANA 2025</t>
        </is>
      </c>
      <c r="D359" s="4" t="inlineStr"/>
      <c r="E359" s="4" t="inlineStr">
        <is>
          <t>Internal</t>
        </is>
      </c>
      <c r="F359" s="4" t="b">
        <v>0</v>
      </c>
      <c r="G359" s="4" t="n">
        <v>200</v>
      </c>
      <c r="H359" s="4" t="b">
        <v>1</v>
      </c>
      <c r="I359" s="4" t="inlineStr"/>
    </row>
    <row r="360">
      <c r="A360" s="47" t="inlineStr">
        <is>
          <t>https://africanmarketingconfederation.org/amc-conference-2023</t>
        </is>
      </c>
      <c r="B360" s="44" t="inlineStr">
        <is>
          <t>https://africanmarketingconfederation.org/speakers-2025</t>
        </is>
      </c>
      <c r="C360" s="22" t="inlineStr">
        <is>
          <t>SPEAKERS 2025</t>
        </is>
      </c>
      <c r="D360" s="22" t="inlineStr"/>
      <c r="E360" s="22" t="inlineStr">
        <is>
          <t>Internal</t>
        </is>
      </c>
      <c r="F360" s="22" t="b">
        <v>0</v>
      </c>
      <c r="G360" s="22" t="n">
        <v>200</v>
      </c>
      <c r="H360" s="22" t="b">
        <v>1</v>
      </c>
      <c r="I360" s="22" t="inlineStr"/>
      <c r="J360" s="24" t="n"/>
    </row>
    <row r="361">
      <c r="A361" s="47" t="inlineStr">
        <is>
          <t>https://africanmarketingconfederation.org/amc-conference-2023</t>
        </is>
      </c>
      <c r="B361" s="46" t="inlineStr">
        <is>
          <t>https://africanmarketingconfederation.org/amc-marketing-conference-2024/amc-programme-2025</t>
        </is>
      </c>
      <c r="C361" s="4" t="inlineStr">
        <is>
          <t>AMC PROGRAMME 2025</t>
        </is>
      </c>
      <c r="D361" s="4" t="inlineStr"/>
      <c r="E361" s="4" t="inlineStr">
        <is>
          <t>Internal</t>
        </is>
      </c>
      <c r="F361" s="4" t="b">
        <v>0</v>
      </c>
      <c r="G361" s="4" t="n">
        <v>200</v>
      </c>
      <c r="H361" s="4" t="b">
        <v>1</v>
      </c>
      <c r="I361" s="4" t="inlineStr"/>
    </row>
    <row r="362">
      <c r="A362" s="47" t="inlineStr">
        <is>
          <t>https://africanmarketingconfederation.org/amc-conference-2023</t>
        </is>
      </c>
      <c r="B362" s="44" t="inlineStr">
        <is>
          <t>https://africanmarketingconfederation.org/amc-marketing-conference-2024/awards-2025</t>
        </is>
      </c>
      <c r="C362" s="22" t="inlineStr">
        <is>
          <t>AWARDS 2025</t>
        </is>
      </c>
      <c r="D362" s="22" t="inlineStr"/>
      <c r="E362" s="22" t="inlineStr">
        <is>
          <t>Internal</t>
        </is>
      </c>
      <c r="F362" s="22" t="b">
        <v>0</v>
      </c>
      <c r="G362" s="22" t="n">
        <v>200</v>
      </c>
      <c r="H362" s="22" t="b">
        <v>1</v>
      </c>
      <c r="I362" s="22" t="inlineStr"/>
      <c r="J362" s="24" t="n"/>
    </row>
    <row r="363">
      <c r="A363" s="47" t="inlineStr">
        <is>
          <t>https://africanmarketingconfederation.org/amc-conference-2023</t>
        </is>
      </c>
      <c r="B363" s="46" t="inlineStr">
        <is>
          <t>https://africanmarketingconfederation.org/amc-sponsors-2025</t>
        </is>
      </c>
      <c r="C363" s="4" t="inlineStr">
        <is>
          <t>SPONSORS 2025</t>
        </is>
      </c>
      <c r="D363" s="4" t="inlineStr"/>
      <c r="E363" s="4" t="inlineStr">
        <is>
          <t>Internal</t>
        </is>
      </c>
      <c r="F363" s="4" t="b">
        <v>0</v>
      </c>
      <c r="G363" s="4" t="n">
        <v>200</v>
      </c>
      <c r="H363" s="4" t="b">
        <v>1</v>
      </c>
      <c r="I363" s="4" t="inlineStr"/>
    </row>
    <row r="364">
      <c r="A364" s="47" t="inlineStr">
        <is>
          <t>https://africanmarketingconfederation.org/amc-conference-2023</t>
        </is>
      </c>
      <c r="B364" s="44" t="inlineStr">
        <is>
          <t>https://africanmarketingconfederation.org/conference-faq-2025</t>
        </is>
      </c>
      <c r="C364" s="22" t="inlineStr">
        <is>
          <t>FAQ 2025</t>
        </is>
      </c>
      <c r="D364" s="22" t="inlineStr"/>
      <c r="E364" s="22" t="inlineStr">
        <is>
          <t>Internal</t>
        </is>
      </c>
      <c r="F364" s="22" t="b">
        <v>0</v>
      </c>
      <c r="G364" s="22" t="n">
        <v>200</v>
      </c>
      <c r="H364" s="22" t="b">
        <v>1</v>
      </c>
      <c r="I364" s="22" t="inlineStr"/>
      <c r="J364" s="24" t="n"/>
    </row>
    <row r="365">
      <c r="A365" s="47" t="inlineStr">
        <is>
          <t>https://africanmarketingconfederation.org/amc-conference-2023</t>
        </is>
      </c>
      <c r="B365" s="46" t="inlineStr">
        <is>
          <t>https://africanmarketingconfederation.org/amc-conference-2025</t>
        </is>
      </c>
      <c r="C365" s="4" t="inlineStr">
        <is>
          <t>GHANA 2025</t>
        </is>
      </c>
      <c r="D365" s="4" t="inlineStr"/>
      <c r="E365" s="4" t="inlineStr">
        <is>
          <t>Internal</t>
        </is>
      </c>
      <c r="F365" s="4" t="b">
        <v>0</v>
      </c>
      <c r="G365" s="4" t="n">
        <v>200</v>
      </c>
      <c r="H365" s="4" t="b">
        <v>1</v>
      </c>
      <c r="I365" s="4" t="inlineStr"/>
    </row>
    <row r="366">
      <c r="A366" s="47" t="inlineStr">
        <is>
          <t>https://africanmarketingconfederation.org/amc-conference-2023</t>
        </is>
      </c>
      <c r="B366" s="44" t="inlineStr">
        <is>
          <t>https://africanmarketingconfederation.org/speakers-2025</t>
        </is>
      </c>
      <c r="C366" s="22" t="inlineStr">
        <is>
          <t>SPEAKERS 2025</t>
        </is>
      </c>
      <c r="D366" s="22" t="inlineStr"/>
      <c r="E366" s="22" t="inlineStr">
        <is>
          <t>Internal</t>
        </is>
      </c>
      <c r="F366" s="22" t="b">
        <v>0</v>
      </c>
      <c r="G366" s="22" t="n">
        <v>200</v>
      </c>
      <c r="H366" s="22" t="b">
        <v>1</v>
      </c>
      <c r="I366" s="22" t="inlineStr"/>
      <c r="J366" s="24" t="n"/>
    </row>
    <row r="367">
      <c r="A367" s="47" t="inlineStr">
        <is>
          <t>https://africanmarketingconfederation.org/amc-conference-2023</t>
        </is>
      </c>
      <c r="B367" s="46" t="inlineStr">
        <is>
          <t>https://africanmarketingconfederation.org/amc-marketing-conference-2024/amc-programme-2025</t>
        </is>
      </c>
      <c r="C367" s="4" t="inlineStr">
        <is>
          <t>AMC PROGRAMME 2025</t>
        </is>
      </c>
      <c r="D367" s="4" t="inlineStr"/>
      <c r="E367" s="4" t="inlineStr">
        <is>
          <t>Internal</t>
        </is>
      </c>
      <c r="F367" s="4" t="b">
        <v>0</v>
      </c>
      <c r="G367" s="4" t="n">
        <v>200</v>
      </c>
      <c r="H367" s="4" t="b">
        <v>1</v>
      </c>
      <c r="I367" s="4" t="inlineStr"/>
    </row>
    <row r="368">
      <c r="A368" s="47" t="inlineStr">
        <is>
          <t>https://africanmarketingconfederation.org/amc-conference-2023</t>
        </is>
      </c>
      <c r="B368" s="44" t="inlineStr">
        <is>
          <t>https://africanmarketingconfederation.org/amc-marketing-conference-2024/awards-2025</t>
        </is>
      </c>
      <c r="C368" s="22" t="inlineStr">
        <is>
          <t>AWARDS 2025</t>
        </is>
      </c>
      <c r="D368" s="22" t="inlineStr"/>
      <c r="E368" s="22" t="inlineStr">
        <is>
          <t>Internal</t>
        </is>
      </c>
      <c r="F368" s="22" t="b">
        <v>0</v>
      </c>
      <c r="G368" s="22" t="n">
        <v>200</v>
      </c>
      <c r="H368" s="22" t="b">
        <v>1</v>
      </c>
      <c r="I368" s="22" t="inlineStr"/>
      <c r="J368" s="24" t="n"/>
    </row>
    <row r="369">
      <c r="A369" s="47" t="inlineStr">
        <is>
          <t>https://africanmarketingconfederation.org/amc-conference-2023</t>
        </is>
      </c>
      <c r="B369" s="46" t="inlineStr">
        <is>
          <t>https://africanmarketingconfederation.org/amc-sponsors-2025</t>
        </is>
      </c>
      <c r="C369" s="4" t="inlineStr">
        <is>
          <t>SPONSORS 2025</t>
        </is>
      </c>
      <c r="D369" s="4" t="inlineStr"/>
      <c r="E369" s="4" t="inlineStr">
        <is>
          <t>Internal</t>
        </is>
      </c>
      <c r="F369" s="4" t="b">
        <v>0</v>
      </c>
      <c r="G369" s="4" t="n">
        <v>200</v>
      </c>
      <c r="H369" s="4" t="b">
        <v>1</v>
      </c>
      <c r="I369" s="4" t="inlineStr"/>
    </row>
    <row r="370">
      <c r="A370" s="47" t="inlineStr">
        <is>
          <t>https://africanmarketingconfederation.org/amc-conference-2023</t>
        </is>
      </c>
      <c r="B370" s="44" t="inlineStr">
        <is>
          <t>https://africanmarketingconfederation.org/conference-faq-2025</t>
        </is>
      </c>
      <c r="C370" s="22" t="inlineStr">
        <is>
          <t>FAQ 2025</t>
        </is>
      </c>
      <c r="D370" s="22" t="inlineStr"/>
      <c r="E370" s="22" t="inlineStr">
        <is>
          <t>Internal</t>
        </is>
      </c>
      <c r="F370" s="22" t="b">
        <v>0</v>
      </c>
      <c r="G370" s="22" t="n">
        <v>200</v>
      </c>
      <c r="H370" s="22" t="b">
        <v>1</v>
      </c>
      <c r="I370" s="22" t="inlineStr"/>
      <c r="J370" s="24" t="n"/>
    </row>
    <row r="371">
      <c r="A371" s="47" t="inlineStr">
        <is>
          <t>https://africanmarketingconfederation.org/amc-conference-2023</t>
        </is>
      </c>
      <c r="B371" s="46" t="inlineStr">
        <is>
          <t>https://africanmarketingconfederation.org/amc-conference-2023/programme</t>
        </is>
      </c>
      <c r="C371" s="4" t="inlineStr">
        <is>
          <t>View Presentations</t>
        </is>
      </c>
      <c r="D371" s="4" t="inlineStr"/>
      <c r="E371" s="4" t="inlineStr">
        <is>
          <t>Internal</t>
        </is>
      </c>
      <c r="F371" s="4" t="b">
        <v>0</v>
      </c>
      <c r="G371" s="4" t="n">
        <v>200</v>
      </c>
      <c r="H371" s="4" t="b">
        <v>1</v>
      </c>
      <c r="I371" s="4" t="inlineStr"/>
    </row>
    <row r="372">
      <c r="A372" s="47" t="inlineStr">
        <is>
          <t>https://africanmarketingconfederation.org/amc-conference-2023</t>
        </is>
      </c>
      <c r="B372" s="44" t="inlineStr">
        <is>
          <t>https://africanmarketingconfederation.org/wp-content/uploads/2023/09/AMC-Ticon-01530.jpg</t>
        </is>
      </c>
      <c r="C372" s="22" t="inlineStr"/>
      <c r="D372" s="22" t="inlineStr"/>
      <c r="E372" s="22" t="inlineStr">
        <is>
          <t>Internal</t>
        </is>
      </c>
      <c r="F372" s="22" t="b">
        <v>0</v>
      </c>
      <c r="G372" s="22" t="n">
        <v>200</v>
      </c>
      <c r="H372" s="22" t="b">
        <v>1</v>
      </c>
      <c r="I372" s="22" t="inlineStr"/>
      <c r="J372" s="24" t="n"/>
    </row>
    <row r="373">
      <c r="A373" s="47" t="inlineStr">
        <is>
          <t>https://africanmarketingconfederation.org/amc-conference-2023</t>
        </is>
      </c>
      <c r="B373" s="46" t="inlineStr">
        <is>
          <t>https://africanmarketingconfederation.org/wp-content/uploads/2023/09/AMC-Ticon-01476.jpg</t>
        </is>
      </c>
      <c r="C373" s="4" t="inlineStr"/>
      <c r="D373" s="4" t="inlineStr"/>
      <c r="E373" s="4" t="inlineStr">
        <is>
          <t>Internal</t>
        </is>
      </c>
      <c r="F373" s="4" t="b">
        <v>0</v>
      </c>
      <c r="G373" s="4" t="n">
        <v>200</v>
      </c>
      <c r="H373" s="4" t="b">
        <v>1</v>
      </c>
      <c r="I373" s="4" t="inlineStr"/>
    </row>
    <row r="374">
      <c r="A374" s="47" t="inlineStr">
        <is>
          <t>https://africanmarketingconfederation.org/amc-conference-2023</t>
        </is>
      </c>
      <c r="B374" s="44" t="inlineStr">
        <is>
          <t>https://africanmarketingconfederation.org/wp-content/uploads/2023/09/AMC-Ticon-01409.jpg</t>
        </is>
      </c>
      <c r="C374" s="22" t="inlineStr"/>
      <c r="D374" s="22" t="inlineStr"/>
      <c r="E374" s="22" t="inlineStr">
        <is>
          <t>Internal</t>
        </is>
      </c>
      <c r="F374" s="22" t="b">
        <v>0</v>
      </c>
      <c r="G374" s="22" t="n">
        <v>200</v>
      </c>
      <c r="H374" s="22" t="b">
        <v>1</v>
      </c>
      <c r="I374" s="22" t="inlineStr"/>
      <c r="J374" s="24" t="n"/>
    </row>
    <row r="375">
      <c r="A375" s="47" t="inlineStr">
        <is>
          <t>https://africanmarketingconfederation.org/amc-conference-2023</t>
        </is>
      </c>
      <c r="B375" s="46" t="inlineStr">
        <is>
          <t>https://africanmarketingconfederation.org/wp-content/uploads/2023/09/AMC-Ticon-01363.jpg</t>
        </is>
      </c>
      <c r="C375" s="4" t="inlineStr"/>
      <c r="D375" s="4" t="inlineStr"/>
      <c r="E375" s="4" t="inlineStr">
        <is>
          <t>Internal</t>
        </is>
      </c>
      <c r="F375" s="4" t="b">
        <v>0</v>
      </c>
      <c r="G375" s="4" t="n">
        <v>200</v>
      </c>
      <c r="H375" s="4" t="b">
        <v>1</v>
      </c>
      <c r="I375" s="4" t="inlineStr"/>
    </row>
    <row r="376">
      <c r="A376" s="47" t="inlineStr">
        <is>
          <t>https://africanmarketingconfederation.org/amc-conference-2023</t>
        </is>
      </c>
      <c r="B376" s="44" t="inlineStr">
        <is>
          <t>https://africanmarketingconfederation.org/wp-content/uploads/2023/09/AMC-Ticon-00481.jpg</t>
        </is>
      </c>
      <c r="C376" s="22" t="inlineStr"/>
      <c r="D376" s="22" t="inlineStr"/>
      <c r="E376" s="22" t="inlineStr">
        <is>
          <t>Internal</t>
        </is>
      </c>
      <c r="F376" s="22" t="b">
        <v>0</v>
      </c>
      <c r="G376" s="22" t="n">
        <v>200</v>
      </c>
      <c r="H376" s="22" t="b">
        <v>1</v>
      </c>
      <c r="I376" s="22" t="inlineStr"/>
      <c r="J376" s="24" t="n"/>
    </row>
    <row r="377">
      <c r="A377" s="47" t="inlineStr">
        <is>
          <t>https://africanmarketingconfederation.org/amc-conference-2023</t>
        </is>
      </c>
      <c r="B377" s="46" t="inlineStr">
        <is>
          <t>https://africanmarketingconfederation.org/wp-content/uploads/2023/09/AMC-Ticon-00449.jpg</t>
        </is>
      </c>
      <c r="C377" s="4" t="inlineStr"/>
      <c r="D377" s="4" t="inlineStr"/>
      <c r="E377" s="4" t="inlineStr">
        <is>
          <t>Internal</t>
        </is>
      </c>
      <c r="F377" s="4" t="b">
        <v>0</v>
      </c>
      <c r="G377" s="4" t="n">
        <v>200</v>
      </c>
      <c r="H377" s="4" t="b">
        <v>1</v>
      </c>
      <c r="I377" s="4" t="inlineStr"/>
    </row>
    <row r="378">
      <c r="A378" s="47" t="inlineStr">
        <is>
          <t>https://africanmarketingconfederation.org/amc-conference-2023</t>
        </is>
      </c>
      <c r="B378" s="44" t="inlineStr">
        <is>
          <t>https://africanmarketingconfederation.org/wp-content/uploads/2023/09/AMC-Ticon-00246.jpg</t>
        </is>
      </c>
      <c r="C378" s="22" t="inlineStr"/>
      <c r="D378" s="22" t="inlineStr"/>
      <c r="E378" s="22" t="inlineStr">
        <is>
          <t>Internal</t>
        </is>
      </c>
      <c r="F378" s="22" t="b">
        <v>0</v>
      </c>
      <c r="G378" s="22" t="n">
        <v>200</v>
      </c>
      <c r="H378" s="22" t="b">
        <v>1</v>
      </c>
      <c r="I378" s="22" t="inlineStr"/>
      <c r="J378" s="24" t="n"/>
    </row>
    <row r="379">
      <c r="A379" s="47" t="inlineStr">
        <is>
          <t>https://africanmarketingconfederation.org/amc-conference-2023</t>
        </is>
      </c>
      <c r="B379" s="46" t="inlineStr">
        <is>
          <t>https://africanmarketingconfederation.org/wp-content/uploads/2023/09/AMC-Ticon-09825.jpg</t>
        </is>
      </c>
      <c r="C379" s="4" t="inlineStr"/>
      <c r="D379" s="4" t="inlineStr"/>
      <c r="E379" s="4" t="inlineStr">
        <is>
          <t>Internal</t>
        </is>
      </c>
      <c r="F379" s="4" t="b">
        <v>0</v>
      </c>
      <c r="G379" s="4" t="n">
        <v>200</v>
      </c>
      <c r="H379" s="4" t="b">
        <v>1</v>
      </c>
      <c r="I379" s="4" t="inlineStr"/>
    </row>
    <row r="380">
      <c r="A380" s="47" t="inlineStr">
        <is>
          <t>https://africanmarketingconfederation.org/amc-conference-2023</t>
        </is>
      </c>
      <c r="B380" s="44" t="inlineStr">
        <is>
          <t>https://africanmarketingconfederation.org/wp-content/uploads/2023/09/AMC-Ticon-09823.jpg</t>
        </is>
      </c>
      <c r="C380" s="22" t="inlineStr"/>
      <c r="D380" s="22" t="inlineStr"/>
      <c r="E380" s="22" t="inlineStr">
        <is>
          <t>Internal</t>
        </is>
      </c>
      <c r="F380" s="22" t="b">
        <v>0</v>
      </c>
      <c r="G380" s="22" t="n">
        <v>200</v>
      </c>
      <c r="H380" s="22" t="b">
        <v>1</v>
      </c>
      <c r="I380" s="22" t="inlineStr"/>
      <c r="J380" s="24" t="n"/>
    </row>
    <row r="381">
      <c r="A381" s="47" t="inlineStr">
        <is>
          <t>https://africanmarketingconfederation.org/amc-conference-2023</t>
        </is>
      </c>
      <c r="B381" s="46" t="inlineStr">
        <is>
          <t>https://africanmarketingconfederation.org/wp-content/uploads/2023/09/AMC-Ticon-03063.jpg</t>
        </is>
      </c>
      <c r="C381" s="4" t="inlineStr"/>
      <c r="D381" s="4" t="inlineStr"/>
      <c r="E381" s="4" t="inlineStr">
        <is>
          <t>Internal</t>
        </is>
      </c>
      <c r="F381" s="4" t="b">
        <v>0</v>
      </c>
      <c r="G381" s="4" t="n">
        <v>200</v>
      </c>
      <c r="H381" s="4" t="b">
        <v>1</v>
      </c>
      <c r="I381" s="4" t="inlineStr"/>
    </row>
    <row r="382">
      <c r="A382" s="47" t="inlineStr">
        <is>
          <t>https://africanmarketingconfederation.org/amc-conference-2023</t>
        </is>
      </c>
      <c r="B382" s="44" t="inlineStr">
        <is>
          <t>https://africanmarketingconfederation.org/wp-content/uploads/2023/09/AMC-Ticon-02950-1.jpg</t>
        </is>
      </c>
      <c r="C382" s="22" t="inlineStr"/>
      <c r="D382" s="22" t="inlineStr"/>
      <c r="E382" s="22" t="inlineStr">
        <is>
          <t>Internal</t>
        </is>
      </c>
      <c r="F382" s="22" t="b">
        <v>0</v>
      </c>
      <c r="G382" s="22" t="n">
        <v>200</v>
      </c>
      <c r="H382" s="22" t="b">
        <v>1</v>
      </c>
      <c r="I382" s="22" t="inlineStr"/>
      <c r="J382" s="24" t="n"/>
    </row>
    <row r="383">
      <c r="A383" s="47" t="inlineStr">
        <is>
          <t>https://africanmarketingconfederation.org/amc-conference-2023</t>
        </is>
      </c>
      <c r="B383" s="46" t="inlineStr">
        <is>
          <t>https://africanmarketingconfederation.org/wp-content/uploads/2023/09/AMC-TICON-1127.jpg</t>
        </is>
      </c>
      <c r="C383" s="4" t="inlineStr"/>
      <c r="D383" s="4" t="inlineStr"/>
      <c r="E383" s="4" t="inlineStr">
        <is>
          <t>Internal</t>
        </is>
      </c>
      <c r="F383" s="4" t="b">
        <v>0</v>
      </c>
      <c r="G383" s="4" t="n">
        <v>200</v>
      </c>
      <c r="H383" s="4" t="b">
        <v>1</v>
      </c>
      <c r="I383" s="4" t="inlineStr"/>
    </row>
    <row r="384">
      <c r="A384" s="47" t="inlineStr">
        <is>
          <t>https://africanmarketingconfederation.org/amc-conference-2023</t>
        </is>
      </c>
      <c r="B384" s="44" t="inlineStr">
        <is>
          <t>https://africanmarketingconfederation.org/wp-content/uploads/2023/09/AMC-Ticon-01128.jpg</t>
        </is>
      </c>
      <c r="C384" s="22" t="inlineStr"/>
      <c r="D384" s="22" t="inlineStr"/>
      <c r="E384" s="22" t="inlineStr">
        <is>
          <t>Internal</t>
        </is>
      </c>
      <c r="F384" s="22" t="b">
        <v>0</v>
      </c>
      <c r="G384" s="22" t="n">
        <v>200</v>
      </c>
      <c r="H384" s="22" t="b">
        <v>1</v>
      </c>
      <c r="I384" s="22" t="inlineStr"/>
      <c r="J384" s="24" t="n"/>
    </row>
    <row r="385">
      <c r="A385" s="47" t="inlineStr">
        <is>
          <t>https://africanmarketingconfederation.org/amc-conference-2023</t>
        </is>
      </c>
      <c r="B385" s="46" t="inlineStr">
        <is>
          <t>https://africanmarketingconfederation.org/wp-content/uploads/2023/09/AMC-TICON-1113.jpg</t>
        </is>
      </c>
      <c r="C385" s="4" t="inlineStr"/>
      <c r="D385" s="4" t="inlineStr"/>
      <c r="E385" s="4" t="inlineStr">
        <is>
          <t>Internal</t>
        </is>
      </c>
      <c r="F385" s="4" t="b">
        <v>0</v>
      </c>
      <c r="G385" s="4" t="n">
        <v>200</v>
      </c>
      <c r="H385" s="4" t="b">
        <v>1</v>
      </c>
      <c r="I385" s="4" t="inlineStr"/>
    </row>
    <row r="386">
      <c r="A386" s="47" t="inlineStr">
        <is>
          <t>https://africanmarketingconfederation.org/amc-conference-2023</t>
        </is>
      </c>
      <c r="B386" s="44" t="inlineStr">
        <is>
          <t>https://africanmarketingconfederation.org/wp-content/uploads/2023/09/AMC-Ticon-00742.jpg</t>
        </is>
      </c>
      <c r="C386" s="22" t="inlineStr"/>
      <c r="D386" s="22" t="inlineStr"/>
      <c r="E386" s="22" t="inlineStr">
        <is>
          <t>Internal</t>
        </is>
      </c>
      <c r="F386" s="22" t="b">
        <v>0</v>
      </c>
      <c r="G386" s="22" t="n">
        <v>200</v>
      </c>
      <c r="H386" s="22" t="b">
        <v>1</v>
      </c>
      <c r="I386" s="22" t="inlineStr"/>
      <c r="J386" s="24" t="n"/>
    </row>
    <row r="387">
      <c r="A387" s="47" t="inlineStr">
        <is>
          <t>https://africanmarketingconfederation.org/amc-conference-2023</t>
        </is>
      </c>
      <c r="B387" s="46" t="inlineStr">
        <is>
          <t>https://africanmarketingconfederation.org/wp-content/uploads/2023/09/AMC-Ticon-00682.jpg</t>
        </is>
      </c>
      <c r="C387" s="4" t="inlineStr"/>
      <c r="D387" s="4" t="inlineStr"/>
      <c r="E387" s="4" t="inlineStr">
        <is>
          <t>Internal</t>
        </is>
      </c>
      <c r="F387" s="4" t="b">
        <v>0</v>
      </c>
      <c r="G387" s="4" t="n">
        <v>200</v>
      </c>
      <c r="H387" s="4" t="b">
        <v>1</v>
      </c>
      <c r="I387" s="4" t="inlineStr"/>
    </row>
    <row r="388">
      <c r="A388" s="47" t="inlineStr">
        <is>
          <t>https://africanmarketingconfederation.org/amc-conference-2023</t>
        </is>
      </c>
      <c r="B388" s="44" t="inlineStr">
        <is>
          <t>https://africanmarketingconfederation.org/wp-content/uploads/2023/09/AMC-Ticon-00638.jpg</t>
        </is>
      </c>
      <c r="C388" s="22" t="inlineStr"/>
      <c r="D388" s="22" t="inlineStr"/>
      <c r="E388" s="22" t="inlineStr">
        <is>
          <t>Internal</t>
        </is>
      </c>
      <c r="F388" s="22" t="b">
        <v>0</v>
      </c>
      <c r="G388" s="22" t="n">
        <v>200</v>
      </c>
      <c r="H388" s="22" t="b">
        <v>1</v>
      </c>
      <c r="I388" s="22" t="inlineStr"/>
      <c r="J388" s="24" t="n"/>
    </row>
    <row r="389">
      <c r="A389" s="47" t="inlineStr">
        <is>
          <t>https://africanmarketingconfederation.org/amc-conference-2023</t>
        </is>
      </c>
      <c r="B389" s="46" t="inlineStr">
        <is>
          <t>https://africanmarketingconfederation.org/wp-content/uploads/2023/09/AMC-Ticon-09953.jpg</t>
        </is>
      </c>
      <c r="C389" s="4" t="inlineStr"/>
      <c r="D389" s="4" t="inlineStr"/>
      <c r="E389" s="4" t="inlineStr">
        <is>
          <t>Internal</t>
        </is>
      </c>
      <c r="F389" s="4" t="b">
        <v>0</v>
      </c>
      <c r="G389" s="4" t="n">
        <v>200</v>
      </c>
      <c r="H389" s="4" t="b">
        <v>1</v>
      </c>
      <c r="I389" s="4" t="inlineStr"/>
    </row>
    <row r="390">
      <c r="A390" s="47" t="inlineStr">
        <is>
          <t>https://africanmarketingconfederation.org/amc-conference-2023</t>
        </is>
      </c>
      <c r="B390" s="44" t="inlineStr">
        <is>
          <t>https://africanmarketingconfederation.org/wp-content/uploads/2023/09/AMC-TICON-0164.jpg</t>
        </is>
      </c>
      <c r="C390" s="22" t="inlineStr"/>
      <c r="D390" s="22" t="inlineStr"/>
      <c r="E390" s="22" t="inlineStr">
        <is>
          <t>Internal</t>
        </is>
      </c>
      <c r="F390" s="22" t="b">
        <v>0</v>
      </c>
      <c r="G390" s="22" t="n">
        <v>200</v>
      </c>
      <c r="H390" s="22" t="b">
        <v>1</v>
      </c>
      <c r="I390" s="22" t="inlineStr"/>
      <c r="J390" s="24" t="n"/>
    </row>
    <row r="391">
      <c r="A391" s="47" t="inlineStr">
        <is>
          <t>https://africanmarketingconfederation.org/amc-conference-2023</t>
        </is>
      </c>
      <c r="B391" s="46" t="inlineStr">
        <is>
          <t>https://africanmarketingconfederation.org/wp-content/uploads/2023/09/AMC-Ticon-01616.jpg</t>
        </is>
      </c>
      <c r="C391" s="4" t="inlineStr"/>
      <c r="D391" s="4" t="inlineStr"/>
      <c r="E391" s="4" t="inlineStr">
        <is>
          <t>Internal</t>
        </is>
      </c>
      <c r="F391" s="4" t="b">
        <v>0</v>
      </c>
      <c r="G391" s="4" t="n">
        <v>200</v>
      </c>
      <c r="H391" s="4" t="b">
        <v>1</v>
      </c>
      <c r="I391" s="4" t="inlineStr"/>
    </row>
    <row r="392">
      <c r="A392" s="47" t="inlineStr">
        <is>
          <t>https://africanmarketingconfederation.org/amc-conference-2023</t>
        </is>
      </c>
      <c r="B392" s="44" t="inlineStr">
        <is>
          <t>https://africanmarketingconfederation.org/amc-conference-2023/gallery</t>
        </is>
      </c>
      <c r="C392" s="22" t="inlineStr">
        <is>
          <t>View Gallery</t>
        </is>
      </c>
      <c r="D392" s="22" t="inlineStr"/>
      <c r="E392" s="22" t="inlineStr">
        <is>
          <t>Internal</t>
        </is>
      </c>
      <c r="F392" s="22" t="b">
        <v>0</v>
      </c>
      <c r="G392" s="22" t="n">
        <v>200</v>
      </c>
      <c r="H392" s="22" t="b">
        <v>1</v>
      </c>
      <c r="I392" s="22" t="inlineStr"/>
      <c r="J392" s="24" t="n"/>
    </row>
    <row r="393">
      <c r="A393" s="47" t="inlineStr">
        <is>
          <t>https://africanmarketingconfederation.org/amc-conference-2023</t>
        </is>
      </c>
      <c r="B393" s="46" t="inlineStr">
        <is>
          <t>https://africanmarketingconfederation.org/amc-conference-2023/speakers</t>
        </is>
      </c>
      <c r="C393" s="4" t="inlineStr">
        <is>
          <t>View All Speakers</t>
        </is>
      </c>
      <c r="D393" s="4" t="inlineStr"/>
      <c r="E393" s="4" t="inlineStr">
        <is>
          <t>Internal</t>
        </is>
      </c>
      <c r="F393" s="4" t="b">
        <v>0</v>
      </c>
      <c r="G393" s="4" t="n">
        <v>200</v>
      </c>
      <c r="H393" s="4" t="b">
        <v>1</v>
      </c>
      <c r="I393" s="4" t="inlineStr"/>
    </row>
    <row r="394">
      <c r="A394" s="47" t="inlineStr">
        <is>
          <t>https://africanmarketingconfederation.org/amc-conference-2023</t>
        </is>
      </c>
      <c r="B394" s="44" t="inlineStr">
        <is>
          <t>https://imminstitute.co.za/</t>
        </is>
      </c>
      <c r="C394" s="22" t="inlineStr"/>
      <c r="D394" s="22" t="inlineStr"/>
      <c r="E394" s="22" t="inlineStr">
        <is>
          <t>External</t>
        </is>
      </c>
      <c r="F394" s="22" t="b">
        <v>0</v>
      </c>
      <c r="G394" s="22" t="inlineStr"/>
      <c r="H394" s="22" t="b">
        <v>1</v>
      </c>
      <c r="I394" s="22" t="inlineStr"/>
      <c r="J394" s="24" t="n"/>
    </row>
    <row r="395">
      <c r="A395" s="47" t="inlineStr">
        <is>
          <t>https://africanmarketingconfederation.org/amc-conference-2023</t>
        </is>
      </c>
      <c r="B395" s="46" t="inlineStr">
        <is>
          <t>https://www.maz.co.zw/</t>
        </is>
      </c>
      <c r="C395" s="4" t="inlineStr"/>
      <c r="D395" s="4" t="inlineStr"/>
      <c r="E395" s="4" t="inlineStr">
        <is>
          <t>External</t>
        </is>
      </c>
      <c r="F395" s="4" t="b">
        <v>0</v>
      </c>
      <c r="G395" s="4" t="inlineStr"/>
      <c r="H395" s="4" t="b">
        <v>1</v>
      </c>
      <c r="I395" s="4" t="inlineStr"/>
    </row>
    <row r="396">
      <c r="A396" s="47" t="inlineStr">
        <is>
          <t>https://africanmarketingconfederation.org/amc-conference-2023</t>
        </is>
      </c>
      <c r="B396" s="44" t="inlineStr">
        <is>
          <t>https://www.linkedin.com/company/zambia-institute-of-marketing</t>
        </is>
      </c>
      <c r="C396" s="22" t="inlineStr"/>
      <c r="D396" s="22" t="inlineStr"/>
      <c r="E396" s="22" t="inlineStr">
        <is>
          <t>External</t>
        </is>
      </c>
      <c r="F396" s="22" t="b">
        <v>0</v>
      </c>
      <c r="G396" s="22" t="inlineStr"/>
      <c r="H396" s="22" t="b">
        <v>1</v>
      </c>
      <c r="I396" s="22" t="inlineStr"/>
      <c r="J396" s="24" t="n"/>
    </row>
    <row r="397">
      <c r="A397" s="47" t="inlineStr">
        <is>
          <t>https://africanmarketingconfederation.org/amc-conference-2023</t>
        </is>
      </c>
      <c r="B397" s="46" t="inlineStr">
        <is>
          <t>https://msk.co.ke/</t>
        </is>
      </c>
      <c r="C397" s="4" t="inlineStr"/>
      <c r="D397" s="4" t="inlineStr"/>
      <c r="E397" s="4" t="inlineStr">
        <is>
          <t>External</t>
        </is>
      </c>
      <c r="F397" s="4" t="b">
        <v>0</v>
      </c>
      <c r="G397" s="4" t="inlineStr"/>
      <c r="H397" s="4" t="b">
        <v>1</v>
      </c>
      <c r="I397" s="4" t="inlineStr"/>
    </row>
    <row r="398">
      <c r="A398" s="47" t="inlineStr">
        <is>
          <t>https://africanmarketingconfederation.org/amc-conference-2023</t>
        </is>
      </c>
      <c r="B398" s="44" t="inlineStr">
        <is>
          <t>https://cimghana.org/</t>
        </is>
      </c>
      <c r="C398" s="22" t="inlineStr"/>
      <c r="D398" s="22" t="inlineStr"/>
      <c r="E398" s="22" t="inlineStr">
        <is>
          <t>External</t>
        </is>
      </c>
      <c r="F398" s="22" t="b">
        <v>0</v>
      </c>
      <c r="G398" s="22" t="inlineStr"/>
      <c r="H398" s="22" t="b">
        <v>1</v>
      </c>
      <c r="I398" s="22" t="inlineStr"/>
      <c r="J398" s="24" t="n"/>
    </row>
    <row r="399">
      <c r="A399" s="47" t="inlineStr">
        <is>
          <t>https://africanmarketingconfederation.org/amc-conference-2023</t>
        </is>
      </c>
      <c r="B399" s="46" t="inlineStr">
        <is>
          <t>https://nimn.com.ng/</t>
        </is>
      </c>
      <c r="C399" s="4" t="inlineStr"/>
      <c r="D399" s="4" t="inlineStr"/>
      <c r="E399" s="4" t="inlineStr">
        <is>
          <t>External</t>
        </is>
      </c>
      <c r="F399" s="4" t="b">
        <v>0</v>
      </c>
      <c r="G399" s="4" t="inlineStr"/>
      <c r="H399" s="4" t="b">
        <v>1</v>
      </c>
      <c r="I399" s="4" t="inlineStr"/>
    </row>
    <row r="400">
      <c r="A400" s="47" t="inlineStr">
        <is>
          <t>https://africanmarketingconfederation.org/amc-conference-2023</t>
        </is>
      </c>
      <c r="B400" s="44" t="inlineStr">
        <is>
          <t>https://www.facebook.com/people/Institute-of-Marketing-and-Management-Mauritius/100063921338756</t>
        </is>
      </c>
      <c r="C400" s="22" t="inlineStr"/>
      <c r="D400" s="22" t="inlineStr"/>
      <c r="E400" s="22" t="inlineStr">
        <is>
          <t>External</t>
        </is>
      </c>
      <c r="F400" s="22" t="b">
        <v>0</v>
      </c>
      <c r="G400" s="22" t="inlineStr"/>
      <c r="H400" s="22" t="b">
        <v>1</v>
      </c>
      <c r="I400" s="22" t="inlineStr"/>
      <c r="J400" s="24" t="n"/>
    </row>
    <row r="401">
      <c r="A401" s="47" t="inlineStr">
        <is>
          <t>https://africanmarketingconfederation.org/amc-conference-2023</t>
        </is>
      </c>
      <c r="B401" s="46" t="inlineStr">
        <is>
          <t>https://www.facebook.com/instituteofmarketinginmalawi</t>
        </is>
      </c>
      <c r="C401" s="4" t="inlineStr"/>
      <c r="D401" s="4" t="inlineStr"/>
      <c r="E401" s="4" t="inlineStr">
        <is>
          <t>External</t>
        </is>
      </c>
      <c r="F401" s="4" t="b">
        <v>0</v>
      </c>
      <c r="G401" s="4" t="inlineStr"/>
      <c r="H401" s="4" t="b">
        <v>1</v>
      </c>
      <c r="I401" s="4" t="inlineStr"/>
    </row>
    <row r="402">
      <c r="A402" s="47" t="inlineStr">
        <is>
          <t>https://africanmarketingconfederation.org/amc-conference-2023</t>
        </is>
      </c>
      <c r="B402" s="44" t="inlineStr">
        <is>
          <t>https://www.ammc.co/</t>
        </is>
      </c>
      <c r="C402" s="22" t="inlineStr"/>
      <c r="D402" s="22" t="inlineStr"/>
      <c r="E402" s="22" t="inlineStr">
        <is>
          <t>External</t>
        </is>
      </c>
      <c r="F402" s="22" t="b">
        <v>0</v>
      </c>
      <c r="G402" s="22" t="inlineStr"/>
      <c r="H402" s="22" t="b">
        <v>1</v>
      </c>
      <c r="I402" s="22" t="inlineStr"/>
      <c r="J402" s="24" t="n"/>
    </row>
    <row r="403">
      <c r="A403" s="47" t="inlineStr">
        <is>
          <t>https://africanmarketingconfederation.org/amc-conference-2023</t>
        </is>
      </c>
      <c r="B403" s="46" t="inlineStr">
        <is>
          <t>https://ums.co.ug/</t>
        </is>
      </c>
      <c r="C403" s="4" t="inlineStr"/>
      <c r="D403" s="4" t="inlineStr"/>
      <c r="E403" s="4" t="inlineStr">
        <is>
          <t>External</t>
        </is>
      </c>
      <c r="F403" s="4" t="b">
        <v>0</v>
      </c>
      <c r="G403" s="4" t="inlineStr"/>
      <c r="H403" s="4" t="b">
        <v>1</v>
      </c>
      <c r="I403" s="4" t="inlineStr"/>
    </row>
    <row r="404">
      <c r="A404" s="47" t="inlineStr">
        <is>
          <t>https://africanmarketingconfederation.org/amc-conference-2023</t>
        </is>
      </c>
      <c r="B404" s="44" t="inlineStr">
        <is>
          <t>https://africanmarketingconfederation.org/publications-2</t>
        </is>
      </c>
      <c r="C404" s="22" t="inlineStr">
        <is>
          <t>Strategic Marketing for AfricaMagazine</t>
        </is>
      </c>
      <c r="D404" s="22" t="inlineStr"/>
      <c r="E404" s="22" t="inlineStr">
        <is>
          <t>Internal</t>
        </is>
      </c>
      <c r="F404" s="22" t="b">
        <v>0</v>
      </c>
      <c r="G404" s="22" t="n">
        <v>200</v>
      </c>
      <c r="H404" s="22" t="b">
        <v>1</v>
      </c>
      <c r="I404" s="22" t="inlineStr"/>
      <c r="J404" s="24" t="n"/>
    </row>
    <row r="405">
      <c r="A405" s="47" t="inlineStr">
        <is>
          <t>https://africanmarketingconfederation.org/amc-conference-2023</t>
        </is>
      </c>
      <c r="B405" s="46" t="inlineStr">
        <is>
          <t>https://www.facebook.com/The-African-Marketing-Confederation-108980418182403</t>
        </is>
      </c>
      <c r="C405" s="4" t="inlineStr"/>
      <c r="D405" s="4" t="inlineStr"/>
      <c r="E405" s="4" t="inlineStr">
        <is>
          <t>External</t>
        </is>
      </c>
      <c r="F405" s="4" t="b">
        <v>0</v>
      </c>
      <c r="G405" s="4" t="inlineStr"/>
      <c r="H405" s="4" t="b">
        <v>1</v>
      </c>
      <c r="I405" s="4" t="inlineStr"/>
    </row>
    <row r="406">
      <c r="A406" s="47" t="inlineStr">
        <is>
          <t>https://africanmarketingconfederation.org/amc-conference-2023</t>
        </is>
      </c>
      <c r="B406" s="44" t="inlineStr">
        <is>
          <t>https://www.linkedin.com/company/african-marketing-confederation</t>
        </is>
      </c>
      <c r="C406" s="22" t="inlineStr"/>
      <c r="D406" s="22" t="inlineStr"/>
      <c r="E406" s="22" t="inlineStr">
        <is>
          <t>External</t>
        </is>
      </c>
      <c r="F406" s="22" t="b">
        <v>0</v>
      </c>
      <c r="G406" s="22" t="inlineStr"/>
      <c r="H406" s="22" t="b">
        <v>1</v>
      </c>
      <c r="I406" s="22" t="inlineStr"/>
      <c r="J406" s="24" t="n"/>
    </row>
    <row r="407">
      <c r="A407" s="47" t="inlineStr">
        <is>
          <t>https://africanmarketingconfederation.org/amc-conference-2023</t>
        </is>
      </c>
      <c r="B407" s="46" t="inlineStr">
        <is>
          <t>https://twitter.com/connect_amc</t>
        </is>
      </c>
      <c r="C407" s="4" t="inlineStr"/>
      <c r="D407" s="4" t="inlineStr"/>
      <c r="E407" s="4" t="inlineStr">
        <is>
          <t>External</t>
        </is>
      </c>
      <c r="F407" s="4" t="b">
        <v>0</v>
      </c>
      <c r="G407" s="4" t="inlineStr"/>
      <c r="H407" s="4" t="b">
        <v>1</v>
      </c>
      <c r="I407" s="4" t="inlineStr"/>
    </row>
    <row r="408">
      <c r="A408" s="47" t="inlineStr">
        <is>
          <t>https://africanmarketingconfederation.org/amc-conference-2023</t>
        </is>
      </c>
      <c r="B408" s="44" t="inlineStr">
        <is>
          <t>https://africanmarketingconfederation.org/calendar_events</t>
        </is>
      </c>
      <c r="C408" s="22" t="inlineStr"/>
      <c r="D408" s="22" t="inlineStr"/>
      <c r="E408" s="22" t="inlineStr">
        <is>
          <t>Internal</t>
        </is>
      </c>
      <c r="F408" s="22" t="b">
        <v>0</v>
      </c>
      <c r="G408" s="22" t="n">
        <v>404</v>
      </c>
      <c r="H408" s="22" t="b">
        <v>0</v>
      </c>
      <c r="I408" s="22" t="inlineStr"/>
      <c r="J408" s="24" t="n"/>
    </row>
    <row r="409">
      <c r="A409" s="47" t="inlineStr">
        <is>
          <t>https://africanmarketingconfederation.org/amc-conference-2023</t>
        </is>
      </c>
      <c r="B409" s="46" t="inlineStr">
        <is>
          <t>https://africanmarketingconfederation.org/calendar_events</t>
        </is>
      </c>
      <c r="C409" s="4" t="inlineStr">
        <is>
          <t>AMC CONFERENCE</t>
        </is>
      </c>
      <c r="D409" s="4" t="inlineStr"/>
      <c r="E409" s="4" t="inlineStr">
        <is>
          <t>Internal</t>
        </is>
      </c>
      <c r="F409" s="4" t="b">
        <v>0</v>
      </c>
      <c r="G409" s="4" t="n">
        <v>404</v>
      </c>
      <c r="H409" s="4" t="b">
        <v>0</v>
      </c>
      <c r="I409" s="4" t="inlineStr"/>
    </row>
    <row r="410">
      <c r="A410" s="47" t="inlineStr">
        <is>
          <t>https://africanmarketingconfederation.org/amc-conference-2023</t>
        </is>
      </c>
      <c r="B410" s="44" t="inlineStr">
        <is>
          <t>https://africanmarketingconfederation.org/privacy-policy</t>
        </is>
      </c>
      <c r="C410" s="22" t="inlineStr">
        <is>
          <t>© 2021 by African Marketing Confederation | Privacy Policy</t>
        </is>
      </c>
      <c r="D410" s="22" t="inlineStr"/>
      <c r="E410" s="22" t="inlineStr">
        <is>
          <t>Internal</t>
        </is>
      </c>
      <c r="F410" s="22" t="b">
        <v>0</v>
      </c>
      <c r="G410" s="22" t="n">
        <v>200</v>
      </c>
      <c r="H410" s="22" t="b">
        <v>1</v>
      </c>
      <c r="I410" s="22" t="inlineStr"/>
      <c r="J410" s="24" t="n"/>
    </row>
    <row r="411">
      <c r="A411" s="47" t="inlineStr">
        <is>
          <t>https://africanmarketingconfederation.org/amc-conference-2023</t>
        </is>
      </c>
      <c r="B411" s="46" t="inlineStr">
        <is>
          <t>https://africanmarketingconfederation.org/amc-conference-2025-delegate-packages</t>
        </is>
      </c>
      <c r="C411" s="4" t="inlineStr">
        <is>
          <t>Return to Shop</t>
        </is>
      </c>
      <c r="D411" s="4" t="inlineStr"/>
      <c r="E411" s="4" t="inlineStr">
        <is>
          <t>Internal</t>
        </is>
      </c>
      <c r="F411" s="4" t="b">
        <v>0</v>
      </c>
      <c r="G411" s="4" t="n">
        <v>404</v>
      </c>
      <c r="H411" s="4" t="b">
        <v>0</v>
      </c>
      <c r="I411" s="4" t="inlineStr"/>
    </row>
    <row r="412">
      <c r="A412" s="47" t="inlineStr">
        <is>
          <t>https://africanmarketingconfederation.org/amc-conference-2023</t>
        </is>
      </c>
      <c r="B412" s="44" t="inlineStr">
        <is>
          <t>https://africanmarketingconfederation.org/amc-conference-2025-delegate-packages</t>
        </is>
      </c>
      <c r="C412" s="22" t="inlineStr">
        <is>
          <t>Continue Shopping</t>
        </is>
      </c>
      <c r="D412" s="22" t="inlineStr"/>
      <c r="E412" s="22" t="inlineStr">
        <is>
          <t>Internal</t>
        </is>
      </c>
      <c r="F412" s="22" t="b">
        <v>0</v>
      </c>
      <c r="G412" s="22" t="n">
        <v>404</v>
      </c>
      <c r="H412" s="22" t="b">
        <v>0</v>
      </c>
      <c r="I412" s="22" t="inlineStr"/>
      <c r="J412" s="24" t="n"/>
    </row>
    <row r="413">
      <c r="A413" s="47" t="inlineStr">
        <is>
          <t>https://africanmarketingconfederation.org/amc-conference-2023/amc-awards-book-now</t>
        </is>
      </c>
      <c r="B413" s="46" t="inlineStr">
        <is>
          <t>https://africanmarketingconfederation.org/</t>
        </is>
      </c>
      <c r="C413" s="4" t="inlineStr">
        <is>
          <t>Home page of the african marketing confederation</t>
        </is>
      </c>
      <c r="D413" s="4" t="inlineStr"/>
      <c r="E413" s="4" t="inlineStr">
        <is>
          <t>Internal</t>
        </is>
      </c>
      <c r="F413" s="4" t="b">
        <v>0</v>
      </c>
      <c r="G413" s="4" t="n">
        <v>200</v>
      </c>
      <c r="H413" s="4" t="b">
        <v>1</v>
      </c>
      <c r="I413" s="4" t="inlineStr"/>
    </row>
    <row r="414">
      <c r="A414" s="47" t="inlineStr">
        <is>
          <t>https://africanmarketingconfederation.org/amc-conference-2023/amc-awards-book-now</t>
        </is>
      </c>
      <c r="B414" s="44" t="inlineStr">
        <is>
          <t>https://africanmarketingconfederation.org/amc-conference-2023</t>
        </is>
      </c>
      <c r="C414" s="22" t="inlineStr">
        <is>
          <t>AMC Conference 2023</t>
        </is>
      </c>
      <c r="D414" s="22" t="inlineStr"/>
      <c r="E414" s="22" t="inlineStr">
        <is>
          <t>Internal</t>
        </is>
      </c>
      <c r="F414" s="22" t="b">
        <v>0</v>
      </c>
      <c r="G414" s="22" t="n">
        <v>200</v>
      </c>
      <c r="H414" s="22" t="b">
        <v>1</v>
      </c>
      <c r="I414" s="22" t="inlineStr"/>
      <c r="J414" s="24" t="n"/>
    </row>
    <row r="415">
      <c r="A415" s="47" t="inlineStr">
        <is>
          <t>https://africanmarketingconfederation.org/amc-conference-2023/amc-awards-book-now</t>
        </is>
      </c>
      <c r="B415" s="46" t="inlineStr">
        <is>
          <t>https://africanmarketingconfederation.org/amc-conference-2023/programme</t>
        </is>
      </c>
      <c r="C415" s="4" t="inlineStr">
        <is>
          <t>Programme</t>
        </is>
      </c>
      <c r="D415" s="4" t="inlineStr"/>
      <c r="E415" s="4" t="inlineStr">
        <is>
          <t>Internal</t>
        </is>
      </c>
      <c r="F415" s="4" t="b">
        <v>0</v>
      </c>
      <c r="G415" s="4" t="n">
        <v>200</v>
      </c>
      <c r="H415" s="4" t="b">
        <v>1</v>
      </c>
      <c r="I415" s="4" t="inlineStr"/>
    </row>
    <row r="416">
      <c r="A416" s="47" t="inlineStr">
        <is>
          <t>https://africanmarketingconfederation.org/amc-conference-2023/amc-awards-book-now</t>
        </is>
      </c>
      <c r="B416" s="44" t="inlineStr">
        <is>
          <t>https://africanmarketingconfederation.org/amc-conference-2023/speakers</t>
        </is>
      </c>
      <c r="C416" s="22" t="inlineStr">
        <is>
          <t>Speakers</t>
        </is>
      </c>
      <c r="D416" s="22" t="inlineStr"/>
      <c r="E416" s="22" t="inlineStr">
        <is>
          <t>Internal</t>
        </is>
      </c>
      <c r="F416" s="22" t="b">
        <v>0</v>
      </c>
      <c r="G416" s="22" t="n">
        <v>200</v>
      </c>
      <c r="H416" s="22" t="b">
        <v>1</v>
      </c>
      <c r="I416" s="22" t="inlineStr"/>
      <c r="J416" s="24" t="n"/>
    </row>
    <row r="417">
      <c r="A417" s="47" t="inlineStr">
        <is>
          <t>https://africanmarketingconfederation.org/amc-conference-2023/amc-awards-book-now</t>
        </is>
      </c>
      <c r="B417" s="46" t="inlineStr">
        <is>
          <t>https://africanmarketingconfederation.org/amc-conference-2023/amc-awards</t>
        </is>
      </c>
      <c r="C417" s="4" t="inlineStr">
        <is>
          <t>AMC Awards</t>
        </is>
      </c>
      <c r="D417" s="4" t="inlineStr"/>
      <c r="E417" s="4" t="inlineStr">
        <is>
          <t>Internal</t>
        </is>
      </c>
      <c r="F417" s="4" t="b">
        <v>0</v>
      </c>
      <c r="G417" s="4" t="n">
        <v>200</v>
      </c>
      <c r="H417" s="4" t="b">
        <v>1</v>
      </c>
      <c r="I417" s="4" t="inlineStr"/>
    </row>
    <row r="418">
      <c r="A418" s="47" t="inlineStr">
        <is>
          <t>https://africanmarketingconfederation.org/amc-conference-2023/amc-awards-book-now</t>
        </is>
      </c>
      <c r="B418" s="44" t="inlineStr">
        <is>
          <t>https://africanmarketingconfederation.org/amc-conference-2023/partners</t>
        </is>
      </c>
      <c r="C418" s="22" t="inlineStr">
        <is>
          <t>Partners</t>
        </is>
      </c>
      <c r="D418" s="22" t="inlineStr"/>
      <c r="E418" s="22" t="inlineStr">
        <is>
          <t>Internal</t>
        </is>
      </c>
      <c r="F418" s="22" t="b">
        <v>0</v>
      </c>
      <c r="G418" s="22" t="n">
        <v>200</v>
      </c>
      <c r="H418" s="22" t="b">
        <v>1</v>
      </c>
      <c r="I418" s="22" t="inlineStr"/>
      <c r="J418" s="24" t="n"/>
    </row>
    <row r="419">
      <c r="A419" s="47" t="inlineStr">
        <is>
          <t>https://africanmarketingconfederation.org/amc-conference-2023/amc-awards-book-now</t>
        </is>
      </c>
      <c r="B419" s="46" t="inlineStr">
        <is>
          <t>https://africanmarketingconfederation.org/amc-conference-2023/gallery</t>
        </is>
      </c>
      <c r="C419" s="4" t="inlineStr">
        <is>
          <t>Gallery</t>
        </is>
      </c>
      <c r="D419" s="4" t="inlineStr"/>
      <c r="E419" s="4" t="inlineStr">
        <is>
          <t>Internal</t>
        </is>
      </c>
      <c r="F419" s="4" t="b">
        <v>0</v>
      </c>
      <c r="G419" s="4" t="n">
        <v>200</v>
      </c>
      <c r="H419" s="4" t="b">
        <v>1</v>
      </c>
      <c r="I419" s="4" t="inlineStr"/>
    </row>
    <row r="420">
      <c r="A420" s="47" t="inlineStr">
        <is>
          <t>https://africanmarketingconfederation.org/amc-conference-2023/amc-awards-book-now</t>
        </is>
      </c>
      <c r="B420" s="44" t="inlineStr">
        <is>
          <t>https://africanmarketingconfederation.org/</t>
        </is>
      </c>
      <c r="C420" s="22" t="inlineStr">
        <is>
          <t>Home page of the african marketing confederation</t>
        </is>
      </c>
      <c r="D420" s="22" t="inlineStr"/>
      <c r="E420" s="22" t="inlineStr">
        <is>
          <t>Internal</t>
        </is>
      </c>
      <c r="F420" s="22" t="b">
        <v>0</v>
      </c>
      <c r="G420" s="22" t="n">
        <v>200</v>
      </c>
      <c r="H420" s="22" t="b">
        <v>1</v>
      </c>
      <c r="I420" s="22" t="inlineStr"/>
      <c r="J420" s="24" t="n"/>
    </row>
    <row r="421">
      <c r="A421" s="47" t="inlineStr">
        <is>
          <t>https://africanmarketingconfederation.org/amc-conference-2023/amc-awards-book-now</t>
        </is>
      </c>
      <c r="B421" s="46" t="inlineStr">
        <is>
          <t>https://africanmarketingconfederation.org/amc-conference-2023</t>
        </is>
      </c>
      <c r="C421" s="4" t="inlineStr">
        <is>
          <t>AMC Conference 2023</t>
        </is>
      </c>
      <c r="D421" s="4" t="inlineStr"/>
      <c r="E421" s="4" t="inlineStr">
        <is>
          <t>Internal</t>
        </is>
      </c>
      <c r="F421" s="4" t="b">
        <v>0</v>
      </c>
      <c r="G421" s="4" t="n">
        <v>200</v>
      </c>
      <c r="H421" s="4" t="b">
        <v>1</v>
      </c>
      <c r="I421" s="4" t="inlineStr"/>
    </row>
    <row r="422">
      <c r="A422" s="47" t="inlineStr">
        <is>
          <t>https://africanmarketingconfederation.org/amc-conference-2023/amc-awards-book-now</t>
        </is>
      </c>
      <c r="B422" s="44" t="inlineStr">
        <is>
          <t>https://africanmarketingconfederation.org/amc-conference-2023/programme</t>
        </is>
      </c>
      <c r="C422" s="22" t="inlineStr">
        <is>
          <t>Programme</t>
        </is>
      </c>
      <c r="D422" s="22" t="inlineStr"/>
      <c r="E422" s="22" t="inlineStr">
        <is>
          <t>Internal</t>
        </is>
      </c>
      <c r="F422" s="22" t="b">
        <v>0</v>
      </c>
      <c r="G422" s="22" t="n">
        <v>200</v>
      </c>
      <c r="H422" s="22" t="b">
        <v>1</v>
      </c>
      <c r="I422" s="22" t="inlineStr"/>
      <c r="J422" s="24" t="n"/>
    </row>
    <row r="423">
      <c r="A423" s="47" t="inlineStr">
        <is>
          <t>https://africanmarketingconfederation.org/amc-conference-2023/amc-awards-book-now</t>
        </is>
      </c>
      <c r="B423" s="46" t="inlineStr">
        <is>
          <t>https://africanmarketingconfederation.org/amc-conference-2023/speakers</t>
        </is>
      </c>
      <c r="C423" s="4" t="inlineStr">
        <is>
          <t>Speakers</t>
        </is>
      </c>
      <c r="D423" s="4" t="inlineStr"/>
      <c r="E423" s="4" t="inlineStr">
        <is>
          <t>Internal</t>
        </is>
      </c>
      <c r="F423" s="4" t="b">
        <v>0</v>
      </c>
      <c r="G423" s="4" t="n">
        <v>200</v>
      </c>
      <c r="H423" s="4" t="b">
        <v>1</v>
      </c>
      <c r="I423" s="4" t="inlineStr"/>
    </row>
    <row r="424">
      <c r="A424" s="47" t="inlineStr">
        <is>
          <t>https://africanmarketingconfederation.org/amc-conference-2023/amc-awards-book-now</t>
        </is>
      </c>
      <c r="B424" s="44" t="inlineStr">
        <is>
          <t>https://africanmarketingconfederation.org/amc-conference-2023/amc-awards</t>
        </is>
      </c>
      <c r="C424" s="22" t="inlineStr">
        <is>
          <t>AMC Awards</t>
        </is>
      </c>
      <c r="D424" s="22" t="inlineStr"/>
      <c r="E424" s="22" t="inlineStr">
        <is>
          <t>Internal</t>
        </is>
      </c>
      <c r="F424" s="22" t="b">
        <v>0</v>
      </c>
      <c r="G424" s="22" t="n">
        <v>200</v>
      </c>
      <c r="H424" s="22" t="b">
        <v>1</v>
      </c>
      <c r="I424" s="22" t="inlineStr"/>
      <c r="J424" s="24" t="n"/>
    </row>
    <row r="425">
      <c r="A425" s="47" t="inlineStr">
        <is>
          <t>https://africanmarketingconfederation.org/amc-conference-2023/amc-awards-book-now</t>
        </is>
      </c>
      <c r="B425" s="46" t="inlineStr">
        <is>
          <t>https://africanmarketingconfederation.org/amc-conference-2023/partners</t>
        </is>
      </c>
      <c r="C425" s="4" t="inlineStr">
        <is>
          <t>Partners</t>
        </is>
      </c>
      <c r="D425" s="4" t="inlineStr"/>
      <c r="E425" s="4" t="inlineStr">
        <is>
          <t>Internal</t>
        </is>
      </c>
      <c r="F425" s="4" t="b">
        <v>0</v>
      </c>
      <c r="G425" s="4" t="n">
        <v>200</v>
      </c>
      <c r="H425" s="4" t="b">
        <v>1</v>
      </c>
      <c r="I425" s="4" t="inlineStr"/>
    </row>
    <row r="426">
      <c r="A426" s="47" t="inlineStr">
        <is>
          <t>https://africanmarketingconfederation.org/amc-conference-2023/amc-awards-book-now</t>
        </is>
      </c>
      <c r="B426" s="44" t="inlineStr">
        <is>
          <t>https://africanmarketingconfederation.org/amc-conference-2023/gallery</t>
        </is>
      </c>
      <c r="C426" s="22" t="inlineStr">
        <is>
          <t>Gallery</t>
        </is>
      </c>
      <c r="D426" s="22" t="inlineStr"/>
      <c r="E426" s="22" t="inlineStr">
        <is>
          <t>Internal</t>
        </is>
      </c>
      <c r="F426" s="22" t="b">
        <v>0</v>
      </c>
      <c r="G426" s="22" t="n">
        <v>200</v>
      </c>
      <c r="H426" s="22" t="b">
        <v>1</v>
      </c>
      <c r="I426" s="22" t="inlineStr"/>
      <c r="J426" s="24" t="n"/>
    </row>
    <row r="427">
      <c r="A427" s="47" t="inlineStr">
        <is>
          <t>https://africanmarketingconfederation.org/amc-conference-2023/amc-awards-book-now</t>
        </is>
      </c>
      <c r="B427" s="46" t="inlineStr">
        <is>
          <t>https://africanmarketingconfederation.org/amc-conference-2023</t>
        </is>
      </c>
      <c r="C427" s="4" t="inlineStr">
        <is>
          <t>Enquire Now</t>
        </is>
      </c>
      <c r="D427" s="4" t="inlineStr"/>
      <c r="E427" s="4" t="inlineStr">
        <is>
          <t>Internal</t>
        </is>
      </c>
      <c r="F427" s="4" t="b">
        <v>0</v>
      </c>
      <c r="G427" s="4" t="n">
        <v>200</v>
      </c>
      <c r="H427" s="4" t="b">
        <v>1</v>
      </c>
      <c r="I427" s="4" t="inlineStr"/>
    </row>
    <row r="428">
      <c r="A428" s="47" t="inlineStr">
        <is>
          <t>https://africanmarketingconfederation.org/amc-conference-2023/amc-awards-book-now</t>
        </is>
      </c>
      <c r="B428" s="44" t="inlineStr">
        <is>
          <t>https://africanmarketingconfederation.org/publications-2</t>
        </is>
      </c>
      <c r="C428" s="22" t="inlineStr">
        <is>
          <t>Strategic Marketing for AfricaMagazine</t>
        </is>
      </c>
      <c r="D428" s="22" t="inlineStr"/>
      <c r="E428" s="22" t="inlineStr">
        <is>
          <t>Internal</t>
        </is>
      </c>
      <c r="F428" s="22" t="b">
        <v>0</v>
      </c>
      <c r="G428" s="22" t="n">
        <v>200</v>
      </c>
      <c r="H428" s="22" t="b">
        <v>1</v>
      </c>
      <c r="I428" s="22" t="inlineStr"/>
      <c r="J428" s="24" t="n"/>
    </row>
    <row r="429">
      <c r="A429" s="47" t="inlineStr">
        <is>
          <t>https://africanmarketingconfederation.org/amc-conference-2023/amc-awards-book-now</t>
        </is>
      </c>
      <c r="B429" s="46" t="inlineStr">
        <is>
          <t>https://www.facebook.com/The-African-Marketing-Confederation-108980418182403</t>
        </is>
      </c>
      <c r="C429" s="4" t="inlineStr"/>
      <c r="D429" s="4" t="inlineStr"/>
      <c r="E429" s="4" t="inlineStr">
        <is>
          <t>External</t>
        </is>
      </c>
      <c r="F429" s="4" t="b">
        <v>0</v>
      </c>
      <c r="G429" s="4" t="inlineStr"/>
      <c r="H429" s="4" t="b">
        <v>1</v>
      </c>
      <c r="I429" s="4" t="inlineStr"/>
    </row>
    <row r="430">
      <c r="A430" s="47" t="inlineStr">
        <is>
          <t>https://africanmarketingconfederation.org/amc-conference-2023/amc-awards-book-now</t>
        </is>
      </c>
      <c r="B430" s="44" t="inlineStr">
        <is>
          <t>https://www.linkedin.com/company/african-marketing-confederation</t>
        </is>
      </c>
      <c r="C430" s="22" t="inlineStr"/>
      <c r="D430" s="22" t="inlineStr"/>
      <c r="E430" s="22" t="inlineStr">
        <is>
          <t>External</t>
        </is>
      </c>
      <c r="F430" s="22" t="b">
        <v>0</v>
      </c>
      <c r="G430" s="22" t="inlineStr"/>
      <c r="H430" s="22" t="b">
        <v>1</v>
      </c>
      <c r="I430" s="22" t="inlineStr"/>
      <c r="J430" s="24" t="n"/>
    </row>
    <row r="431">
      <c r="A431" s="47" t="inlineStr">
        <is>
          <t>https://africanmarketingconfederation.org/amc-conference-2023/amc-awards-book-now</t>
        </is>
      </c>
      <c r="B431" s="46" t="inlineStr">
        <is>
          <t>https://africanmarketingconfederation.org/privacy-policy</t>
        </is>
      </c>
      <c r="C431" s="4" t="inlineStr">
        <is>
          <t>© 2026 by African Marketing Confederation | Privacy Policy</t>
        </is>
      </c>
      <c r="D431" s="4" t="inlineStr"/>
      <c r="E431" s="4" t="inlineStr">
        <is>
          <t>Internal</t>
        </is>
      </c>
      <c r="F431" s="4" t="b">
        <v>0</v>
      </c>
      <c r="G431" s="4" t="n">
        <v>200</v>
      </c>
      <c r="H431" s="4" t="b">
        <v>1</v>
      </c>
      <c r="I431" s="4" t="inlineStr"/>
    </row>
    <row r="432">
      <c r="A432" s="47" t="inlineStr">
        <is>
          <t>https://africanmarketingconfederation.org/amc-conference-2023/amc-awards-book-now</t>
        </is>
      </c>
      <c r="B432" s="44" t="inlineStr">
        <is>
          <t>https://africanmarketingconfederation.org/amc-conference-2025-delegate-packages</t>
        </is>
      </c>
      <c r="C432" s="22" t="inlineStr">
        <is>
          <t>Return to Shop</t>
        </is>
      </c>
      <c r="D432" s="22" t="inlineStr"/>
      <c r="E432" s="22" t="inlineStr">
        <is>
          <t>Internal</t>
        </is>
      </c>
      <c r="F432" s="22" t="b">
        <v>0</v>
      </c>
      <c r="G432" s="22" t="n">
        <v>404</v>
      </c>
      <c r="H432" s="22" t="b">
        <v>0</v>
      </c>
      <c r="I432" s="22" t="inlineStr"/>
      <c r="J432" s="24" t="n"/>
    </row>
    <row r="433">
      <c r="A433" s="47" t="inlineStr">
        <is>
          <t>https://africanmarketingconfederation.org/amc-conference-2023/amc-awards-book-now</t>
        </is>
      </c>
      <c r="B433" s="46" t="inlineStr">
        <is>
          <t>https://africanmarketingconfederation.org/amc-conference-2025-delegate-packages</t>
        </is>
      </c>
      <c r="C433" s="4" t="inlineStr">
        <is>
          <t>Continue Shopping</t>
        </is>
      </c>
      <c r="D433" s="4" t="inlineStr"/>
      <c r="E433" s="4" t="inlineStr">
        <is>
          <t>Internal</t>
        </is>
      </c>
      <c r="F433" s="4" t="b">
        <v>0</v>
      </c>
      <c r="G433" s="4" t="n">
        <v>404</v>
      </c>
      <c r="H433" s="4" t="b">
        <v>0</v>
      </c>
      <c r="I433" s="4" t="inlineStr"/>
    </row>
    <row r="434">
      <c r="A434" s="47" t="inlineStr">
        <is>
          <t>https://africanmarketingconfederation.org/amc-conference-2023/amc-awards</t>
        </is>
      </c>
      <c r="B434" s="44" t="inlineStr">
        <is>
          <t>https://africanmarketingconfederation.org/</t>
        </is>
      </c>
      <c r="C434" s="22" t="inlineStr">
        <is>
          <t>Home page of the african marketing confederation</t>
        </is>
      </c>
      <c r="D434" s="22" t="inlineStr"/>
      <c r="E434" s="22" t="inlineStr">
        <is>
          <t>Internal</t>
        </is>
      </c>
      <c r="F434" s="22" t="b">
        <v>0</v>
      </c>
      <c r="G434" s="22" t="n">
        <v>200</v>
      </c>
      <c r="H434" s="22" t="b">
        <v>1</v>
      </c>
      <c r="I434" s="22" t="inlineStr"/>
      <c r="J434" s="24" t="n"/>
    </row>
    <row r="435">
      <c r="A435" s="47" t="inlineStr">
        <is>
          <t>https://africanmarketingconfederation.org/amc-conference-2023/amc-awards</t>
        </is>
      </c>
      <c r="B435" s="46" t="inlineStr">
        <is>
          <t>https://africanmarketingconfederation.org/amc-conference-2023</t>
        </is>
      </c>
      <c r="C435" s="4" t="inlineStr">
        <is>
          <t>AMC Conference 2023</t>
        </is>
      </c>
      <c r="D435" s="4" t="inlineStr"/>
      <c r="E435" s="4" t="inlineStr">
        <is>
          <t>Internal</t>
        </is>
      </c>
      <c r="F435" s="4" t="b">
        <v>0</v>
      </c>
      <c r="G435" s="4" t="n">
        <v>200</v>
      </c>
      <c r="H435" s="4" t="b">
        <v>1</v>
      </c>
      <c r="I435" s="4" t="inlineStr"/>
    </row>
    <row r="436">
      <c r="A436" s="47" t="inlineStr">
        <is>
          <t>https://africanmarketingconfederation.org/amc-conference-2023/amc-awards</t>
        </is>
      </c>
      <c r="B436" s="44" t="inlineStr">
        <is>
          <t>https://africanmarketingconfederation.org/amc-conference-2023/programme</t>
        </is>
      </c>
      <c r="C436" s="22" t="inlineStr">
        <is>
          <t>Programme</t>
        </is>
      </c>
      <c r="D436" s="22" t="inlineStr"/>
      <c r="E436" s="22" t="inlineStr">
        <is>
          <t>Internal</t>
        </is>
      </c>
      <c r="F436" s="22" t="b">
        <v>0</v>
      </c>
      <c r="G436" s="22" t="n">
        <v>200</v>
      </c>
      <c r="H436" s="22" t="b">
        <v>1</v>
      </c>
      <c r="I436" s="22" t="inlineStr"/>
      <c r="J436" s="24" t="n"/>
    </row>
    <row r="437">
      <c r="A437" s="47" t="inlineStr">
        <is>
          <t>https://africanmarketingconfederation.org/amc-conference-2023/amc-awards</t>
        </is>
      </c>
      <c r="B437" s="46" t="inlineStr">
        <is>
          <t>https://africanmarketingconfederation.org/amc-conference-2023/speakers</t>
        </is>
      </c>
      <c r="C437" s="4" t="inlineStr">
        <is>
          <t>Speakers</t>
        </is>
      </c>
      <c r="D437" s="4" t="inlineStr"/>
      <c r="E437" s="4" t="inlineStr">
        <is>
          <t>Internal</t>
        </is>
      </c>
      <c r="F437" s="4" t="b">
        <v>0</v>
      </c>
      <c r="G437" s="4" t="n">
        <v>200</v>
      </c>
      <c r="H437" s="4" t="b">
        <v>1</v>
      </c>
      <c r="I437" s="4" t="inlineStr"/>
    </row>
    <row r="438">
      <c r="A438" s="47" t="inlineStr">
        <is>
          <t>https://africanmarketingconfederation.org/amc-conference-2023/amc-awards</t>
        </is>
      </c>
      <c r="B438" s="44" t="inlineStr">
        <is>
          <t>https://africanmarketingconfederation.org/amc-conference-2023/amc-awards</t>
        </is>
      </c>
      <c r="C438" s="22" t="inlineStr">
        <is>
          <t>AMC Awards</t>
        </is>
      </c>
      <c r="D438" s="22" t="inlineStr"/>
      <c r="E438" s="22" t="inlineStr">
        <is>
          <t>Internal</t>
        </is>
      </c>
      <c r="F438" s="22" t="b">
        <v>0</v>
      </c>
      <c r="G438" s="22" t="n">
        <v>200</v>
      </c>
      <c r="H438" s="22" t="b">
        <v>1</v>
      </c>
      <c r="I438" s="22" t="inlineStr"/>
      <c r="J438" s="24" t="n"/>
    </row>
    <row r="439">
      <c r="A439" s="47" t="inlineStr">
        <is>
          <t>https://africanmarketingconfederation.org/amc-conference-2023/amc-awards</t>
        </is>
      </c>
      <c r="B439" s="46" t="inlineStr">
        <is>
          <t>https://africanmarketingconfederation.org/amc-conference-2023/partners</t>
        </is>
      </c>
      <c r="C439" s="4" t="inlineStr">
        <is>
          <t>Partners</t>
        </is>
      </c>
      <c r="D439" s="4" t="inlineStr"/>
      <c r="E439" s="4" t="inlineStr">
        <is>
          <t>Internal</t>
        </is>
      </c>
      <c r="F439" s="4" t="b">
        <v>0</v>
      </c>
      <c r="G439" s="4" t="n">
        <v>200</v>
      </c>
      <c r="H439" s="4" t="b">
        <v>1</v>
      </c>
      <c r="I439" s="4" t="inlineStr"/>
    </row>
    <row r="440">
      <c r="A440" s="47" t="inlineStr">
        <is>
          <t>https://africanmarketingconfederation.org/amc-conference-2023/amc-awards</t>
        </is>
      </c>
      <c r="B440" s="44" t="inlineStr">
        <is>
          <t>https://africanmarketingconfederation.org/amc-conference-2023/gallery</t>
        </is>
      </c>
      <c r="C440" s="22" t="inlineStr">
        <is>
          <t>Gallery</t>
        </is>
      </c>
      <c r="D440" s="22" t="inlineStr"/>
      <c r="E440" s="22" t="inlineStr">
        <is>
          <t>Internal</t>
        </is>
      </c>
      <c r="F440" s="22" t="b">
        <v>0</v>
      </c>
      <c r="G440" s="22" t="n">
        <v>200</v>
      </c>
      <c r="H440" s="22" t="b">
        <v>1</v>
      </c>
      <c r="I440" s="22" t="inlineStr"/>
      <c r="J440" s="24" t="n"/>
    </row>
    <row r="441">
      <c r="A441" s="47" t="inlineStr">
        <is>
          <t>https://africanmarketingconfederation.org/amc-conference-2023/amc-awards</t>
        </is>
      </c>
      <c r="B441" s="46" t="inlineStr">
        <is>
          <t>https://africanmarketingconfederation.org/</t>
        </is>
      </c>
      <c r="C441" s="4" t="inlineStr">
        <is>
          <t>Home page of the african marketing confederation</t>
        </is>
      </c>
      <c r="D441" s="4" t="inlineStr"/>
      <c r="E441" s="4" t="inlineStr">
        <is>
          <t>Internal</t>
        </is>
      </c>
      <c r="F441" s="4" t="b">
        <v>0</v>
      </c>
      <c r="G441" s="4" t="n">
        <v>200</v>
      </c>
      <c r="H441" s="4" t="b">
        <v>1</v>
      </c>
      <c r="I441" s="4" t="inlineStr"/>
    </row>
    <row r="442">
      <c r="A442" s="47" t="inlineStr">
        <is>
          <t>https://africanmarketingconfederation.org/amc-conference-2023/amc-awards</t>
        </is>
      </c>
      <c r="B442" s="44" t="inlineStr">
        <is>
          <t>https://africanmarketingconfederation.org/amc-conference-2023</t>
        </is>
      </c>
      <c r="C442" s="22" t="inlineStr">
        <is>
          <t>AMC Conference 2023</t>
        </is>
      </c>
      <c r="D442" s="22" t="inlineStr"/>
      <c r="E442" s="22" t="inlineStr">
        <is>
          <t>Internal</t>
        </is>
      </c>
      <c r="F442" s="22" t="b">
        <v>0</v>
      </c>
      <c r="G442" s="22" t="n">
        <v>200</v>
      </c>
      <c r="H442" s="22" t="b">
        <v>1</v>
      </c>
      <c r="I442" s="22" t="inlineStr"/>
      <c r="J442" s="24" t="n"/>
    </row>
    <row r="443">
      <c r="A443" s="47" t="inlineStr">
        <is>
          <t>https://africanmarketingconfederation.org/amc-conference-2023/amc-awards</t>
        </is>
      </c>
      <c r="B443" s="46" t="inlineStr">
        <is>
          <t>https://africanmarketingconfederation.org/amc-conference-2023/programme</t>
        </is>
      </c>
      <c r="C443" s="4" t="inlineStr">
        <is>
          <t>Programme</t>
        </is>
      </c>
      <c r="D443" s="4" t="inlineStr"/>
      <c r="E443" s="4" t="inlineStr">
        <is>
          <t>Internal</t>
        </is>
      </c>
      <c r="F443" s="4" t="b">
        <v>0</v>
      </c>
      <c r="G443" s="4" t="n">
        <v>200</v>
      </c>
      <c r="H443" s="4" t="b">
        <v>1</v>
      </c>
      <c r="I443" s="4" t="inlineStr"/>
    </row>
    <row r="444">
      <c r="A444" s="47" t="inlineStr">
        <is>
          <t>https://africanmarketingconfederation.org/amc-conference-2023/amc-awards</t>
        </is>
      </c>
      <c r="B444" s="44" t="inlineStr">
        <is>
          <t>https://africanmarketingconfederation.org/amc-conference-2023/speakers</t>
        </is>
      </c>
      <c r="C444" s="22" t="inlineStr">
        <is>
          <t>Speakers</t>
        </is>
      </c>
      <c r="D444" s="22" t="inlineStr"/>
      <c r="E444" s="22" t="inlineStr">
        <is>
          <t>Internal</t>
        </is>
      </c>
      <c r="F444" s="22" t="b">
        <v>0</v>
      </c>
      <c r="G444" s="22" t="n">
        <v>200</v>
      </c>
      <c r="H444" s="22" t="b">
        <v>1</v>
      </c>
      <c r="I444" s="22" t="inlineStr"/>
      <c r="J444" s="24" t="n"/>
    </row>
    <row r="445">
      <c r="A445" s="47" t="inlineStr">
        <is>
          <t>https://africanmarketingconfederation.org/amc-conference-2023/amc-awards</t>
        </is>
      </c>
      <c r="B445" s="46" t="inlineStr">
        <is>
          <t>https://africanmarketingconfederation.org/amc-conference-2023/amc-awards</t>
        </is>
      </c>
      <c r="C445" s="4" t="inlineStr">
        <is>
          <t>AMC Awards</t>
        </is>
      </c>
      <c r="D445" s="4" t="inlineStr"/>
      <c r="E445" s="4" t="inlineStr">
        <is>
          <t>Internal</t>
        </is>
      </c>
      <c r="F445" s="4" t="b">
        <v>0</v>
      </c>
      <c r="G445" s="4" t="n">
        <v>200</v>
      </c>
      <c r="H445" s="4" t="b">
        <v>1</v>
      </c>
      <c r="I445" s="4" t="inlineStr"/>
    </row>
    <row r="446">
      <c r="A446" s="47" t="inlineStr">
        <is>
          <t>https://africanmarketingconfederation.org/amc-conference-2023/amc-awards</t>
        </is>
      </c>
      <c r="B446" s="44" t="inlineStr">
        <is>
          <t>https://africanmarketingconfederation.org/amc-conference-2023/partners</t>
        </is>
      </c>
      <c r="C446" s="22" t="inlineStr">
        <is>
          <t>Partners</t>
        </is>
      </c>
      <c r="D446" s="22" t="inlineStr"/>
      <c r="E446" s="22" t="inlineStr">
        <is>
          <t>Internal</t>
        </is>
      </c>
      <c r="F446" s="22" t="b">
        <v>0</v>
      </c>
      <c r="G446" s="22" t="n">
        <v>200</v>
      </c>
      <c r="H446" s="22" t="b">
        <v>1</v>
      </c>
      <c r="I446" s="22" t="inlineStr"/>
      <c r="J446" s="24" t="n"/>
    </row>
    <row r="447">
      <c r="A447" s="47" t="inlineStr">
        <is>
          <t>https://africanmarketingconfederation.org/amc-conference-2023/amc-awards</t>
        </is>
      </c>
      <c r="B447" s="46" t="inlineStr">
        <is>
          <t>https://africanmarketingconfederation.org/amc-conference-2023/gallery</t>
        </is>
      </c>
      <c r="C447" s="4" t="inlineStr">
        <is>
          <t>Gallery</t>
        </is>
      </c>
      <c r="D447" s="4" t="inlineStr"/>
      <c r="E447" s="4" t="inlineStr">
        <is>
          <t>Internal</t>
        </is>
      </c>
      <c r="F447" s="4" t="b">
        <v>0</v>
      </c>
      <c r="G447" s="4" t="n">
        <v>200</v>
      </c>
      <c r="H447" s="4" t="b">
        <v>1</v>
      </c>
      <c r="I447" s="4" t="inlineStr"/>
    </row>
    <row r="448">
      <c r="A448" s="47" t="inlineStr">
        <is>
          <t>https://africanmarketingconfederation.org/amc-conference-2023/amc-awards</t>
        </is>
      </c>
      <c r="B448" s="44" t="inlineStr">
        <is>
          <t>https://africanmarketingconfederation.org/amc-conference-2023</t>
        </is>
      </c>
      <c r="C448" s="22" t="inlineStr">
        <is>
          <t>Enquire Now</t>
        </is>
      </c>
      <c r="D448" s="22" t="inlineStr"/>
      <c r="E448" s="22" t="inlineStr">
        <is>
          <t>Internal</t>
        </is>
      </c>
      <c r="F448" s="22" t="b">
        <v>0</v>
      </c>
      <c r="G448" s="22" t="n">
        <v>200</v>
      </c>
      <c r="H448" s="22" t="b">
        <v>1</v>
      </c>
      <c r="I448" s="22" t="inlineStr"/>
      <c r="J448" s="24" t="n"/>
    </row>
    <row r="449">
      <c r="A449" s="47" t="inlineStr">
        <is>
          <t>https://africanmarketingconfederation.org/amc-conference-2023/amc-awards</t>
        </is>
      </c>
      <c r="B449" s="46" t="inlineStr">
        <is>
          <t>https://africanmarketingconfederation.org/publications-2</t>
        </is>
      </c>
      <c r="C449" s="4" t="inlineStr">
        <is>
          <t>Strategic Marketing for AfricaMagazine</t>
        </is>
      </c>
      <c r="D449" s="4" t="inlineStr"/>
      <c r="E449" s="4" t="inlineStr">
        <is>
          <t>Internal</t>
        </is>
      </c>
      <c r="F449" s="4" t="b">
        <v>0</v>
      </c>
      <c r="G449" s="4" t="n">
        <v>200</v>
      </c>
      <c r="H449" s="4" t="b">
        <v>1</v>
      </c>
      <c r="I449" s="4" t="inlineStr"/>
    </row>
    <row r="450">
      <c r="A450" s="47" t="inlineStr">
        <is>
          <t>https://africanmarketingconfederation.org/amc-conference-2023/amc-awards</t>
        </is>
      </c>
      <c r="B450" s="44" t="inlineStr">
        <is>
          <t>https://www.facebook.com/The-African-Marketing-Confederation-108980418182403</t>
        </is>
      </c>
      <c r="C450" s="22" t="inlineStr"/>
      <c r="D450" s="22" t="inlineStr"/>
      <c r="E450" s="22" t="inlineStr">
        <is>
          <t>External</t>
        </is>
      </c>
      <c r="F450" s="22" t="b">
        <v>0</v>
      </c>
      <c r="G450" s="22" t="inlineStr"/>
      <c r="H450" s="22" t="b">
        <v>1</v>
      </c>
      <c r="I450" s="22" t="inlineStr"/>
      <c r="J450" s="24" t="n"/>
    </row>
    <row r="451">
      <c r="A451" s="47" t="inlineStr">
        <is>
          <t>https://africanmarketingconfederation.org/amc-conference-2023/amc-awards</t>
        </is>
      </c>
      <c r="B451" s="46" t="inlineStr">
        <is>
          <t>https://www.linkedin.com/company/african-marketing-confederation</t>
        </is>
      </c>
      <c r="C451" s="4" t="inlineStr"/>
      <c r="D451" s="4" t="inlineStr"/>
      <c r="E451" s="4" t="inlineStr">
        <is>
          <t>External</t>
        </is>
      </c>
      <c r="F451" s="4" t="b">
        <v>0</v>
      </c>
      <c r="G451" s="4" t="inlineStr"/>
      <c r="H451" s="4" t="b">
        <v>1</v>
      </c>
      <c r="I451" s="4" t="inlineStr"/>
    </row>
    <row r="452">
      <c r="A452" s="47" t="inlineStr">
        <is>
          <t>https://africanmarketingconfederation.org/amc-conference-2023/amc-awards</t>
        </is>
      </c>
      <c r="B452" s="44" t="inlineStr">
        <is>
          <t>https://africanmarketingconfederation.org/privacy-policy</t>
        </is>
      </c>
      <c r="C452" s="22" t="inlineStr">
        <is>
          <t>© 2026 by African Marketing Confederation | Privacy Policy</t>
        </is>
      </c>
      <c r="D452" s="22" t="inlineStr"/>
      <c r="E452" s="22" t="inlineStr">
        <is>
          <t>Internal</t>
        </is>
      </c>
      <c r="F452" s="22" t="b">
        <v>0</v>
      </c>
      <c r="G452" s="22" t="n">
        <v>200</v>
      </c>
      <c r="H452" s="22" t="b">
        <v>1</v>
      </c>
      <c r="I452" s="22" t="inlineStr"/>
      <c r="J452" s="24" t="n"/>
    </row>
    <row r="453">
      <c r="A453" s="47" t="inlineStr">
        <is>
          <t>https://africanmarketingconfederation.org/amc-conference-2023/amc-awards</t>
        </is>
      </c>
      <c r="B453" s="46" t="inlineStr">
        <is>
          <t>https://africanmarketingconfederation.org/amc-conference-2025-delegate-packages</t>
        </is>
      </c>
      <c r="C453" s="4" t="inlineStr">
        <is>
          <t>Return to Shop</t>
        </is>
      </c>
      <c r="D453" s="4" t="inlineStr"/>
      <c r="E453" s="4" t="inlineStr">
        <is>
          <t>Internal</t>
        </is>
      </c>
      <c r="F453" s="4" t="b">
        <v>0</v>
      </c>
      <c r="G453" s="4" t="n">
        <v>404</v>
      </c>
      <c r="H453" s="4" t="b">
        <v>0</v>
      </c>
      <c r="I453" s="4" t="inlineStr"/>
    </row>
    <row r="454">
      <c r="A454" s="47" t="inlineStr">
        <is>
          <t>https://africanmarketingconfederation.org/amc-conference-2023/amc-awards</t>
        </is>
      </c>
      <c r="B454" s="44" t="inlineStr">
        <is>
          <t>https://africanmarketingconfederation.org/amc-conference-2025-delegate-packages</t>
        </is>
      </c>
      <c r="C454" s="22" t="inlineStr">
        <is>
          <t>Continue Shopping</t>
        </is>
      </c>
      <c r="D454" s="22" t="inlineStr"/>
      <c r="E454" s="22" t="inlineStr">
        <is>
          <t>Internal</t>
        </is>
      </c>
      <c r="F454" s="22" t="b">
        <v>0</v>
      </c>
      <c r="G454" s="22" t="n">
        <v>404</v>
      </c>
      <c r="H454" s="22" t="b">
        <v>0</v>
      </c>
      <c r="I454" s="22" t="inlineStr"/>
      <c r="J454" s="24" t="n"/>
    </row>
  </sheetData>
  <autoFilter ref="A1:J454"/>
  <conditionalFormatting sqref="G2:G454">
    <cfRule type="cellIs" priority="1" operator="equal" dxfId="3">
      <formula>200</formula>
    </cfRule>
    <cfRule type="cellIs" priority="2" operator="between" dxfId="6">
      <formula>300</formula>
      <formula>399</formula>
    </cfRule>
    <cfRule type="cellIs" priority="3" operator="greaterThanOrEqual" dxfId="2">
      <formula>400</formula>
    </cfRule>
  </conditionalFormatting>
  <dataValidations count="9">
    <dataValidation sqref="A1" showDropDown="0" showInputMessage="1" showErrorMessage="0" allowBlank="1" promptTitle="Source URL" prompt="Source URL. Use this URL to inspect the page directly or jump to related tabs." type="custom">
      <formula1>TRUE</formula1>
    </dataValidation>
    <dataValidation sqref="B1" showDropDown="0" showInputMessage="1" showErrorMessage="0" allowBlank="1" promptTitle="Target URL" prompt="Target URL. Use this URL to inspect the page directly or jump to related tabs." type="custom">
      <formula1>TRUE</formula1>
    </dataValidation>
    <dataValidation sqref="C1" showDropDown="0" showInputMessage="1" showErrorMessage="0" allowBlank="1" promptTitle="Anchor Text" prompt="Link quality and crawl-path metric. Fix: repair broken links and improve internal linking relevance." type="custom">
      <formula1>TRUE</formula1>
    </dataValidation>
    <dataValidation sqref="D1" showDropDown="0" showInputMessage="1" showErrorMessage="0" allowBlank="1" promptTitle="Rel" prompt="Rel. Review this metric to identify risk, then use linked tabs for details and remediation." type="custom">
      <formula1>TRUE</formula1>
    </dataValidation>
    <dataValidation sqref="E1" showDropDown="0" showInputMessage="1" showErrorMessage="0" allowBlank="1" promptTitle="Link Type" prompt="Link quality and crawl-path metric. Fix: repair broken links and improve internal linking relevance." type="custom">
      <formula1>TRUE</formula1>
    </dataValidation>
    <dataValidation sqref="F1" showDropDown="0" showInputMessage="1" showErrorMessage="0" allowBlank="1" promptTitle="Nofollow" prompt="Nofollow. Review this metric to identify risk, then use linked tabs for details and remediation." type="custom">
      <formula1>TRUE</formula1>
    </dataValidation>
    <dataValidation sqref="G1" showDropDown="0" showInputMessage="1" showErrorMessage="0" allowBlank="1" promptTitle="Target Status (if crawled)" prompt="Target Status (if crawled). Review this metric to identify risk, then use linked tabs for details and remediation." type="custom">
      <formula1>TRUE</formula1>
    </dataValidation>
    <dataValidation sqref="H1" showDropDown="0" showInputMessage="1" showErrorMessage="0" allowBlank="1" promptTitle="Crawlable" prompt="Crawlable. Review this metric to identify risk, then use linked tabs for details and remediation."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60" customWidth="1" min="3" max="3"/>
    <col width="20" customWidth="1" min="4" max="4"/>
    <col width="24" customWidth="1" min="5" max="5"/>
    <col width="39" customWidth="1" min="6" max="6"/>
    <col width="26" customWidth="1" min="7" max="7"/>
    <col width="31" customWidth="1" min="8" max="8"/>
    <col width="31" customWidth="1" min="9" max="9"/>
    <col width="24" customWidth="1" min="10" max="10"/>
    <col width="14" customWidth="1" min="11" max="11"/>
    <col width="19" customWidth="1" min="12" max="12"/>
  </cols>
  <sheetData>
    <row r="1">
      <c r="A1" s="21" t="inlineStr">
        <is>
          <t>URL</t>
        </is>
      </c>
      <c r="B1" s="21" t="inlineStr">
        <is>
          <t>Image Count</t>
        </is>
      </c>
      <c r="C1" s="21" t="inlineStr">
        <is>
          <t>Images</t>
        </is>
      </c>
      <c r="D1" s="21" t="inlineStr">
        <is>
          <t>Images Missing Alt</t>
        </is>
      </c>
      <c r="E1" s="21" t="inlineStr">
        <is>
          <t>Image Alt Coverage (%)</t>
        </is>
      </c>
      <c r="F1" s="21" t="inlineStr">
        <is>
          <t>Image Extension Distribution</t>
        </is>
      </c>
      <c r="G1" s="21" t="inlineStr">
        <is>
          <t>Likely Large Image Count</t>
        </is>
      </c>
      <c r="H1" s="21" t="inlineStr">
        <is>
          <t>Image Filename Quality Issues</t>
        </is>
      </c>
      <c r="I1" s="21" t="inlineStr">
        <is>
          <t>Image On Canonical Domain (%)</t>
        </is>
      </c>
      <c r="J1" s="21" t="inlineStr">
        <is>
          <t>Mixed Content Detected</t>
        </is>
      </c>
      <c r="K1" s="21" t="inlineStr">
        <is>
          <t>Open in Main</t>
        </is>
      </c>
      <c r="L1" s="21" t="inlineStr">
        <is>
          <t>BACK TO DASHBOARD</t>
        </is>
      </c>
      <c r="M1" s="23" t="inlineStr">
        <is>
          <t>BACK TO DASHBOARD_1</t>
        </is>
      </c>
    </row>
    <row r="2" ht="30" customHeight="1">
      <c r="A2" s="40" t="inlineStr">
        <is>
          <t>https://africanmarketingconfederation.org/about-us</t>
        </is>
      </c>
      <c r="B2" s="22" t="n">
        <v>44</v>
      </c>
      <c r="C2" s="44" t="inlineStr">
        <is>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2" s="22" t="n">
        <v>12</v>
      </c>
      <c r="E2" s="53" t="n">
        <v>72.73</v>
      </c>
      <c r="F2" s="22" t="inlineStr">
        <is>
          <t>other:2, png:19, svg:3</t>
        </is>
      </c>
      <c r="G2" s="22" t="n">
        <v>0</v>
      </c>
      <c r="H2" s="3" t="n">
        <v>0</v>
      </c>
      <c r="I2" s="54" t="inlineStr"/>
      <c r="J2" s="3" t="b">
        <v>0</v>
      </c>
      <c r="K2" s="22" t="inlineStr">
        <is>
          <t>Open</t>
        </is>
      </c>
      <c r="L2" s="22" t="inlineStr"/>
      <c r="M2" s="24" t="n"/>
    </row>
    <row r="3">
      <c r="A3" s="42" t="inlineStr">
        <is>
          <t>https://africanmarketingconfederation.org/</t>
        </is>
      </c>
      <c r="B3" s="4" t="n">
        <v>62</v>
      </c>
      <c r="C3" s="46" t="inlineStr">
        <is>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3" s="4" t="n">
        <v>13</v>
      </c>
      <c r="E3" s="53" t="n">
        <v>79.03</v>
      </c>
      <c r="F3" s="4" t="inlineStr">
        <is>
          <t>jpg:4, other:2, png:26, svg:3, webp:1</t>
        </is>
      </c>
      <c r="G3" s="4" t="n">
        <v>0</v>
      </c>
      <c r="H3" s="3" t="n">
        <v>0</v>
      </c>
      <c r="I3" s="55" t="inlineStr"/>
      <c r="J3" s="3" t="b">
        <v>0</v>
      </c>
      <c r="K3" s="4" t="inlineStr">
        <is>
          <t>Open</t>
        </is>
      </c>
      <c r="L3" s="4" t="inlineStr"/>
    </row>
    <row r="4" ht="30" customHeight="1">
      <c r="A4" s="40" t="inlineStr">
        <is>
          <t>https://africanmarketingconfederation.org/african-marketing-confederation-tourism-chapter</t>
        </is>
      </c>
      <c r="B4" s="22" t="n">
        <v>48</v>
      </c>
      <c r="C4" s="44"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4" s="22" t="n">
        <v>9</v>
      </c>
      <c r="E4" s="56" t="n">
        <v>81.25</v>
      </c>
      <c r="F4" s="22" t="inlineStr">
        <is>
          <t>jpg:1, other:2, png:20, svg:3</t>
        </is>
      </c>
      <c r="G4" s="22" t="n">
        <v>0</v>
      </c>
      <c r="H4" s="3" t="n">
        <v>0</v>
      </c>
      <c r="I4" s="54" t="inlineStr"/>
      <c r="J4" s="3" t="b">
        <v>0</v>
      </c>
      <c r="K4" s="22" t="inlineStr">
        <is>
          <t>Open</t>
        </is>
      </c>
      <c r="L4" s="22" t="inlineStr"/>
      <c r="M4" s="24" t="n"/>
    </row>
    <row r="5" ht="30" customHeight="1">
      <c r="A5" s="42" t="inlineStr">
        <is>
          <t>https://africanmarketingconfederation.org/amc-awards-2024</t>
        </is>
      </c>
      <c r="B5" s="4" t="n">
        <v>93</v>
      </c>
      <c r="C5" s="46"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5" s="4" t="n">
        <v>25</v>
      </c>
      <c r="E5" s="53" t="n">
        <v>73.12</v>
      </c>
      <c r="F5" s="4" t="inlineStr">
        <is>
          <t>jpg:11, other:2, png:27, svg:4</t>
        </is>
      </c>
      <c r="G5" s="4" t="n">
        <v>0</v>
      </c>
      <c r="H5" s="3" t="n">
        <v>0</v>
      </c>
      <c r="I5" s="55" t="inlineStr"/>
      <c r="J5" s="3" t="b">
        <v>0</v>
      </c>
      <c r="K5" s="4" t="inlineStr">
        <is>
          <t>Open</t>
        </is>
      </c>
      <c r="L5" s="4" t="inlineStr"/>
    </row>
    <row r="6" ht="30" customHeight="1">
      <c r="A6" s="40" t="inlineStr">
        <is>
          <t>https://africanmarketingconfederation.org/amc-conference-2022-prospectus</t>
        </is>
      </c>
      <c r="B6" s="22" t="n">
        <v>23</v>
      </c>
      <c r="C6" s="44" t="inlineStr">
        <is>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6" s="22" t="n">
        <v>8</v>
      </c>
      <c r="E6" s="53" t="n">
        <v>65.22</v>
      </c>
      <c r="F6" s="22" t="inlineStr">
        <is>
          <t>other:2, png:4, svg:3</t>
        </is>
      </c>
      <c r="G6" s="22" t="n">
        <v>0</v>
      </c>
      <c r="H6" s="3" t="n">
        <v>0</v>
      </c>
      <c r="I6" s="54" t="inlineStr"/>
      <c r="J6" s="3" t="b">
        <v>0</v>
      </c>
      <c r="K6" s="22" t="inlineStr">
        <is>
          <t>Open</t>
        </is>
      </c>
      <c r="L6" s="22" t="inlineStr"/>
      <c r="M6" s="24" t="n"/>
    </row>
    <row r="7" ht="30" customHeight="1">
      <c r="A7" s="42" t="inlineStr">
        <is>
          <t>https://africanmarketingconfederation.org/amc-conference-2022-thank-you</t>
        </is>
      </c>
      <c r="B7" s="4" t="n">
        <v>30</v>
      </c>
      <c r="C7" s="46" t="inlineStr">
        <is>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7" s="4" t="n">
        <v>15</v>
      </c>
      <c r="E7" s="53" t="n">
        <v>50</v>
      </c>
      <c r="F7" s="4" t="inlineStr">
        <is>
          <t>other:2, png:11, svg:3</t>
        </is>
      </c>
      <c r="G7" s="4" t="n">
        <v>0</v>
      </c>
      <c r="H7" s="3" t="n">
        <v>0</v>
      </c>
      <c r="I7" s="55" t="inlineStr"/>
      <c r="J7" s="3" t="b">
        <v>0</v>
      </c>
      <c r="K7" s="4" t="inlineStr">
        <is>
          <t>Open</t>
        </is>
      </c>
      <c r="L7" s="4" t="inlineStr"/>
    </row>
    <row r="8" ht="30" customHeight="1">
      <c r="A8" s="40" t="inlineStr">
        <is>
          <t>https://africanmarketingconfederation.org/amc-conference-2022</t>
        </is>
      </c>
      <c r="B8" s="22" t="n">
        <v>28</v>
      </c>
      <c r="C8" s="44"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8" s="22" t="n">
        <v>13</v>
      </c>
      <c r="E8" s="53" t="n">
        <v>53.57</v>
      </c>
      <c r="F8" s="22" t="inlineStr">
        <is>
          <t>jpg:6, other:2, png:3, svg:3</t>
        </is>
      </c>
      <c r="G8" s="22" t="n">
        <v>0</v>
      </c>
      <c r="H8" s="3" t="n">
        <v>0</v>
      </c>
      <c r="I8" s="54" t="inlineStr"/>
      <c r="J8" s="3" t="b">
        <v>0</v>
      </c>
      <c r="K8" s="22" t="inlineStr">
        <is>
          <t>Open</t>
        </is>
      </c>
      <c r="L8" s="22" t="inlineStr"/>
      <c r="M8" s="24" t="n"/>
    </row>
    <row r="9" ht="30" customHeight="1">
      <c r="A9" s="42" t="inlineStr">
        <is>
          <t>https://africanmarketingconfederation.org/amc-conference-2023</t>
        </is>
      </c>
      <c r="B9" s="4" t="n">
        <v>56</v>
      </c>
      <c r="C9" s="46"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9" s="4" t="n">
        <v>37</v>
      </c>
      <c r="E9" s="53" t="n">
        <v>33.93</v>
      </c>
      <c r="F9" s="4" t="inlineStr">
        <is>
          <t>gif:1, jpg:23, other:2, png:12, svg:4</t>
        </is>
      </c>
      <c r="G9" s="4" t="n">
        <v>0</v>
      </c>
      <c r="H9" s="3" t="n">
        <v>0</v>
      </c>
      <c r="I9" s="55" t="inlineStr"/>
      <c r="J9" s="3" t="b">
        <v>0</v>
      </c>
      <c r="K9" s="4" t="inlineStr">
        <is>
          <t>Open</t>
        </is>
      </c>
      <c r="L9" s="4" t="inlineStr"/>
    </row>
    <row r="10" ht="30" customHeight="1">
      <c r="A10" s="40" t="inlineStr">
        <is>
          <t>https://africanmarketingconfederation.org/amc-conference-2023/amc-awards-book-now</t>
        </is>
      </c>
      <c r="B10" s="22" t="n">
        <v>20</v>
      </c>
      <c r="C10" s="44"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10" s="22" t="n">
        <v>5</v>
      </c>
      <c r="E10" s="53" t="n">
        <v>75</v>
      </c>
      <c r="F10" s="22" t="inlineStr">
        <is>
          <t>other:2, png:1, svg:3</t>
        </is>
      </c>
      <c r="G10" s="22" t="n">
        <v>0</v>
      </c>
      <c r="H10" s="3" t="n">
        <v>0</v>
      </c>
      <c r="I10" s="54" t="inlineStr"/>
      <c r="J10" s="3" t="b">
        <v>0</v>
      </c>
      <c r="K10" s="22" t="inlineStr">
        <is>
          <t>Open</t>
        </is>
      </c>
      <c r="L10" s="22" t="inlineStr"/>
      <c r="M10" s="24" t="n"/>
    </row>
    <row r="11" ht="30" customHeight="1">
      <c r="A11" s="42" t="inlineStr">
        <is>
          <t>https://africanmarketingconfederation.org/amc-conference-2023/amc-awards</t>
        </is>
      </c>
      <c r="B11" s="4" t="n">
        <v>25</v>
      </c>
      <c r="C11" s="4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11" s="4" t="n">
        <v>7</v>
      </c>
      <c r="E11" s="53" t="n">
        <v>72</v>
      </c>
      <c r="F11" s="4" t="inlineStr">
        <is>
          <t>jpg:2, other:2, png:4, svg:3</t>
        </is>
      </c>
      <c r="G11" s="4" t="n">
        <v>0</v>
      </c>
      <c r="H11" s="3" t="n">
        <v>0</v>
      </c>
      <c r="I11" s="55" t="inlineStr"/>
      <c r="J11" s="3" t="b">
        <v>0</v>
      </c>
      <c r="K11" s="4" t="inlineStr">
        <is>
          <t>Open</t>
        </is>
      </c>
      <c r="L11" s="4" t="inlineStr"/>
    </row>
  </sheetData>
  <autoFilter ref="A1:M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3" customWidth="1" min="2" max="2"/>
    <col width="34" customWidth="1" min="3" max="3"/>
    <col width="22" customWidth="1" min="4" max="4"/>
    <col width="21" customWidth="1" min="5" max="5"/>
    <col width="14" customWidth="1" min="6" max="6"/>
    <col width="19" customWidth="1" min="7" max="7"/>
  </cols>
  <sheetData>
    <row r="1">
      <c r="A1" s="21" t="inlineStr">
        <is>
          <t>URL</t>
        </is>
      </c>
      <c r="B1" s="21" t="inlineStr">
        <is>
          <t>Title Duplicate Count</t>
        </is>
      </c>
      <c r="C1" s="21" t="inlineStr">
        <is>
          <t>Meta Description Duplicate Count</t>
        </is>
      </c>
      <c r="D1" s="21" t="inlineStr">
        <is>
          <t>Title Duplicate URLs</t>
        </is>
      </c>
      <c r="E1" s="21" t="inlineStr">
        <is>
          <t>Meta Duplicate URLs</t>
        </is>
      </c>
      <c r="F1" s="21" t="inlineStr">
        <is>
          <t>Open in Main</t>
        </is>
      </c>
      <c r="G1" s="21" t="inlineStr">
        <is>
          <t>BACK TO DASHBOARD</t>
        </is>
      </c>
      <c r="H1" s="23" t="inlineStr">
        <is>
          <t>BACK TO DASHBOARD_1</t>
        </is>
      </c>
    </row>
    <row r="2" ht="30" customHeight="1">
      <c r="A2" s="40" t="inlineStr">
        <is>
          <t>https://africanmarketingconfederation.org/about-us</t>
        </is>
      </c>
      <c r="B2" s="22" t="n">
        <v>1</v>
      </c>
      <c r="C2" s="22" t="n">
        <v>1</v>
      </c>
      <c r="D2" s="44" t="inlineStr"/>
      <c r="E2" s="44" t="inlineStr"/>
      <c r="F2" s="22" t="inlineStr">
        <is>
          <t>Open</t>
        </is>
      </c>
      <c r="G2" s="22" t="inlineStr"/>
      <c r="H2" s="24" t="n"/>
    </row>
    <row r="3">
      <c r="A3" s="42" t="inlineStr">
        <is>
          <t>https://africanmarketingconfederation.org/</t>
        </is>
      </c>
      <c r="B3" s="4" t="n">
        <v>1</v>
      </c>
      <c r="C3" s="4" t="n">
        <v>1</v>
      </c>
      <c r="D3" s="46" t="inlineStr"/>
      <c r="E3" s="46" t="inlineStr"/>
      <c r="F3" s="4" t="inlineStr">
        <is>
          <t>Open</t>
        </is>
      </c>
      <c r="G3" s="4" t="inlineStr"/>
    </row>
    <row r="4" ht="30" customHeight="1">
      <c r="A4" s="40" t="inlineStr">
        <is>
          <t>https://africanmarketingconfederation.org/african-marketing-confederation-tourism-chapter</t>
        </is>
      </c>
      <c r="B4" s="22" t="n">
        <v>1</v>
      </c>
      <c r="C4" s="22" t="n">
        <v>1</v>
      </c>
      <c r="D4" s="44" t="inlineStr"/>
      <c r="E4" s="44" t="inlineStr"/>
      <c r="F4" s="22" t="inlineStr">
        <is>
          <t>Open</t>
        </is>
      </c>
      <c r="G4" s="22" t="inlineStr"/>
      <c r="H4" s="24" t="n"/>
    </row>
    <row r="5" ht="30" customHeight="1">
      <c r="A5" s="42" t="inlineStr">
        <is>
          <t>https://africanmarketingconfederation.org/amc-awards-2024</t>
        </is>
      </c>
      <c r="B5" s="4" t="n">
        <v>1</v>
      </c>
      <c r="C5" s="4" t="n">
        <v>1</v>
      </c>
      <c r="D5" s="46" t="inlineStr"/>
      <c r="E5" s="46" t="inlineStr"/>
      <c r="F5" s="4" t="inlineStr">
        <is>
          <t>Open</t>
        </is>
      </c>
      <c r="G5" s="4" t="inlineStr"/>
    </row>
    <row r="6" ht="30" customHeight="1">
      <c r="A6" s="40" t="inlineStr">
        <is>
          <t>https://africanmarketingconfederation.org/amc-conference-2022-prospectus</t>
        </is>
      </c>
      <c r="B6" s="22" t="n">
        <v>1</v>
      </c>
      <c r="C6" s="22" t="n">
        <v>1</v>
      </c>
      <c r="D6" s="44" t="inlineStr"/>
      <c r="E6" s="44" t="inlineStr"/>
      <c r="F6" s="22" t="inlineStr">
        <is>
          <t>Open</t>
        </is>
      </c>
      <c r="G6" s="22" t="inlineStr"/>
      <c r="H6" s="24" t="n"/>
    </row>
    <row r="7" ht="30" customHeight="1">
      <c r="A7" s="42" t="inlineStr">
        <is>
          <t>https://africanmarketingconfederation.org/amc-conference-2022-thank-you</t>
        </is>
      </c>
      <c r="B7" s="4" t="n">
        <v>1</v>
      </c>
      <c r="C7" s="4" t="n">
        <v>1</v>
      </c>
      <c r="D7" s="46" t="inlineStr"/>
      <c r="E7" s="46" t="inlineStr"/>
      <c r="F7" s="4" t="inlineStr">
        <is>
          <t>Open</t>
        </is>
      </c>
      <c r="G7" s="4" t="inlineStr"/>
    </row>
    <row r="8" ht="30" customHeight="1">
      <c r="A8" s="40" t="inlineStr">
        <is>
          <t>https://africanmarketingconfederation.org/amc-conference-2022</t>
        </is>
      </c>
      <c r="B8" s="22" t="n">
        <v>1</v>
      </c>
      <c r="C8" s="22" t="n">
        <v>1</v>
      </c>
      <c r="D8" s="44" t="inlineStr"/>
      <c r="E8" s="44" t="inlineStr"/>
      <c r="F8" s="22" t="inlineStr">
        <is>
          <t>Open</t>
        </is>
      </c>
      <c r="G8" s="22" t="inlineStr"/>
      <c r="H8" s="24" t="n"/>
    </row>
    <row r="9" ht="30" customHeight="1">
      <c r="A9" s="42" t="inlineStr">
        <is>
          <t>https://africanmarketingconfederation.org/amc-conference-2023</t>
        </is>
      </c>
      <c r="B9" s="4" t="n">
        <v>1</v>
      </c>
      <c r="C9" s="4" t="n">
        <v>1</v>
      </c>
      <c r="D9" s="46" t="inlineStr"/>
      <c r="E9" s="46" t="inlineStr"/>
      <c r="F9" s="4" t="inlineStr">
        <is>
          <t>Open</t>
        </is>
      </c>
      <c r="G9" s="4" t="inlineStr"/>
    </row>
    <row r="10" ht="30" customHeight="1">
      <c r="A10" s="40" t="inlineStr">
        <is>
          <t>https://africanmarketingconfederation.org/amc-conference-2023/amc-awards-book-now</t>
        </is>
      </c>
      <c r="B10" s="22" t="n">
        <v>1</v>
      </c>
      <c r="C10" s="22" t="n">
        <v>0</v>
      </c>
      <c r="D10" s="44" t="inlineStr"/>
      <c r="E10" s="44" t="inlineStr"/>
      <c r="F10" s="22" t="inlineStr">
        <is>
          <t>Open</t>
        </is>
      </c>
      <c r="G10" s="22" t="inlineStr"/>
      <c r="H10" s="24" t="n"/>
    </row>
    <row r="11" ht="30" customHeight="1">
      <c r="A11" s="42" t="inlineStr">
        <is>
          <t>https://africanmarketingconfederation.org/amc-conference-2023/amc-awards</t>
        </is>
      </c>
      <c r="B11" s="4" t="n">
        <v>1</v>
      </c>
      <c r="C11" s="4" t="n">
        <v>1</v>
      </c>
      <c r="D11" s="46" t="inlineStr"/>
      <c r="E11" s="46" t="inlineStr"/>
      <c r="F11" s="4" t="inlineStr">
        <is>
          <t>Open</t>
        </is>
      </c>
      <c r="G11" s="4" t="inlineStr"/>
    </row>
  </sheetData>
  <autoFilter ref="A1:H11"/>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0" customWidth="1" min="1" max="1"/>
    <col width="11" customWidth="1" min="2" max="2"/>
    <col width="29" customWidth="1" min="3" max="3"/>
    <col width="16" customWidth="1" min="4" max="4"/>
    <col width="60" customWidth="1" min="5" max="5"/>
    <col width="19" customWidth="1" min="6" max="6"/>
  </cols>
  <sheetData>
    <row r="1">
      <c r="A1" s="21" t="inlineStr">
        <is>
          <t>WHAT IS THIS? This tab detects structural flaws coded into your page templates. Fixing one template here can instantly fix hundreds of pages.</t>
        </is>
      </c>
      <c r="B1" s="21" t="inlineStr">
        <is>
          <t>Column_2</t>
        </is>
      </c>
      <c r="C1" s="21" t="inlineStr">
        <is>
          <t>Column_3</t>
        </is>
      </c>
      <c r="D1" s="21" t="inlineStr">
        <is>
          <t>Column_4</t>
        </is>
      </c>
      <c r="E1" s="21" t="inlineStr">
        <is>
          <t>Column_5</t>
        </is>
      </c>
      <c r="F1" s="21" t="inlineStr">
        <is>
          <t>BACK TO DASHBOARD</t>
        </is>
      </c>
      <c r="G1" s="23" t="inlineStr">
        <is>
          <t>BACK TO DASHBOARD_1</t>
        </is>
      </c>
    </row>
    <row r="2">
      <c r="A2" s="3" t="inlineStr">
        <is>
          <t>Subfolder</t>
        </is>
      </c>
      <c r="B2" s="22" t="inlineStr">
        <is>
          <t>URL Count</t>
        </is>
      </c>
      <c r="C2" s="22" t="inlineStr">
        <is>
          <t>Systemic Issue</t>
        </is>
      </c>
      <c r="D2" s="22" t="inlineStr">
        <is>
          <t>Affected Ratio</t>
        </is>
      </c>
      <c r="E2" s="22" t="inlineStr">
        <is>
          <t>Exact Action</t>
        </is>
      </c>
      <c r="F2" s="22" t="inlineStr"/>
      <c r="G2" s="24" t="n"/>
    </row>
    <row r="3">
      <c r="A3" s="3" t="inlineStr">
        <is>
          <t>/amc-conference-2022-prospectus/</t>
        </is>
      </c>
      <c r="B3" s="4" t="n">
        <v>1</v>
      </c>
      <c r="C3" s="4" t="inlineStr">
        <is>
          <t>Missing H1 is template-wide</t>
        </is>
      </c>
      <c r="D3" s="4" t="n">
        <v>100</v>
      </c>
      <c r="E3" s="4" t="inlineStr">
        <is>
          <t>Update template to render exactly one descriptive H1 for each page based on page-specific title data.</t>
        </is>
      </c>
      <c r="F3" s="4" t="inlineStr"/>
    </row>
    <row r="4">
      <c r="A4" s="3" t="inlineStr">
        <is>
          <t>/amc-conference-2022-thank-you/</t>
        </is>
      </c>
      <c r="B4" s="22" t="n">
        <v>1</v>
      </c>
      <c r="C4" s="22" t="inlineStr">
        <is>
          <t>Missing H1 is template-wide</t>
        </is>
      </c>
      <c r="D4" s="22" t="n">
        <v>100</v>
      </c>
      <c r="E4" s="22" t="inlineStr">
        <is>
          <t>Update template to render exactly one descriptive H1 for each page based on page-specific title data.</t>
        </is>
      </c>
      <c r="F4" s="22" t="inlineStr"/>
      <c r="G4" s="24" t="n"/>
    </row>
    <row r="5">
      <c r="A5" s="3" t="inlineStr">
        <is>
          <t>/amc-conference-2022/</t>
        </is>
      </c>
      <c r="B5" s="4" t="n">
        <v>1</v>
      </c>
      <c r="C5" s="4" t="inlineStr">
        <is>
          <t>Missing H1 is template-wide</t>
        </is>
      </c>
      <c r="D5" s="4" t="n">
        <v>100</v>
      </c>
      <c r="E5" s="4" t="inlineStr">
        <is>
          <t>Update template to render exactly one descriptive H1 for each page based on page-specific title data.</t>
        </is>
      </c>
      <c r="F5" s="4" t="inlineStr"/>
    </row>
  </sheetData>
  <dataValidations count="6">
    <dataValidation sqref="A1" showDropDown="0" showInputMessage="1" showErrorMessage="0" allowBlank="1" promptTitle="WHAT IS THIS? This tab detects s" prompt="WHAT IS THIS? This tab detects structural flaws coded into your page templates. Fixing one template here can instantly fix hundreds of pages.. Review this metric to identify risk, then use linked tabs for details and remediation." type="custom">
      <formula1>TRUE</formula1>
    </dataValidation>
    <dataValidation sqref="B1" showDropDown="0" showInputMessage="1" showErrorMessage="0" allowBlank="1" promptTitle="Column 2" prompt="Column 2. Review this metric to identify risk, then use linked tabs for details and remediation." type="custom">
      <formula1>TRUE</formula1>
    </dataValidation>
    <dataValidation sqref="C1" showDropDown="0" showInputMessage="1" showErrorMessage="0" allowBlank="1" promptTitle="Column 3" prompt="Column 3. Review this metric to identify risk, then use linked tabs for details and remediation." type="custom">
      <formula1>TRUE</formula1>
    </dataValidation>
    <dataValidation sqref="D1" showDropDown="0" showInputMessage="1" showErrorMessage="0" allowBlank="1" promptTitle="Column 4" prompt="Column 4. Review this metric to identify risk, then use linked tabs for details and remediation." type="custom">
      <formula1>TRUE</formula1>
    </dataValidation>
    <dataValidation sqref="E1" showDropDown="0" showInputMessage="1" showErrorMessage="0" allowBlank="1" promptTitle="Column 5" prompt="Column 5. Review this metric to identify risk, then use linked tabs for details and remediation."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14" customWidth="1" min="3" max="3"/>
    <col width="12" customWidth="1" min="4" max="4"/>
    <col width="12" customWidth="1" min="5" max="5"/>
    <col width="13" customWidth="1" min="6" max="6"/>
    <col width="14" customWidth="1" min="7" max="7"/>
    <col width="19" customWidth="1" min="8" max="8"/>
  </cols>
  <sheetData>
    <row r="1">
      <c r="A1" s="21" t="inlineStr">
        <is>
          <t>URL</t>
        </is>
      </c>
      <c r="B1" s="21" t="inlineStr">
        <is>
          <t>Desktop Score</t>
        </is>
      </c>
      <c r="C1" s="21" t="inlineStr">
        <is>
          <t>Mobile Score</t>
        </is>
      </c>
      <c r="D1" s="21" t="inlineStr">
        <is>
          <t>Mobile LCP</t>
        </is>
      </c>
      <c r="E1" s="21" t="inlineStr">
        <is>
          <t>Mobile CLS</t>
        </is>
      </c>
      <c r="F1" s="21" t="inlineStr">
        <is>
          <t>Mobile TTFB</t>
        </is>
      </c>
      <c r="G1" s="21" t="inlineStr">
        <is>
          <t>Open in Main</t>
        </is>
      </c>
      <c r="H1" s="21" t="inlineStr">
        <is>
          <t>BACK TO DASHBOARD</t>
        </is>
      </c>
      <c r="I1" s="23" t="inlineStr">
        <is>
          <t>BACK TO DASHBOARD_1</t>
        </is>
      </c>
    </row>
    <row r="2" ht="30" customHeight="1">
      <c r="A2" s="40" t="inlineStr">
        <is>
          <t>https://africanmarketingconfederation.org/about-us</t>
        </is>
      </c>
      <c r="B2" s="22" t="n">
        <v>0</v>
      </c>
      <c r="C2" s="22" t="n">
        <v>0</v>
      </c>
      <c r="D2" s="22" t="n">
        <v>0</v>
      </c>
      <c r="E2" s="22" t="n">
        <v>0</v>
      </c>
      <c r="F2" s="22" t="n">
        <v>0</v>
      </c>
      <c r="G2" s="22" t="inlineStr">
        <is>
          <t>Open</t>
        </is>
      </c>
      <c r="H2" s="22" t="inlineStr"/>
      <c r="I2" s="24" t="n"/>
    </row>
    <row r="3">
      <c r="A3" s="42" t="inlineStr">
        <is>
          <t>https://africanmarketingconfederation.org/</t>
        </is>
      </c>
      <c r="B3" s="4" t="n">
        <v>0</v>
      </c>
      <c r="C3" s="4" t="n">
        <v>0</v>
      </c>
      <c r="D3" s="4" t="n">
        <v>0</v>
      </c>
      <c r="E3" s="4" t="n">
        <v>0</v>
      </c>
      <c r="F3" s="4" t="n">
        <v>0</v>
      </c>
      <c r="G3" s="4" t="inlineStr">
        <is>
          <t>Open</t>
        </is>
      </c>
      <c r="H3" s="4" t="inlineStr"/>
    </row>
    <row r="4" ht="30" customHeight="1">
      <c r="A4" s="40" t="inlineStr">
        <is>
          <t>https://africanmarketingconfederation.org/african-marketing-confederation-tourism-chapter</t>
        </is>
      </c>
      <c r="B4" s="22" t="n">
        <v>0</v>
      </c>
      <c r="C4" s="22" t="n">
        <v>0</v>
      </c>
      <c r="D4" s="22" t="n">
        <v>0</v>
      </c>
      <c r="E4" s="22" t="n">
        <v>0</v>
      </c>
      <c r="F4" s="22" t="n">
        <v>0</v>
      </c>
      <c r="G4" s="22" t="inlineStr">
        <is>
          <t>Open</t>
        </is>
      </c>
      <c r="H4" s="22" t="inlineStr"/>
      <c r="I4" s="24" t="n"/>
    </row>
    <row r="5" ht="30" customHeight="1">
      <c r="A5" s="42" t="inlineStr">
        <is>
          <t>https://africanmarketingconfederation.org/amc-awards-2024</t>
        </is>
      </c>
      <c r="B5" s="4" t="n">
        <v>0</v>
      </c>
      <c r="C5" s="4" t="n">
        <v>0</v>
      </c>
      <c r="D5" s="4" t="n">
        <v>0</v>
      </c>
      <c r="E5" s="4" t="n">
        <v>0</v>
      </c>
      <c r="F5" s="4" t="n">
        <v>0</v>
      </c>
      <c r="G5" s="4" t="inlineStr">
        <is>
          <t>Open</t>
        </is>
      </c>
      <c r="H5" s="4" t="inlineStr"/>
    </row>
    <row r="6" ht="30" customHeight="1">
      <c r="A6" s="40" t="inlineStr">
        <is>
          <t>https://africanmarketingconfederation.org/amc-conference-2022-prospectus</t>
        </is>
      </c>
      <c r="B6" s="22" t="n">
        <v>0</v>
      </c>
      <c r="C6" s="22" t="n">
        <v>0</v>
      </c>
      <c r="D6" s="22" t="n">
        <v>0</v>
      </c>
      <c r="E6" s="22" t="n">
        <v>0</v>
      </c>
      <c r="F6" s="22" t="n">
        <v>0</v>
      </c>
      <c r="G6" s="22" t="inlineStr">
        <is>
          <t>Open</t>
        </is>
      </c>
      <c r="H6" s="22" t="inlineStr"/>
      <c r="I6" s="24" t="n"/>
    </row>
    <row r="7" ht="30" customHeight="1">
      <c r="A7" s="42" t="inlineStr">
        <is>
          <t>https://africanmarketingconfederation.org/amc-conference-2022-thank-you</t>
        </is>
      </c>
      <c r="B7" s="4" t="n">
        <v>0</v>
      </c>
      <c r="C7" s="4" t="n">
        <v>0</v>
      </c>
      <c r="D7" s="4" t="n">
        <v>0</v>
      </c>
      <c r="E7" s="4" t="n">
        <v>0</v>
      </c>
      <c r="F7" s="4" t="n">
        <v>0</v>
      </c>
      <c r="G7" s="4" t="inlineStr">
        <is>
          <t>Open</t>
        </is>
      </c>
      <c r="H7" s="4" t="inlineStr"/>
    </row>
    <row r="8" ht="30" customHeight="1">
      <c r="A8" s="40" t="inlineStr">
        <is>
          <t>https://africanmarketingconfederation.org/amc-conference-2022</t>
        </is>
      </c>
      <c r="B8" s="22" t="n">
        <v>0</v>
      </c>
      <c r="C8" s="22" t="n">
        <v>0</v>
      </c>
      <c r="D8" s="22" t="n">
        <v>0</v>
      </c>
      <c r="E8" s="22" t="n">
        <v>0</v>
      </c>
      <c r="F8" s="22" t="n">
        <v>0</v>
      </c>
      <c r="G8" s="22" t="inlineStr">
        <is>
          <t>Open</t>
        </is>
      </c>
      <c r="H8" s="22" t="inlineStr"/>
      <c r="I8" s="24" t="n"/>
    </row>
    <row r="9" ht="30" customHeight="1">
      <c r="A9" s="42" t="inlineStr">
        <is>
          <t>https://africanmarketingconfederation.org/amc-conference-2023</t>
        </is>
      </c>
      <c r="B9" s="4" t="n">
        <v>0</v>
      </c>
      <c r="C9" s="4" t="n">
        <v>0</v>
      </c>
      <c r="D9" s="4" t="n">
        <v>0</v>
      </c>
      <c r="E9" s="4" t="n">
        <v>0</v>
      </c>
      <c r="F9" s="4" t="n">
        <v>0</v>
      </c>
      <c r="G9" s="4" t="inlineStr">
        <is>
          <t>Open</t>
        </is>
      </c>
      <c r="H9" s="4" t="inlineStr"/>
    </row>
    <row r="10" ht="30" customHeight="1">
      <c r="A10" s="40" t="inlineStr">
        <is>
          <t>https://africanmarketingconfederation.org/amc-conference-2023/amc-awards-book-now</t>
        </is>
      </c>
      <c r="B10" s="22" t="n">
        <v>0</v>
      </c>
      <c r="C10" s="22" t="n">
        <v>0</v>
      </c>
      <c r="D10" s="22" t="n">
        <v>0</v>
      </c>
      <c r="E10" s="22" t="n">
        <v>0</v>
      </c>
      <c r="F10" s="22" t="n">
        <v>0</v>
      </c>
      <c r="G10" s="22" t="inlineStr">
        <is>
          <t>Open</t>
        </is>
      </c>
      <c r="H10" s="22" t="inlineStr"/>
      <c r="I10" s="24" t="n"/>
    </row>
    <row r="11" ht="30" customHeight="1">
      <c r="A11" s="42" t="inlineStr">
        <is>
          <t>https://africanmarketingconfederation.org/amc-conference-2023/amc-awards</t>
        </is>
      </c>
      <c r="B11" s="4" t="n">
        <v>0</v>
      </c>
      <c r="C11" s="4" t="n">
        <v>0</v>
      </c>
      <c r="D11" s="4" t="n">
        <v>0</v>
      </c>
      <c r="E11" s="4" t="n">
        <v>0</v>
      </c>
      <c r="F11" s="4" t="n">
        <v>0</v>
      </c>
      <c r="G11" s="4" t="inlineStr">
        <is>
          <t>Open</t>
        </is>
      </c>
      <c r="H11" s="4" t="inlineStr"/>
    </row>
  </sheetData>
  <autoFilter ref="A1:I11"/>
  <conditionalFormatting sqref="B2:B11">
    <cfRule type="cellIs" priority="1" operator="between" dxfId="3">
      <formula>90</formula>
      <formula>100</formula>
    </cfRule>
    <cfRule type="cellIs" priority="2" operator="between" dxfId="6">
      <formula>50</formula>
      <formula>89</formula>
    </cfRule>
    <cfRule type="cellIs" priority="3" operator="between" dxfId="2">
      <formula>0</formula>
      <formula>49</formula>
    </cfRule>
    <cfRule type="expression" priority="9" dxfId="9" stopIfTrue="1">
      <formula>B2&gt;=90</formula>
    </cfRule>
    <cfRule type="expression" priority="10" dxfId="10" stopIfTrue="1">
      <formula>AND(B2&gt;=50,B2&lt;90)</formula>
    </cfRule>
    <cfRule type="expression" priority="11" dxfId="11" stopIfTrue="1">
      <formula>B2&lt;50</formula>
    </cfRule>
  </conditionalFormatting>
  <conditionalFormatting sqref="C2:C11">
    <cfRule type="cellIs" priority="4" operator="between" dxfId="3">
      <formula>90</formula>
      <formula>100</formula>
    </cfRule>
    <cfRule type="cellIs" priority="5" operator="between" dxfId="6">
      <formula>50</formula>
      <formula>89</formula>
    </cfRule>
    <cfRule type="cellIs" priority="6" operator="between" dxfId="2">
      <formula>0</formula>
      <formula>49</formula>
    </cfRule>
    <cfRule type="expression" priority="12" dxfId="9" stopIfTrue="1">
      <formula>C2&gt;=90</formula>
    </cfRule>
    <cfRule type="expression" priority="13" dxfId="10" stopIfTrue="1">
      <formula>AND(C2&gt;=50,C2&lt;90)</formula>
    </cfRule>
    <cfRule type="expression" priority="14" dxfId="11" stopIfTrue="1">
      <formula>C2&lt;50</formula>
    </cfRule>
  </conditionalFormatting>
  <conditionalFormatting sqref="D2:D11">
    <cfRule type="cellIs" priority="7" operator="lessThan" dxfId="3">
      <formula>2.5</formula>
    </cfRule>
    <cfRule type="cellIs" priority="8" operator="greaterThan" dxfId="2">
      <formula>4.0</formula>
    </cfRule>
    <cfRule type="expression" priority="15" dxfId="3" stopIfTrue="1">
      <formula>D2&lt;=2.5</formula>
    </cfRule>
    <cfRule type="expression" priority="16" dxfId="2" stopIfTrue="1">
      <formula>D2&gt;4.0</formula>
    </cfRule>
  </conditionalFormatting>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Desktop Score" prompt="Desktop Score. Review this metric to identify risk, then use linked tabs for details and remediation." type="custom">
      <formula1>TRUE</formula1>
    </dataValidation>
    <dataValidation sqref="C1" showDropDown="0" showInputMessage="1" showErrorMessage="0" allowBlank="1" promptTitle="Mobile Score" prompt="Mobile Score. Review this metric to identify risk, then use linked tabs for details and remediation." type="custom">
      <formula1>TRUE</formula1>
    </dataValidation>
    <dataValidation sqref="D1" showDropDown="0" showInputMessage="1" showErrorMessage="0" allowBlank="1" promptTitle="Mobile LCP" prompt="Mobile LCP. Review this metric to identify risk, then use linked tabs for details and remediation." type="custom">
      <formula1>TRUE</formula1>
    </dataValidation>
    <dataValidation sqref="E1" showDropDown="0" showInputMessage="1" showErrorMessage="0" allowBlank="1" promptTitle="Mobile CLS" prompt="Mobile CLS. Review this metric to identify risk, then use linked tabs for details and remediation." type="custom">
      <formula1>TRUE</formula1>
    </dataValidation>
    <dataValidation sqref="F1" showDropDown="0" showInputMessage="1" showErrorMessage="0" allowBlank="1" promptTitle="Mobile TTFB" prompt="Time to First Byte: server responsiveness signal. Fix: optimise backend performance, caching, and CDN usage."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I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2" customWidth="1" min="2" max="2"/>
    <col width="13" customWidth="1" min="3" max="3"/>
    <col width="15" customWidth="1" min="4" max="4"/>
    <col width="60" customWidth="1" min="5" max="5"/>
    <col width="13" customWidth="1" min="6" max="6"/>
    <col width="8" customWidth="1" min="7" max="7"/>
    <col width="8" customWidth="1" min="8" max="8"/>
    <col width="14" customWidth="1" min="9" max="9"/>
    <col width="19" customWidth="1" min="10" max="10"/>
    <col width="19" customWidth="1" min="11" max="11"/>
  </cols>
  <sheetData>
    <row r="1">
      <c r="A1" s="21" t="inlineStr">
        <is>
          <t>URL</t>
        </is>
      </c>
      <c r="B1" s="21" t="inlineStr">
        <is>
          <t>Issue</t>
        </is>
      </c>
      <c r="C1" s="21" t="inlineStr">
        <is>
          <t>Severity</t>
        </is>
      </c>
      <c r="D1" s="21" t="inlineStr">
        <is>
          <t>Reference Tab</t>
        </is>
      </c>
      <c r="E1" s="21" t="inlineStr">
        <is>
          <t>Stable Issue ID</t>
        </is>
      </c>
      <c r="F1" s="21" t="inlineStr">
        <is>
          <t>Owner</t>
        </is>
      </c>
      <c r="G1" s="21" t="inlineStr">
        <is>
          <t>Status</t>
        </is>
      </c>
      <c r="H1" s="21" t="inlineStr">
        <is>
          <t>Sprint</t>
        </is>
      </c>
      <c r="I1" s="21" t="inlineStr">
        <is>
          <t>Open in Main</t>
        </is>
      </c>
      <c r="J1" s="21" t="inlineStr">
        <is>
          <t>Open in Reference</t>
        </is>
      </c>
      <c r="K1" s="21" t="inlineStr">
        <is>
          <t>BACK TO DASHBOARD</t>
        </is>
      </c>
      <c r="L1" s="23" t="inlineStr">
        <is>
          <t>BACK TO DASHBOARD_1</t>
        </is>
      </c>
    </row>
    <row r="2" ht="30" customHeight="1">
      <c r="A2" s="40" t="inlineStr">
        <is>
          <t>https://africanmarketingconfederation.org/about-us</t>
        </is>
      </c>
      <c r="B2" s="22" t="inlineStr">
        <is>
          <t>Unmeasured</t>
        </is>
      </c>
      <c r="C2" s="37" t="inlineStr">
        <is>
          <t>Observation</t>
        </is>
      </c>
      <c r="D2" s="49" t="inlineStr">
        <is>
          <t>Technical</t>
        </is>
      </c>
      <c r="E2" s="22" t="inlineStr">
        <is>
          <t>https://africanmarketingconfederation.org/about-us::unmeasured</t>
        </is>
      </c>
      <c r="F2" s="22" t="inlineStr">
        <is>
          <t>Copy Writer</t>
        </is>
      </c>
      <c r="G2" s="25" t="inlineStr">
        <is>
          <t>Open</t>
        </is>
      </c>
      <c r="H2" s="22" t="inlineStr"/>
      <c r="I2" s="22">
        <f>IFERROR(HYPERLINK("#Main!A"&amp;MATCH(A2,Main!A:A,0),"Open"),HYPERLINK("#Main!A1","Open"))</f>
        <v/>
      </c>
      <c r="J2" s="22">
        <f>IFERROR(HYPERLINK("#"&amp;D2&amp;"!A"&amp;MATCH(A2,INDIRECT("'"&amp;D2&amp;"'!A:A"),0),"Open"),HYPERLINK("#"&amp;D2&amp;"!A1","Open"))</f>
        <v/>
      </c>
      <c r="K2" s="22" t="inlineStr"/>
      <c r="L2" s="24" t="n"/>
    </row>
    <row r="3">
      <c r="A3" s="42" t="inlineStr">
        <is>
          <t>https://africanmarketingconfederation.org/</t>
        </is>
      </c>
      <c r="B3" s="4" t="inlineStr">
        <is>
          <t>Unmeasured</t>
        </is>
      </c>
      <c r="C3" s="37" t="inlineStr">
        <is>
          <t>Observation</t>
        </is>
      </c>
      <c r="D3" s="50" t="inlineStr">
        <is>
          <t>Technical</t>
        </is>
      </c>
      <c r="E3" s="4" t="inlineStr">
        <is>
          <t>https://africanmarketingconfederation.org/::unmeasured</t>
        </is>
      </c>
      <c r="F3" s="4" t="inlineStr">
        <is>
          <t>Copy Writer</t>
        </is>
      </c>
      <c r="G3" s="25" t="inlineStr">
        <is>
          <t>Open</t>
        </is>
      </c>
      <c r="H3" s="4" t="inlineStr"/>
      <c r="I3" s="4">
        <f>IFERROR(HYPERLINK("#Main!A"&amp;MATCH(A3,Main!A:A,0),"Open"),HYPERLINK("#Main!A1","Open"))</f>
        <v/>
      </c>
      <c r="J3" s="4">
        <f>IFERROR(HYPERLINK("#"&amp;D3&amp;"!A"&amp;MATCH(A3,INDIRECT("'"&amp;D3&amp;"'!A:A"),0),"Open"),HYPERLINK("#"&amp;D3&amp;"!A1","Open"))</f>
        <v/>
      </c>
      <c r="K3" s="4" t="inlineStr"/>
    </row>
    <row r="4" ht="30" customHeight="1">
      <c r="A4" s="40" t="inlineStr">
        <is>
          <t>https://africanmarketingconfederation.org/african-marketing-confederation-tourism-chapter</t>
        </is>
      </c>
      <c r="B4" s="22" t="inlineStr">
        <is>
          <t>Unmeasured</t>
        </is>
      </c>
      <c r="C4" s="37" t="inlineStr">
        <is>
          <t>Observation</t>
        </is>
      </c>
      <c r="D4" s="49" t="inlineStr">
        <is>
          <t>Technical</t>
        </is>
      </c>
      <c r="E4" s="22" t="inlineStr">
        <is>
          <t>https://africanmarketingconfederation.org/african-marketing-confederation-tourism-chapter::unmeasured</t>
        </is>
      </c>
      <c r="F4" s="22" t="inlineStr">
        <is>
          <t>Copy Writer</t>
        </is>
      </c>
      <c r="G4" s="25" t="inlineStr">
        <is>
          <t>Open</t>
        </is>
      </c>
      <c r="H4" s="22" t="inlineStr"/>
      <c r="I4" s="22">
        <f>IFERROR(HYPERLINK("#Main!A"&amp;MATCH(A4,Main!A:A,0),"Open"),HYPERLINK("#Main!A1","Open"))</f>
        <v/>
      </c>
      <c r="J4" s="22">
        <f>IFERROR(HYPERLINK("#"&amp;D4&amp;"!A"&amp;MATCH(A4,INDIRECT("'"&amp;D4&amp;"'!A:A"),0),"Open"),HYPERLINK("#"&amp;D4&amp;"!A1","Open"))</f>
        <v/>
      </c>
      <c r="K4" s="22" t="inlineStr"/>
      <c r="L4" s="24" t="n"/>
    </row>
    <row r="5" ht="30" customHeight="1">
      <c r="A5" s="42" t="inlineStr">
        <is>
          <t>https://africanmarketingconfederation.org/amc-awards-2024</t>
        </is>
      </c>
      <c r="B5" s="4" t="inlineStr">
        <is>
          <t>Unmeasured</t>
        </is>
      </c>
      <c r="C5" s="37" t="inlineStr">
        <is>
          <t>Observation</t>
        </is>
      </c>
      <c r="D5" s="50" t="inlineStr">
        <is>
          <t>Technical</t>
        </is>
      </c>
      <c r="E5" s="4" t="inlineStr">
        <is>
          <t>https://africanmarketingconfederation.org/amc-awards-2024::unmeasured</t>
        </is>
      </c>
      <c r="F5" s="4" t="inlineStr">
        <is>
          <t>Copy Writer</t>
        </is>
      </c>
      <c r="G5" s="25" t="inlineStr">
        <is>
          <t>Open</t>
        </is>
      </c>
      <c r="H5" s="4" t="inlineStr"/>
      <c r="I5" s="4">
        <f>IFERROR(HYPERLINK("#Main!A"&amp;MATCH(A5,Main!A:A,0),"Open"),HYPERLINK("#Main!A1","Open"))</f>
        <v/>
      </c>
      <c r="J5" s="4">
        <f>IFERROR(HYPERLINK("#"&amp;D5&amp;"!A"&amp;MATCH(A5,INDIRECT("'"&amp;D5&amp;"'!A:A"),0),"Open"),HYPERLINK("#"&amp;D5&amp;"!A1","Open"))</f>
        <v/>
      </c>
      <c r="K5" s="4" t="inlineStr"/>
    </row>
    <row r="6" ht="30" customHeight="1">
      <c r="A6" s="40" t="inlineStr">
        <is>
          <t>https://africanmarketingconfederation.org/amc-conference-2022-prospectus</t>
        </is>
      </c>
      <c r="B6" s="22" t="inlineStr">
        <is>
          <t>Unmeasured</t>
        </is>
      </c>
      <c r="C6" s="37" t="inlineStr">
        <is>
          <t>Observation</t>
        </is>
      </c>
      <c r="D6" s="49" t="inlineStr">
        <is>
          <t>Technical</t>
        </is>
      </c>
      <c r="E6" s="22" t="inlineStr">
        <is>
          <t>https://africanmarketingconfederation.org/amc-conference-2022-prospectus::unmeasured</t>
        </is>
      </c>
      <c r="F6" s="22" t="inlineStr">
        <is>
          <t>Copy Writer</t>
        </is>
      </c>
      <c r="G6" s="25" t="inlineStr">
        <is>
          <t>Open</t>
        </is>
      </c>
      <c r="H6" s="22" t="inlineStr"/>
      <c r="I6" s="22">
        <f>IFERROR(HYPERLINK("#Main!A"&amp;MATCH(A6,Main!A:A,0),"Open"),HYPERLINK("#Main!A1","Open"))</f>
        <v/>
      </c>
      <c r="J6" s="22">
        <f>IFERROR(HYPERLINK("#"&amp;D6&amp;"!A"&amp;MATCH(A6,INDIRECT("'"&amp;D6&amp;"'!A:A"),0),"Open"),HYPERLINK("#"&amp;D6&amp;"!A1","Open"))</f>
        <v/>
      </c>
      <c r="K6" s="22" t="inlineStr"/>
      <c r="L6" s="24" t="n"/>
    </row>
    <row r="7" ht="30" customHeight="1">
      <c r="A7" s="42" t="inlineStr">
        <is>
          <t>https://africanmarketingconfederation.org/amc-conference-2022-thank-you</t>
        </is>
      </c>
      <c r="B7" s="4" t="inlineStr">
        <is>
          <t>Unmeasured</t>
        </is>
      </c>
      <c r="C7" s="37" t="inlineStr">
        <is>
          <t>Observation</t>
        </is>
      </c>
      <c r="D7" s="50" t="inlineStr">
        <is>
          <t>Technical</t>
        </is>
      </c>
      <c r="E7" s="4" t="inlineStr">
        <is>
          <t>https://africanmarketingconfederation.org/amc-conference-2022-thank-you::unmeasured</t>
        </is>
      </c>
      <c r="F7" s="4" t="inlineStr">
        <is>
          <t>Copy Writer</t>
        </is>
      </c>
      <c r="G7" s="25" t="inlineStr">
        <is>
          <t>Open</t>
        </is>
      </c>
      <c r="H7" s="4" t="inlineStr"/>
      <c r="I7" s="4">
        <f>IFERROR(HYPERLINK("#Main!A"&amp;MATCH(A7,Main!A:A,0),"Open"),HYPERLINK("#Main!A1","Open"))</f>
        <v/>
      </c>
      <c r="J7" s="4">
        <f>IFERROR(HYPERLINK("#"&amp;D7&amp;"!A"&amp;MATCH(A7,INDIRECT("'"&amp;D7&amp;"'!A:A"),0),"Open"),HYPERLINK("#"&amp;D7&amp;"!A1","Open"))</f>
        <v/>
      </c>
      <c r="K7" s="4" t="inlineStr"/>
    </row>
    <row r="8" ht="30" customHeight="1">
      <c r="A8" s="40" t="inlineStr">
        <is>
          <t>https://africanmarketingconfederation.org/amc-conference-2022</t>
        </is>
      </c>
      <c r="B8" s="22" t="inlineStr">
        <is>
          <t>Unmeasured</t>
        </is>
      </c>
      <c r="C8" s="37" t="inlineStr">
        <is>
          <t>Observation</t>
        </is>
      </c>
      <c r="D8" s="49" t="inlineStr">
        <is>
          <t>Technical</t>
        </is>
      </c>
      <c r="E8" s="22" t="inlineStr">
        <is>
          <t>https://africanmarketingconfederation.org/amc-conference-2022::unmeasured</t>
        </is>
      </c>
      <c r="F8" s="22" t="inlineStr">
        <is>
          <t>Copy Writer</t>
        </is>
      </c>
      <c r="G8" s="25" t="inlineStr">
        <is>
          <t>Open</t>
        </is>
      </c>
      <c r="H8" s="22" t="inlineStr"/>
      <c r="I8" s="22">
        <f>IFERROR(HYPERLINK("#Main!A"&amp;MATCH(A8,Main!A:A,0),"Open"),HYPERLINK("#Main!A1","Open"))</f>
        <v/>
      </c>
      <c r="J8" s="22">
        <f>IFERROR(HYPERLINK("#"&amp;D8&amp;"!A"&amp;MATCH(A8,INDIRECT("'"&amp;D8&amp;"'!A:A"),0),"Open"),HYPERLINK("#"&amp;D8&amp;"!A1","Open"))</f>
        <v/>
      </c>
      <c r="K8" s="22" t="inlineStr"/>
      <c r="L8" s="24" t="n"/>
    </row>
    <row r="9" ht="30" customHeight="1">
      <c r="A9" s="42" t="inlineStr">
        <is>
          <t>https://africanmarketingconfederation.org/amc-conference-2023</t>
        </is>
      </c>
      <c r="B9" s="4" t="inlineStr">
        <is>
          <t>Unmeasured</t>
        </is>
      </c>
      <c r="C9" s="37" t="inlineStr">
        <is>
          <t>Observation</t>
        </is>
      </c>
      <c r="D9" s="50" t="inlineStr">
        <is>
          <t>Technical</t>
        </is>
      </c>
      <c r="E9" s="4" t="inlineStr">
        <is>
          <t>https://africanmarketingconfederation.org/amc-conference-2023::unmeasured</t>
        </is>
      </c>
      <c r="F9" s="4" t="inlineStr">
        <is>
          <t>Copy Writer</t>
        </is>
      </c>
      <c r="G9" s="25" t="inlineStr">
        <is>
          <t>Open</t>
        </is>
      </c>
      <c r="H9" s="4" t="inlineStr"/>
      <c r="I9" s="4">
        <f>IFERROR(HYPERLINK("#Main!A"&amp;MATCH(A9,Main!A:A,0),"Open"),HYPERLINK("#Main!A1","Open"))</f>
        <v/>
      </c>
      <c r="J9" s="4">
        <f>IFERROR(HYPERLINK("#"&amp;D9&amp;"!A"&amp;MATCH(A9,INDIRECT("'"&amp;D9&amp;"'!A:A"),0),"Open"),HYPERLINK("#"&amp;D9&amp;"!A1","Open"))</f>
        <v/>
      </c>
      <c r="K9" s="4" t="inlineStr"/>
    </row>
    <row r="10" ht="30" customHeight="1">
      <c r="A10" s="40" t="inlineStr">
        <is>
          <t>https://africanmarketingconfederation.org/amc-conference-2023/amc-awards-book-now</t>
        </is>
      </c>
      <c r="B10" s="22" t="inlineStr">
        <is>
          <t>Unmeasured</t>
        </is>
      </c>
      <c r="C10" s="37" t="inlineStr">
        <is>
          <t>Observation</t>
        </is>
      </c>
      <c r="D10" s="49" t="inlineStr">
        <is>
          <t>Technical</t>
        </is>
      </c>
      <c r="E10" s="22" t="inlineStr">
        <is>
          <t>https://africanmarketingconfederation.org/amc-conference-2023/amc-awards-book-now::unmeasured</t>
        </is>
      </c>
      <c r="F10" s="22" t="inlineStr">
        <is>
          <t>Copy Writer</t>
        </is>
      </c>
      <c r="G10" s="25" t="inlineStr">
        <is>
          <t>Open</t>
        </is>
      </c>
      <c r="H10" s="22" t="inlineStr"/>
      <c r="I10" s="22">
        <f>IFERROR(HYPERLINK("#Main!A"&amp;MATCH(A10,Main!A:A,0),"Open"),HYPERLINK("#Main!A1","Open"))</f>
        <v/>
      </c>
      <c r="J10" s="22">
        <f>IFERROR(HYPERLINK("#"&amp;D10&amp;"!A"&amp;MATCH(A10,INDIRECT("'"&amp;D10&amp;"'!A:A"),0),"Open"),HYPERLINK("#"&amp;D10&amp;"!A1","Open"))</f>
        <v/>
      </c>
      <c r="K10" s="22" t="inlineStr"/>
      <c r="L10" s="24" t="n"/>
    </row>
    <row r="11" ht="30" customHeight="1">
      <c r="A11" s="42" t="inlineStr">
        <is>
          <t>https://africanmarketingconfederation.org/amc-conference-2023/amc-awards</t>
        </is>
      </c>
      <c r="B11" s="4" t="inlineStr">
        <is>
          <t>Unmeasured</t>
        </is>
      </c>
      <c r="C11" s="37" t="inlineStr">
        <is>
          <t>Observation</t>
        </is>
      </c>
      <c r="D11" s="50" t="inlineStr">
        <is>
          <t>Technical</t>
        </is>
      </c>
      <c r="E11" s="4" t="inlineStr">
        <is>
          <t>https://africanmarketingconfederation.org/amc-conference-2023/amc-awards::unmeasured</t>
        </is>
      </c>
      <c r="F11" s="4" t="inlineStr">
        <is>
          <t>Copy Writer</t>
        </is>
      </c>
      <c r="G11" s="25" t="inlineStr">
        <is>
          <t>Open</t>
        </is>
      </c>
      <c r="H11" s="4" t="inlineStr"/>
      <c r="I11" s="4">
        <f>IFERROR(HYPERLINK("#Main!A"&amp;MATCH(A11,Main!A:A,0),"Open"),HYPERLINK("#Main!A1","Open"))</f>
        <v/>
      </c>
      <c r="J11" s="4">
        <f>IFERROR(HYPERLINK("#"&amp;D11&amp;"!A"&amp;MATCH(A11,INDIRECT("'"&amp;D11&amp;"'!A:A"),0),"Open"),HYPERLINK("#"&amp;D11&amp;"!A1","Open"))</f>
        <v/>
      </c>
      <c r="K11" s="4" t="inlineStr"/>
    </row>
  </sheetData>
  <autoFilter ref="A1:L11"/>
  <conditionalFormatting sqref="G2:G11">
    <cfRule type="expression" priority="1" dxfId="4" stopIfTrue="1">
      <formula>LOWER(G2)="done"</formula>
    </cfRule>
    <cfRule type="expression" priority="2" dxfId="5" stopIfTrue="1">
      <formula>OR(LOWER(G2)="to do",LOWER(G2)="in progress",LOWER(G2)="in review")</formula>
    </cfRule>
  </conditionalFormatting>
  <dataValidations count="12">
    <dataValidation sqref="G2:G11"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D2" r:id="rId3"/>
    <hyperlink xmlns:r="http://schemas.openxmlformats.org/officeDocument/2006/relationships" ref="A3" r:id="rId4"/>
    <hyperlink xmlns:r="http://schemas.openxmlformats.org/officeDocument/2006/relationships" ref="D3" r:id="rId5"/>
    <hyperlink xmlns:r="http://schemas.openxmlformats.org/officeDocument/2006/relationships" ref="A4" r:id="rId6"/>
    <hyperlink xmlns:r="http://schemas.openxmlformats.org/officeDocument/2006/relationships" ref="D4" r:id="rId7"/>
    <hyperlink xmlns:r="http://schemas.openxmlformats.org/officeDocument/2006/relationships" ref="A5" r:id="rId8"/>
    <hyperlink xmlns:r="http://schemas.openxmlformats.org/officeDocument/2006/relationships" ref="D5" r:id="rId9"/>
    <hyperlink xmlns:r="http://schemas.openxmlformats.org/officeDocument/2006/relationships" ref="A6" r:id="rId10"/>
    <hyperlink xmlns:r="http://schemas.openxmlformats.org/officeDocument/2006/relationships" ref="D6" r:id="rId11"/>
    <hyperlink xmlns:r="http://schemas.openxmlformats.org/officeDocument/2006/relationships" ref="A7" r:id="rId12"/>
    <hyperlink xmlns:r="http://schemas.openxmlformats.org/officeDocument/2006/relationships" ref="D7" r:id="rId13"/>
    <hyperlink xmlns:r="http://schemas.openxmlformats.org/officeDocument/2006/relationships" ref="A8" r:id="rId14"/>
    <hyperlink xmlns:r="http://schemas.openxmlformats.org/officeDocument/2006/relationships" ref="D8" r:id="rId15"/>
    <hyperlink xmlns:r="http://schemas.openxmlformats.org/officeDocument/2006/relationships" ref="A9" r:id="rId16"/>
    <hyperlink xmlns:r="http://schemas.openxmlformats.org/officeDocument/2006/relationships" ref="D9" r:id="rId17"/>
    <hyperlink xmlns:r="http://schemas.openxmlformats.org/officeDocument/2006/relationships" ref="A10" r:id="rId18"/>
    <hyperlink xmlns:r="http://schemas.openxmlformats.org/officeDocument/2006/relationships" ref="D10" r:id="rId19"/>
    <hyperlink xmlns:r="http://schemas.openxmlformats.org/officeDocument/2006/relationships" ref="A11" r:id="rId20"/>
    <hyperlink xmlns:r="http://schemas.openxmlformats.org/officeDocument/2006/relationships" ref="D11"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60" customWidth="1" min="3" max="3"/>
    <col width="18" customWidth="1" min="4" max="4"/>
    <col width="13" customWidth="1" min="5" max="5"/>
    <col width="19" customWidth="1" min="6" max="6"/>
    <col width="14" customWidth="1" min="7" max="7"/>
    <col width="19" customWidth="1" min="8" max="8"/>
  </cols>
  <sheetData>
    <row r="1">
      <c r="A1" s="21" t="inlineStr">
        <is>
          <t>URL</t>
        </is>
      </c>
      <c r="B1" s="21" t="inlineStr">
        <is>
          <t>Inlinks Count</t>
        </is>
      </c>
      <c r="C1" s="21" t="inlineStr">
        <is>
          <t>Inlinks URLs</t>
        </is>
      </c>
      <c r="D1" s="21" t="inlineStr">
        <is>
          <t>Orphan Candidate</t>
        </is>
      </c>
      <c r="E1" s="21" t="inlineStr">
        <is>
          <t>Click Depth</t>
        </is>
      </c>
      <c r="F1" s="21" t="inlineStr">
        <is>
          <t>Internal PageRank</t>
        </is>
      </c>
      <c r="G1" s="21" t="inlineStr">
        <is>
          <t>Open in Main</t>
        </is>
      </c>
      <c r="H1" s="21" t="inlineStr">
        <is>
          <t>BACK TO DASHBOARD</t>
        </is>
      </c>
      <c r="I1" s="23" t="inlineStr">
        <is>
          <t>BACK TO DASHBOARD_1</t>
        </is>
      </c>
    </row>
    <row r="2" ht="30" customHeight="1">
      <c r="A2" s="40" t="inlineStr">
        <is>
          <t>https://africanmarketingconfederation.org/about-us</t>
        </is>
      </c>
      <c r="B2" s="22" t="n">
        <v>6</v>
      </c>
      <c r="C2" s="44"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2" s="30" t="b">
        <v>0</v>
      </c>
      <c r="E2" s="22" t="n">
        <v>1</v>
      </c>
      <c r="F2" s="22" t="n">
        <v>0.271899</v>
      </c>
      <c r="G2" s="22" t="inlineStr">
        <is>
          <t>Open</t>
        </is>
      </c>
      <c r="H2" s="22" t="inlineStr"/>
      <c r="I2" s="24" t="n"/>
    </row>
    <row r="3">
      <c r="A3" s="42" t="inlineStr">
        <is>
          <t>https://africanmarketingconfederation.org/</t>
        </is>
      </c>
      <c r="B3" s="4" t="n">
        <v>8</v>
      </c>
      <c r="C3" s="46"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is>
      </c>
      <c r="D3" s="33" t="b">
        <v>0</v>
      </c>
      <c r="E3" s="4" t="n">
        <v>0</v>
      </c>
      <c r="F3" s="4" t="n">
        <v>0.287449</v>
      </c>
      <c r="G3" s="4" t="inlineStr">
        <is>
          <t>Open</t>
        </is>
      </c>
      <c r="H3" s="4" t="inlineStr"/>
    </row>
    <row r="4" ht="30" customHeight="1">
      <c r="A4" s="40" t="inlineStr">
        <is>
          <t>https://africanmarketingconfederation.org/african-marketing-confederation-tourism-chapter</t>
        </is>
      </c>
      <c r="B4" s="22" t="n">
        <v>6</v>
      </c>
      <c r="C4" s="44"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4" s="30" t="b">
        <v>0</v>
      </c>
      <c r="E4" s="22" t="n">
        <v>1</v>
      </c>
      <c r="F4" s="22" t="n">
        <v>0.271899</v>
      </c>
      <c r="G4" s="22" t="inlineStr">
        <is>
          <t>Open</t>
        </is>
      </c>
      <c r="H4" s="22" t="inlineStr"/>
      <c r="I4" s="24" t="n"/>
    </row>
    <row r="5" ht="30" customHeight="1">
      <c r="A5" s="42" t="inlineStr">
        <is>
          <t>https://africanmarketingconfederation.org/amc-awards-2024</t>
        </is>
      </c>
      <c r="B5" s="4" t="n">
        <v>0</v>
      </c>
      <c r="C5" s="46" t="inlineStr"/>
      <c r="D5" s="33" t="b">
        <v>1</v>
      </c>
      <c r="E5" s="4" t="inlineStr"/>
      <c r="F5" s="4" t="n">
        <v>0.019665</v>
      </c>
      <c r="G5" s="4" t="inlineStr">
        <is>
          <t>Open</t>
        </is>
      </c>
      <c r="H5" s="4" t="inlineStr"/>
    </row>
    <row r="6" ht="30" customHeight="1">
      <c r="A6" s="40" t="inlineStr">
        <is>
          <t>https://africanmarketingconfederation.org/amc-conference-2022-prospectus</t>
        </is>
      </c>
      <c r="B6" s="22" t="n">
        <v>0</v>
      </c>
      <c r="C6" s="44" t="inlineStr"/>
      <c r="D6" s="30" t="b">
        <v>1</v>
      </c>
      <c r="E6" s="22" t="inlineStr"/>
      <c r="F6" s="22" t="n">
        <v>0.019665</v>
      </c>
      <c r="G6" s="22" t="inlineStr">
        <is>
          <t>Open</t>
        </is>
      </c>
      <c r="H6" s="22" t="inlineStr"/>
      <c r="I6" s="24" t="n"/>
    </row>
    <row r="7" ht="30" customHeight="1">
      <c r="A7" s="42" t="inlineStr">
        <is>
          <t>https://africanmarketingconfederation.org/amc-conference-2022-thank-you</t>
        </is>
      </c>
      <c r="B7" s="4" t="n">
        <v>0</v>
      </c>
      <c r="C7" s="46" t="inlineStr"/>
      <c r="D7" s="33" t="b">
        <v>1</v>
      </c>
      <c r="E7" s="4" t="inlineStr"/>
      <c r="F7" s="4" t="n">
        <v>0.019665</v>
      </c>
      <c r="G7" s="4" t="inlineStr">
        <is>
          <t>Open</t>
        </is>
      </c>
      <c r="H7" s="4" t="inlineStr"/>
    </row>
    <row r="8" ht="30" customHeight="1">
      <c r="A8" s="40" t="inlineStr">
        <is>
          <t>https://africanmarketingconfederation.org/amc-conference-2022</t>
        </is>
      </c>
      <c r="B8" s="22" t="n">
        <v>0</v>
      </c>
      <c r="C8" s="44" t="inlineStr"/>
      <c r="D8" s="30" t="b">
        <v>1</v>
      </c>
      <c r="E8" s="22" t="inlineStr"/>
      <c r="F8" s="22" t="n">
        <v>0.019665</v>
      </c>
      <c r="G8" s="22" t="inlineStr">
        <is>
          <t>Open</t>
        </is>
      </c>
      <c r="H8" s="22" t="inlineStr"/>
      <c r="I8" s="24" t="n"/>
    </row>
    <row r="9" ht="30" customHeight="1">
      <c r="A9" s="42" t="inlineStr">
        <is>
          <t>https://africanmarketingconfederation.org/amc-conference-2023</t>
        </is>
      </c>
      <c r="B9" s="4" t="n">
        <v>2</v>
      </c>
      <c r="C9" s="46" t="inlineStr">
        <is>
          <t>https://africanmarketingconfederation.org/amc-conference-2023/amc-awards | https://africanmarketingconfederation.org/amc-conference-2023/amc-awards-book-now</t>
        </is>
      </c>
      <c r="D9" s="33" t="b">
        <v>0</v>
      </c>
      <c r="E9" s="4" t="inlineStr"/>
      <c r="F9" s="4" t="n">
        <v>0.035214</v>
      </c>
      <c r="G9" s="4" t="inlineStr">
        <is>
          <t>Open</t>
        </is>
      </c>
      <c r="H9" s="4" t="inlineStr"/>
    </row>
    <row r="10" ht="30" customHeight="1">
      <c r="A10" s="40" t="inlineStr">
        <is>
          <t>https://africanmarketingconfederation.org/amc-conference-2023/amc-awards-book-now</t>
        </is>
      </c>
      <c r="B10" s="22" t="n">
        <v>0</v>
      </c>
      <c r="C10" s="44" t="inlineStr"/>
      <c r="D10" s="30" t="b">
        <v>1</v>
      </c>
      <c r="E10" s="22" t="inlineStr"/>
      <c r="F10" s="22" t="n">
        <v>0.019665</v>
      </c>
      <c r="G10" s="22" t="inlineStr">
        <is>
          <t>Open</t>
        </is>
      </c>
      <c r="H10" s="22" t="inlineStr"/>
      <c r="I10" s="24" t="n"/>
    </row>
    <row r="11" ht="30" customHeight="1">
      <c r="A11" s="42" t="inlineStr">
        <is>
          <t>https://africanmarketingconfederation.org/amc-conference-2023/amc-awards</t>
        </is>
      </c>
      <c r="B11" s="4" t="n">
        <v>2</v>
      </c>
      <c r="C11" s="46" t="inlineStr">
        <is>
          <t>https://africanmarketingconfederation.org/amc-conference-2023/amc-awards | https://africanmarketingconfederation.org/amc-conference-2023/amc-awards-book-now</t>
        </is>
      </c>
      <c r="D11" s="33" t="b">
        <v>0</v>
      </c>
      <c r="E11" s="4" t="inlineStr"/>
      <c r="F11" s="4" t="n">
        <v>0.035214</v>
      </c>
      <c r="G11" s="4" t="inlineStr">
        <is>
          <t>Open</t>
        </is>
      </c>
      <c r="H11" s="4" t="inlineStr"/>
    </row>
  </sheetData>
  <autoFilter ref="A1:I11"/>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Click Depth" prompt="Click Depth. Review this metric to identify risk, then use linked tabs for details and remediation." type="custom">
      <formula1>TRUE</formula1>
    </dataValidation>
    <dataValidation sqref="F1" showDropDown="0" showInputMessage="1" showErrorMessage="0" allowBlank="1" promptTitle="Internal PageRank" prompt="Internal PageRank.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I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8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45" customWidth="1" min="2" max="2"/>
    <col width="13" customWidth="1" min="3" max="3"/>
    <col width="17" customWidth="1" min="4" max="4"/>
    <col width="19" customWidth="1" min="5" max="5"/>
    <col width="18" customWidth="1" min="6" max="6"/>
    <col width="24" customWidth="1" min="7" max="7"/>
    <col width="23" customWidth="1" min="8" max="8"/>
    <col width="40" customWidth="1" min="9" max="9"/>
    <col width="19" customWidth="1" min="10" max="10"/>
    <col width="22" customWidth="1" min="11" max="11"/>
    <col width="20" customWidth="1" min="12" max="12"/>
    <col width="21" customWidth="1" min="13" max="13"/>
    <col width="22" customWidth="1" min="14" max="14"/>
    <col width="20" customWidth="1" min="15" max="15"/>
    <col width="60" customWidth="1" min="16" max="16"/>
    <col width="19" customWidth="1" min="17" max="17"/>
  </cols>
  <sheetData>
    <row r="1">
      <c r="A1" s="21" t="inlineStr">
        <is>
          <t>Sitemap URL</t>
        </is>
      </c>
      <c r="B1" s="21" t="inlineStr">
        <is>
          <t>Final URL</t>
        </is>
      </c>
      <c r="C1" s="21" t="inlineStr">
        <is>
          <t>Status Code</t>
        </is>
      </c>
      <c r="D1" s="21" t="inlineStr">
        <is>
          <t>Found via Crawl</t>
        </is>
      </c>
      <c r="E1" s="21" t="inlineStr">
        <is>
          <t>Found via Sitemap</t>
        </is>
      </c>
      <c r="F1" s="21" t="inlineStr">
        <is>
          <t>Discovery Source</t>
        </is>
      </c>
      <c r="G1" s="21" t="inlineStr">
        <is>
          <t>In Sitemap but Non-200</t>
        </is>
      </c>
      <c r="H1" s="21" t="inlineStr">
        <is>
          <t>Sitemap URL Redirects</t>
        </is>
      </c>
      <c r="I1" s="21" t="inlineStr">
        <is>
          <t>In Sitemap but Canonicalized Elsewhere</t>
        </is>
      </c>
      <c r="J1" s="21" t="inlineStr">
        <is>
          <t>Missing &lt;lastmod&gt;</t>
        </is>
      </c>
      <c r="K1" s="21" t="inlineStr">
        <is>
          <t>Missing &lt;changefreq&gt;</t>
        </is>
      </c>
      <c r="L1" s="21" t="inlineStr">
        <is>
          <t>Missing &lt;priority&gt;</t>
        </is>
      </c>
      <c r="M1" s="21" t="inlineStr">
        <is>
          <t>Sitemap &lt;lastmod&gt;</t>
        </is>
      </c>
      <c r="N1" s="21" t="inlineStr">
        <is>
          <t>Sitemap &lt;changefreq&gt;</t>
        </is>
      </c>
      <c r="O1" s="21" t="inlineStr">
        <is>
          <t>Sitemap &lt;priority&gt;</t>
        </is>
      </c>
      <c r="P1" s="21" t="inlineStr">
        <is>
          <t>Source Sitemap</t>
        </is>
      </c>
      <c r="Q1" s="21" t="inlineStr">
        <is>
          <t>BACK TO DASHBOARD</t>
        </is>
      </c>
      <c r="R1" s="23" t="inlineStr">
        <is>
          <t>BACK TO DASHBOARD_1</t>
        </is>
      </c>
    </row>
    <row r="2">
      <c r="A2" s="47" t="inlineStr">
        <is>
          <t>https://africanmarketingconfederation.org/</t>
        </is>
      </c>
      <c r="B2" s="44" t="inlineStr">
        <is>
          <t>https://africanmarketingconfederation.org/</t>
        </is>
      </c>
      <c r="C2" s="22" t="n">
        <v>200</v>
      </c>
      <c r="D2" s="22" t="b">
        <v>1</v>
      </c>
      <c r="E2" s="22" t="b">
        <v>1</v>
      </c>
      <c r="F2" s="22" t="inlineStr">
        <is>
          <t>Both</t>
        </is>
      </c>
      <c r="G2" s="3" t="b">
        <v>0</v>
      </c>
      <c r="H2" s="44" t="n">
        <v>0</v>
      </c>
      <c r="I2" s="22" t="n">
        <v>0</v>
      </c>
      <c r="J2" s="57" t="b">
        <v>0</v>
      </c>
      <c r="K2" s="3" t="b">
        <v>0</v>
      </c>
      <c r="L2" s="3" t="b">
        <v>0</v>
      </c>
      <c r="M2" s="30" t="inlineStr">
        <is>
          <t>2026-04-29 08:23:06</t>
        </is>
      </c>
      <c r="N2" s="22" t="inlineStr">
        <is>
          <t>always</t>
        </is>
      </c>
      <c r="O2" s="22" t="n">
        <v>1</v>
      </c>
      <c r="P2" s="22" t="inlineStr">
        <is>
          <t>https://africanmarketingconfederation.org/page-sitemap.xml</t>
        </is>
      </c>
      <c r="Q2" s="22" t="inlineStr"/>
      <c r="R2" s="24" t="n"/>
    </row>
    <row r="3">
      <c r="A3" s="46" t="inlineStr">
        <is>
          <t>https://africanmarketingconfederation.org/publications-2/</t>
        </is>
      </c>
      <c r="B3" s="46" t="inlineStr"/>
      <c r="C3" s="4" t="inlineStr"/>
      <c r="D3" s="4" t="b">
        <v>0</v>
      </c>
      <c r="E3" s="4" t="b">
        <v>1</v>
      </c>
      <c r="F3" s="4" t="inlineStr">
        <is>
          <t>Sitemap</t>
        </is>
      </c>
      <c r="G3" s="25" t="b">
        <v>1</v>
      </c>
      <c r="H3" s="46" t="inlineStr"/>
      <c r="I3" s="4" t="inlineStr"/>
      <c r="J3" s="57" t="b">
        <v>0</v>
      </c>
      <c r="K3" s="3" t="b">
        <v>0</v>
      </c>
      <c r="L3" s="3" t="b">
        <v>0</v>
      </c>
      <c r="M3" s="33" t="inlineStr">
        <is>
          <t>2026-04-29 07:05:09</t>
        </is>
      </c>
      <c r="N3" s="4" t="inlineStr">
        <is>
          <t>weekly</t>
        </is>
      </c>
      <c r="O3" s="4" t="n">
        <v>0.7</v>
      </c>
      <c r="P3" s="4" t="inlineStr">
        <is>
          <t>https://africanmarketingconfederation.org/page-sitemap.xml</t>
        </is>
      </c>
      <c r="Q3" s="4" t="inlineStr"/>
    </row>
    <row r="4">
      <c r="A4" s="44" t="inlineStr">
        <is>
          <t>https://africanmarketingconfederation.org/publication-download-list/</t>
        </is>
      </c>
      <c r="B4" s="44" t="inlineStr"/>
      <c r="C4" s="22" t="inlineStr"/>
      <c r="D4" s="22" t="b">
        <v>0</v>
      </c>
      <c r="E4" s="22" t="b">
        <v>1</v>
      </c>
      <c r="F4" s="22" t="inlineStr">
        <is>
          <t>Sitemap</t>
        </is>
      </c>
      <c r="G4" s="25" t="b">
        <v>1</v>
      </c>
      <c r="H4" s="44" t="inlineStr"/>
      <c r="I4" s="22" t="inlineStr"/>
      <c r="J4" s="57" t="b">
        <v>0</v>
      </c>
      <c r="K4" s="3" t="b">
        <v>0</v>
      </c>
      <c r="L4" s="3" t="b">
        <v>0</v>
      </c>
      <c r="M4" s="30" t="inlineStr">
        <is>
          <t>2026-04-28 12:04:20</t>
        </is>
      </c>
      <c r="N4" s="22" t="inlineStr">
        <is>
          <t>weekly</t>
        </is>
      </c>
      <c r="O4" s="22" t="n">
        <v>0.7</v>
      </c>
      <c r="P4" s="22" t="inlineStr">
        <is>
          <t>https://africanmarketingconfederation.org/page-sitemap.xml</t>
        </is>
      </c>
      <c r="Q4" s="22" t="inlineStr"/>
      <c r="R4" s="24" t="n"/>
    </row>
    <row r="5">
      <c r="A5" s="46" t="inlineStr">
        <is>
          <t>https://africanmarketingconfederation.org/launch-event-2026-amc-conference/</t>
        </is>
      </c>
      <c r="B5" s="46" t="inlineStr"/>
      <c r="C5" s="4" t="inlineStr"/>
      <c r="D5" s="4" t="b">
        <v>0</v>
      </c>
      <c r="E5" s="4" t="b">
        <v>1</v>
      </c>
      <c r="F5" s="4" t="inlineStr">
        <is>
          <t>Sitemap</t>
        </is>
      </c>
      <c r="G5" s="25" t="b">
        <v>1</v>
      </c>
      <c r="H5" s="46" t="inlineStr"/>
      <c r="I5" s="4" t="inlineStr"/>
      <c r="J5" s="57" t="b">
        <v>0</v>
      </c>
      <c r="K5" s="3" t="b">
        <v>0</v>
      </c>
      <c r="L5" s="3" t="b">
        <v>0</v>
      </c>
      <c r="M5" s="33" t="inlineStr">
        <is>
          <t>2026-04-24 07:07:22</t>
        </is>
      </c>
      <c r="N5" s="4" t="inlineStr">
        <is>
          <t>weekly</t>
        </is>
      </c>
      <c r="O5" s="4" t="n">
        <v>0.7</v>
      </c>
      <c r="P5" s="4" t="inlineStr">
        <is>
          <t>https://africanmarketingconfederation.org/page-sitemap.xml</t>
        </is>
      </c>
      <c r="Q5" s="4" t="inlineStr"/>
    </row>
    <row r="6">
      <c r="A6" s="44" t="inlineStr">
        <is>
          <t>https://africanmarketingconfederation.org/amc-conference-2026/</t>
        </is>
      </c>
      <c r="B6" s="44" t="inlineStr"/>
      <c r="C6" s="22" t="inlineStr"/>
      <c r="D6" s="22" t="b">
        <v>0</v>
      </c>
      <c r="E6" s="22" t="b">
        <v>1</v>
      </c>
      <c r="F6" s="22" t="inlineStr">
        <is>
          <t>Sitemap</t>
        </is>
      </c>
      <c r="G6" s="25" t="b">
        <v>1</v>
      </c>
      <c r="H6" s="44" t="inlineStr"/>
      <c r="I6" s="22" t="inlineStr"/>
      <c r="J6" s="57" t="b">
        <v>0</v>
      </c>
      <c r="K6" s="3" t="b">
        <v>0</v>
      </c>
      <c r="L6" s="3" t="b">
        <v>0</v>
      </c>
      <c r="M6" s="30" t="inlineStr">
        <is>
          <t>2026-04-24 06:54:40</t>
        </is>
      </c>
      <c r="N6" s="22" t="inlineStr">
        <is>
          <t>weekly</t>
        </is>
      </c>
      <c r="O6" s="22" t="n">
        <v>0.7</v>
      </c>
      <c r="P6" s="22" t="inlineStr">
        <is>
          <t>https://africanmarketingconfederation.org/page-sitemap.xml</t>
        </is>
      </c>
      <c r="Q6" s="22" t="inlineStr"/>
      <c r="R6" s="24" t="n"/>
    </row>
    <row r="7">
      <c r="A7" s="46" t="inlineStr">
        <is>
          <t>https://africanmarketingconfederation.org/certified-professional-marketer-africa/</t>
        </is>
      </c>
      <c r="B7" s="46" t="inlineStr"/>
      <c r="C7" s="4" t="inlineStr"/>
      <c r="D7" s="4" t="b">
        <v>0</v>
      </c>
      <c r="E7" s="4" t="b">
        <v>1</v>
      </c>
      <c r="F7" s="4" t="inlineStr">
        <is>
          <t>Sitemap</t>
        </is>
      </c>
      <c r="G7" s="25" t="b">
        <v>1</v>
      </c>
      <c r="H7" s="46" t="inlineStr"/>
      <c r="I7" s="4" t="inlineStr"/>
      <c r="J7" s="57" t="b">
        <v>0</v>
      </c>
      <c r="K7" s="3" t="b">
        <v>0</v>
      </c>
      <c r="L7" s="3" t="b">
        <v>0</v>
      </c>
      <c r="M7" s="33" t="inlineStr">
        <is>
          <t>2026-04-20 08:17:50</t>
        </is>
      </c>
      <c r="N7" s="4" t="inlineStr">
        <is>
          <t>weekly</t>
        </is>
      </c>
      <c r="O7" s="4" t="n">
        <v>0.7</v>
      </c>
      <c r="P7" s="4" t="inlineStr">
        <is>
          <t>https://africanmarketingconfederation.org/page-sitemap.xml</t>
        </is>
      </c>
      <c r="Q7" s="4" t="inlineStr"/>
    </row>
    <row r="8">
      <c r="A8" s="44" t="inlineStr">
        <is>
          <t>https://africanmarketingconfederation.org/chartered-marketer-africa/</t>
        </is>
      </c>
      <c r="B8" s="44" t="inlineStr"/>
      <c r="C8" s="22" t="inlineStr"/>
      <c r="D8" s="22" t="b">
        <v>0</v>
      </c>
      <c r="E8" s="22" t="b">
        <v>1</v>
      </c>
      <c r="F8" s="22" t="inlineStr">
        <is>
          <t>Sitemap</t>
        </is>
      </c>
      <c r="G8" s="25" t="b">
        <v>1</v>
      </c>
      <c r="H8" s="44" t="inlineStr"/>
      <c r="I8" s="22" t="inlineStr"/>
      <c r="J8" s="57" t="b">
        <v>0</v>
      </c>
      <c r="K8" s="3" t="b">
        <v>0</v>
      </c>
      <c r="L8" s="3" t="b">
        <v>0</v>
      </c>
      <c r="M8" s="30" t="inlineStr">
        <is>
          <t>2026-04-20 07:58:07</t>
        </is>
      </c>
      <c r="N8" s="22" t="inlineStr">
        <is>
          <t>weekly</t>
        </is>
      </c>
      <c r="O8" s="22" t="n">
        <v>0.7</v>
      </c>
      <c r="P8" s="22" t="inlineStr">
        <is>
          <t>https://africanmarketingconfederation.org/page-sitemap.xml</t>
        </is>
      </c>
      <c r="Q8" s="22" t="inlineStr"/>
      <c r="R8" s="24" t="n"/>
    </row>
    <row r="9">
      <c r="A9" s="46" t="inlineStr">
        <is>
          <t>https://africanmarketingconfederation.org/education/</t>
        </is>
      </c>
      <c r="B9" s="46" t="inlineStr"/>
      <c r="C9" s="4" t="inlineStr"/>
      <c r="D9" s="4" t="b">
        <v>0</v>
      </c>
      <c r="E9" s="4" t="b">
        <v>1</v>
      </c>
      <c r="F9" s="4" t="inlineStr">
        <is>
          <t>Sitemap</t>
        </is>
      </c>
      <c r="G9" s="25" t="b">
        <v>1</v>
      </c>
      <c r="H9" s="46" t="inlineStr"/>
      <c r="I9" s="4" t="inlineStr"/>
      <c r="J9" s="57" t="b">
        <v>0</v>
      </c>
      <c r="K9" s="3" t="b">
        <v>0</v>
      </c>
      <c r="L9" s="3" t="b">
        <v>0</v>
      </c>
      <c r="M9" s="33" t="inlineStr">
        <is>
          <t>2026-04-20 06:32:38</t>
        </is>
      </c>
      <c r="N9" s="4" t="inlineStr">
        <is>
          <t>weekly</t>
        </is>
      </c>
      <c r="O9" s="4" t="n">
        <v>0.7</v>
      </c>
      <c r="P9" s="4" t="inlineStr">
        <is>
          <t>https://africanmarketingconfederation.org/page-sitemap.xml</t>
        </is>
      </c>
      <c r="Q9" s="4" t="inlineStr"/>
    </row>
    <row r="10">
      <c r="A10" s="44" t="inlineStr">
        <is>
          <t>https://africanmarketingconfederation.org/awards-2026/</t>
        </is>
      </c>
      <c r="B10" s="44" t="inlineStr"/>
      <c r="C10" s="22" t="inlineStr"/>
      <c r="D10" s="22" t="b">
        <v>0</v>
      </c>
      <c r="E10" s="22" t="b">
        <v>1</v>
      </c>
      <c r="F10" s="22" t="inlineStr">
        <is>
          <t>Sitemap</t>
        </is>
      </c>
      <c r="G10" s="25" t="b">
        <v>1</v>
      </c>
      <c r="H10" s="44" t="inlineStr"/>
      <c r="I10" s="22" t="inlineStr"/>
      <c r="J10" s="57" t="b">
        <v>0</v>
      </c>
      <c r="K10" s="3" t="b">
        <v>0</v>
      </c>
      <c r="L10" s="3" t="b">
        <v>0</v>
      </c>
      <c r="M10" s="30" t="inlineStr">
        <is>
          <t>2026-04-17 09:26:48</t>
        </is>
      </c>
      <c r="N10" s="22" t="inlineStr">
        <is>
          <t>weekly</t>
        </is>
      </c>
      <c r="O10" s="22" t="n">
        <v>0.7</v>
      </c>
      <c r="P10" s="22" t="inlineStr">
        <is>
          <t>https://africanmarketingconfederation.org/page-sitemap.xml</t>
        </is>
      </c>
      <c r="Q10" s="22" t="inlineStr"/>
      <c r="R10" s="24" t="n"/>
    </row>
    <row r="11">
      <c r="A11" s="46" t="inlineStr">
        <is>
          <t>https://africanmarketingconfederation.org/contact-us/</t>
        </is>
      </c>
      <c r="B11" s="46" t="inlineStr"/>
      <c r="C11" s="4" t="inlineStr"/>
      <c r="D11" s="4" t="b">
        <v>0</v>
      </c>
      <c r="E11" s="4" t="b">
        <v>1</v>
      </c>
      <c r="F11" s="4" t="inlineStr">
        <is>
          <t>Sitemap</t>
        </is>
      </c>
      <c r="G11" s="25" t="b">
        <v>1</v>
      </c>
      <c r="H11" s="46" t="inlineStr"/>
      <c r="I11" s="4" t="inlineStr"/>
      <c r="J11" s="57" t="b">
        <v>0</v>
      </c>
      <c r="K11" s="3" t="b">
        <v>0</v>
      </c>
      <c r="L11" s="3" t="b">
        <v>0</v>
      </c>
      <c r="M11" s="33" t="inlineStr">
        <is>
          <t>2026-04-17 08:58:32</t>
        </is>
      </c>
      <c r="N11" s="4" t="inlineStr">
        <is>
          <t>weekly</t>
        </is>
      </c>
      <c r="O11" s="4" t="n">
        <v>0.7</v>
      </c>
      <c r="P11" s="4" t="inlineStr">
        <is>
          <t>https://africanmarketingconfederation.org/page-sitemap.xml</t>
        </is>
      </c>
      <c r="Q11" s="4" t="inlineStr"/>
    </row>
    <row r="12">
      <c r="A12" s="44" t="inlineStr">
        <is>
          <t>https://africanmarketingconfederation.org/news-articles/</t>
        </is>
      </c>
      <c r="B12" s="44" t="inlineStr"/>
      <c r="C12" s="22" t="inlineStr"/>
      <c r="D12" s="22" t="b">
        <v>0</v>
      </c>
      <c r="E12" s="22" t="b">
        <v>1</v>
      </c>
      <c r="F12" s="22" t="inlineStr">
        <is>
          <t>Sitemap</t>
        </is>
      </c>
      <c r="G12" s="25" t="b">
        <v>1</v>
      </c>
      <c r="H12" s="44" t="inlineStr"/>
      <c r="I12" s="22" t="inlineStr"/>
      <c r="J12" s="57" t="b">
        <v>0</v>
      </c>
      <c r="K12" s="3" t="b">
        <v>0</v>
      </c>
      <c r="L12" s="3" t="b">
        <v>0</v>
      </c>
      <c r="M12" s="30" t="inlineStr">
        <is>
          <t>2026-04-17 08:58:00</t>
        </is>
      </c>
      <c r="N12" s="22" t="inlineStr">
        <is>
          <t>weekly</t>
        </is>
      </c>
      <c r="O12" s="22" t="n">
        <v>0.7</v>
      </c>
      <c r="P12" s="22" t="inlineStr">
        <is>
          <t>https://africanmarketingconfederation.org/page-sitemap.xml</t>
        </is>
      </c>
      <c r="Q12" s="22" t="inlineStr"/>
      <c r="R12" s="24" t="n"/>
    </row>
    <row r="13" ht="30" customHeight="1">
      <c r="A13" s="47" t="inlineStr">
        <is>
          <t>https://africanmarketingconfederation.org/african-marketing-confederation-tourism-chapter/</t>
        </is>
      </c>
      <c r="B13" s="46" t="inlineStr">
        <is>
          <t>https://africanmarketingconfederation.org/african-marketing-confederation-tourism-chapter</t>
        </is>
      </c>
      <c r="C13" s="4" t="n">
        <v>200</v>
      </c>
      <c r="D13" s="4" t="b">
        <v>1</v>
      </c>
      <c r="E13" s="4" t="b">
        <v>1</v>
      </c>
      <c r="F13" s="4" t="inlineStr">
        <is>
          <t>Both</t>
        </is>
      </c>
      <c r="G13" s="3" t="b">
        <v>0</v>
      </c>
      <c r="H13" s="46" t="n">
        <v>0</v>
      </c>
      <c r="I13" s="4" t="n">
        <v>0</v>
      </c>
      <c r="J13" s="57" t="b">
        <v>0</v>
      </c>
      <c r="K13" s="3" t="b">
        <v>0</v>
      </c>
      <c r="L13" s="3" t="b">
        <v>0</v>
      </c>
      <c r="M13" s="33" t="inlineStr">
        <is>
          <t>2026-04-17 08:55:48</t>
        </is>
      </c>
      <c r="N13" s="4" t="inlineStr">
        <is>
          <t>weekly</t>
        </is>
      </c>
      <c r="O13" s="4" t="n">
        <v>0.7</v>
      </c>
      <c r="P13" s="4" t="inlineStr">
        <is>
          <t>https://africanmarketingconfederation.org/page-sitemap.xml</t>
        </is>
      </c>
      <c r="Q13" s="4" t="inlineStr"/>
    </row>
    <row r="14">
      <c r="A14" s="44" t="inlineStr">
        <is>
          <t>https://africanmarketingconfederation.org/members/</t>
        </is>
      </c>
      <c r="B14" s="44" t="inlineStr"/>
      <c r="C14" s="22" t="inlineStr"/>
      <c r="D14" s="22" t="b">
        <v>0</v>
      </c>
      <c r="E14" s="22" t="b">
        <v>1</v>
      </c>
      <c r="F14" s="22" t="inlineStr">
        <is>
          <t>Sitemap</t>
        </is>
      </c>
      <c r="G14" s="25" t="b">
        <v>1</v>
      </c>
      <c r="H14" s="44" t="inlineStr"/>
      <c r="I14" s="22" t="inlineStr"/>
      <c r="J14" s="57" t="b">
        <v>0</v>
      </c>
      <c r="K14" s="3" t="b">
        <v>0</v>
      </c>
      <c r="L14" s="3" t="b">
        <v>0</v>
      </c>
      <c r="M14" s="30" t="inlineStr">
        <is>
          <t>2026-04-17 08:55:31</t>
        </is>
      </c>
      <c r="N14" s="22" t="inlineStr">
        <is>
          <t>weekly</t>
        </is>
      </c>
      <c r="O14" s="22" t="n">
        <v>0.7</v>
      </c>
      <c r="P14" s="22" t="inlineStr">
        <is>
          <t>https://africanmarketingconfederation.org/page-sitemap.xml</t>
        </is>
      </c>
      <c r="Q14" s="22" t="inlineStr"/>
      <c r="R14" s="24" t="n"/>
    </row>
    <row r="15">
      <c r="A15" s="46" t="inlineStr">
        <is>
          <t>https://africanmarketingconfederation.org/sub-committees/</t>
        </is>
      </c>
      <c r="B15" s="46" t="inlineStr"/>
      <c r="C15" s="4" t="inlineStr"/>
      <c r="D15" s="4" t="b">
        <v>0</v>
      </c>
      <c r="E15" s="4" t="b">
        <v>1</v>
      </c>
      <c r="F15" s="4" t="inlineStr">
        <is>
          <t>Sitemap</t>
        </is>
      </c>
      <c r="G15" s="25" t="b">
        <v>1</v>
      </c>
      <c r="H15" s="46" t="inlineStr"/>
      <c r="I15" s="4" t="inlineStr"/>
      <c r="J15" s="57" t="b">
        <v>0</v>
      </c>
      <c r="K15" s="3" t="b">
        <v>0</v>
      </c>
      <c r="L15" s="3" t="b">
        <v>0</v>
      </c>
      <c r="M15" s="33" t="inlineStr">
        <is>
          <t>2026-04-17 08:53:47</t>
        </is>
      </c>
      <c r="N15" s="4" t="inlineStr">
        <is>
          <t>weekly</t>
        </is>
      </c>
      <c r="O15" s="4" t="n">
        <v>0.7</v>
      </c>
      <c r="P15" s="4" t="inlineStr">
        <is>
          <t>https://africanmarketingconfederation.org/page-sitemap.xml</t>
        </is>
      </c>
      <c r="Q15" s="4" t="inlineStr"/>
    </row>
    <row r="16" ht="30" customHeight="1">
      <c r="A16" s="47" t="inlineStr">
        <is>
          <t>https://africanmarketingconfederation.org/about-us/</t>
        </is>
      </c>
      <c r="B16" s="44" t="inlineStr">
        <is>
          <t>https://africanmarketingconfederation.org/about-us</t>
        </is>
      </c>
      <c r="C16" s="22" t="n">
        <v>200</v>
      </c>
      <c r="D16" s="22" t="b">
        <v>1</v>
      </c>
      <c r="E16" s="22" t="b">
        <v>1</v>
      </c>
      <c r="F16" s="22" t="inlineStr">
        <is>
          <t>Both</t>
        </is>
      </c>
      <c r="G16" s="3" t="b">
        <v>0</v>
      </c>
      <c r="H16" s="44" t="n">
        <v>0</v>
      </c>
      <c r="I16" s="22" t="n">
        <v>0</v>
      </c>
      <c r="J16" s="57" t="b">
        <v>0</v>
      </c>
      <c r="K16" s="3" t="b">
        <v>0</v>
      </c>
      <c r="L16" s="3" t="b">
        <v>0</v>
      </c>
      <c r="M16" s="30" t="inlineStr">
        <is>
          <t>2026-04-17 08:53:24</t>
        </is>
      </c>
      <c r="N16" s="22" t="inlineStr">
        <is>
          <t>weekly</t>
        </is>
      </c>
      <c r="O16" s="22" t="n">
        <v>0.7</v>
      </c>
      <c r="P16" s="22" t="inlineStr">
        <is>
          <t>https://africanmarketingconfederation.org/page-sitemap.xml</t>
        </is>
      </c>
      <c r="Q16" s="22" t="inlineStr"/>
      <c r="R16" s="24" t="n"/>
    </row>
    <row r="17">
      <c r="A17" s="46" t="inlineStr">
        <is>
          <t>https://africanmarketingconfederation.org/awards-2026-1/</t>
        </is>
      </c>
      <c r="B17" s="46" t="inlineStr"/>
      <c r="C17" s="4" t="inlineStr"/>
      <c r="D17" s="4" t="b">
        <v>0</v>
      </c>
      <c r="E17" s="4" t="b">
        <v>1</v>
      </c>
      <c r="F17" s="4" t="inlineStr">
        <is>
          <t>Sitemap</t>
        </is>
      </c>
      <c r="G17" s="25" t="b">
        <v>1</v>
      </c>
      <c r="H17" s="46" t="inlineStr"/>
      <c r="I17" s="4" t="inlineStr"/>
      <c r="J17" s="57" t="b">
        <v>0</v>
      </c>
      <c r="K17" s="3" t="b">
        <v>0</v>
      </c>
      <c r="L17" s="3" t="b">
        <v>0</v>
      </c>
      <c r="M17" s="33" t="inlineStr">
        <is>
          <t>2026-04-08 11:43:29</t>
        </is>
      </c>
      <c r="N17" s="4" t="inlineStr">
        <is>
          <t>weekly</t>
        </is>
      </c>
      <c r="O17" s="4" t="n">
        <v>0.7</v>
      </c>
      <c r="P17" s="4" t="inlineStr">
        <is>
          <t>https://africanmarketingconfederation.org/page-sitemap.xml</t>
        </is>
      </c>
      <c r="Q17" s="4" t="inlineStr"/>
    </row>
    <row r="18">
      <c r="A18" s="44" t="inlineStr">
        <is>
          <t>https://africanmarketingconfederation.org/awards-2026-test/</t>
        </is>
      </c>
      <c r="B18" s="44" t="inlineStr"/>
      <c r="C18" s="22" t="inlineStr"/>
      <c r="D18" s="22" t="b">
        <v>0</v>
      </c>
      <c r="E18" s="22" t="b">
        <v>1</v>
      </c>
      <c r="F18" s="22" t="inlineStr">
        <is>
          <t>Sitemap</t>
        </is>
      </c>
      <c r="G18" s="25" t="b">
        <v>1</v>
      </c>
      <c r="H18" s="44" t="inlineStr"/>
      <c r="I18" s="22" t="inlineStr"/>
      <c r="J18" s="57" t="b">
        <v>0</v>
      </c>
      <c r="K18" s="3" t="b">
        <v>0</v>
      </c>
      <c r="L18" s="3" t="b">
        <v>0</v>
      </c>
      <c r="M18" s="30" t="inlineStr">
        <is>
          <t>2026-04-08 09:47:58</t>
        </is>
      </c>
      <c r="N18" s="22" t="inlineStr">
        <is>
          <t>weekly</t>
        </is>
      </c>
      <c r="O18" s="22" t="n">
        <v>0.7</v>
      </c>
      <c r="P18" s="22" t="inlineStr">
        <is>
          <t>https://africanmarketingconfederation.org/page-sitemap.xml</t>
        </is>
      </c>
      <c r="Q18" s="22" t="inlineStr"/>
      <c r="R18" s="24" t="n"/>
    </row>
    <row r="19">
      <c r="A19" s="46" t="inlineStr">
        <is>
          <t>https://africanmarketingconfederation.org/speakers-2025/</t>
        </is>
      </c>
      <c r="B19" s="46" t="inlineStr"/>
      <c r="C19" s="4" t="inlineStr"/>
      <c r="D19" s="4" t="b">
        <v>0</v>
      </c>
      <c r="E19" s="4" t="b">
        <v>1</v>
      </c>
      <c r="F19" s="4" t="inlineStr">
        <is>
          <t>Sitemap</t>
        </is>
      </c>
      <c r="G19" s="25" t="b">
        <v>1</v>
      </c>
      <c r="H19" s="46" t="inlineStr"/>
      <c r="I19" s="4" t="inlineStr"/>
      <c r="J19" s="57" t="b">
        <v>0</v>
      </c>
      <c r="K19" s="3" t="b">
        <v>0</v>
      </c>
      <c r="L19" s="3" t="b">
        <v>0</v>
      </c>
      <c r="M19" s="33" t="inlineStr">
        <is>
          <t>2026-03-26 12:27:48</t>
        </is>
      </c>
      <c r="N19" s="4" t="inlineStr">
        <is>
          <t>weekly</t>
        </is>
      </c>
      <c r="O19" s="4" t="n">
        <v>0.7</v>
      </c>
      <c r="P19" s="4" t="inlineStr">
        <is>
          <t>https://africanmarketingconfederation.org/page-sitemap.xml</t>
        </is>
      </c>
      <c r="Q19" s="4" t="inlineStr"/>
    </row>
    <row r="20">
      <c r="A20" s="44" t="inlineStr">
        <is>
          <t>https://africanmarketingconfederation.org/amc-conference-2026-awards-nominations-thank-you/</t>
        </is>
      </c>
      <c r="B20" s="44" t="inlineStr"/>
      <c r="C20" s="22" t="inlineStr"/>
      <c r="D20" s="22" t="b">
        <v>0</v>
      </c>
      <c r="E20" s="22" t="b">
        <v>1</v>
      </c>
      <c r="F20" s="22" t="inlineStr">
        <is>
          <t>Sitemap</t>
        </is>
      </c>
      <c r="G20" s="25" t="b">
        <v>1</v>
      </c>
      <c r="H20" s="44" t="inlineStr"/>
      <c r="I20" s="22" t="inlineStr"/>
      <c r="J20" s="57" t="b">
        <v>0</v>
      </c>
      <c r="K20" s="3" t="b">
        <v>0</v>
      </c>
      <c r="L20" s="3" t="b">
        <v>0</v>
      </c>
      <c r="M20" s="30" t="inlineStr">
        <is>
          <t>2026-03-04 07:14:00</t>
        </is>
      </c>
      <c r="N20" s="22" t="inlineStr">
        <is>
          <t>weekly</t>
        </is>
      </c>
      <c r="O20" s="22" t="n">
        <v>0.7</v>
      </c>
      <c r="P20" s="22" t="inlineStr">
        <is>
          <t>https://africanmarketingconfederation.org/page-sitemap.xml</t>
        </is>
      </c>
      <c r="Q20" s="22" t="inlineStr"/>
      <c r="R20" s="24" t="n"/>
    </row>
    <row r="21">
      <c r="A21" s="46" t="inlineStr">
        <is>
          <t>https://africanmarketingconfederation.org/amc-conference-2026-zambia-thank-you/</t>
        </is>
      </c>
      <c r="B21" s="46" t="inlineStr"/>
      <c r="C21" s="4" t="inlineStr"/>
      <c r="D21" s="4" t="b">
        <v>0</v>
      </c>
      <c r="E21" s="4" t="b">
        <v>1</v>
      </c>
      <c r="F21" s="4" t="inlineStr">
        <is>
          <t>Sitemap</t>
        </is>
      </c>
      <c r="G21" s="25" t="b">
        <v>1</v>
      </c>
      <c r="H21" s="46" t="inlineStr"/>
      <c r="I21" s="4" t="inlineStr"/>
      <c r="J21" s="57" t="b">
        <v>0</v>
      </c>
      <c r="K21" s="3" t="b">
        <v>0</v>
      </c>
      <c r="L21" s="3" t="b">
        <v>0</v>
      </c>
      <c r="M21" s="33" t="inlineStr">
        <is>
          <t>2026-03-04 06:43:52</t>
        </is>
      </c>
      <c r="N21" s="4" t="inlineStr">
        <is>
          <t>weekly</t>
        </is>
      </c>
      <c r="O21" s="4" t="n">
        <v>0.7</v>
      </c>
      <c r="P21" s="4" t="inlineStr">
        <is>
          <t>https://africanmarketingconfederation.org/page-sitemap.xml</t>
        </is>
      </c>
      <c r="Q21" s="4" t="inlineStr"/>
    </row>
    <row r="22">
      <c r="A22" s="44" t="inlineStr">
        <is>
          <t>https://africanmarketingconfederation.org/amc-launch-event-zambia-thank-you-2026/</t>
        </is>
      </c>
      <c r="B22" s="44" t="inlineStr"/>
      <c r="C22" s="22" t="inlineStr"/>
      <c r="D22" s="22" t="b">
        <v>0</v>
      </c>
      <c r="E22" s="22" t="b">
        <v>1</v>
      </c>
      <c r="F22" s="22" t="inlineStr">
        <is>
          <t>Sitemap</t>
        </is>
      </c>
      <c r="G22" s="25" t="b">
        <v>1</v>
      </c>
      <c r="H22" s="44" t="inlineStr"/>
      <c r="I22" s="22" t="inlineStr"/>
      <c r="J22" s="57" t="b">
        <v>0</v>
      </c>
      <c r="K22" s="3" t="b">
        <v>0</v>
      </c>
      <c r="L22" s="3" t="b">
        <v>0</v>
      </c>
      <c r="M22" s="30" t="inlineStr">
        <is>
          <t>2026-03-04 06:43:51</t>
        </is>
      </c>
      <c r="N22" s="22" t="inlineStr">
        <is>
          <t>weekly</t>
        </is>
      </c>
      <c r="O22" s="22" t="n">
        <v>0.7</v>
      </c>
      <c r="P22" s="22" t="inlineStr">
        <is>
          <t>https://africanmarketingconfederation.org/page-sitemap.xml</t>
        </is>
      </c>
      <c r="Q22" s="22" t="inlineStr"/>
      <c r="R22" s="24" t="n"/>
    </row>
    <row r="23">
      <c r="A23" s="46" t="inlineStr">
        <is>
          <t>https://africanmarketingconfederation.org/amc-marketing-conference-2024/awards-2025/</t>
        </is>
      </c>
      <c r="B23" s="46" t="inlineStr"/>
      <c r="C23" s="4" t="inlineStr"/>
      <c r="D23" s="4" t="b">
        <v>0</v>
      </c>
      <c r="E23" s="4" t="b">
        <v>1</v>
      </c>
      <c r="F23" s="4" t="inlineStr">
        <is>
          <t>Sitemap</t>
        </is>
      </c>
      <c r="G23" s="25" t="b">
        <v>1</v>
      </c>
      <c r="H23" s="46" t="inlineStr"/>
      <c r="I23" s="4" t="inlineStr"/>
      <c r="J23" s="57" t="b">
        <v>0</v>
      </c>
      <c r="K23" s="3" t="b">
        <v>0</v>
      </c>
      <c r="L23" s="3" t="b">
        <v>0</v>
      </c>
      <c r="M23" s="33" t="inlineStr">
        <is>
          <t>2026-02-05 07:09:45</t>
        </is>
      </c>
      <c r="N23" s="4" t="inlineStr">
        <is>
          <t>weekly</t>
        </is>
      </c>
      <c r="O23" s="4" t="n">
        <v>0.7</v>
      </c>
      <c r="P23" s="4" t="inlineStr">
        <is>
          <t>https://africanmarketingconfederation.org/page-sitemap.xml</t>
        </is>
      </c>
      <c r="Q23" s="4" t="inlineStr"/>
    </row>
    <row r="24">
      <c r="A24" s="44" t="inlineStr">
        <is>
          <t>https://africanmarketingconfederation.org/amc-conference-2025-highlights/</t>
        </is>
      </c>
      <c r="B24" s="44" t="inlineStr"/>
      <c r="C24" s="22" t="inlineStr"/>
      <c r="D24" s="22" t="b">
        <v>0</v>
      </c>
      <c r="E24" s="22" t="b">
        <v>1</v>
      </c>
      <c r="F24" s="22" t="inlineStr">
        <is>
          <t>Sitemap</t>
        </is>
      </c>
      <c r="G24" s="25" t="b">
        <v>1</v>
      </c>
      <c r="H24" s="44" t="inlineStr"/>
      <c r="I24" s="22" t="inlineStr"/>
      <c r="J24" s="57" t="b">
        <v>0</v>
      </c>
      <c r="K24" s="3" t="b">
        <v>0</v>
      </c>
      <c r="L24" s="3" t="b">
        <v>0</v>
      </c>
      <c r="M24" s="30" t="inlineStr">
        <is>
          <t>2026-01-28 11:37:11</t>
        </is>
      </c>
      <c r="N24" s="22" t="inlineStr">
        <is>
          <t>weekly</t>
        </is>
      </c>
      <c r="O24" s="22" t="n">
        <v>0.7</v>
      </c>
      <c r="P24" s="22" t="inlineStr">
        <is>
          <t>https://africanmarketingconfederation.org/page-sitemap.xml</t>
        </is>
      </c>
      <c r="Q24" s="22" t="inlineStr"/>
      <c r="R24" s="24" t="n"/>
    </row>
    <row r="25" ht="30" customHeight="1">
      <c r="A25" s="47" t="inlineStr">
        <is>
          <t>https://africanmarketingconfederation.org/amc-conference-2022/</t>
        </is>
      </c>
      <c r="B25" s="46" t="inlineStr">
        <is>
          <t>https://africanmarketingconfederation.org/amc-conference-2022</t>
        </is>
      </c>
      <c r="C25" s="4" t="n">
        <v>200</v>
      </c>
      <c r="D25" s="4" t="b">
        <v>1</v>
      </c>
      <c r="E25" s="4" t="b">
        <v>1</v>
      </c>
      <c r="F25" s="4" t="inlineStr">
        <is>
          <t>Both</t>
        </is>
      </c>
      <c r="G25" s="3" t="b">
        <v>0</v>
      </c>
      <c r="H25" s="46" t="n">
        <v>0</v>
      </c>
      <c r="I25" s="4" t="n">
        <v>0</v>
      </c>
      <c r="J25" s="57" t="b">
        <v>0</v>
      </c>
      <c r="K25" s="3" t="b">
        <v>0</v>
      </c>
      <c r="L25" s="3" t="b">
        <v>0</v>
      </c>
      <c r="M25" s="33" t="inlineStr">
        <is>
          <t>2026-01-21 00:07:32</t>
        </is>
      </c>
      <c r="N25" s="4" t="inlineStr">
        <is>
          <t>weekly</t>
        </is>
      </c>
      <c r="O25" s="4" t="n">
        <v>0.7</v>
      </c>
      <c r="P25" s="4" t="inlineStr">
        <is>
          <t>https://africanmarketingconfederation.org/page-sitemap.xml</t>
        </is>
      </c>
      <c r="Q25" s="4" t="inlineStr"/>
    </row>
    <row r="26">
      <c r="A26" s="44" t="inlineStr">
        <is>
          <t>https://africanmarketingconfederation.org/amc-conference-2023/gallery/</t>
        </is>
      </c>
      <c r="B26" s="44" t="inlineStr"/>
      <c r="C26" s="22" t="inlineStr"/>
      <c r="D26" s="22" t="b">
        <v>0</v>
      </c>
      <c r="E26" s="22" t="b">
        <v>1</v>
      </c>
      <c r="F26" s="22" t="inlineStr">
        <is>
          <t>Sitemap</t>
        </is>
      </c>
      <c r="G26" s="25" t="b">
        <v>1</v>
      </c>
      <c r="H26" s="44" t="inlineStr"/>
      <c r="I26" s="22" t="inlineStr"/>
      <c r="J26" s="57" t="b">
        <v>0</v>
      </c>
      <c r="K26" s="3" t="b">
        <v>0</v>
      </c>
      <c r="L26" s="3" t="b">
        <v>0</v>
      </c>
      <c r="M26" s="30" t="inlineStr">
        <is>
          <t>2026-01-09 00:06:37</t>
        </is>
      </c>
      <c r="N26" s="22" t="inlineStr">
        <is>
          <t>weekly</t>
        </is>
      </c>
      <c r="O26" s="22" t="n">
        <v>0.7</v>
      </c>
      <c r="P26" s="22" t="inlineStr">
        <is>
          <t>https://africanmarketingconfederation.org/page-sitemap.xml</t>
        </is>
      </c>
      <c r="Q26" s="22" t="inlineStr"/>
      <c r="R26" s="24" t="n"/>
    </row>
    <row r="27">
      <c r="A27" s="46" t="inlineStr">
        <is>
          <t>https://africanmarketingconfederation.org/conference-registrations-2024/</t>
        </is>
      </c>
      <c r="B27" s="46" t="inlineStr"/>
      <c r="C27" s="4" t="inlineStr"/>
      <c r="D27" s="4" t="b">
        <v>0</v>
      </c>
      <c r="E27" s="4" t="b">
        <v>1</v>
      </c>
      <c r="F27" s="4" t="inlineStr">
        <is>
          <t>Sitemap</t>
        </is>
      </c>
      <c r="G27" s="25" t="b">
        <v>1</v>
      </c>
      <c r="H27" s="46" t="inlineStr"/>
      <c r="I27" s="4" t="inlineStr"/>
      <c r="J27" s="57" t="b">
        <v>0</v>
      </c>
      <c r="K27" s="3" t="b">
        <v>0</v>
      </c>
      <c r="L27" s="3" t="b">
        <v>0</v>
      </c>
      <c r="M27" s="33" t="inlineStr">
        <is>
          <t>2026-01-06 00:02:42</t>
        </is>
      </c>
      <c r="N27" s="4" t="inlineStr">
        <is>
          <t>weekly</t>
        </is>
      </c>
      <c r="O27" s="4" t="n">
        <v>0.7</v>
      </c>
      <c r="P27" s="4" t="inlineStr">
        <is>
          <t>https://africanmarketingconfederation.org/page-sitemap.xml</t>
        </is>
      </c>
      <c r="Q27" s="4" t="inlineStr"/>
    </row>
    <row r="28">
      <c r="A28" s="44" t="inlineStr">
        <is>
          <t>https://africanmarketingconfederation.org/elementor-31820/</t>
        </is>
      </c>
      <c r="B28" s="44" t="inlineStr"/>
      <c r="C28" s="22" t="inlineStr"/>
      <c r="D28" s="22" t="b">
        <v>0</v>
      </c>
      <c r="E28" s="22" t="b">
        <v>1</v>
      </c>
      <c r="F28" s="22" t="inlineStr">
        <is>
          <t>Sitemap</t>
        </is>
      </c>
      <c r="G28" s="25" t="b">
        <v>1</v>
      </c>
      <c r="H28" s="44" t="inlineStr"/>
      <c r="I28" s="22" t="inlineStr"/>
      <c r="J28" s="57" t="b">
        <v>0</v>
      </c>
      <c r="K28" s="3" t="b">
        <v>0</v>
      </c>
      <c r="L28" s="3" t="b">
        <v>0</v>
      </c>
      <c r="M28" s="30" t="inlineStr">
        <is>
          <t>2025-12-10 08:14:03</t>
        </is>
      </c>
      <c r="N28" s="22" t="inlineStr">
        <is>
          <t>weekly</t>
        </is>
      </c>
      <c r="O28" s="22" t="n">
        <v>0.7</v>
      </c>
      <c r="P28" s="22" t="inlineStr">
        <is>
          <t>https://africanmarketingconfederation.org/page-sitemap.xml</t>
        </is>
      </c>
      <c r="Q28" s="22" t="inlineStr"/>
      <c r="R28" s="24" t="n"/>
    </row>
    <row r="29">
      <c r="A29" s="46" t="inlineStr">
        <is>
          <t>https://africanmarketingconfederation.org/amc-conference-2024-recap/</t>
        </is>
      </c>
      <c r="B29" s="46" t="inlineStr"/>
      <c r="C29" s="4" t="inlineStr"/>
      <c r="D29" s="4" t="b">
        <v>0</v>
      </c>
      <c r="E29" s="4" t="b">
        <v>1</v>
      </c>
      <c r="F29" s="4" t="inlineStr">
        <is>
          <t>Sitemap</t>
        </is>
      </c>
      <c r="G29" s="25" t="b">
        <v>1</v>
      </c>
      <c r="H29" s="46" t="inlineStr"/>
      <c r="I29" s="4" t="inlineStr"/>
      <c r="J29" s="57" t="b">
        <v>0</v>
      </c>
      <c r="K29" s="3" t="b">
        <v>0</v>
      </c>
      <c r="L29" s="3" t="b">
        <v>0</v>
      </c>
      <c r="M29" s="33" t="inlineStr">
        <is>
          <t>2025-09-04 11:53:34</t>
        </is>
      </c>
      <c r="N29" s="4" t="inlineStr">
        <is>
          <t>weekly</t>
        </is>
      </c>
      <c r="O29" s="4" t="n">
        <v>0.7</v>
      </c>
      <c r="P29" s="4" t="inlineStr">
        <is>
          <t>https://africanmarketingconfederation.org/page-sitemap.xml</t>
        </is>
      </c>
      <c r="Q29" s="4" t="inlineStr"/>
    </row>
    <row r="30">
      <c r="A30" s="44" t="inlineStr">
        <is>
          <t>https://africanmarketingconfederation.org/amc-marketing-conference-2024/amc-programme-2025/</t>
        </is>
      </c>
      <c r="B30" s="44" t="inlineStr"/>
      <c r="C30" s="22" t="inlineStr"/>
      <c r="D30" s="22" t="b">
        <v>0</v>
      </c>
      <c r="E30" s="22" t="b">
        <v>1</v>
      </c>
      <c r="F30" s="22" t="inlineStr">
        <is>
          <t>Sitemap</t>
        </is>
      </c>
      <c r="G30" s="25" t="b">
        <v>1</v>
      </c>
      <c r="H30" s="44" t="inlineStr"/>
      <c r="I30" s="22" t="inlineStr"/>
      <c r="J30" s="57" t="b">
        <v>0</v>
      </c>
      <c r="K30" s="3" t="b">
        <v>0</v>
      </c>
      <c r="L30" s="3" t="b">
        <v>0</v>
      </c>
      <c r="M30" s="30" t="inlineStr">
        <is>
          <t>2025-08-22 08:14:01</t>
        </is>
      </c>
      <c r="N30" s="22" t="inlineStr">
        <is>
          <t>weekly</t>
        </is>
      </c>
      <c r="O30" s="22" t="n">
        <v>0.7</v>
      </c>
      <c r="P30" s="22" t="inlineStr">
        <is>
          <t>https://africanmarketingconfederation.org/page-sitemap.xml</t>
        </is>
      </c>
      <c r="Q30" s="22" t="inlineStr"/>
      <c r="R30" s="24" t="n"/>
    </row>
    <row r="31">
      <c r="A31" s="46" t="inlineStr">
        <is>
          <t>https://africanmarketingconfederation.org/amc-conference-2025/</t>
        </is>
      </c>
      <c r="B31" s="46" t="inlineStr"/>
      <c r="C31" s="4" t="inlineStr"/>
      <c r="D31" s="4" t="b">
        <v>0</v>
      </c>
      <c r="E31" s="4" t="b">
        <v>1</v>
      </c>
      <c r="F31" s="4" t="inlineStr">
        <is>
          <t>Sitemap</t>
        </is>
      </c>
      <c r="G31" s="25" t="b">
        <v>1</v>
      </c>
      <c r="H31" s="46" t="inlineStr"/>
      <c r="I31" s="4" t="inlineStr"/>
      <c r="J31" s="57" t="b">
        <v>0</v>
      </c>
      <c r="K31" s="3" t="b">
        <v>0</v>
      </c>
      <c r="L31" s="3" t="b">
        <v>0</v>
      </c>
      <c r="M31" s="33" t="inlineStr">
        <is>
          <t>2025-08-19 11:23:21</t>
        </is>
      </c>
      <c r="N31" s="4" t="inlineStr">
        <is>
          <t>weekly</t>
        </is>
      </c>
      <c r="O31" s="4" t="n">
        <v>0.7</v>
      </c>
      <c r="P31" s="4" t="inlineStr">
        <is>
          <t>https://africanmarketingconfederation.org/page-sitemap.xml</t>
        </is>
      </c>
      <c r="Q31" s="4" t="inlineStr"/>
    </row>
    <row r="32">
      <c r="A32" s="44" t="inlineStr">
        <is>
          <t>https://africanmarketingconfederation.org/amc-sponsors-2025/</t>
        </is>
      </c>
      <c r="B32" s="44" t="inlineStr"/>
      <c r="C32" s="22" t="inlineStr"/>
      <c r="D32" s="22" t="b">
        <v>0</v>
      </c>
      <c r="E32" s="22" t="b">
        <v>1</v>
      </c>
      <c r="F32" s="22" t="inlineStr">
        <is>
          <t>Sitemap</t>
        </is>
      </c>
      <c r="G32" s="25" t="b">
        <v>1</v>
      </c>
      <c r="H32" s="44" t="inlineStr"/>
      <c r="I32" s="22" t="inlineStr"/>
      <c r="J32" s="57" t="b">
        <v>0</v>
      </c>
      <c r="K32" s="3" t="b">
        <v>0</v>
      </c>
      <c r="L32" s="3" t="b">
        <v>0</v>
      </c>
      <c r="M32" s="30" t="inlineStr">
        <is>
          <t>2025-08-18 11:53:25</t>
        </is>
      </c>
      <c r="N32" s="22" t="inlineStr">
        <is>
          <t>weekly</t>
        </is>
      </c>
      <c r="O32" s="22" t="n">
        <v>0.7</v>
      </c>
      <c r="P32" s="22" t="inlineStr">
        <is>
          <t>https://africanmarketingconfederation.org/page-sitemap.xml</t>
        </is>
      </c>
      <c r="Q32" s="22" t="inlineStr"/>
      <c r="R32" s="24" t="n"/>
    </row>
    <row r="33" ht="30" customHeight="1">
      <c r="A33" s="47" t="inlineStr">
        <is>
          <t>https://africanmarketingconfederation.org/amc-conference-2022-prospectus/</t>
        </is>
      </c>
      <c r="B33" s="46" t="inlineStr">
        <is>
          <t>https://africanmarketingconfederation.org/amc-conference-2022-prospectus</t>
        </is>
      </c>
      <c r="C33" s="4" t="n">
        <v>200</v>
      </c>
      <c r="D33" s="4" t="b">
        <v>1</v>
      </c>
      <c r="E33" s="4" t="b">
        <v>1</v>
      </c>
      <c r="F33" s="4" t="inlineStr">
        <is>
          <t>Both</t>
        </is>
      </c>
      <c r="G33" s="3" t="b">
        <v>0</v>
      </c>
      <c r="H33" s="46" t="n">
        <v>0</v>
      </c>
      <c r="I33" s="4" t="n">
        <v>0</v>
      </c>
      <c r="J33" s="57" t="b">
        <v>0</v>
      </c>
      <c r="K33" s="3" t="b">
        <v>0</v>
      </c>
      <c r="L33" s="3" t="b">
        <v>0</v>
      </c>
      <c r="M33" s="33" t="inlineStr">
        <is>
          <t>2025-07-14 07:22:03</t>
        </is>
      </c>
      <c r="N33" s="4" t="inlineStr">
        <is>
          <t>weekly</t>
        </is>
      </c>
      <c r="O33" s="4" t="n">
        <v>0.7</v>
      </c>
      <c r="P33" s="4" t="inlineStr">
        <is>
          <t>https://africanmarketingconfederation.org/page-sitemap.xml</t>
        </is>
      </c>
      <c r="Q33" s="4" t="inlineStr"/>
    </row>
    <row r="34">
      <c r="A34" s="44" t="inlineStr">
        <is>
          <t>https://africanmarketingconfederation.org/checkout/</t>
        </is>
      </c>
      <c r="B34" s="44" t="inlineStr"/>
      <c r="C34" s="22" t="inlineStr"/>
      <c r="D34" s="22" t="b">
        <v>0</v>
      </c>
      <c r="E34" s="22" t="b">
        <v>1</v>
      </c>
      <c r="F34" s="22" t="inlineStr">
        <is>
          <t>Sitemap</t>
        </is>
      </c>
      <c r="G34" s="25" t="b">
        <v>1</v>
      </c>
      <c r="H34" s="44" t="inlineStr"/>
      <c r="I34" s="22" t="inlineStr"/>
      <c r="J34" s="57" t="b">
        <v>0</v>
      </c>
      <c r="K34" s="3" t="b">
        <v>0</v>
      </c>
      <c r="L34" s="3" t="b">
        <v>0</v>
      </c>
      <c r="M34" s="30" t="inlineStr">
        <is>
          <t>2025-06-25 06:43:08</t>
        </is>
      </c>
      <c r="N34" s="22" t="inlineStr">
        <is>
          <t>weekly</t>
        </is>
      </c>
      <c r="O34" s="22" t="n">
        <v>0.7</v>
      </c>
      <c r="P34" s="22" t="inlineStr">
        <is>
          <t>https://africanmarketingconfederation.org/page-sitemap.xml</t>
        </is>
      </c>
      <c r="Q34" s="22" t="inlineStr"/>
      <c r="R34" s="24" t="n"/>
    </row>
    <row r="35">
      <c r="A35" s="46" t="inlineStr">
        <is>
          <t>https://africanmarketingconfederation.org/test-payment-gate/</t>
        </is>
      </c>
      <c r="B35" s="46" t="inlineStr"/>
      <c r="C35" s="4" t="inlineStr"/>
      <c r="D35" s="4" t="b">
        <v>0</v>
      </c>
      <c r="E35" s="4" t="b">
        <v>1</v>
      </c>
      <c r="F35" s="4" t="inlineStr">
        <is>
          <t>Sitemap</t>
        </is>
      </c>
      <c r="G35" s="25" t="b">
        <v>1</v>
      </c>
      <c r="H35" s="46" t="inlineStr"/>
      <c r="I35" s="4" t="inlineStr"/>
      <c r="J35" s="57" t="b">
        <v>0</v>
      </c>
      <c r="K35" s="3" t="b">
        <v>0</v>
      </c>
      <c r="L35" s="3" t="b">
        <v>0</v>
      </c>
      <c r="M35" s="33" t="inlineStr">
        <is>
          <t>2025-06-24 13:09:52</t>
        </is>
      </c>
      <c r="N35" s="4" t="inlineStr">
        <is>
          <t>weekly</t>
        </is>
      </c>
      <c r="O35" s="4" t="n">
        <v>0.7</v>
      </c>
      <c r="P35" s="4" t="inlineStr">
        <is>
          <t>https://africanmarketingconfederation.org/page-sitemap.xml</t>
        </is>
      </c>
      <c r="Q35" s="4" t="inlineStr"/>
    </row>
    <row r="36">
      <c r="A36" s="44" t="inlineStr">
        <is>
          <t>https://africanmarketingconfederation.org/amc-marketing-conference-2024/amc-preregister-2025/</t>
        </is>
      </c>
      <c r="B36" s="44" t="inlineStr"/>
      <c r="C36" s="22" t="inlineStr"/>
      <c r="D36" s="22" t="b">
        <v>0</v>
      </c>
      <c r="E36" s="22" t="b">
        <v>1</v>
      </c>
      <c r="F36" s="22" t="inlineStr">
        <is>
          <t>Sitemap</t>
        </is>
      </c>
      <c r="G36" s="25" t="b">
        <v>1</v>
      </c>
      <c r="H36" s="44" t="inlineStr"/>
      <c r="I36" s="22" t="inlineStr"/>
      <c r="J36" s="57" t="b">
        <v>0</v>
      </c>
      <c r="K36" s="3" t="b">
        <v>0</v>
      </c>
      <c r="L36" s="3" t="b">
        <v>0</v>
      </c>
      <c r="M36" s="30" t="inlineStr">
        <is>
          <t>2025-05-21 07:15:39</t>
        </is>
      </c>
      <c r="N36" s="22" t="inlineStr">
        <is>
          <t>weekly</t>
        </is>
      </c>
      <c r="O36" s="22" t="n">
        <v>0.7</v>
      </c>
      <c r="P36" s="22" t="inlineStr">
        <is>
          <t>https://africanmarketingconfederation.org/page-sitemap.xml</t>
        </is>
      </c>
      <c r="Q36" s="22" t="inlineStr"/>
      <c r="R36" s="24" t="n"/>
    </row>
    <row r="37">
      <c r="A37" s="46" t="inlineStr">
        <is>
          <t>https://africanmarketingconfederation.org/conference-faq-2025/</t>
        </is>
      </c>
      <c r="B37" s="46" t="inlineStr"/>
      <c r="C37" s="4" t="inlineStr"/>
      <c r="D37" s="4" t="b">
        <v>0</v>
      </c>
      <c r="E37" s="4" t="b">
        <v>1</v>
      </c>
      <c r="F37" s="4" t="inlineStr">
        <is>
          <t>Sitemap</t>
        </is>
      </c>
      <c r="G37" s="25" t="b">
        <v>1</v>
      </c>
      <c r="H37" s="46" t="inlineStr"/>
      <c r="I37" s="4" t="inlineStr"/>
      <c r="J37" s="57" t="b">
        <v>0</v>
      </c>
      <c r="K37" s="3" t="b">
        <v>0</v>
      </c>
      <c r="L37" s="3" t="b">
        <v>0</v>
      </c>
      <c r="M37" s="33" t="inlineStr">
        <is>
          <t>2025-05-16 09:55:10</t>
        </is>
      </c>
      <c r="N37" s="4" t="inlineStr">
        <is>
          <t>weekly</t>
        </is>
      </c>
      <c r="O37" s="4" t="n">
        <v>0.7</v>
      </c>
      <c r="P37" s="4" t="inlineStr">
        <is>
          <t>https://africanmarketingconfederation.org/page-sitemap.xml</t>
        </is>
      </c>
      <c r="Q37" s="4" t="inlineStr"/>
    </row>
    <row r="38">
      <c r="A38" s="44" t="inlineStr">
        <is>
          <t>https://africanmarketingconfederation.org/amc-marketing-conference-2024/amc-conference-2025-ghana-sponsors/</t>
        </is>
      </c>
      <c r="B38" s="44" t="inlineStr"/>
      <c r="C38" s="22" t="inlineStr"/>
      <c r="D38" s="22" t="b">
        <v>0</v>
      </c>
      <c r="E38" s="22" t="b">
        <v>1</v>
      </c>
      <c r="F38" s="22" t="inlineStr">
        <is>
          <t>Sitemap</t>
        </is>
      </c>
      <c r="G38" s="25" t="b">
        <v>1</v>
      </c>
      <c r="H38" s="44" t="inlineStr"/>
      <c r="I38" s="22" t="inlineStr"/>
      <c r="J38" s="57" t="b">
        <v>0</v>
      </c>
      <c r="K38" s="3" t="b">
        <v>0</v>
      </c>
      <c r="L38" s="3" t="b">
        <v>0</v>
      </c>
      <c r="M38" s="30" t="inlineStr">
        <is>
          <t>2025-05-15 13:46:52</t>
        </is>
      </c>
      <c r="N38" s="22" t="inlineStr">
        <is>
          <t>weekly</t>
        </is>
      </c>
      <c r="O38" s="22" t="n">
        <v>0.7</v>
      </c>
      <c r="P38" s="22" t="inlineStr">
        <is>
          <t>https://africanmarketingconfederation.org/page-sitemap.xml</t>
        </is>
      </c>
      <c r="Q38" s="22" t="inlineStr"/>
      <c r="R38" s="24" t="n"/>
    </row>
    <row r="39">
      <c r="A39" s="46" t="inlineStr">
        <is>
          <t>https://africanmarketingconfederation.org/amc-forum-payments/</t>
        </is>
      </c>
      <c r="B39" s="46" t="inlineStr"/>
      <c r="C39" s="4" t="inlineStr"/>
      <c r="D39" s="4" t="b">
        <v>0</v>
      </c>
      <c r="E39" s="4" t="b">
        <v>1</v>
      </c>
      <c r="F39" s="4" t="inlineStr">
        <is>
          <t>Sitemap</t>
        </is>
      </c>
      <c r="G39" s="25" t="b">
        <v>1</v>
      </c>
      <c r="H39" s="46" t="inlineStr"/>
      <c r="I39" s="4" t="inlineStr"/>
      <c r="J39" s="57" t="b">
        <v>0</v>
      </c>
      <c r="K39" s="3" t="b">
        <v>0</v>
      </c>
      <c r="L39" s="3" t="b">
        <v>0</v>
      </c>
      <c r="M39" s="33" t="inlineStr">
        <is>
          <t>2025-05-14 06:45:46</t>
        </is>
      </c>
      <c r="N39" s="4" t="inlineStr">
        <is>
          <t>weekly</t>
        </is>
      </c>
      <c r="O39" s="4" t="n">
        <v>0.7</v>
      </c>
      <c r="P39" s="4" t="inlineStr">
        <is>
          <t>https://africanmarketingconfederation.org/page-sitemap.xml</t>
        </is>
      </c>
      <c r="Q39" s="4" t="inlineStr"/>
    </row>
    <row r="40">
      <c r="A40" s="44" t="inlineStr">
        <is>
          <t>https://africanmarketingconfederation.org/amc-marketing-conference-2024/amc-launch-event-2025/</t>
        </is>
      </c>
      <c r="B40" s="44" t="inlineStr"/>
      <c r="C40" s="22" t="inlineStr"/>
      <c r="D40" s="22" t="b">
        <v>0</v>
      </c>
      <c r="E40" s="22" t="b">
        <v>1</v>
      </c>
      <c r="F40" s="22" t="inlineStr">
        <is>
          <t>Sitemap</t>
        </is>
      </c>
      <c r="G40" s="25" t="b">
        <v>1</v>
      </c>
      <c r="H40" s="44" t="inlineStr"/>
      <c r="I40" s="22" t="inlineStr"/>
      <c r="J40" s="57" t="b">
        <v>0</v>
      </c>
      <c r="K40" s="3" t="b">
        <v>0</v>
      </c>
      <c r="L40" s="3" t="b">
        <v>0</v>
      </c>
      <c r="M40" s="30" t="inlineStr">
        <is>
          <t>2025-05-06 09:54:46</t>
        </is>
      </c>
      <c r="N40" s="22" t="inlineStr">
        <is>
          <t>weekly</t>
        </is>
      </c>
      <c r="O40" s="22" t="n">
        <v>0.7</v>
      </c>
      <c r="P40" s="22" t="inlineStr">
        <is>
          <t>https://africanmarketingconfederation.org/page-sitemap.xml</t>
        </is>
      </c>
      <c r="Q40" s="22" t="inlineStr"/>
      <c r="R40" s="24" t="n"/>
    </row>
    <row r="41" ht="30" customHeight="1">
      <c r="A41" s="47" t="inlineStr">
        <is>
          <t>https://africanmarketingconfederation.org/amc-awards-2024/</t>
        </is>
      </c>
      <c r="B41" s="46" t="inlineStr">
        <is>
          <t>https://africanmarketingconfederation.org/amc-awards-2024</t>
        </is>
      </c>
      <c r="C41" s="4" t="n">
        <v>200</v>
      </c>
      <c r="D41" s="4" t="b">
        <v>1</v>
      </c>
      <c r="E41" s="4" t="b">
        <v>1</v>
      </c>
      <c r="F41" s="4" t="inlineStr">
        <is>
          <t>Both</t>
        </is>
      </c>
      <c r="G41" s="3" t="b">
        <v>0</v>
      </c>
      <c r="H41" s="46" t="n">
        <v>0</v>
      </c>
      <c r="I41" s="4" t="n">
        <v>0</v>
      </c>
      <c r="J41" s="57" t="b">
        <v>0</v>
      </c>
      <c r="K41" s="3" t="b">
        <v>0</v>
      </c>
      <c r="L41" s="3" t="b">
        <v>0</v>
      </c>
      <c r="M41" s="33" t="inlineStr">
        <is>
          <t>2025-04-24 13:54:46</t>
        </is>
      </c>
      <c r="N41" s="4" t="inlineStr">
        <is>
          <t>weekly</t>
        </is>
      </c>
      <c r="O41" s="4" t="n">
        <v>0.7</v>
      </c>
      <c r="P41" s="4" t="inlineStr">
        <is>
          <t>https://africanmarketingconfederation.org/page-sitemap.xml</t>
        </is>
      </c>
      <c r="Q41" s="4" t="inlineStr"/>
    </row>
    <row r="42" ht="30" customHeight="1">
      <c r="A42" s="47" t="inlineStr">
        <is>
          <t>https://africanmarketingconfederation.org/amc-conference-2023/</t>
        </is>
      </c>
      <c r="B42" s="44" t="inlineStr">
        <is>
          <t>https://africanmarketingconfederation.org/amc-conference-2023</t>
        </is>
      </c>
      <c r="C42" s="22" t="n">
        <v>200</v>
      </c>
      <c r="D42" s="22" t="b">
        <v>1</v>
      </c>
      <c r="E42" s="22" t="b">
        <v>1</v>
      </c>
      <c r="F42" s="22" t="inlineStr">
        <is>
          <t>Both</t>
        </is>
      </c>
      <c r="G42" s="3" t="b">
        <v>0</v>
      </c>
      <c r="H42" s="44" t="n">
        <v>0</v>
      </c>
      <c r="I42" s="22" t="n">
        <v>0</v>
      </c>
      <c r="J42" s="57" t="b">
        <v>0</v>
      </c>
      <c r="K42" s="3" t="b">
        <v>0</v>
      </c>
      <c r="L42" s="3" t="b">
        <v>0</v>
      </c>
      <c r="M42" s="30" t="inlineStr">
        <is>
          <t>2025-03-03 07:59:34</t>
        </is>
      </c>
      <c r="N42" s="22" t="inlineStr">
        <is>
          <t>weekly</t>
        </is>
      </c>
      <c r="O42" s="22" t="n">
        <v>0.7</v>
      </c>
      <c r="P42" s="22" t="inlineStr">
        <is>
          <t>https://africanmarketingconfederation.org/page-sitemap.xml</t>
        </is>
      </c>
      <c r="Q42" s="22" t="inlineStr"/>
      <c r="R42" s="24" t="n"/>
    </row>
    <row r="43">
      <c r="A43" s="46" t="inlineStr">
        <is>
          <t>https://africanmarketingconfederation.org/amc-forum-mombasa/</t>
        </is>
      </c>
      <c r="B43" s="46" t="inlineStr"/>
      <c r="C43" s="4" t="inlineStr"/>
      <c r="D43" s="4" t="b">
        <v>0</v>
      </c>
      <c r="E43" s="4" t="b">
        <v>1</v>
      </c>
      <c r="F43" s="4" t="inlineStr">
        <is>
          <t>Sitemap</t>
        </is>
      </c>
      <c r="G43" s="25" t="b">
        <v>1</v>
      </c>
      <c r="H43" s="46" t="inlineStr"/>
      <c r="I43" s="4" t="inlineStr"/>
      <c r="J43" s="57" t="b">
        <v>0</v>
      </c>
      <c r="K43" s="3" t="b">
        <v>0</v>
      </c>
      <c r="L43" s="3" t="b">
        <v>0</v>
      </c>
      <c r="M43" s="33" t="inlineStr">
        <is>
          <t>2025-02-18 07:06:42</t>
        </is>
      </c>
      <c r="N43" s="4" t="inlineStr">
        <is>
          <t>weekly</t>
        </is>
      </c>
      <c r="O43" s="4" t="n">
        <v>0.7</v>
      </c>
      <c r="P43" s="4" t="inlineStr">
        <is>
          <t>https://africanmarketingconfederation.org/page-sitemap.xml</t>
        </is>
      </c>
      <c r="Q43" s="4" t="inlineStr"/>
    </row>
    <row r="44">
      <c r="A44" s="44" t="inlineStr">
        <is>
          <t>https://africanmarketingconfederation.org/amc-marketing-conference-2024/</t>
        </is>
      </c>
      <c r="B44" s="44" t="inlineStr"/>
      <c r="C44" s="22" t="inlineStr"/>
      <c r="D44" s="22" t="b">
        <v>0</v>
      </c>
      <c r="E44" s="22" t="b">
        <v>1</v>
      </c>
      <c r="F44" s="22" t="inlineStr">
        <is>
          <t>Sitemap</t>
        </is>
      </c>
      <c r="G44" s="25" t="b">
        <v>1</v>
      </c>
      <c r="H44" s="44" t="inlineStr"/>
      <c r="I44" s="22" t="inlineStr"/>
      <c r="J44" s="57" t="b">
        <v>0</v>
      </c>
      <c r="K44" s="3" t="b">
        <v>0</v>
      </c>
      <c r="L44" s="3" t="b">
        <v>0</v>
      </c>
      <c r="M44" s="30" t="inlineStr">
        <is>
          <t>2025-02-10 13:53:27</t>
        </is>
      </c>
      <c r="N44" s="22" t="inlineStr">
        <is>
          <t>weekly</t>
        </is>
      </c>
      <c r="O44" s="22" t="n">
        <v>0.7</v>
      </c>
      <c r="P44" s="22" t="inlineStr">
        <is>
          <t>https://africanmarketingconfederation.org/page-sitemap.xml</t>
        </is>
      </c>
      <c r="Q44" s="22" t="inlineStr"/>
      <c r="R44" s="24" t="n"/>
    </row>
    <row r="45">
      <c r="A45" s="46" t="inlineStr">
        <is>
          <t>https://africanmarketingconfederation.org/amc-marketing-conference-2024/amc-speakers-presentations-2024/</t>
        </is>
      </c>
      <c r="B45" s="46" t="inlineStr"/>
      <c r="C45" s="4" t="inlineStr"/>
      <c r="D45" s="4" t="b">
        <v>0</v>
      </c>
      <c r="E45" s="4" t="b">
        <v>1</v>
      </c>
      <c r="F45" s="4" t="inlineStr">
        <is>
          <t>Sitemap</t>
        </is>
      </c>
      <c r="G45" s="25" t="b">
        <v>1</v>
      </c>
      <c r="H45" s="46" t="inlineStr"/>
      <c r="I45" s="4" t="inlineStr"/>
      <c r="J45" s="57" t="b">
        <v>0</v>
      </c>
      <c r="K45" s="3" t="b">
        <v>0</v>
      </c>
      <c r="L45" s="3" t="b">
        <v>0</v>
      </c>
      <c r="M45" s="33" t="inlineStr">
        <is>
          <t>2024-11-15 12:51:27</t>
        </is>
      </c>
      <c r="N45" s="4" t="inlineStr">
        <is>
          <t>weekly</t>
        </is>
      </c>
      <c r="O45" s="4" t="n">
        <v>0.7</v>
      </c>
      <c r="P45" s="4" t="inlineStr">
        <is>
          <t>https://africanmarketingconfederation.org/page-sitemap.xml</t>
        </is>
      </c>
      <c r="Q45" s="4" t="inlineStr"/>
    </row>
    <row r="46">
      <c r="A46" s="44" t="inlineStr">
        <is>
          <t>https://africanmarketingconfederation.org/amc-marketing-conference-2024/testimony-thank-you-page/</t>
        </is>
      </c>
      <c r="B46" s="44" t="inlineStr"/>
      <c r="C46" s="22" t="inlineStr"/>
      <c r="D46" s="22" t="b">
        <v>0</v>
      </c>
      <c r="E46" s="22" t="b">
        <v>1</v>
      </c>
      <c r="F46" s="22" t="inlineStr">
        <is>
          <t>Sitemap</t>
        </is>
      </c>
      <c r="G46" s="25" t="b">
        <v>1</v>
      </c>
      <c r="H46" s="44" t="inlineStr"/>
      <c r="I46" s="22" t="inlineStr"/>
      <c r="J46" s="57" t="b">
        <v>0</v>
      </c>
      <c r="K46" s="3" t="b">
        <v>0</v>
      </c>
      <c r="L46" s="3" t="b">
        <v>0</v>
      </c>
      <c r="M46" s="30" t="inlineStr">
        <is>
          <t>2024-11-07 06:26:44</t>
        </is>
      </c>
      <c r="N46" s="22" t="inlineStr">
        <is>
          <t>weekly</t>
        </is>
      </c>
      <c r="O46" s="22" t="n">
        <v>0.7</v>
      </c>
      <c r="P46" s="22" t="inlineStr">
        <is>
          <t>https://africanmarketingconfederation.org/page-sitemap.xml</t>
        </is>
      </c>
      <c r="Q46" s="22" t="inlineStr"/>
      <c r="R46" s="24" t="n"/>
    </row>
    <row r="47">
      <c r="A47" s="46" t="inlineStr">
        <is>
          <t>https://africanmarketingconfederation.org/amc-sign-up-now-form-2025/</t>
        </is>
      </c>
      <c r="B47" s="46" t="inlineStr"/>
      <c r="C47" s="4" t="inlineStr"/>
      <c r="D47" s="4" t="b">
        <v>0</v>
      </c>
      <c r="E47" s="4" t="b">
        <v>1</v>
      </c>
      <c r="F47" s="4" t="inlineStr">
        <is>
          <t>Sitemap</t>
        </is>
      </c>
      <c r="G47" s="25" t="b">
        <v>1</v>
      </c>
      <c r="H47" s="46" t="inlineStr"/>
      <c r="I47" s="4" t="inlineStr"/>
      <c r="J47" s="57" t="b">
        <v>0</v>
      </c>
      <c r="K47" s="3" t="b">
        <v>0</v>
      </c>
      <c r="L47" s="3" t="b">
        <v>0</v>
      </c>
      <c r="M47" s="33" t="inlineStr">
        <is>
          <t>2024-11-05 13:50:35</t>
        </is>
      </c>
      <c r="N47" s="4" t="inlineStr">
        <is>
          <t>weekly</t>
        </is>
      </c>
      <c r="O47" s="4" t="n">
        <v>0.7</v>
      </c>
      <c r="P47" s="4" t="inlineStr">
        <is>
          <t>https://africanmarketingconfederation.org/page-sitemap.xml</t>
        </is>
      </c>
      <c r="Q47" s="4" t="inlineStr"/>
    </row>
    <row r="48">
      <c r="A48" s="44" t="inlineStr">
        <is>
          <t>https://africanmarketingconfederation.org/amc-testimony-page-2024/</t>
        </is>
      </c>
      <c r="B48" s="44" t="inlineStr"/>
      <c r="C48" s="22" t="inlineStr"/>
      <c r="D48" s="22" t="b">
        <v>0</v>
      </c>
      <c r="E48" s="22" t="b">
        <v>1</v>
      </c>
      <c r="F48" s="22" t="inlineStr">
        <is>
          <t>Sitemap</t>
        </is>
      </c>
      <c r="G48" s="25" t="b">
        <v>1</v>
      </c>
      <c r="H48" s="44" t="inlineStr"/>
      <c r="I48" s="22" t="inlineStr"/>
      <c r="J48" s="57" t="b">
        <v>0</v>
      </c>
      <c r="K48" s="3" t="b">
        <v>0</v>
      </c>
      <c r="L48" s="3" t="b">
        <v>0</v>
      </c>
      <c r="M48" s="30" t="inlineStr">
        <is>
          <t>2024-11-04 11:11:25</t>
        </is>
      </c>
      <c r="N48" s="22" t="inlineStr">
        <is>
          <t>weekly</t>
        </is>
      </c>
      <c r="O48" s="22" t="n">
        <v>0.7</v>
      </c>
      <c r="P48" s="22" t="inlineStr">
        <is>
          <t>https://africanmarketingconfederation.org/page-sitemap.xml</t>
        </is>
      </c>
      <c r="Q48" s="22" t="inlineStr"/>
      <c r="R48" s="24" t="n"/>
    </row>
    <row r="49">
      <c r="A49" s="46" t="inlineStr">
        <is>
          <t>https://africanmarketingconfederation.org/amc-conference-sponsors/</t>
        </is>
      </c>
      <c r="B49" s="46" t="inlineStr"/>
      <c r="C49" s="4" t="inlineStr"/>
      <c r="D49" s="4" t="b">
        <v>0</v>
      </c>
      <c r="E49" s="4" t="b">
        <v>1</v>
      </c>
      <c r="F49" s="4" t="inlineStr">
        <is>
          <t>Sitemap</t>
        </is>
      </c>
      <c r="G49" s="25" t="b">
        <v>1</v>
      </c>
      <c r="H49" s="46" t="inlineStr"/>
      <c r="I49" s="4" t="inlineStr"/>
      <c r="J49" s="57" t="b">
        <v>0</v>
      </c>
      <c r="K49" s="3" t="b">
        <v>0</v>
      </c>
      <c r="L49" s="3" t="b">
        <v>0</v>
      </c>
      <c r="M49" s="33" t="inlineStr">
        <is>
          <t>2024-09-18 12:27:33</t>
        </is>
      </c>
      <c r="N49" s="4" t="inlineStr">
        <is>
          <t>weekly</t>
        </is>
      </c>
      <c r="O49" s="4" t="n">
        <v>0.7</v>
      </c>
      <c r="P49" s="4" t="inlineStr">
        <is>
          <t>https://africanmarketingconfederation.org/page-sitemap.xml</t>
        </is>
      </c>
      <c r="Q49" s="4" t="inlineStr"/>
    </row>
    <row r="50">
      <c r="A50" s="44" t="inlineStr">
        <is>
          <t>https://africanmarketingconfederation.org/amc-marketing-conference-2024/speakers-2024/</t>
        </is>
      </c>
      <c r="B50" s="44" t="inlineStr"/>
      <c r="C50" s="22" t="inlineStr"/>
      <c r="D50" s="22" t="b">
        <v>0</v>
      </c>
      <c r="E50" s="22" t="b">
        <v>1</v>
      </c>
      <c r="F50" s="22" t="inlineStr">
        <is>
          <t>Sitemap</t>
        </is>
      </c>
      <c r="G50" s="25" t="b">
        <v>1</v>
      </c>
      <c r="H50" s="44" t="inlineStr"/>
      <c r="I50" s="22" t="inlineStr"/>
      <c r="J50" s="57" t="b">
        <v>0</v>
      </c>
      <c r="K50" s="3" t="b">
        <v>0</v>
      </c>
      <c r="L50" s="3" t="b">
        <v>0</v>
      </c>
      <c r="M50" s="30" t="inlineStr">
        <is>
          <t>2024-09-18 12:11:23</t>
        </is>
      </c>
      <c r="N50" s="22" t="inlineStr">
        <is>
          <t>weekly</t>
        </is>
      </c>
      <c r="O50" s="22" t="n">
        <v>0.7</v>
      </c>
      <c r="P50" s="22" t="inlineStr">
        <is>
          <t>https://africanmarketingconfederation.org/page-sitemap.xml</t>
        </is>
      </c>
      <c r="Q50" s="22" t="inlineStr"/>
      <c r="R50" s="24" t="n"/>
    </row>
    <row r="51">
      <c r="A51" s="46" t="inlineStr">
        <is>
          <t>https://africanmarketingconfederation.org/thank-you-for-registering-2024-registrations/</t>
        </is>
      </c>
      <c r="B51" s="46" t="inlineStr"/>
      <c r="C51" s="4" t="inlineStr"/>
      <c r="D51" s="4" t="b">
        <v>0</v>
      </c>
      <c r="E51" s="4" t="b">
        <v>1</v>
      </c>
      <c r="F51" s="4" t="inlineStr">
        <is>
          <t>Sitemap</t>
        </is>
      </c>
      <c r="G51" s="25" t="b">
        <v>1</v>
      </c>
      <c r="H51" s="46" t="inlineStr"/>
      <c r="I51" s="4" t="inlineStr"/>
      <c r="J51" s="57" t="b">
        <v>0</v>
      </c>
      <c r="K51" s="3" t="b">
        <v>0</v>
      </c>
      <c r="L51" s="3" t="b">
        <v>0</v>
      </c>
      <c r="M51" s="33" t="inlineStr">
        <is>
          <t>2024-09-18 09:45:04</t>
        </is>
      </c>
      <c r="N51" s="4" t="inlineStr">
        <is>
          <t>weekly</t>
        </is>
      </c>
      <c r="O51" s="4" t="n">
        <v>0.7</v>
      </c>
      <c r="P51" s="4" t="inlineStr">
        <is>
          <t>https://africanmarketingconfederation.org/page-sitemap.xml</t>
        </is>
      </c>
      <c r="Q51" s="4" t="inlineStr"/>
    </row>
    <row r="52">
      <c r="A52" s="44" t="inlineStr">
        <is>
          <t>https://africanmarketingconfederation.org/download-prospectus-2024/</t>
        </is>
      </c>
      <c r="B52" s="44" t="inlineStr"/>
      <c r="C52" s="22" t="inlineStr"/>
      <c r="D52" s="22" t="b">
        <v>0</v>
      </c>
      <c r="E52" s="22" t="b">
        <v>1</v>
      </c>
      <c r="F52" s="22" t="inlineStr">
        <is>
          <t>Sitemap</t>
        </is>
      </c>
      <c r="G52" s="25" t="b">
        <v>1</v>
      </c>
      <c r="H52" s="44" t="inlineStr"/>
      <c r="I52" s="22" t="inlineStr"/>
      <c r="J52" s="57" t="b">
        <v>0</v>
      </c>
      <c r="K52" s="3" t="b">
        <v>0</v>
      </c>
      <c r="L52" s="3" t="b">
        <v>0</v>
      </c>
      <c r="M52" s="30" t="inlineStr">
        <is>
          <t>2024-09-18 09:39:20</t>
        </is>
      </c>
      <c r="N52" s="22" t="inlineStr">
        <is>
          <t>weekly</t>
        </is>
      </c>
      <c r="O52" s="22" t="n">
        <v>0.7</v>
      </c>
      <c r="P52" s="22" t="inlineStr">
        <is>
          <t>https://africanmarketingconfederation.org/page-sitemap.xml</t>
        </is>
      </c>
      <c r="Q52" s="22" t="inlineStr"/>
      <c r="R52" s="24" t="n"/>
    </row>
    <row r="53">
      <c r="A53" s="46" t="inlineStr">
        <is>
          <t>https://africanmarketingconfederation.org/thank-you-for-registering-2024-registrations-kenya/</t>
        </is>
      </c>
      <c r="B53" s="46" t="inlineStr"/>
      <c r="C53" s="4" t="inlineStr"/>
      <c r="D53" s="4" t="b">
        <v>0</v>
      </c>
      <c r="E53" s="4" t="b">
        <v>1</v>
      </c>
      <c r="F53" s="4" t="inlineStr">
        <is>
          <t>Sitemap</t>
        </is>
      </c>
      <c r="G53" s="25" t="b">
        <v>1</v>
      </c>
      <c r="H53" s="46" t="inlineStr"/>
      <c r="I53" s="4" t="inlineStr"/>
      <c r="J53" s="57" t="b">
        <v>0</v>
      </c>
      <c r="K53" s="3" t="b">
        <v>0</v>
      </c>
      <c r="L53" s="3" t="b">
        <v>0</v>
      </c>
      <c r="M53" s="33" t="inlineStr">
        <is>
          <t>2024-09-12 07:26:50</t>
        </is>
      </c>
      <c r="N53" s="4" t="inlineStr">
        <is>
          <t>weekly</t>
        </is>
      </c>
      <c r="O53" s="4" t="n">
        <v>0.7</v>
      </c>
      <c r="P53" s="4" t="inlineStr">
        <is>
          <t>https://africanmarketingconfederation.org/page-sitemap.xml</t>
        </is>
      </c>
      <c r="Q53" s="4" t="inlineStr"/>
    </row>
    <row r="54">
      <c r="A54" s="44" t="inlineStr">
        <is>
          <t>https://africanmarketingconfederation.org/subscribe/</t>
        </is>
      </c>
      <c r="B54" s="44" t="inlineStr"/>
      <c r="C54" s="22" t="inlineStr"/>
      <c r="D54" s="22" t="b">
        <v>0</v>
      </c>
      <c r="E54" s="22" t="b">
        <v>1</v>
      </c>
      <c r="F54" s="22" t="inlineStr">
        <is>
          <t>Sitemap</t>
        </is>
      </c>
      <c r="G54" s="25" t="b">
        <v>1</v>
      </c>
      <c r="H54" s="44" t="inlineStr"/>
      <c r="I54" s="22" t="inlineStr"/>
      <c r="J54" s="57" t="b">
        <v>0</v>
      </c>
      <c r="K54" s="3" t="b">
        <v>0</v>
      </c>
      <c r="L54" s="3" t="b">
        <v>0</v>
      </c>
      <c r="M54" s="30" t="inlineStr">
        <is>
          <t>2024-08-28 07:27:46</t>
        </is>
      </c>
      <c r="N54" s="22" t="inlineStr">
        <is>
          <t>weekly</t>
        </is>
      </c>
      <c r="O54" s="22" t="n">
        <v>0.7</v>
      </c>
      <c r="P54" s="22" t="inlineStr">
        <is>
          <t>https://africanmarketingconfederation.org/page-sitemap.xml</t>
        </is>
      </c>
      <c r="Q54" s="22" t="inlineStr"/>
      <c r="R54" s="24" t="n"/>
    </row>
    <row r="55">
      <c r="A55" s="46" t="inlineStr">
        <is>
          <t>https://africanmarketingconfederation.org/elementor-20341/</t>
        </is>
      </c>
      <c r="B55" s="46" t="inlineStr"/>
      <c r="C55" s="4" t="inlineStr"/>
      <c r="D55" s="4" t="b">
        <v>0</v>
      </c>
      <c r="E55" s="4" t="b">
        <v>1</v>
      </c>
      <c r="F55" s="4" t="inlineStr">
        <is>
          <t>Sitemap</t>
        </is>
      </c>
      <c r="G55" s="25" t="b">
        <v>1</v>
      </c>
      <c r="H55" s="46" t="inlineStr"/>
      <c r="I55" s="4" t="inlineStr"/>
      <c r="J55" s="57" t="b">
        <v>0</v>
      </c>
      <c r="K55" s="3" t="b">
        <v>0</v>
      </c>
      <c r="L55" s="3" t="b">
        <v>0</v>
      </c>
      <c r="M55" s="33" t="inlineStr">
        <is>
          <t>2024-08-02 13:04:38</t>
        </is>
      </c>
      <c r="N55" s="4" t="inlineStr">
        <is>
          <t>weekly</t>
        </is>
      </c>
      <c r="O55" s="4" t="n">
        <v>0.7</v>
      </c>
      <c r="P55" s="4" t="inlineStr">
        <is>
          <t>https://africanmarketingconfederation.org/page-sitemap.xml</t>
        </is>
      </c>
      <c r="Q55" s="4" t="inlineStr"/>
    </row>
    <row r="56">
      <c r="A56" s="44" t="inlineStr">
        <is>
          <t>https://africanmarketingconfederation.org/chartered-marketer-africa-programme-fee/</t>
        </is>
      </c>
      <c r="B56" s="44" t="inlineStr"/>
      <c r="C56" s="22" t="inlineStr"/>
      <c r="D56" s="22" t="b">
        <v>0</v>
      </c>
      <c r="E56" s="22" t="b">
        <v>1</v>
      </c>
      <c r="F56" s="22" t="inlineStr">
        <is>
          <t>Sitemap</t>
        </is>
      </c>
      <c r="G56" s="25" t="b">
        <v>1</v>
      </c>
      <c r="H56" s="44" t="inlineStr"/>
      <c r="I56" s="22" t="inlineStr"/>
      <c r="J56" s="57" t="b">
        <v>0</v>
      </c>
      <c r="K56" s="3" t="b">
        <v>0</v>
      </c>
      <c r="L56" s="3" t="b">
        <v>0</v>
      </c>
      <c r="M56" s="30" t="inlineStr">
        <is>
          <t>2024-07-19 08:44:04</t>
        </is>
      </c>
      <c r="N56" s="22" t="inlineStr">
        <is>
          <t>weekly</t>
        </is>
      </c>
      <c r="O56" s="22" t="n">
        <v>0.7</v>
      </c>
      <c r="P56" s="22" t="inlineStr">
        <is>
          <t>https://africanmarketingconfederation.org/page-sitemap.xml</t>
        </is>
      </c>
      <c r="Q56" s="22" t="inlineStr"/>
      <c r="R56" s="24" t="n"/>
    </row>
    <row r="57">
      <c r="A57" s="46" t="inlineStr">
        <is>
          <t>https://africanmarketingconfederation.org/chartered-marketer-africa-final-submission-fee/</t>
        </is>
      </c>
      <c r="B57" s="46" t="inlineStr"/>
      <c r="C57" s="4" t="inlineStr"/>
      <c r="D57" s="4" t="b">
        <v>0</v>
      </c>
      <c r="E57" s="4" t="b">
        <v>1</v>
      </c>
      <c r="F57" s="4" t="inlineStr">
        <is>
          <t>Sitemap</t>
        </is>
      </c>
      <c r="G57" s="25" t="b">
        <v>1</v>
      </c>
      <c r="H57" s="46" t="inlineStr"/>
      <c r="I57" s="4" t="inlineStr"/>
      <c r="J57" s="57" t="b">
        <v>0</v>
      </c>
      <c r="K57" s="3" t="b">
        <v>0</v>
      </c>
      <c r="L57" s="3" t="b">
        <v>0</v>
      </c>
      <c r="M57" s="33" t="inlineStr">
        <is>
          <t>2024-07-19 08:34:52</t>
        </is>
      </c>
      <c r="N57" s="4" t="inlineStr">
        <is>
          <t>weekly</t>
        </is>
      </c>
      <c r="O57" s="4" t="n">
        <v>0.7</v>
      </c>
      <c r="P57" s="4" t="inlineStr">
        <is>
          <t>https://africanmarketingconfederation.org/page-sitemap.xml</t>
        </is>
      </c>
      <c r="Q57" s="4" t="inlineStr"/>
    </row>
    <row r="58">
      <c r="A58" s="44" t="inlineStr">
        <is>
          <t>https://africanmarketingconfederation.org/download-brochure/</t>
        </is>
      </c>
      <c r="B58" s="44" t="inlineStr"/>
      <c r="C58" s="22" t="inlineStr"/>
      <c r="D58" s="22" t="b">
        <v>0</v>
      </c>
      <c r="E58" s="22" t="b">
        <v>1</v>
      </c>
      <c r="F58" s="22" t="inlineStr">
        <is>
          <t>Sitemap</t>
        </is>
      </c>
      <c r="G58" s="25" t="b">
        <v>1</v>
      </c>
      <c r="H58" s="44" t="inlineStr"/>
      <c r="I58" s="22" t="inlineStr"/>
      <c r="J58" s="57" t="b">
        <v>0</v>
      </c>
      <c r="K58" s="3" t="b">
        <v>0</v>
      </c>
      <c r="L58" s="3" t="b">
        <v>0</v>
      </c>
      <c r="M58" s="30" t="inlineStr">
        <is>
          <t>2024-07-09 14:28:38</t>
        </is>
      </c>
      <c r="N58" s="22" t="inlineStr">
        <is>
          <t>weekly</t>
        </is>
      </c>
      <c r="O58" s="22" t="n">
        <v>0.7</v>
      </c>
      <c r="P58" s="22" t="inlineStr">
        <is>
          <t>https://africanmarketingconfederation.org/page-sitemap.xml</t>
        </is>
      </c>
      <c r="Q58" s="22" t="inlineStr"/>
      <c r="R58" s="24" t="n"/>
    </row>
    <row r="59">
      <c r="A59" s="46" t="inlineStr">
        <is>
          <t>https://africanmarketingconfederation.org/thank-you-for-the-nomination-2024/</t>
        </is>
      </c>
      <c r="B59" s="46" t="inlineStr"/>
      <c r="C59" s="4" t="inlineStr"/>
      <c r="D59" s="4" t="b">
        <v>0</v>
      </c>
      <c r="E59" s="4" t="b">
        <v>1</v>
      </c>
      <c r="F59" s="4" t="inlineStr">
        <is>
          <t>Sitemap</t>
        </is>
      </c>
      <c r="G59" s="25" t="b">
        <v>1</v>
      </c>
      <c r="H59" s="46" t="inlineStr"/>
      <c r="I59" s="4" t="inlineStr"/>
      <c r="J59" s="57" t="b">
        <v>0</v>
      </c>
      <c r="K59" s="3" t="b">
        <v>0</v>
      </c>
      <c r="L59" s="3" t="b">
        <v>0</v>
      </c>
      <c r="M59" s="33" t="inlineStr">
        <is>
          <t>2024-06-27 12:24:46</t>
        </is>
      </c>
      <c r="N59" s="4" t="inlineStr">
        <is>
          <t>weekly</t>
        </is>
      </c>
      <c r="O59" s="4" t="n">
        <v>0.7</v>
      </c>
      <c r="P59" s="4" t="inlineStr">
        <is>
          <t>https://africanmarketingconfederation.org/page-sitemap.xml</t>
        </is>
      </c>
      <c r="Q59" s="4" t="inlineStr"/>
    </row>
    <row r="60">
      <c r="A60" s="44" t="inlineStr">
        <is>
          <t>https://africanmarketingconfederation.org/amc-conference-2024-sponsors-packages/</t>
        </is>
      </c>
      <c r="B60" s="44" t="inlineStr"/>
      <c r="C60" s="22" t="inlineStr"/>
      <c r="D60" s="22" t="b">
        <v>0</v>
      </c>
      <c r="E60" s="22" t="b">
        <v>1</v>
      </c>
      <c r="F60" s="22" t="inlineStr">
        <is>
          <t>Sitemap</t>
        </is>
      </c>
      <c r="G60" s="25" t="b">
        <v>1</v>
      </c>
      <c r="H60" s="44" t="inlineStr"/>
      <c r="I60" s="22" t="inlineStr"/>
      <c r="J60" s="57" t="b">
        <v>0</v>
      </c>
      <c r="K60" s="3" t="b">
        <v>0</v>
      </c>
      <c r="L60" s="3" t="b">
        <v>0</v>
      </c>
      <c r="M60" s="30" t="inlineStr">
        <is>
          <t>2024-06-10 14:12:23</t>
        </is>
      </c>
      <c r="N60" s="22" t="inlineStr">
        <is>
          <t>weekly</t>
        </is>
      </c>
      <c r="O60" s="22" t="n">
        <v>0.7</v>
      </c>
      <c r="P60" s="22" t="inlineStr">
        <is>
          <t>https://africanmarketingconfederation.org/page-sitemap.xml</t>
        </is>
      </c>
      <c r="Q60" s="22" t="inlineStr"/>
      <c r="R60" s="24" t="n"/>
    </row>
    <row r="61">
      <c r="A61" s="46" t="inlineStr">
        <is>
          <t>https://africanmarketingconfederation.org/thank-you-for-the-submission-2024/</t>
        </is>
      </c>
      <c r="B61" s="46" t="inlineStr"/>
      <c r="C61" s="4" t="inlineStr"/>
      <c r="D61" s="4" t="b">
        <v>0</v>
      </c>
      <c r="E61" s="4" t="b">
        <v>1</v>
      </c>
      <c r="F61" s="4" t="inlineStr">
        <is>
          <t>Sitemap</t>
        </is>
      </c>
      <c r="G61" s="25" t="b">
        <v>1</v>
      </c>
      <c r="H61" s="46" t="inlineStr"/>
      <c r="I61" s="4" t="inlineStr"/>
      <c r="J61" s="57" t="b">
        <v>0</v>
      </c>
      <c r="K61" s="3" t="b">
        <v>0</v>
      </c>
      <c r="L61" s="3" t="b">
        <v>0</v>
      </c>
      <c r="M61" s="33" t="inlineStr">
        <is>
          <t>2024-04-11 06:14:27</t>
        </is>
      </c>
      <c r="N61" s="4" t="inlineStr">
        <is>
          <t>weekly</t>
        </is>
      </c>
      <c r="O61" s="4" t="n">
        <v>0.7</v>
      </c>
      <c r="P61" s="4" t="inlineStr">
        <is>
          <t>https://africanmarketingconfederation.org/page-sitemap.xml</t>
        </is>
      </c>
      <c r="Q61" s="4" t="inlineStr"/>
    </row>
    <row r="62">
      <c r="A62" s="44" t="inlineStr">
        <is>
          <t>https://africanmarketingconfederation.org/elementor-16548/</t>
        </is>
      </c>
      <c r="B62" s="44" t="inlineStr"/>
      <c r="C62" s="22" t="inlineStr"/>
      <c r="D62" s="22" t="b">
        <v>0</v>
      </c>
      <c r="E62" s="22" t="b">
        <v>1</v>
      </c>
      <c r="F62" s="22" t="inlineStr">
        <is>
          <t>Sitemap</t>
        </is>
      </c>
      <c r="G62" s="25" t="b">
        <v>1</v>
      </c>
      <c r="H62" s="44" t="inlineStr"/>
      <c r="I62" s="22" t="inlineStr"/>
      <c r="J62" s="57" t="b">
        <v>0</v>
      </c>
      <c r="K62" s="3" t="b">
        <v>0</v>
      </c>
      <c r="L62" s="3" t="b">
        <v>0</v>
      </c>
      <c r="M62" s="30" t="inlineStr">
        <is>
          <t>2024-03-13 12:47:07</t>
        </is>
      </c>
      <c r="N62" s="22" t="inlineStr">
        <is>
          <t>weekly</t>
        </is>
      </c>
      <c r="O62" s="22" t="n">
        <v>0.7</v>
      </c>
      <c r="P62" s="22" t="inlineStr">
        <is>
          <t>https://africanmarketingconfederation.org/page-sitemap.xml</t>
        </is>
      </c>
      <c r="Q62" s="22" t="inlineStr"/>
      <c r="R62" s="24" t="n"/>
    </row>
    <row r="63">
      <c r="A63" s="46" t="inlineStr">
        <is>
          <t>https://africanmarketingconfederation.org/amc-marketing-conference-2024/programme-2024/</t>
        </is>
      </c>
      <c r="B63" s="46" t="inlineStr"/>
      <c r="C63" s="4" t="inlineStr"/>
      <c r="D63" s="4" t="b">
        <v>0</v>
      </c>
      <c r="E63" s="4" t="b">
        <v>1</v>
      </c>
      <c r="F63" s="4" t="inlineStr">
        <is>
          <t>Sitemap</t>
        </is>
      </c>
      <c r="G63" s="25" t="b">
        <v>1</v>
      </c>
      <c r="H63" s="46" t="inlineStr"/>
      <c r="I63" s="4" t="inlineStr"/>
      <c r="J63" s="57" t="b">
        <v>0</v>
      </c>
      <c r="K63" s="3" t="b">
        <v>0</v>
      </c>
      <c r="L63" s="3" t="b">
        <v>0</v>
      </c>
      <c r="M63" s="33" t="inlineStr">
        <is>
          <t>2024-02-28 14:18:29</t>
        </is>
      </c>
      <c r="N63" s="4" t="inlineStr">
        <is>
          <t>weekly</t>
        </is>
      </c>
      <c r="O63" s="4" t="n">
        <v>0.7</v>
      </c>
      <c r="P63" s="4" t="inlineStr">
        <is>
          <t>https://africanmarketingconfederation.org/page-sitemap.xml</t>
        </is>
      </c>
      <c r="Q63" s="4" t="inlineStr"/>
    </row>
    <row r="64" ht="30" customHeight="1">
      <c r="A64" s="47" t="inlineStr">
        <is>
          <t>https://africanmarketingconfederation.org/amc-conference-2023/amc-awards/</t>
        </is>
      </c>
      <c r="B64" s="44" t="inlineStr">
        <is>
          <t>https://africanmarketingconfederation.org/amc-conference-2023/amc-awards</t>
        </is>
      </c>
      <c r="C64" s="22" t="n">
        <v>200</v>
      </c>
      <c r="D64" s="22" t="b">
        <v>1</v>
      </c>
      <c r="E64" s="22" t="b">
        <v>1</v>
      </c>
      <c r="F64" s="22" t="inlineStr">
        <is>
          <t>Both</t>
        </is>
      </c>
      <c r="G64" s="3" t="b">
        <v>0</v>
      </c>
      <c r="H64" s="44" t="n">
        <v>0</v>
      </c>
      <c r="I64" s="22" t="n">
        <v>0</v>
      </c>
      <c r="J64" s="57" t="b">
        <v>0</v>
      </c>
      <c r="K64" s="3" t="b">
        <v>0</v>
      </c>
      <c r="L64" s="3" t="b">
        <v>0</v>
      </c>
      <c r="M64" s="30" t="inlineStr">
        <is>
          <t>2023-11-23 11:51:22</t>
        </is>
      </c>
      <c r="N64" s="22" t="inlineStr">
        <is>
          <t>weekly</t>
        </is>
      </c>
      <c r="O64" s="22" t="n">
        <v>0.7</v>
      </c>
      <c r="P64" s="22" t="inlineStr">
        <is>
          <t>https://africanmarketingconfederation.org/page-sitemap.xml</t>
        </is>
      </c>
      <c r="Q64" s="22" t="inlineStr"/>
      <c r="R64" s="24" t="n"/>
    </row>
    <row r="65">
      <c r="A65" s="46" t="inlineStr">
        <is>
          <t>https://africanmarketingconfederation.org/amc-conference-2023/programme/</t>
        </is>
      </c>
      <c r="B65" s="46" t="inlineStr"/>
      <c r="C65" s="4" t="inlineStr"/>
      <c r="D65" s="4" t="b">
        <v>0</v>
      </c>
      <c r="E65" s="4" t="b">
        <v>1</v>
      </c>
      <c r="F65" s="4" t="inlineStr">
        <is>
          <t>Sitemap</t>
        </is>
      </c>
      <c r="G65" s="25" t="b">
        <v>1</v>
      </c>
      <c r="H65" s="46" t="inlineStr"/>
      <c r="I65" s="4" t="inlineStr"/>
      <c r="J65" s="57" t="b">
        <v>0</v>
      </c>
      <c r="K65" s="3" t="b">
        <v>0</v>
      </c>
      <c r="L65" s="3" t="b">
        <v>0</v>
      </c>
      <c r="M65" s="33" t="inlineStr">
        <is>
          <t>2023-11-23 11:27:20</t>
        </is>
      </c>
      <c r="N65" s="4" t="inlineStr">
        <is>
          <t>weekly</t>
        </is>
      </c>
      <c r="O65" s="4" t="n">
        <v>0.7</v>
      </c>
      <c r="P65" s="4" t="inlineStr">
        <is>
          <t>https://africanmarketingconfederation.org/page-sitemap.xml</t>
        </is>
      </c>
      <c r="Q65" s="4" t="inlineStr"/>
    </row>
    <row r="66">
      <c r="A66" s="44" t="inlineStr">
        <is>
          <t>https://africanmarketingconfederation.org/amc-conference-2023/partners/</t>
        </is>
      </c>
      <c r="B66" s="44" t="inlineStr"/>
      <c r="C66" s="22" t="inlineStr"/>
      <c r="D66" s="22" t="b">
        <v>0</v>
      </c>
      <c r="E66" s="22" t="b">
        <v>1</v>
      </c>
      <c r="F66" s="22" t="inlineStr">
        <is>
          <t>Sitemap</t>
        </is>
      </c>
      <c r="G66" s="25" t="b">
        <v>1</v>
      </c>
      <c r="H66" s="44" t="inlineStr"/>
      <c r="I66" s="22" t="inlineStr"/>
      <c r="J66" s="57" t="b">
        <v>0</v>
      </c>
      <c r="K66" s="3" t="b">
        <v>0</v>
      </c>
      <c r="L66" s="3" t="b">
        <v>0</v>
      </c>
      <c r="M66" s="30" t="inlineStr">
        <is>
          <t>2023-08-24 11:13:02</t>
        </is>
      </c>
      <c r="N66" s="22" t="inlineStr">
        <is>
          <t>weekly</t>
        </is>
      </c>
      <c r="O66" s="22" t="n">
        <v>0.7</v>
      </c>
      <c r="P66" s="22" t="inlineStr">
        <is>
          <t>https://africanmarketingconfederation.org/page-sitemap.xml</t>
        </is>
      </c>
      <c r="Q66" s="22" t="inlineStr"/>
      <c r="R66" s="24" t="n"/>
    </row>
    <row r="67">
      <c r="A67" s="46" t="inlineStr">
        <is>
          <t>https://africanmarketingconfederation.org/amc-conference-2023/speakers/</t>
        </is>
      </c>
      <c r="B67" s="46" t="inlineStr"/>
      <c r="C67" s="4" t="inlineStr"/>
      <c r="D67" s="4" t="b">
        <v>0</v>
      </c>
      <c r="E67" s="4" t="b">
        <v>1</v>
      </c>
      <c r="F67" s="4" t="inlineStr">
        <is>
          <t>Sitemap</t>
        </is>
      </c>
      <c r="G67" s="25" t="b">
        <v>1</v>
      </c>
      <c r="H67" s="46" t="inlineStr"/>
      <c r="I67" s="4" t="inlineStr"/>
      <c r="J67" s="57" t="b">
        <v>0</v>
      </c>
      <c r="K67" s="3" t="b">
        <v>0</v>
      </c>
      <c r="L67" s="3" t="b">
        <v>0</v>
      </c>
      <c r="M67" s="33" t="inlineStr">
        <is>
          <t>2023-08-24 10:11:48</t>
        </is>
      </c>
      <c r="N67" s="4" t="inlineStr">
        <is>
          <t>weekly</t>
        </is>
      </c>
      <c r="O67" s="4" t="n">
        <v>0.7</v>
      </c>
      <c r="P67" s="4" t="inlineStr">
        <is>
          <t>https://africanmarketingconfederation.org/page-sitemap.xml</t>
        </is>
      </c>
      <c r="Q67" s="4" t="inlineStr"/>
    </row>
    <row r="68">
      <c r="A68" s="44" t="inlineStr">
        <is>
          <t>https://africanmarketingconfederation.org/chartered-marketer-africa-thank-you/</t>
        </is>
      </c>
      <c r="B68" s="44" t="inlineStr"/>
      <c r="C68" s="22" t="inlineStr"/>
      <c r="D68" s="22" t="b">
        <v>0</v>
      </c>
      <c r="E68" s="22" t="b">
        <v>1</v>
      </c>
      <c r="F68" s="22" t="inlineStr">
        <is>
          <t>Sitemap</t>
        </is>
      </c>
      <c r="G68" s="25" t="b">
        <v>1</v>
      </c>
      <c r="H68" s="44" t="inlineStr"/>
      <c r="I68" s="22" t="inlineStr"/>
      <c r="J68" s="57" t="b">
        <v>0</v>
      </c>
      <c r="K68" s="3" t="b">
        <v>0</v>
      </c>
      <c r="L68" s="3" t="b">
        <v>0</v>
      </c>
      <c r="M68" s="30" t="inlineStr">
        <is>
          <t>2023-08-24 09:37:32</t>
        </is>
      </c>
      <c r="N68" s="22" t="inlineStr">
        <is>
          <t>weekly</t>
        </is>
      </c>
      <c r="O68" s="22" t="n">
        <v>0.7</v>
      </c>
      <c r="P68" s="22" t="inlineStr">
        <is>
          <t>https://africanmarketingconfederation.org/page-sitemap.xml</t>
        </is>
      </c>
      <c r="Q68" s="22" t="inlineStr"/>
      <c r="R68" s="24" t="n"/>
    </row>
    <row r="69" ht="30" customHeight="1">
      <c r="A69" s="47" t="inlineStr">
        <is>
          <t>https://africanmarketingconfederation.org/amc-conference-2023/amc-awards-book-now/</t>
        </is>
      </c>
      <c r="B69" s="46" t="inlineStr">
        <is>
          <t>https://africanmarketingconfederation.org/amc-conference-2023/amc-awards-book-now</t>
        </is>
      </c>
      <c r="C69" s="4" t="n">
        <v>200</v>
      </c>
      <c r="D69" s="4" t="b">
        <v>1</v>
      </c>
      <c r="E69" s="4" t="b">
        <v>1</v>
      </c>
      <c r="F69" s="4" t="inlineStr">
        <is>
          <t>Both</t>
        </is>
      </c>
      <c r="G69" s="3" t="b">
        <v>0</v>
      </c>
      <c r="H69" s="46" t="n">
        <v>0</v>
      </c>
      <c r="I69" s="4" t="n">
        <v>0</v>
      </c>
      <c r="J69" s="57" t="b">
        <v>0</v>
      </c>
      <c r="K69" s="3" t="b">
        <v>0</v>
      </c>
      <c r="L69" s="3" t="b">
        <v>0</v>
      </c>
      <c r="M69" s="33" t="inlineStr">
        <is>
          <t>2023-08-22 14:14:41</t>
        </is>
      </c>
      <c r="N69" s="4" t="inlineStr">
        <is>
          <t>weekly</t>
        </is>
      </c>
      <c r="O69" s="4" t="n">
        <v>0.7</v>
      </c>
      <c r="P69" s="4" t="inlineStr">
        <is>
          <t>https://africanmarketingconfederation.org/page-sitemap.xml</t>
        </is>
      </c>
      <c r="Q69" s="4" t="inlineStr"/>
    </row>
    <row r="70">
      <c r="A70" s="44" t="inlineStr">
        <is>
          <t>https://africanmarketingconfederation.org/amc-conference-2023/book-now/</t>
        </is>
      </c>
      <c r="B70" s="44" t="inlineStr"/>
      <c r="C70" s="22" t="inlineStr"/>
      <c r="D70" s="22" t="b">
        <v>0</v>
      </c>
      <c r="E70" s="22" t="b">
        <v>1</v>
      </c>
      <c r="F70" s="22" t="inlineStr">
        <is>
          <t>Sitemap</t>
        </is>
      </c>
      <c r="G70" s="25" t="b">
        <v>1</v>
      </c>
      <c r="H70" s="44" t="inlineStr"/>
      <c r="I70" s="22" t="inlineStr"/>
      <c r="J70" s="57" t="b">
        <v>0</v>
      </c>
      <c r="K70" s="3" t="b">
        <v>0</v>
      </c>
      <c r="L70" s="3" t="b">
        <v>0</v>
      </c>
      <c r="M70" s="30" t="inlineStr">
        <is>
          <t>2023-08-21 11:57:28</t>
        </is>
      </c>
      <c r="N70" s="22" t="inlineStr">
        <is>
          <t>weekly</t>
        </is>
      </c>
      <c r="O70" s="22" t="n">
        <v>0.7</v>
      </c>
      <c r="P70" s="22" t="inlineStr">
        <is>
          <t>https://africanmarketingconfederation.org/page-sitemap.xml</t>
        </is>
      </c>
      <c r="Q70" s="22" t="inlineStr"/>
      <c r="R70" s="24" t="n"/>
    </row>
    <row r="71">
      <c r="A71" s="46" t="inlineStr">
        <is>
          <t>https://africanmarketingconfederation.org/amc-conference-2023/download-prospectus/</t>
        </is>
      </c>
      <c r="B71" s="46" t="inlineStr"/>
      <c r="C71" s="4" t="inlineStr"/>
      <c r="D71" s="4" t="b">
        <v>0</v>
      </c>
      <c r="E71" s="4" t="b">
        <v>1</v>
      </c>
      <c r="F71" s="4" t="inlineStr">
        <is>
          <t>Sitemap</t>
        </is>
      </c>
      <c r="G71" s="25" t="b">
        <v>1</v>
      </c>
      <c r="H71" s="46" t="inlineStr"/>
      <c r="I71" s="4" t="inlineStr"/>
      <c r="J71" s="57" t="b">
        <v>0</v>
      </c>
      <c r="K71" s="3" t="b">
        <v>0</v>
      </c>
      <c r="L71" s="3" t="b">
        <v>0</v>
      </c>
      <c r="M71" s="33" t="inlineStr">
        <is>
          <t>2023-08-21 10:54:35</t>
        </is>
      </c>
      <c r="N71" s="4" t="inlineStr">
        <is>
          <t>weekly</t>
        </is>
      </c>
      <c r="O71" s="4" t="n">
        <v>0.7</v>
      </c>
      <c r="P71" s="4" t="inlineStr">
        <is>
          <t>https://africanmarketingconfederation.org/page-sitemap.xml</t>
        </is>
      </c>
      <c r="Q71" s="4" t="inlineStr"/>
    </row>
    <row r="72">
      <c r="A72" s="44" t="inlineStr">
        <is>
          <t>https://africanmarketingconfederation.org/amc-conference-2023/book-now-thank-you/</t>
        </is>
      </c>
      <c r="B72" s="44" t="inlineStr"/>
      <c r="C72" s="22" t="inlineStr"/>
      <c r="D72" s="22" t="b">
        <v>0</v>
      </c>
      <c r="E72" s="22" t="b">
        <v>1</v>
      </c>
      <c r="F72" s="22" t="inlineStr">
        <is>
          <t>Sitemap</t>
        </is>
      </c>
      <c r="G72" s="25" t="b">
        <v>1</v>
      </c>
      <c r="H72" s="44" t="inlineStr"/>
      <c r="I72" s="22" t="inlineStr"/>
      <c r="J72" s="57" t="b">
        <v>0</v>
      </c>
      <c r="K72" s="3" t="b">
        <v>0</v>
      </c>
      <c r="L72" s="3" t="b">
        <v>0</v>
      </c>
      <c r="M72" s="30" t="inlineStr">
        <is>
          <t>2023-07-03 10:10:31</t>
        </is>
      </c>
      <c r="N72" s="22" t="inlineStr">
        <is>
          <t>weekly</t>
        </is>
      </c>
      <c r="O72" s="22" t="n">
        <v>0.7</v>
      </c>
      <c r="P72" s="22" t="inlineStr">
        <is>
          <t>https://africanmarketingconfederation.org/page-sitemap.xml</t>
        </is>
      </c>
      <c r="Q72" s="22" t="inlineStr"/>
      <c r="R72" s="24" t="n"/>
    </row>
    <row r="73">
      <c r="A73" s="46" t="inlineStr">
        <is>
          <t>https://africanmarketingconfederation.org/amc-conference-thank-you/</t>
        </is>
      </c>
      <c r="B73" s="46" t="inlineStr"/>
      <c r="C73" s="4" t="inlineStr"/>
      <c r="D73" s="4" t="b">
        <v>0</v>
      </c>
      <c r="E73" s="4" t="b">
        <v>1</v>
      </c>
      <c r="F73" s="4" t="inlineStr">
        <is>
          <t>Sitemap</t>
        </is>
      </c>
      <c r="G73" s="25" t="b">
        <v>1</v>
      </c>
      <c r="H73" s="46" t="inlineStr"/>
      <c r="I73" s="4" t="inlineStr"/>
      <c r="J73" s="57" t="b">
        <v>0</v>
      </c>
      <c r="K73" s="3" t="b">
        <v>0</v>
      </c>
      <c r="L73" s="3" t="b">
        <v>0</v>
      </c>
      <c r="M73" s="33" t="inlineStr">
        <is>
          <t>2023-07-03 08:39:05</t>
        </is>
      </c>
      <c r="N73" s="4" t="inlineStr">
        <is>
          <t>weekly</t>
        </is>
      </c>
      <c r="O73" s="4" t="n">
        <v>0.7</v>
      </c>
      <c r="P73" s="4" t="inlineStr">
        <is>
          <t>https://africanmarketingconfederation.org/page-sitemap.xml</t>
        </is>
      </c>
      <c r="Q73" s="4" t="inlineStr"/>
    </row>
    <row r="74">
      <c r="A74" s="44" t="inlineStr">
        <is>
          <t>https://africanmarketingconfederation.org/upcoming-events/</t>
        </is>
      </c>
      <c r="B74" s="44" t="inlineStr"/>
      <c r="C74" s="22" t="inlineStr"/>
      <c r="D74" s="22" t="b">
        <v>0</v>
      </c>
      <c r="E74" s="22" t="b">
        <v>1</v>
      </c>
      <c r="F74" s="22" t="inlineStr">
        <is>
          <t>Sitemap</t>
        </is>
      </c>
      <c r="G74" s="25" t="b">
        <v>1</v>
      </c>
      <c r="H74" s="44" t="inlineStr"/>
      <c r="I74" s="22" t="inlineStr"/>
      <c r="J74" s="57" t="b">
        <v>0</v>
      </c>
      <c r="K74" s="3" t="b">
        <v>0</v>
      </c>
      <c r="L74" s="3" t="b">
        <v>0</v>
      </c>
      <c r="M74" s="30" t="inlineStr">
        <is>
          <t>2023-01-18 11:02:32</t>
        </is>
      </c>
      <c r="N74" s="22" t="inlineStr">
        <is>
          <t>weekly</t>
        </is>
      </c>
      <c r="O74" s="22" t="n">
        <v>0.7</v>
      </c>
      <c r="P74" s="22" t="inlineStr">
        <is>
          <t>https://africanmarketingconfederation.org/page-sitemap.xml</t>
        </is>
      </c>
      <c r="Q74" s="22" t="inlineStr"/>
      <c r="R74" s="24" t="n"/>
    </row>
    <row r="75">
      <c r="A75" s="46" t="inlineStr">
        <is>
          <t>https://africanmarketingconfederation.org/thank-you-for-subscribing/</t>
        </is>
      </c>
      <c r="B75" s="46" t="inlineStr"/>
      <c r="C75" s="4" t="inlineStr"/>
      <c r="D75" s="4" t="b">
        <v>0</v>
      </c>
      <c r="E75" s="4" t="b">
        <v>1</v>
      </c>
      <c r="F75" s="4" t="inlineStr">
        <is>
          <t>Sitemap</t>
        </is>
      </c>
      <c r="G75" s="25" t="b">
        <v>1</v>
      </c>
      <c r="H75" s="46" t="inlineStr"/>
      <c r="I75" s="4" t="inlineStr"/>
      <c r="J75" s="57" t="b">
        <v>0</v>
      </c>
      <c r="K75" s="3" t="b">
        <v>0</v>
      </c>
      <c r="L75" s="3" t="b">
        <v>0</v>
      </c>
      <c r="M75" s="33" t="inlineStr">
        <is>
          <t>2022-07-20 13:41:07</t>
        </is>
      </c>
      <c r="N75" s="4" t="inlineStr">
        <is>
          <t>weekly</t>
        </is>
      </c>
      <c r="O75" s="4" t="n">
        <v>0.7</v>
      </c>
      <c r="P75" s="4" t="inlineStr">
        <is>
          <t>https://africanmarketingconfederation.org/page-sitemap.xml</t>
        </is>
      </c>
      <c r="Q75" s="4" t="inlineStr"/>
    </row>
    <row r="76">
      <c r="A76" s="44" t="inlineStr">
        <is>
          <t>https://africanmarketingconfederation.org/amc-relaunch-programme/</t>
        </is>
      </c>
      <c r="B76" s="44" t="inlineStr"/>
      <c r="C76" s="22" t="inlineStr"/>
      <c r="D76" s="22" t="b">
        <v>0</v>
      </c>
      <c r="E76" s="22" t="b">
        <v>1</v>
      </c>
      <c r="F76" s="22" t="inlineStr">
        <is>
          <t>Sitemap</t>
        </is>
      </c>
      <c r="G76" s="25" t="b">
        <v>1</v>
      </c>
      <c r="H76" s="44" t="inlineStr"/>
      <c r="I76" s="22" t="inlineStr"/>
      <c r="J76" s="57" t="b">
        <v>0</v>
      </c>
      <c r="K76" s="3" t="b">
        <v>0</v>
      </c>
      <c r="L76" s="3" t="b">
        <v>0</v>
      </c>
      <c r="M76" s="30" t="inlineStr">
        <is>
          <t>2022-06-03 08:52:21</t>
        </is>
      </c>
      <c r="N76" s="22" t="inlineStr">
        <is>
          <t>weekly</t>
        </is>
      </c>
      <c r="O76" s="22" t="n">
        <v>0.7</v>
      </c>
      <c r="P76" s="22" t="inlineStr">
        <is>
          <t>https://africanmarketingconfederation.org/page-sitemap.xml</t>
        </is>
      </c>
      <c r="Q76" s="22" t="inlineStr"/>
      <c r="R76" s="24" t="n"/>
    </row>
    <row r="77">
      <c r="A77" s="46" t="inlineStr">
        <is>
          <t>https://africanmarketingconfederation.org/amc-masterclass/</t>
        </is>
      </c>
      <c r="B77" s="46" t="inlineStr"/>
      <c r="C77" s="4" t="inlineStr"/>
      <c r="D77" s="4" t="b">
        <v>0</v>
      </c>
      <c r="E77" s="4" t="b">
        <v>1</v>
      </c>
      <c r="F77" s="4" t="inlineStr">
        <is>
          <t>Sitemap</t>
        </is>
      </c>
      <c r="G77" s="25" t="b">
        <v>1</v>
      </c>
      <c r="H77" s="46" t="inlineStr"/>
      <c r="I77" s="4" t="inlineStr"/>
      <c r="J77" s="57" t="b">
        <v>0</v>
      </c>
      <c r="K77" s="3" t="b">
        <v>0</v>
      </c>
      <c r="L77" s="3" t="b">
        <v>0</v>
      </c>
      <c r="M77" s="33" t="inlineStr">
        <is>
          <t>2022-06-02 12:03:41</t>
        </is>
      </c>
      <c r="N77" s="4" t="inlineStr">
        <is>
          <t>weekly</t>
        </is>
      </c>
      <c r="O77" s="4" t="n">
        <v>0.7</v>
      </c>
      <c r="P77" s="4" t="inlineStr">
        <is>
          <t>https://africanmarketingconfederation.org/page-sitemap.xml</t>
        </is>
      </c>
      <c r="Q77" s="4" t="inlineStr"/>
    </row>
    <row r="78">
      <c r="A78" s="44" t="inlineStr">
        <is>
          <t>https://africanmarketingconfederation.org/amc-masterclass-thank-you/</t>
        </is>
      </c>
      <c r="B78" s="44" t="inlineStr"/>
      <c r="C78" s="22" t="inlineStr"/>
      <c r="D78" s="22" t="b">
        <v>0</v>
      </c>
      <c r="E78" s="22" t="b">
        <v>1</v>
      </c>
      <c r="F78" s="22" t="inlineStr">
        <is>
          <t>Sitemap</t>
        </is>
      </c>
      <c r="G78" s="25" t="b">
        <v>1</v>
      </c>
      <c r="H78" s="44" t="inlineStr"/>
      <c r="I78" s="22" t="inlineStr"/>
      <c r="J78" s="57" t="b">
        <v>0</v>
      </c>
      <c r="K78" s="3" t="b">
        <v>0</v>
      </c>
      <c r="L78" s="3" t="b">
        <v>0</v>
      </c>
      <c r="M78" s="30" t="inlineStr">
        <is>
          <t>2022-04-22 11:41:56</t>
        </is>
      </c>
      <c r="N78" s="22" t="inlineStr">
        <is>
          <t>weekly</t>
        </is>
      </c>
      <c r="O78" s="22" t="n">
        <v>0.7</v>
      </c>
      <c r="P78" s="22" t="inlineStr">
        <is>
          <t>https://africanmarketingconfederation.org/page-sitemap.xml</t>
        </is>
      </c>
      <c r="Q78" s="22" t="inlineStr"/>
      <c r="R78" s="24" t="n"/>
    </row>
    <row r="79">
      <c r="A79" s="46" t="inlineStr">
        <is>
          <t>https://africanmarketingconfederation.org/amc-masterclass-bookings/</t>
        </is>
      </c>
      <c r="B79" s="46" t="inlineStr"/>
      <c r="C79" s="4" t="inlineStr"/>
      <c r="D79" s="4" t="b">
        <v>0</v>
      </c>
      <c r="E79" s="4" t="b">
        <v>1</v>
      </c>
      <c r="F79" s="4" t="inlineStr">
        <is>
          <t>Sitemap</t>
        </is>
      </c>
      <c r="G79" s="25" t="b">
        <v>1</v>
      </c>
      <c r="H79" s="46" t="inlineStr"/>
      <c r="I79" s="4" t="inlineStr"/>
      <c r="J79" s="57" t="b">
        <v>0</v>
      </c>
      <c r="K79" s="3" t="b">
        <v>0</v>
      </c>
      <c r="L79" s="3" t="b">
        <v>0</v>
      </c>
      <c r="M79" s="33" t="inlineStr">
        <is>
          <t>2022-04-22 10:58:21</t>
        </is>
      </c>
      <c r="N79" s="4" t="inlineStr">
        <is>
          <t>weekly</t>
        </is>
      </c>
      <c r="O79" s="4" t="n">
        <v>0.7</v>
      </c>
      <c r="P79" s="4" t="inlineStr">
        <is>
          <t>https://africanmarketingconfederation.org/page-sitemap.xml</t>
        </is>
      </c>
      <c r="Q79" s="4" t="inlineStr"/>
    </row>
    <row r="80">
      <c r="A80" s="44" t="inlineStr">
        <is>
          <t>https://africanmarketingconfederation.org/amc-conference-programme/</t>
        </is>
      </c>
      <c r="B80" s="44" t="inlineStr"/>
      <c r="C80" s="22" t="inlineStr"/>
      <c r="D80" s="22" t="b">
        <v>0</v>
      </c>
      <c r="E80" s="22" t="b">
        <v>1</v>
      </c>
      <c r="F80" s="22" t="inlineStr">
        <is>
          <t>Sitemap</t>
        </is>
      </c>
      <c r="G80" s="25" t="b">
        <v>1</v>
      </c>
      <c r="H80" s="44" t="inlineStr"/>
      <c r="I80" s="22" t="inlineStr"/>
      <c r="J80" s="57" t="b">
        <v>0</v>
      </c>
      <c r="K80" s="3" t="b">
        <v>0</v>
      </c>
      <c r="L80" s="3" t="b">
        <v>0</v>
      </c>
      <c r="M80" s="30" t="inlineStr">
        <is>
          <t>2022-01-17 12:56:25</t>
        </is>
      </c>
      <c r="N80" s="22" t="inlineStr">
        <is>
          <t>weekly</t>
        </is>
      </c>
      <c r="O80" s="22" t="n">
        <v>0.7</v>
      </c>
      <c r="P80" s="22" t="inlineStr">
        <is>
          <t>https://africanmarketingconfederation.org/page-sitemap.xml</t>
        </is>
      </c>
      <c r="Q80" s="22" t="inlineStr"/>
      <c r="R80" s="24" t="n"/>
    </row>
    <row r="81">
      <c r="A81" s="46" t="inlineStr">
        <is>
          <t>https://africanmarketingconfederation.org/virtual-programme/</t>
        </is>
      </c>
      <c r="B81" s="46" t="inlineStr"/>
      <c r="C81" s="4" t="inlineStr"/>
      <c r="D81" s="4" t="b">
        <v>0</v>
      </c>
      <c r="E81" s="4" t="b">
        <v>1</v>
      </c>
      <c r="F81" s="4" t="inlineStr">
        <is>
          <t>Sitemap</t>
        </is>
      </c>
      <c r="G81" s="25" t="b">
        <v>1</v>
      </c>
      <c r="H81" s="46" t="inlineStr"/>
      <c r="I81" s="4" t="inlineStr"/>
      <c r="J81" s="57" t="b">
        <v>0</v>
      </c>
      <c r="K81" s="3" t="b">
        <v>0</v>
      </c>
      <c r="L81" s="3" t="b">
        <v>0</v>
      </c>
      <c r="M81" s="33" t="inlineStr">
        <is>
          <t>2022-01-17 12:56:22</t>
        </is>
      </c>
      <c r="N81" s="4" t="inlineStr">
        <is>
          <t>weekly</t>
        </is>
      </c>
      <c r="O81" s="4" t="n">
        <v>0.7</v>
      </c>
      <c r="P81" s="4" t="inlineStr">
        <is>
          <t>https://africanmarketingconfederation.org/page-sitemap.xml</t>
        </is>
      </c>
      <c r="Q81" s="4" t="inlineStr"/>
    </row>
    <row r="82">
      <c r="A82" s="44" t="inlineStr">
        <is>
          <t>https://africanmarketingconfederation.org/test-homeslider/</t>
        </is>
      </c>
      <c r="B82" s="44" t="inlineStr"/>
      <c r="C82" s="22" t="inlineStr"/>
      <c r="D82" s="22" t="b">
        <v>0</v>
      </c>
      <c r="E82" s="22" t="b">
        <v>1</v>
      </c>
      <c r="F82" s="22" t="inlineStr">
        <is>
          <t>Sitemap</t>
        </is>
      </c>
      <c r="G82" s="25" t="b">
        <v>1</v>
      </c>
      <c r="H82" s="44" t="inlineStr"/>
      <c r="I82" s="22" t="inlineStr"/>
      <c r="J82" s="57" t="b">
        <v>0</v>
      </c>
      <c r="K82" s="3" t="b">
        <v>0</v>
      </c>
      <c r="L82" s="3" t="b">
        <v>0</v>
      </c>
      <c r="M82" s="30" t="inlineStr">
        <is>
          <t>2022-01-14 11:59:51</t>
        </is>
      </c>
      <c r="N82" s="22" t="inlineStr">
        <is>
          <t>weekly</t>
        </is>
      </c>
      <c r="O82" s="22" t="n">
        <v>0.7</v>
      </c>
      <c r="P82" s="22" t="inlineStr">
        <is>
          <t>https://africanmarketingconfederation.org/page-sitemap.xml</t>
        </is>
      </c>
      <c r="Q82" s="22" t="inlineStr"/>
      <c r="R82" s="24" t="n"/>
    </row>
    <row r="83">
      <c r="A83" s="46" t="inlineStr">
        <is>
          <t>https://africanmarketingconfederation.org/general-enquiry-form-thank-you/</t>
        </is>
      </c>
      <c r="B83" s="46" t="inlineStr"/>
      <c r="C83" s="4" t="inlineStr"/>
      <c r="D83" s="4" t="b">
        <v>0</v>
      </c>
      <c r="E83" s="4" t="b">
        <v>1</v>
      </c>
      <c r="F83" s="4" t="inlineStr">
        <is>
          <t>Sitemap</t>
        </is>
      </c>
      <c r="G83" s="25" t="b">
        <v>1</v>
      </c>
      <c r="H83" s="46" t="inlineStr"/>
      <c r="I83" s="4" t="inlineStr"/>
      <c r="J83" s="57" t="b">
        <v>0</v>
      </c>
      <c r="K83" s="3" t="b">
        <v>0</v>
      </c>
      <c r="L83" s="3" t="b">
        <v>0</v>
      </c>
      <c r="M83" s="33" t="inlineStr">
        <is>
          <t>2022-01-14 08:35:45</t>
        </is>
      </c>
      <c r="N83" s="4" t="inlineStr">
        <is>
          <t>weekly</t>
        </is>
      </c>
      <c r="O83" s="4" t="n">
        <v>0.7</v>
      </c>
      <c r="P83" s="4" t="inlineStr">
        <is>
          <t>https://africanmarketingconfederation.org/page-sitemap.xml</t>
        </is>
      </c>
      <c r="Q83" s="4" t="inlineStr"/>
    </row>
    <row r="84" ht="30" customHeight="1">
      <c r="A84" s="47" t="inlineStr">
        <is>
          <t>https://africanmarketingconfederation.org/amc-conference-2022-thank-you/</t>
        </is>
      </c>
      <c r="B84" s="44" t="inlineStr">
        <is>
          <t>https://africanmarketingconfederation.org/amc-conference-2022-thank-you</t>
        </is>
      </c>
      <c r="C84" s="22" t="n">
        <v>200</v>
      </c>
      <c r="D84" s="22" t="b">
        <v>1</v>
      </c>
      <c r="E84" s="22" t="b">
        <v>1</v>
      </c>
      <c r="F84" s="22" t="inlineStr">
        <is>
          <t>Both</t>
        </is>
      </c>
      <c r="G84" s="3" t="b">
        <v>0</v>
      </c>
      <c r="H84" s="44" t="n">
        <v>0</v>
      </c>
      <c r="I84" s="22" t="n">
        <v>0</v>
      </c>
      <c r="J84" s="57" t="b">
        <v>0</v>
      </c>
      <c r="K84" s="3" t="b">
        <v>0</v>
      </c>
      <c r="L84" s="3" t="b">
        <v>0</v>
      </c>
      <c r="M84" s="30" t="inlineStr">
        <is>
          <t>2021-11-26 08:41:00</t>
        </is>
      </c>
      <c r="N84" s="22" t="inlineStr">
        <is>
          <t>weekly</t>
        </is>
      </c>
      <c r="O84" s="22" t="n">
        <v>0.7</v>
      </c>
      <c r="P84" s="22" t="inlineStr">
        <is>
          <t>https://africanmarketingconfederation.org/page-sitemap.xml</t>
        </is>
      </c>
      <c r="Q84" s="22" t="inlineStr"/>
      <c r="R84" s="24" t="n"/>
    </row>
    <row r="85">
      <c r="A85" s="46" t="inlineStr">
        <is>
          <t>https://africanmarketingconfederation.org/speakers/</t>
        </is>
      </c>
      <c r="B85" s="46" t="inlineStr"/>
      <c r="C85" s="4" t="inlineStr"/>
      <c r="D85" s="4" t="b">
        <v>0</v>
      </c>
      <c r="E85" s="4" t="b">
        <v>1</v>
      </c>
      <c r="F85" s="4" t="inlineStr">
        <is>
          <t>Sitemap</t>
        </is>
      </c>
      <c r="G85" s="25" t="b">
        <v>1</v>
      </c>
      <c r="H85" s="46" t="inlineStr"/>
      <c r="I85" s="4" t="inlineStr"/>
      <c r="J85" s="57" t="b">
        <v>0</v>
      </c>
      <c r="K85" s="3" t="b">
        <v>0</v>
      </c>
      <c r="L85" s="3" t="b">
        <v>0</v>
      </c>
      <c r="M85" s="33" t="inlineStr">
        <is>
          <t>2021-10-12 12:43:05</t>
        </is>
      </c>
      <c r="N85" s="4" t="inlineStr">
        <is>
          <t>weekly</t>
        </is>
      </c>
      <c r="O85" s="4" t="n">
        <v>0.7</v>
      </c>
      <c r="P85" s="4" t="inlineStr">
        <is>
          <t>https://africanmarketingconfederation.org/page-sitemap.xml</t>
        </is>
      </c>
      <c r="Q85" s="4" t="inlineStr"/>
    </row>
    <row r="86">
      <c r="A86" s="44" t="inlineStr">
        <is>
          <t>https://africanmarketingconfederation.org/privacy-policy/</t>
        </is>
      </c>
      <c r="B86" s="44" t="inlineStr"/>
      <c r="C86" s="22" t="inlineStr"/>
      <c r="D86" s="22" t="b">
        <v>0</v>
      </c>
      <c r="E86" s="22" t="b">
        <v>1</v>
      </c>
      <c r="F86" s="22" t="inlineStr">
        <is>
          <t>Sitemap</t>
        </is>
      </c>
      <c r="G86" s="25" t="b">
        <v>1</v>
      </c>
      <c r="H86" s="44" t="inlineStr"/>
      <c r="I86" s="22" t="inlineStr"/>
      <c r="J86" s="57" t="b">
        <v>0</v>
      </c>
      <c r="K86" s="3" t="b">
        <v>0</v>
      </c>
      <c r="L86" s="3" t="b">
        <v>0</v>
      </c>
      <c r="M86" s="30" t="inlineStr">
        <is>
          <t>2021-08-31 10:56:05</t>
        </is>
      </c>
      <c r="N86" s="22" t="inlineStr">
        <is>
          <t>weekly</t>
        </is>
      </c>
      <c r="O86" s="22" t="n">
        <v>0.7</v>
      </c>
      <c r="P86" s="22" t="inlineStr">
        <is>
          <t>https://africanmarketingconfederation.org/page-sitemap.xml</t>
        </is>
      </c>
      <c r="Q86" s="22" t="inlineStr"/>
      <c r="R86" s="24" t="n"/>
    </row>
  </sheetData>
  <autoFilter ref="A1:R86"/>
  <conditionalFormatting sqref="C2:C86">
    <cfRule type="cellIs" priority="1" operator="equal" dxfId="3">
      <formula>200</formula>
    </cfRule>
    <cfRule type="cellIs" priority="2" operator="between" dxfId="6">
      <formula>300</formula>
      <formula>399</formula>
    </cfRule>
    <cfRule type="cellIs" priority="3" operator="greaterThanOrEqual" dxfId="2">
      <formula>400</formula>
    </cfRule>
  </conditionalFormatting>
  <dataValidations count="17">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Found via Crawl" prompt="Found via Crawl. Review this metric to identify risk, then use linked tabs for details and remediation." type="custom">
      <formula1>TRUE</formula1>
    </dataValidation>
    <dataValidation sqref="E1" showDropDown="0" showInputMessage="1" showErrorMessage="0" allowBlank="1" promptTitle="Found via Sitemap" prompt="Found via Sitemap. Review this metric to identify risk, then use linked tabs for details and remediation." type="custom">
      <formula1>TRUE</formula1>
    </dataValidation>
    <dataValidation sqref="F1" showDropDown="0" showInputMessage="1" showErrorMessage="0" allowBlank="1" promptTitle="Discovery Source" prompt="Discovery Source. Review this metric to identify risk, then use linked tabs for details and remediation." type="custom">
      <formula1>TRUE</formula1>
    </dataValidation>
    <dataValidation sqref="G1" showDropDown="0" showInputMessage="1" showErrorMessage="0" allowBlank="1" promptTitle="In Sitemap but Non-200" prompt="In Sitemap but Non-200. Review this metric to identify risk, then use linked tabs for details and remediation." type="custom">
      <formula1>TRUE</formula1>
    </dataValidation>
    <dataValidation sqref="H1" showDropDown="0" showInputMessage="1" showErrorMessage="0" allowBlank="1" promptTitle="Sitemap URL Redirects" prompt="Sitemap URL Redirects. Use this URL to inspect the page directly or jump to related tabs." type="custom">
      <formula1>TRUE</formula1>
    </dataValidation>
    <dataValidation sqref="I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J1" showDropDown="0" showInputMessage="1" showErrorMessage="0" allowBlank="1" promptTitle="Missing &lt;lastmod&gt;" prompt="Missing &lt;lastmod&gt;. Review this metric to identify risk, then use linked tabs for details and remediation." type="custom">
      <formula1>TRUE</formula1>
    </dataValidation>
    <dataValidation sqref="K1" showDropDown="0" showInputMessage="1" showErrorMessage="0" allowBlank="1" promptTitle="Missing &lt;changefreq&gt;" prompt="Missing &lt;changefreq&gt;. Review this metric to identify risk, then use linked tabs for details and remediation." type="custom">
      <formula1>TRUE</formula1>
    </dataValidation>
    <dataValidation sqref="L1" showDropDown="0" showInputMessage="1" showErrorMessage="0" allowBlank="1" promptTitle="Missing &lt;priority&gt;" prompt="Missing &lt;priority&gt;. Review this metric to identify risk, then use linked tabs for details and remediation." type="custom">
      <formula1>TRUE</formula1>
    </dataValidation>
    <dataValidation sqref="M1" showDropDown="0" showInputMessage="1" showErrorMessage="0" allowBlank="1" promptTitle="Sitemap &lt;lastmod&gt;" prompt="Sitemap &lt;lastmod&gt;. Review this metric to identify risk, then use linked tabs for details and remediation." type="custom">
      <formula1>TRUE</formula1>
    </dataValidation>
    <dataValidation sqref="N1" showDropDown="0" showInputMessage="1" showErrorMessage="0" allowBlank="1" promptTitle="Sitemap &lt;changefreq&gt;" prompt="Sitemap &lt;changefreq&gt;. Review this metric to identify risk, then use linked tabs for details and remediation." type="custom">
      <formula1>TRUE</formula1>
    </dataValidation>
    <dataValidation sqref="O1" showDropDown="0" showInputMessage="1" showErrorMessage="0" allowBlank="1" promptTitle="Sitemap &lt;priority&gt;" prompt="Sitemap &lt;priority&gt;. Review this metric to identify risk, then use linked tabs for details and remediation." type="custom">
      <formula1>TRUE</formula1>
    </dataValidation>
    <dataValidation sqref="P1" showDropDown="0" showInputMessage="1" showErrorMessage="0" allowBlank="1" promptTitle="Source Sitemap" prompt="Source Sitemap. Review this metric to identify risk, then use linked tabs for details and remediation." type="custom">
      <formula1>TRUE</formula1>
    </dataValidation>
    <dataValidation sqref="R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R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1" customWidth="1" min="1" max="1"/>
    <col width="7" customWidth="1" min="2" max="2"/>
    <col width="19" customWidth="1" min="3" max="3"/>
  </cols>
  <sheetData>
    <row r="1">
      <c r="A1" s="21" t="inlineStr">
        <is>
          <t>Metric</t>
        </is>
      </c>
      <c r="B1" s="21" t="inlineStr">
        <is>
          <t>Count</t>
        </is>
      </c>
      <c r="C1" s="21" t="inlineStr">
        <is>
          <t>BACK TO DASHBOARD</t>
        </is>
      </c>
      <c r="D1" s="23" t="inlineStr">
        <is>
          <t>BACK TO DASHBOARD_1</t>
        </is>
      </c>
    </row>
    <row r="2">
      <c r="A2" s="3" t="inlineStr">
        <is>
          <t>New Issues</t>
        </is>
      </c>
      <c r="B2" s="22" t="n">
        <v>10</v>
      </c>
      <c r="C2" s="22" t="inlineStr"/>
      <c r="D2" s="24" t="n"/>
    </row>
    <row r="3">
      <c r="A3" s="3" t="inlineStr">
        <is>
          <t>Resolved Issues</t>
        </is>
      </c>
      <c r="B3" s="4" t="n">
        <v>0</v>
      </c>
      <c r="C3" s="4" t="inlineStr"/>
    </row>
    <row r="4">
      <c r="A4" s="3" t="inlineStr">
        <is>
          <t>Unchanged Issues</t>
        </is>
      </c>
      <c r="B4" s="22" t="n">
        <v>0</v>
      </c>
      <c r="C4" s="22" t="inlineStr"/>
      <c r="D4" s="24" t="n"/>
    </row>
    <row r="5">
      <c r="A5" s="3" t="inlineStr">
        <is>
          <t>Previously Fixed But Reopened</t>
        </is>
      </c>
      <c r="B5" s="4" t="n">
        <v>0</v>
      </c>
      <c r="C5" s="4" t="inlineStr"/>
    </row>
    <row r="6">
      <c r="A6" s="3" t="inlineStr">
        <is>
          <t>Issue Delta: Non-200 Status</t>
        </is>
      </c>
      <c r="B6" s="22" t="n">
        <v>0</v>
      </c>
      <c r="C6" s="22" t="inlineStr"/>
      <c r="D6" s="24" t="n"/>
    </row>
    <row r="7">
      <c r="A7" s="3" t="inlineStr">
        <is>
          <t>Issue Delta: Missing Title</t>
        </is>
      </c>
      <c r="B7" s="4" t="n">
        <v>0</v>
      </c>
      <c r="C7" s="4" t="inlineStr"/>
    </row>
    <row r="8">
      <c r="A8" s="3" t="inlineStr">
        <is>
          <t>Issue Delta: Noindex Directive</t>
        </is>
      </c>
      <c r="B8" s="22" t="n">
        <v>0</v>
      </c>
      <c r="C8" s="22" t="inlineStr"/>
      <c r="D8" s="24" t="n"/>
    </row>
    <row r="9">
      <c r="A9" s="3" t="inlineStr">
        <is>
          <t>Issue Delta: Canonical Points Elsewhere</t>
        </is>
      </c>
      <c r="B9" s="4" t="n">
        <v>0</v>
      </c>
      <c r="C9" s="4" t="inlineStr"/>
    </row>
    <row r="10">
      <c r="A10" s="3" t="inlineStr">
        <is>
          <t>Issue Delta: Robots.txt Disallow Root</t>
        </is>
      </c>
      <c r="B10" s="22" t="n">
        <v>0</v>
      </c>
      <c r="C10" s="22" t="inlineStr"/>
      <c r="D10" s="24" t="n"/>
    </row>
    <row r="11">
      <c r="A11" s="3" t="inlineStr">
        <is>
          <t>Issue Delta: CWV LCP Above 4.0s</t>
        </is>
      </c>
      <c r="B11" s="4" t="n">
        <v>0</v>
      </c>
      <c r="C11" s="4" t="inlineStr"/>
    </row>
    <row r="12">
      <c r="A12" s="3" t="inlineStr">
        <is>
          <t>Issue Delta: Broken Internal Links</t>
        </is>
      </c>
      <c r="B12" s="22" t="n">
        <v>0</v>
      </c>
      <c r="C12" s="22" t="inlineStr"/>
      <c r="D12" s="24" t="n"/>
    </row>
    <row r="13">
      <c r="A13" s="3" t="inlineStr">
        <is>
          <t>Issue Delta: Redirect Chains</t>
        </is>
      </c>
      <c r="B13" s="4" t="n">
        <v>0</v>
      </c>
      <c r="C13" s="4" t="inlineStr"/>
    </row>
    <row r="14">
      <c r="A14" s="3" t="inlineStr">
        <is>
          <t>Issue Delta: Missing Meta Description</t>
        </is>
      </c>
      <c r="B14" s="22" t="n">
        <v>0</v>
      </c>
      <c r="C14" s="22" t="inlineStr"/>
      <c r="D14" s="24" t="n"/>
    </row>
    <row r="15">
      <c r="A15" s="3" t="inlineStr">
        <is>
          <t>Issue Delta: Missing H1</t>
        </is>
      </c>
      <c r="B15" s="4" t="n">
        <v>0</v>
      </c>
      <c r="C15" s="4" t="inlineStr"/>
    </row>
    <row r="16">
      <c r="A16" s="3" t="inlineStr">
        <is>
          <t>Issue Delta: Multiple H1</t>
        </is>
      </c>
      <c r="B16" s="22" t="n">
        <v>0</v>
      </c>
      <c r="C16" s="22" t="inlineStr"/>
      <c r="D16" s="24" t="n"/>
    </row>
    <row r="17">
      <c r="A17" s="3" t="inlineStr">
        <is>
          <t>Issue Delta: CWV LCP Needs Improvement (2.5-4.0s)</t>
        </is>
      </c>
      <c r="B17" s="4" t="n">
        <v>0</v>
      </c>
      <c r="C17" s="4" t="inlineStr"/>
    </row>
    <row r="18">
      <c r="A18" s="3" t="inlineStr">
        <is>
          <t>Issue Delta: Missing FAQ/QA Schema</t>
        </is>
      </c>
      <c r="B18" s="22" t="n">
        <v>0</v>
      </c>
      <c r="C18" s="22" t="inlineStr"/>
      <c r="D18" s="24" t="n"/>
    </row>
    <row r="19">
      <c r="A19" s="3" t="inlineStr">
        <is>
          <t>Issue Delta: Deep URL (&gt;3 clicks)</t>
        </is>
      </c>
      <c r="B19" s="4" t="n">
        <v>0</v>
      </c>
      <c r="C19" s="4" t="inlineStr"/>
    </row>
    <row r="20">
      <c r="A20" s="3" t="inlineStr">
        <is>
          <t>Issue Delta: Low Image Alt Coverage</t>
        </is>
      </c>
      <c r="B20" s="22" t="n">
        <v>0</v>
      </c>
      <c r="C20" s="22" t="inlineStr"/>
      <c r="D20" s="24" t="n"/>
    </row>
    <row r="21">
      <c r="A21" s="3" t="inlineStr">
        <is>
          <t>Issue Delta: Mixed Content</t>
        </is>
      </c>
      <c r="B21" s="4" t="n">
        <v>0</v>
      </c>
      <c r="C21" s="4" t="inlineStr"/>
    </row>
    <row r="22">
      <c r="A22" s="3" t="inlineStr">
        <is>
          <t>Issue Delta: Canonical Missing</t>
        </is>
      </c>
      <c r="B22" s="22" t="n">
        <v>0</v>
      </c>
      <c r="C22" s="22" t="inlineStr"/>
      <c r="D22" s="24" t="n"/>
    </row>
    <row r="23">
      <c r="A23" s="3" t="inlineStr">
        <is>
          <t>Issue Delta: Hreflang Without Reciprocity</t>
        </is>
      </c>
      <c r="B23" s="4" t="n">
        <v>0</v>
      </c>
      <c r="C23" s="4" t="inlineStr"/>
    </row>
    <row r="24">
      <c r="A24" s="3" t="inlineStr">
        <is>
          <t>Issue Delta: Uses URL Parameters</t>
        </is>
      </c>
      <c r="B24" s="22" t="n">
        <v>0</v>
      </c>
      <c r="C24" s="22" t="inlineStr"/>
      <c r="D24" s="24" t="n"/>
    </row>
    <row r="25">
      <c r="A25" s="3" t="inlineStr">
        <is>
          <t>Issue Delta: Generic Anchor Text Present</t>
        </is>
      </c>
      <c r="B25" s="4" t="n">
        <v>0</v>
      </c>
      <c r="C25" s="4" t="inlineStr"/>
    </row>
    <row r="26">
      <c r="A26" s="3" t="inlineStr">
        <is>
          <t>Issue Delta: Image Filename Quality Issues</t>
        </is>
      </c>
      <c r="B26" s="22" t="n">
        <v>0</v>
      </c>
      <c r="C26" s="22" t="inlineStr"/>
      <c r="D26" s="24" t="n"/>
    </row>
    <row r="27">
      <c r="A27" s="3" t="inlineStr">
        <is>
          <t>Issue Delta: No Compression Header</t>
        </is>
      </c>
      <c r="B27" s="4" t="n">
        <v>0</v>
      </c>
      <c r="C27" s="4" t="inlineStr"/>
    </row>
    <row r="28">
      <c r="A28" s="3" t="inlineStr">
        <is>
          <t>Issue Delta: No Cache-Control Header</t>
        </is>
      </c>
      <c r="B28" s="22" t="n">
        <v>0</v>
      </c>
      <c r="C28" s="22" t="inlineStr"/>
      <c r="D28" s="24" t="n"/>
    </row>
    <row r="29">
      <c r="A29" s="3" t="inlineStr">
        <is>
          <t>Issue Delta: No ETag Header</t>
        </is>
      </c>
      <c r="B29" s="4" t="n">
        <v>0</v>
      </c>
      <c r="C29" s="4" t="inlineStr"/>
    </row>
    <row r="30">
      <c r="A30" s="3" t="inlineStr">
        <is>
          <t>Issue Delta: Thin Content</t>
        </is>
      </c>
      <c r="B30" s="22" t="n">
        <v>0</v>
      </c>
      <c r="C30" s="22" t="inlineStr"/>
      <c r="D30" s="24" t="n"/>
    </row>
    <row r="31">
      <c r="A31" s="3" t="inlineStr">
        <is>
          <t>Issue Delta: Low AEO Readiness Score</t>
        </is>
      </c>
      <c r="B31" s="4" t="n">
        <v>0</v>
      </c>
      <c r="C31" s="4" t="inlineStr"/>
    </row>
    <row r="32">
      <c r="A32" s="3" t="inlineStr">
        <is>
          <t>Issue Delta: No Question Headings</t>
        </is>
      </c>
      <c r="B32" s="22" t="n">
        <v>0</v>
      </c>
      <c r="C32" s="22" t="inlineStr"/>
      <c r="D32" s="24" t="n"/>
    </row>
    <row r="33">
      <c r="A33" s="3" t="inlineStr">
        <is>
          <t>Issue Delta: No Answer-Friendly Structure</t>
        </is>
      </c>
      <c r="B33" s="4" t="n">
        <v>0</v>
      </c>
      <c r="C33" s="4" t="inlineStr"/>
    </row>
    <row r="34">
      <c r="A34" s="3" t="inlineStr">
        <is>
          <t>Issue Delta: No 40-60 Word Answer Paragraphs</t>
        </is>
      </c>
      <c r="B34" s="22" t="n">
        <v>0</v>
      </c>
      <c r="C34" s="22" t="inlineStr"/>
      <c r="D34" s="24" t="n"/>
    </row>
    <row r="35">
      <c r="A35" s="3" t="inlineStr">
        <is>
          <t>Issue Delta: INP Above 100ms</t>
        </is>
      </c>
      <c r="B35" s="4" t="n">
        <v>0</v>
      </c>
      <c r="C35" s="4" t="inlineStr"/>
    </row>
    <row r="36">
      <c r="A36" s="3" t="inlineStr">
        <is>
          <t>Issue Delta: CLS Above 0.1</t>
        </is>
      </c>
      <c r="B36" s="22" t="n">
        <v>0</v>
      </c>
      <c r="C36" s="22" t="inlineStr"/>
      <c r="D36" s="24" t="n"/>
    </row>
    <row r="37">
      <c r="A37" s="3" t="inlineStr">
        <is>
          <t>Issue Delta: Low Regional Authority</t>
        </is>
      </c>
      <c r="B37" s="4" t="n">
        <v>0</v>
      </c>
      <c r="C37" s="4" t="inlineStr"/>
    </row>
    <row r="38">
      <c r="A38" s="3" t="inlineStr">
        <is>
          <t>Issue Delta: llms.txt Missing</t>
        </is>
      </c>
      <c r="B38" s="22" t="n">
        <v>0</v>
      </c>
      <c r="C38" s="22" t="inlineStr"/>
      <c r="D38" s="24" t="n"/>
    </row>
    <row r="39">
      <c r="A39" s="3" t="inlineStr">
        <is>
          <t>Issue Delta: AI Crawlers Not Explicitly Allowed</t>
        </is>
      </c>
      <c r="B39" s="4" t="n">
        <v>0</v>
      </c>
      <c r="C39" s="4" t="inlineStr"/>
    </row>
  </sheetData>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D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D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19" customWidth="1" min="3" max="3"/>
  </cols>
  <sheetData>
    <row r="1">
      <c r="A1" s="21" t="inlineStr">
        <is>
          <t>Key</t>
        </is>
      </c>
      <c r="B1" s="21" t="inlineStr">
        <is>
          <t>Value</t>
        </is>
      </c>
      <c r="C1" s="21" t="inlineStr">
        <is>
          <t>BACK TO DASHBOARD</t>
        </is>
      </c>
      <c r="D1" s="23" t="inlineStr">
        <is>
          <t>BACK TO DASHBOARD_1</t>
        </is>
      </c>
    </row>
    <row r="2">
      <c r="A2" s="3" t="inlineStr">
        <is>
          <t>Run Timestamp</t>
        </is>
      </c>
      <c r="B2" s="27" t="inlineStr">
        <is>
          <t>2026-05-02 15:16:24</t>
        </is>
      </c>
      <c r="C2" s="22" t="inlineStr"/>
      <c r="D2" s="24" t="n"/>
    </row>
    <row r="3">
      <c r="A3" s="3" t="inlineStr">
        <is>
          <t>Total URLs</t>
        </is>
      </c>
      <c r="B3" s="31" t="n">
        <v>10</v>
      </c>
      <c r="C3" s="4" t="inlineStr"/>
    </row>
    <row r="4">
      <c r="A4" s="3" t="inlineStr">
        <is>
          <t>Mode</t>
        </is>
      </c>
      <c r="B4" s="27" t="inlineStr">
        <is>
          <t>Full Suite</t>
        </is>
      </c>
      <c r="C4" s="22" t="inlineStr"/>
      <c r="D4" s="24" t="n"/>
    </row>
    <row r="5">
      <c r="A5" s="3" t="inlineStr">
        <is>
          <t>Workers</t>
        </is>
      </c>
      <c r="B5" s="31" t="n">
        <v>3</v>
      </c>
      <c r="C5" s="4" t="inlineStr"/>
    </row>
    <row r="6">
      <c r="A6" s="3" t="inlineStr">
        <is>
          <t>Delay Seconds</t>
        </is>
      </c>
      <c r="B6" s="27" t="n">
        <v>2.5</v>
      </c>
      <c r="C6" s="22" t="inlineStr"/>
      <c r="D6" s="24" t="n"/>
    </row>
    <row r="7">
      <c r="A7" s="3" t="inlineStr">
        <is>
          <t>Retries</t>
        </is>
      </c>
      <c r="B7" s="31" t="n">
        <v>3</v>
      </c>
      <c r="C7" s="4" t="inlineStr"/>
    </row>
    <row r="8">
      <c r="A8" s="3" t="inlineStr">
        <is>
          <t>Timeout Seconds</t>
        </is>
      </c>
      <c r="B8" s="27" t="n">
        <v>20</v>
      </c>
      <c r="C8" s="22" t="inlineStr"/>
      <c r="D8" s="24" t="n"/>
    </row>
    <row r="9">
      <c r="A9" s="3" t="inlineStr">
        <is>
          <t>Checkpoint Every</t>
        </is>
      </c>
      <c r="B9" s="31" t="n">
        <v>0</v>
      </c>
      <c r="C9" s="4" t="inlineStr"/>
    </row>
    <row r="10">
      <c r="A10" s="3" t="inlineStr">
        <is>
          <t>Previous Audit Path</t>
        </is>
      </c>
      <c r="B10" s="27" t="inlineStr">
        <is>
          <t>Not supplied</t>
        </is>
      </c>
      <c r="C10" s="22" t="inlineStr"/>
      <c r="D10" s="24" t="n"/>
    </row>
  </sheetData>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D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D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6" customWidth="1" min="2" max="2"/>
    <col width="5" customWidth="1" min="3" max="3"/>
    <col width="14" customWidth="1" min="4" max="4"/>
    <col width="19" customWidth="1" min="5" max="5"/>
  </cols>
  <sheetData>
    <row r="1">
      <c r="A1" s="21" t="inlineStr">
        <is>
          <t>Stable Issue ID</t>
        </is>
      </c>
      <c r="B1" s="21" t="inlineStr">
        <is>
          <t>Issue</t>
        </is>
      </c>
      <c r="C1" s="21" t="inlineStr">
        <is>
          <t>URL</t>
        </is>
      </c>
      <c r="D1" s="21" t="inlineStr">
        <is>
          <t>Open in Main</t>
        </is>
      </c>
      <c r="E1" s="21" t="inlineStr">
        <is>
          <t>BACK TO DASHBOARD</t>
        </is>
      </c>
      <c r="F1" s="23" t="inlineStr">
        <is>
          <t>BACK TO DASHBOARD_1</t>
        </is>
      </c>
    </row>
    <row r="2">
      <c r="A2" s="3" t="inlineStr"/>
      <c r="B2" s="22" t="inlineStr">
        <is>
          <t>No resolved issues identified for this comparison run.</t>
        </is>
      </c>
      <c r="C2" s="44" t="inlineStr"/>
      <c r="D2" s="22" t="inlineStr">
        <is>
          <t>Open</t>
        </is>
      </c>
      <c r="E2" s="22" t="inlineStr"/>
      <c r="F2" s="24" t="n"/>
    </row>
  </sheetData>
  <dataValidations count="5">
    <dataValidation sqref="A1" showDropDown="0" showInputMessage="1" showErrorMessage="0" allowBlank="1" promptTitle="Stable Issue ID" prompt="Stable Issue ID. Review this metric to identify risk, then use linked tabs for details and remediation."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URL" prompt="URL. Use this URL to inspect the page directly or jump to related tabs." type="custom">
      <formula1>TRUE</formula1>
    </dataValidation>
    <dataValidation sqref="D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1" customWidth="1" min="1" max="1"/>
    <col width="31" customWidth="1" min="2" max="2"/>
    <col width="60" customWidth="1" min="3" max="3"/>
    <col width="38" customWidth="1" min="4" max="4"/>
    <col width="38" customWidth="1" min="5" max="5"/>
    <col width="19" customWidth="1" min="6" max="6"/>
  </cols>
  <sheetData>
    <row r="1">
      <c r="A1" s="21" t="inlineStr">
        <is>
          <t>Section</t>
        </is>
      </c>
      <c r="B1" s="21" t="inlineStr">
        <is>
          <t>Term</t>
        </is>
      </c>
      <c r="C1" s="21" t="inlineStr">
        <is>
          <t>Meaning</t>
        </is>
      </c>
      <c r="D1" s="21" t="inlineStr">
        <is>
          <t>Values/Threshold</t>
        </is>
      </c>
      <c r="E1" s="21" t="inlineStr">
        <is>
          <t>Related Tabs</t>
        </is>
      </c>
      <c r="F1" s="21" t="inlineStr">
        <is>
          <t>BACK TO DASHBOARD</t>
        </is>
      </c>
      <c r="G1" s="23" t="inlineStr">
        <is>
          <t>BACK TO DASHBOARD_1</t>
        </is>
      </c>
    </row>
    <row r="2">
      <c r="A2" s="3" t="inlineStr">
        <is>
          <t>How To Use</t>
        </is>
      </c>
      <c r="B2" s="22" t="inlineStr">
        <is>
          <t>Step 1: Start on Dashboard</t>
        </is>
      </c>
      <c r="C2" s="22" t="inlineStr">
        <is>
          <t>Review pass rate, critical URL count, and Immediate Actions to understand overall risk first.</t>
        </is>
      </c>
      <c r="D2" s="22" t="inlineStr">
        <is>
          <t>5-minute executive scan</t>
        </is>
      </c>
      <c r="E2" s="22" t="inlineStr">
        <is>
          <t>Dashboard, Priority URLs</t>
        </is>
      </c>
      <c r="F2" s="22" t="inlineStr"/>
      <c r="G2" s="24" t="n"/>
    </row>
    <row r="3">
      <c r="A3" s="3" t="inlineStr">
        <is>
          <t>How To Use</t>
        </is>
      </c>
      <c r="B3" s="4" t="inlineStr">
        <is>
          <t>Step 2: Prioritize and Assign</t>
        </is>
      </c>
      <c r="C3" s="4" t="inlineStr">
        <is>
          <t>Use Priority URLs and FixPlan to pick highest-impact items, assign owner, and set status/sprint.</t>
        </is>
      </c>
      <c r="D3" s="4" t="inlineStr">
        <is>
          <t>Work top-down by Business Risk Score</t>
        </is>
      </c>
      <c r="E3" s="4" t="inlineStr">
        <is>
          <t>Priority URLs, FixPlan</t>
        </is>
      </c>
      <c r="F3" s="4" t="inlineStr"/>
    </row>
    <row r="4">
      <c r="A4" s="3" t="inlineStr">
        <is>
          <t>How To Use</t>
        </is>
      </c>
      <c r="B4" s="22" t="inlineStr">
        <is>
          <t>Step 3: Execute and Validate</t>
        </is>
      </c>
      <c r="C4" s="22" t="inlineStr">
        <is>
          <t>Implement fixes, then verify by checking Technical/Indexability/AEO tabs and rerunning the audit.</t>
        </is>
      </c>
      <c r="D4" s="22" t="inlineStr">
        <is>
          <t>Close loop every sprint</t>
        </is>
      </c>
      <c r="E4" s="22" t="inlineStr">
        <is>
          <t>Technical, Indexability, AEO, AIOSEO</t>
        </is>
      </c>
      <c r="F4" s="22" t="inlineStr"/>
      <c r="G4" s="24" t="n"/>
    </row>
    <row r="5">
      <c r="A5" s="3" t="inlineStr">
        <is>
          <t>Orientation</t>
        </is>
      </c>
      <c r="B5" s="4" t="inlineStr">
        <is>
          <t>Where to Start</t>
        </is>
      </c>
      <c r="C5" s="4" t="inlineStr">
        <is>
          <t>If you're short on time, work only Critical and Warning issues first, then return to Observation items.</t>
        </is>
      </c>
      <c r="D5" s="4" t="inlineStr">
        <is>
          <t>Critical &gt; Warning &gt; Observation</t>
        </is>
      </c>
      <c r="E5" s="4" t="inlineStr">
        <is>
          <t>Summary, FixPlan, Technical</t>
        </is>
      </c>
      <c r="F5" s="4" t="inlineStr"/>
    </row>
    <row r="6">
      <c r="A6" s="3" t="inlineStr">
        <is>
          <t>Orientation</t>
        </is>
      </c>
      <c r="B6" s="22" t="inlineStr">
        <is>
          <t>How to Track Progress</t>
        </is>
      </c>
      <c r="C6" s="22" t="inlineStr">
        <is>
          <t>Use Status and Owner columns as your project board; move from To Do -&gt; In Progress -&gt; Fixed.</t>
        </is>
      </c>
      <c r="D6" s="22" t="inlineStr">
        <is>
          <t>Update weekly</t>
        </is>
      </c>
      <c r="E6" s="22" t="inlineStr">
        <is>
          <t>FixPlan, AIOSEO, Priority URLs</t>
        </is>
      </c>
      <c r="F6" s="22" t="inlineStr"/>
      <c r="G6" s="24" t="n"/>
    </row>
    <row r="7">
      <c r="A7" s="3" t="inlineStr">
        <is>
          <t>Severity</t>
        </is>
      </c>
      <c r="B7" s="4" t="inlineStr">
        <is>
          <t>Critical</t>
        </is>
      </c>
      <c r="C7" s="4" t="inlineStr">
        <is>
          <t>High-impact SEO blocker that should be fixed first.</t>
        </is>
      </c>
      <c r="D7" s="4" t="inlineStr">
        <is>
          <t>Immediate action</t>
        </is>
      </c>
      <c r="E7" s="4" t="inlineStr">
        <is>
          <t>Summary, FixPlan, Technical</t>
        </is>
      </c>
      <c r="F7" s="4" t="inlineStr"/>
    </row>
    <row r="8">
      <c r="A8" s="3" t="inlineStr">
        <is>
          <t>Severity</t>
        </is>
      </c>
      <c r="B8" s="22" t="inlineStr">
        <is>
          <t>Warning</t>
        </is>
      </c>
      <c r="C8" s="22" t="inlineStr">
        <is>
          <t>Out-of-best-practice issue likely affecting performance.</t>
        </is>
      </c>
      <c r="D8" s="22" t="inlineStr">
        <is>
          <t>Plan next sprint</t>
        </is>
      </c>
      <c r="E8" s="22" t="inlineStr">
        <is>
          <t>Summary, FixPlan, Technical</t>
        </is>
      </c>
      <c r="F8" s="22" t="inlineStr"/>
      <c r="G8" s="24" t="n"/>
    </row>
    <row r="9">
      <c r="A9" s="3" t="inlineStr">
        <is>
          <t>Severity</t>
        </is>
      </c>
      <c r="B9" s="4" t="inlineStr">
        <is>
          <t>Observation</t>
        </is>
      </c>
      <c r="C9" s="4" t="inlineStr">
        <is>
          <t>Optimization opportunity or context signal.</t>
        </is>
      </c>
      <c r="D9" s="4" t="inlineStr">
        <is>
          <t>Backlog/monitor</t>
        </is>
      </c>
      <c r="E9" s="4" t="inlineStr">
        <is>
          <t>Summary, Technical</t>
        </is>
      </c>
      <c r="F9" s="4" t="inlineStr"/>
    </row>
    <row r="10">
      <c r="A10" s="3" t="inlineStr">
        <is>
          <t>Scoring</t>
        </is>
      </c>
      <c r="B10" s="22" t="inlineStr">
        <is>
          <t>SEO Health Score</t>
        </is>
      </c>
      <c r="C10" s="22" t="inlineStr">
        <is>
          <t>Weighted technical SEO quality score per URL.</t>
        </is>
      </c>
      <c r="D10" s="22" t="inlineStr">
        <is>
          <t>&gt;=90 green, 70-89 orange, &lt;70 red</t>
        </is>
      </c>
      <c r="E10" s="22" t="inlineStr">
        <is>
          <t>Technical, Priority URLs, Dashboard</t>
        </is>
      </c>
      <c r="F10" s="22" t="inlineStr"/>
      <c r="G10" s="24" t="n"/>
    </row>
    <row r="11">
      <c r="A11" s="3" t="inlineStr">
        <is>
          <t>Scoring</t>
        </is>
      </c>
      <c r="B11" s="4" t="inlineStr">
        <is>
          <t>AEO Readiness Score</t>
        </is>
      </c>
      <c r="C11" s="4" t="inlineStr">
        <is>
          <t>Answer Engine Optimization readiness score per URL.</t>
        </is>
      </c>
      <c r="D11" s="4" t="inlineStr">
        <is>
          <t>&gt;=80 strong, 60-79 good, 40-59 fair</t>
        </is>
      </c>
      <c r="E11" s="4" t="inlineStr">
        <is>
          <t>AEO</t>
        </is>
      </c>
      <c r="F11" s="4" t="inlineStr"/>
    </row>
    <row r="12">
      <c r="A12" s="3" t="inlineStr">
        <is>
          <t>Indexing</t>
        </is>
      </c>
      <c r="B12" s="22" t="inlineStr">
        <is>
          <t>Indexability Reason</t>
        </is>
      </c>
      <c r="C12" s="22" t="inlineStr">
        <is>
          <t>Primary reason URL may not be indexed.</t>
        </is>
      </c>
      <c r="D12" s="22" t="inlineStr">
        <is>
          <t>Noindex, non-200, canonical mismatch</t>
        </is>
      </c>
      <c r="E12" s="22" t="inlineStr">
        <is>
          <t>Indexability, Technical</t>
        </is>
      </c>
      <c r="F12" s="22" t="inlineStr"/>
      <c r="G12" s="24" t="n"/>
    </row>
    <row r="13">
      <c r="A13" s="3" t="inlineStr">
        <is>
          <t>Links</t>
        </is>
      </c>
      <c r="B13" s="4" t="inlineStr">
        <is>
          <t>Broken Internal Links Count</t>
        </is>
      </c>
      <c r="C13" s="4" t="inlineStr">
        <is>
          <t>Internal links returning 4xx/5xx or equivalent failures.</t>
        </is>
      </c>
      <c r="D13" s="4" t="inlineStr">
        <is>
          <t>&gt;0 flagged</t>
        </is>
      </c>
      <c r="E13" s="4" t="inlineStr">
        <is>
          <t>Links, LinksDetail, Priority URLs</t>
        </is>
      </c>
      <c r="F13" s="4" t="inlineStr"/>
    </row>
    <row r="14">
      <c r="A14" s="3" t="inlineStr">
        <is>
          <t>Content</t>
        </is>
      </c>
      <c r="B14" s="22" t="inlineStr">
        <is>
          <t>Word Count Band</t>
        </is>
      </c>
      <c r="C14" s="22" t="inlineStr">
        <is>
          <t>Body content depth class.</t>
        </is>
      </c>
      <c r="D14" s="22" t="inlineStr">
        <is>
          <t>Thin / OK / Strong</t>
        </is>
      </c>
      <c r="E14" s="22" t="inlineStr">
        <is>
          <t>Content</t>
        </is>
      </c>
      <c r="F14" s="22" t="inlineStr"/>
      <c r="G14" s="24" t="n"/>
    </row>
    <row r="15">
      <c r="A15" s="3" t="inlineStr">
        <is>
          <t>AEO</t>
        </is>
      </c>
      <c r="B15" s="4" t="inlineStr">
        <is>
          <t>Question Heading Count</t>
        </is>
      </c>
      <c r="C15" s="4" t="inlineStr">
        <is>
          <t>Headings phrased as questions to match answer intent.</t>
        </is>
      </c>
      <c r="D15" s="4" t="inlineStr">
        <is>
          <t>Higher is generally better</t>
        </is>
      </c>
      <c r="E15" s="4" t="inlineStr">
        <is>
          <t>AEO</t>
        </is>
      </c>
      <c r="F15" s="4" t="inlineStr"/>
    </row>
    <row r="16">
      <c r="A16" s="3" t="inlineStr">
        <is>
          <t>AEO &amp; Generative Search Terms</t>
        </is>
      </c>
      <c r="B16" s="22" t="inlineStr">
        <is>
          <t>Answer Engine Optimization</t>
        </is>
      </c>
      <c r="C16" s="22" t="inlineStr">
        <is>
          <t>The practice of structuring content so AI answer engines can reliably extract and cite direct answers.</t>
        </is>
      </c>
      <c r="D16" s="22" t="inlineStr">
        <is>
          <t>Answer-first formatting</t>
        </is>
      </c>
      <c r="E16" s="22" t="inlineStr">
        <is>
          <t>AEO, Content Optimization Hub</t>
        </is>
      </c>
      <c r="F16" s="22" t="inlineStr"/>
      <c r="G16" s="24" t="n"/>
    </row>
    <row r="17">
      <c r="A17" s="3" t="inlineStr">
        <is>
          <t>AEO &amp; Generative Search Terms</t>
        </is>
      </c>
      <c r="B17" s="4" t="inlineStr">
        <is>
          <t>Featured Snippet</t>
        </is>
      </c>
      <c r="C17" s="4" t="inlineStr">
        <is>
          <t>A concise answer block surfaced prominently in search results, often extracted from clear headings + short answer text.</t>
        </is>
      </c>
      <c r="D17" s="4" t="inlineStr">
        <is>
          <t>Direct question-answer format</t>
        </is>
      </c>
      <c r="E17" s="4" t="inlineStr">
        <is>
          <t>AEO, Content</t>
        </is>
      </c>
      <c r="F17" s="4" t="inlineStr"/>
    </row>
    <row r="18">
      <c r="A18" s="3" t="inlineStr">
        <is>
          <t>AEO &amp; Generative Search Terms</t>
        </is>
      </c>
      <c r="B18" s="22" t="inlineStr">
        <is>
          <t>FAQ Schema</t>
        </is>
      </c>
      <c r="C18" s="22" t="inlineStr">
        <is>
          <t>Structured data that marks up common questions and answers to improve machine readability and eligibility for rich results.</t>
        </is>
      </c>
      <c r="D18" s="22" t="inlineStr">
        <is>
          <t>Valid JSON-LD</t>
        </is>
      </c>
      <c r="E18" s="22" t="inlineStr">
        <is>
          <t>AEO, Schema &amp; Metadata</t>
        </is>
      </c>
      <c r="F18" s="22" t="inlineStr"/>
      <c r="G18" s="24" t="n"/>
    </row>
    <row r="19">
      <c r="A19" s="3" t="inlineStr">
        <is>
          <t>AEO &amp; Generative Search Terms</t>
        </is>
      </c>
      <c r="B19" s="4" t="inlineStr">
        <is>
          <t>llms.txt</t>
        </is>
      </c>
      <c r="C19" s="4" t="inlineStr">
        <is>
          <t>A guidance file for AI crawlers that can indicate allowed access and preferred content handling behavior.</t>
        </is>
      </c>
      <c r="D19" s="4" t="inlineStr">
        <is>
          <t>Present and reachable</t>
        </is>
      </c>
      <c r="E19" s="4" t="inlineStr">
        <is>
          <t>Technical, Security</t>
        </is>
      </c>
      <c r="F19" s="4" t="inlineStr"/>
    </row>
    <row r="20">
      <c r="A20" s="3" t="inlineStr">
        <is>
          <t>AEO &amp; Generative Search Terms</t>
        </is>
      </c>
      <c r="B20" s="22" t="inlineStr">
        <is>
          <t>Entity-Based Search</t>
        </is>
      </c>
      <c r="C20" s="22" t="inlineStr">
        <is>
          <t>Search interpretation based on known entities (people, places, brands, topics) and their relationships, not only keywords.</t>
        </is>
      </c>
      <c r="D20" s="22" t="inlineStr">
        <is>
          <t>Clear entity context</t>
        </is>
      </c>
      <c r="E20" s="22" t="inlineStr">
        <is>
          <t>AEO, Content</t>
        </is>
      </c>
      <c r="F20" s="22" t="inlineStr"/>
      <c r="G20" s="24" t="n"/>
    </row>
    <row r="21">
      <c r="A21" s="3" t="inlineStr">
        <is>
          <t>Color Key</t>
        </is>
      </c>
      <c r="B21" s="4" t="inlineStr">
        <is>
          <t>Green</t>
        </is>
      </c>
      <c r="C21" s="4" t="inlineStr">
        <is>
          <t>Pass / aligned with best practice or completed workflow item.</t>
        </is>
      </c>
      <c r="D21" s="4" t="inlineStr">
        <is>
          <t>Good</t>
        </is>
      </c>
      <c r="E21" s="4" t="inlineStr">
        <is>
          <t>All</t>
        </is>
      </c>
      <c r="F21" s="4" t="inlineStr"/>
    </row>
    <row r="22">
      <c r="A22" s="3" t="inlineStr">
        <is>
          <t>Color Key</t>
        </is>
      </c>
      <c r="B22" s="22" t="inlineStr">
        <is>
          <t>Orange</t>
        </is>
      </c>
      <c r="C22" s="22" t="inlineStr">
        <is>
          <t>Warning / in progress / medium-priority attention needed.</t>
        </is>
      </c>
      <c r="D22" s="22" t="inlineStr">
        <is>
          <t>Medium risk</t>
        </is>
      </c>
      <c r="E22" s="22" t="inlineStr">
        <is>
          <t>All</t>
        </is>
      </c>
      <c r="F22" s="22" t="inlineStr"/>
      <c r="G22" s="24" t="n"/>
    </row>
    <row r="23">
      <c r="A23" s="3" t="inlineStr">
        <is>
          <t>Color Key</t>
        </is>
      </c>
      <c r="B23" s="4" t="inlineStr">
        <is>
          <t>Red</t>
        </is>
      </c>
      <c r="C23" s="4" t="inlineStr">
        <is>
          <t>Failure / high-priority issue or to-do critical task.</t>
        </is>
      </c>
      <c r="D23" s="4" t="inlineStr">
        <is>
          <t>High risk</t>
        </is>
      </c>
      <c r="E23" s="4" t="inlineStr">
        <is>
          <t>All</t>
        </is>
      </c>
      <c r="F23" s="4" t="inlineStr"/>
    </row>
    <row r="24">
      <c r="A24" s="3" t="inlineStr">
        <is>
          <t>Color Key</t>
        </is>
      </c>
      <c r="B24" s="22" t="inlineStr">
        <is>
          <t>Purple</t>
        </is>
      </c>
      <c r="C24" s="22" t="inlineStr">
        <is>
          <t>Informational edge-case or AEO category signal.</t>
        </is>
      </c>
      <c r="D24" s="22" t="inlineStr">
        <is>
          <t>Context</t>
        </is>
      </c>
      <c r="E24" s="22" t="inlineStr">
        <is>
          <t>All</t>
        </is>
      </c>
      <c r="F24" s="22" t="inlineStr"/>
      <c r="G24" s="24" t="n"/>
    </row>
  </sheetData>
  <autoFilter ref="A1:G24"/>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2026-05-02T14:41:47Z</dcterms:created>
  <dcterms:modified xmlns:dcterms="http://purl.org/dc/terms/" xmlns:xsi="http://www.w3.org/2001/XMLSchema-instance" xsi:type="dcterms:W3CDTF">2026-05-02T14:41:48Z</dcterms:modified>
</cp:coreProperties>
</file>